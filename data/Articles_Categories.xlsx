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d.docs.live.net/f19f2f8aa5d36612/Documenten/HAN TBK/Minor/06. Data Mining (Witek)/Data sets/"/>
    </mc:Choice>
  </mc:AlternateContent>
  <xr:revisionPtr revIDLastSave="393" documentId="13_ncr:1_{662BA4DF-94BD-440D-9E26-631846353A9B}" xr6:coauthVersionLast="47" xr6:coauthVersionMax="47" xr10:uidLastSave="{B8B7CECB-6262-4D44-B649-26FB3E525173}"/>
  <bookViews>
    <workbookView xWindow="-120" yWindow="-120" windowWidth="29040" windowHeight="15720" tabRatio="500" xr2:uid="{00000000-000D-0000-FFFF-FFFF00000000}"/>
  </bookViews>
  <sheets>
    <sheet name="Products" sheetId="1" r:id="rId1"/>
    <sheet name="Produktkategorien EN" sheetId="2" r:id="rId2"/>
    <sheet name="INPUT MA" sheetId="5" r:id="rId3"/>
    <sheet name="Sheet4" sheetId="6" r:id="rId4"/>
    <sheet name="Sheet2" sheetId="4" r:id="rId5"/>
  </sheets>
  <definedNames>
    <definedName name="_xlnm._FilterDatabase" localSheetId="0" hidden="1">Products!$A$2:$AX$4306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36" i="1" l="1"/>
  <c r="H311" i="1"/>
  <c r="H310" i="1"/>
  <c r="H309" i="1"/>
  <c r="H308" i="1"/>
  <c r="E3" i="5"/>
  <c r="F3" i="5"/>
  <c r="E4" i="5"/>
  <c r="F4" i="5"/>
  <c r="E5" i="5"/>
  <c r="F5" i="5"/>
  <c r="E6" i="5"/>
  <c r="F6" i="5"/>
  <c r="E7" i="5"/>
  <c r="F7" i="5"/>
  <c r="E8" i="5"/>
  <c r="F8" i="5"/>
  <c r="E9" i="5"/>
  <c r="F9" i="5"/>
  <c r="E10" i="5"/>
  <c r="F10" i="5"/>
  <c r="E11" i="5"/>
  <c r="F11" i="5"/>
  <c r="E12" i="5"/>
  <c r="F12" i="5"/>
  <c r="E13" i="5"/>
  <c r="F13" i="5"/>
  <c r="E14" i="5"/>
  <c r="F14" i="5"/>
  <c r="E15" i="5"/>
  <c r="F15" i="5"/>
  <c r="E16" i="5"/>
  <c r="F16" i="5"/>
  <c r="E17" i="5"/>
  <c r="F17" i="5"/>
  <c r="E18" i="5"/>
  <c r="F18" i="5"/>
  <c r="E19" i="5"/>
  <c r="F19" i="5"/>
  <c r="E20" i="5"/>
  <c r="F20" i="5"/>
  <c r="E21" i="5"/>
  <c r="F21" i="5"/>
  <c r="E22" i="5"/>
  <c r="F22" i="5"/>
  <c r="E23" i="5"/>
  <c r="F23" i="5"/>
  <c r="E24" i="5"/>
  <c r="F24" i="5"/>
  <c r="E25" i="5"/>
  <c r="F25" i="5"/>
  <c r="E26" i="5"/>
  <c r="F26" i="5"/>
  <c r="E27" i="5"/>
  <c r="F27" i="5"/>
  <c r="E28" i="5"/>
  <c r="F28" i="5"/>
  <c r="E29" i="5"/>
  <c r="F29" i="5"/>
  <c r="E30" i="5"/>
  <c r="F30" i="5"/>
  <c r="E31" i="5"/>
  <c r="F31" i="5"/>
  <c r="E32" i="5"/>
  <c r="F32" i="5"/>
  <c r="E33" i="5"/>
  <c r="F33" i="5"/>
  <c r="E34" i="5"/>
  <c r="F34" i="5"/>
  <c r="E35" i="5"/>
  <c r="F35" i="5"/>
  <c r="E36" i="5"/>
  <c r="F36" i="5"/>
  <c r="E37" i="5"/>
  <c r="F37" i="5"/>
  <c r="E38" i="5"/>
  <c r="F38" i="5"/>
  <c r="E39" i="5"/>
  <c r="F39" i="5"/>
  <c r="E40" i="5"/>
  <c r="F40" i="5"/>
  <c r="E41" i="5"/>
  <c r="F41" i="5"/>
  <c r="E42" i="5"/>
  <c r="F42" i="5"/>
  <c r="E43" i="5"/>
  <c r="F43" i="5"/>
  <c r="E44" i="5"/>
  <c r="F44" i="5"/>
  <c r="E45" i="5"/>
  <c r="F45" i="5"/>
  <c r="E46" i="5"/>
  <c r="F46" i="5"/>
  <c r="E47" i="5"/>
  <c r="F47" i="5"/>
  <c r="E48" i="5"/>
  <c r="F48" i="5"/>
  <c r="E49" i="5"/>
  <c r="F49" i="5"/>
  <c r="E50" i="5"/>
  <c r="F50" i="5"/>
  <c r="E51" i="5"/>
  <c r="F51" i="5"/>
  <c r="E52" i="5"/>
  <c r="F52" i="5"/>
  <c r="E53" i="5"/>
  <c r="F53" i="5"/>
  <c r="E54" i="5"/>
  <c r="F54" i="5"/>
  <c r="E55" i="5"/>
  <c r="F55" i="5"/>
  <c r="E56" i="5"/>
  <c r="F56" i="5"/>
  <c r="E57" i="5"/>
  <c r="F57" i="5"/>
  <c r="E58" i="5"/>
  <c r="F58" i="5"/>
  <c r="E59" i="5"/>
  <c r="F59" i="5"/>
  <c r="E60" i="5"/>
  <c r="F60" i="5"/>
  <c r="E61" i="5"/>
  <c r="F61" i="5"/>
  <c r="E62" i="5"/>
  <c r="F62" i="5"/>
  <c r="E63" i="5"/>
  <c r="F63" i="5"/>
  <c r="E64" i="5"/>
  <c r="F64" i="5"/>
  <c r="E65" i="5"/>
  <c r="F65" i="5"/>
  <c r="E66" i="5"/>
  <c r="F66" i="5"/>
  <c r="E67" i="5"/>
  <c r="F67" i="5"/>
  <c r="E68" i="5"/>
  <c r="F68" i="5"/>
  <c r="E69" i="5"/>
  <c r="F69" i="5"/>
  <c r="E70" i="5"/>
  <c r="F70" i="5"/>
  <c r="E71" i="5"/>
  <c r="F71" i="5"/>
  <c r="E72" i="5"/>
  <c r="F72" i="5"/>
  <c r="E73" i="5"/>
  <c r="F73" i="5"/>
  <c r="E74" i="5"/>
  <c r="F74" i="5"/>
  <c r="E75" i="5"/>
  <c r="F75" i="5"/>
  <c r="E76" i="5"/>
  <c r="F76" i="5"/>
  <c r="E77" i="5"/>
  <c r="F77" i="5"/>
  <c r="E78" i="5"/>
  <c r="F78" i="5"/>
  <c r="E79" i="5"/>
  <c r="F79" i="5"/>
  <c r="E80" i="5"/>
  <c r="F80" i="5"/>
  <c r="E81" i="5"/>
  <c r="F81" i="5"/>
  <c r="E82" i="5"/>
  <c r="F82" i="5"/>
  <c r="E83" i="5"/>
  <c r="F83" i="5"/>
  <c r="E84" i="5"/>
  <c r="F84" i="5"/>
  <c r="E85" i="5"/>
  <c r="F85" i="5"/>
  <c r="E86" i="5"/>
  <c r="F86" i="5"/>
  <c r="E87" i="5"/>
  <c r="F87" i="5"/>
  <c r="E88" i="5"/>
  <c r="F88" i="5"/>
  <c r="E89" i="5"/>
  <c r="F89" i="5"/>
  <c r="E90" i="5"/>
  <c r="F90" i="5"/>
  <c r="F2" i="5"/>
  <c r="E2"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3" i="5"/>
  <c r="D4" i="5"/>
  <c r="D5" i="5"/>
  <c r="D6" i="5"/>
  <c r="D7" i="5"/>
  <c r="D8" i="5"/>
  <c r="D9" i="5"/>
  <c r="D10" i="5"/>
  <c r="D11" i="5"/>
  <c r="D12" i="5"/>
  <c r="D13" i="5"/>
  <c r="D14" i="5"/>
  <c r="D15" i="5"/>
  <c r="D16" i="5"/>
  <c r="D17" i="5"/>
  <c r="D18" i="5"/>
  <c r="D19" i="5"/>
  <c r="D20" i="5"/>
  <c r="D2" i="5"/>
</calcChain>
</file>

<file path=xl/sharedStrings.xml><?xml version="1.0" encoding="utf-8"?>
<sst xmlns="http://schemas.openxmlformats.org/spreadsheetml/2006/main" count="70786" uniqueCount="18857">
  <si>
    <t>Product titel</t>
  </si>
  <si>
    <t>Specificaties</t>
  </si>
  <si>
    <t xml:space="preserve">Beschrijving (lang) </t>
  </si>
  <si>
    <t>USP</t>
  </si>
  <si>
    <t xml:space="preserve">Productinformatie (kort) </t>
  </si>
  <si>
    <t>Gerelateerde producten</t>
  </si>
  <si>
    <t>Foto's FTP</t>
  </si>
  <si>
    <t>Productgroepen AG</t>
  </si>
  <si>
    <t>Artikel</t>
  </si>
  <si>
    <t>Omschrijving</t>
  </si>
  <si>
    <t xml:space="preserve">Sharon.Hoogland </t>
  </si>
  <si>
    <t>Administratie</t>
  </si>
  <si>
    <t>Supplier</t>
  </si>
  <si>
    <t>Verkoopprijs</t>
  </si>
  <si>
    <t>Hoofdcategorie</t>
  </si>
  <si>
    <t>Subcategorie</t>
  </si>
  <si>
    <t>Artikelnaam</t>
  </si>
  <si>
    <t>TD - Titel DE</t>
  </si>
  <si>
    <t>TE - Titel Engels</t>
  </si>
  <si>
    <t>TF - Titel Frans</t>
  </si>
  <si>
    <t>SN - Specificatie NL</t>
  </si>
  <si>
    <t>SD - Specificatie DE</t>
  </si>
  <si>
    <t>SE - Specificatie EN</t>
  </si>
  <si>
    <t>SF - Specificatie FR</t>
  </si>
  <si>
    <t>BN - Beschrijving NL</t>
  </si>
  <si>
    <t>BD - Beschrijving DE</t>
  </si>
  <si>
    <t>BE - Beschrijving Engels</t>
  </si>
  <si>
    <t>BF - Bechrijving Frans</t>
  </si>
  <si>
    <t>UN - USP NL</t>
  </si>
  <si>
    <t>UD - USP DE</t>
  </si>
  <si>
    <t>UE - USP Engels</t>
  </si>
  <si>
    <t>UF - USP FR</t>
  </si>
  <si>
    <t>IN - Productinfo NL</t>
  </si>
  <si>
    <t>ID - Productinfo DE</t>
  </si>
  <si>
    <t>IE - Productinfo EN</t>
  </si>
  <si>
    <t>IF - Productinfo FR</t>
  </si>
  <si>
    <t>4x Artikelcode gescheiden door ;</t>
  </si>
  <si>
    <t>Aantallen aangeven</t>
  </si>
  <si>
    <t>ZG</t>
  </si>
  <si>
    <t>WG</t>
  </si>
  <si>
    <t>UG</t>
  </si>
  <si>
    <t>1213652DE</t>
  </si>
  <si>
    <t>Hartpapierhülse 1400 x 154 x 125 mm</t>
  </si>
  <si>
    <t>0,000</t>
  </si>
  <si>
    <t>37, Tip Top</t>
  </si>
  <si>
    <t>12022, REMA TIP TOP AG</t>
  </si>
  <si>
    <t>Actief</t>
  </si>
  <si>
    <t>4,140</t>
  </si>
  <si>
    <t>x</t>
  </si>
  <si>
    <t>081</t>
  </si>
  <si>
    <t>232086-KERNKLOSLL</t>
  </si>
  <si>
    <t>Kernklos - 250/105-70</t>
  </si>
  <si>
    <t>34, Verbruikte materialen</t>
  </si>
  <si>
    <t xml:space="preserve"> </t>
  </si>
  <si>
    <t>1,950</t>
  </si>
  <si>
    <t>083</t>
  </si>
  <si>
    <t>5000043PM</t>
  </si>
  <si>
    <t>REMA TIP TOP Binnenbandpleister 1 35 mm 30 stuks</t>
  </si>
  <si>
    <t>17842, Rema Tip Top Nederland B.V.</t>
  </si>
  <si>
    <t>3,260</t>
  </si>
  <si>
    <t>5061982DE</t>
  </si>
  <si>
    <t>T-Rex Hot Vulc+ 0,5 kg</t>
  </si>
  <si>
    <t>7,800</t>
  </si>
  <si>
    <t>06_Vulcanization Materials</t>
  </si>
  <si>
    <t xml:space="preserve">06-04_T-Rex Glue for Hot Vulcanization </t>
  </si>
  <si>
    <t>T-REX Hot Vulc+ ; Lijm voor Warmvulkanisatie</t>
  </si>
  <si>
    <t>T-REX Hot Vulc+ ; Kleber für Heißverbindung</t>
  </si>
  <si>
    <t>T-REX Hot Vulc+ ; Glue for Hot Vulcanization</t>
  </si>
  <si>
    <t>T-REX Hot Vulc+ ; Colle pour vulcanisation à chaud</t>
  </si>
  <si>
    <t>Blik 0,7 Liter / 0,5 Kg</t>
  </si>
  <si>
    <t>Dose 0,7 Liter / 0,5 Kg</t>
  </si>
  <si>
    <t>Can 0,7 Liter / 0,5 Kg</t>
  </si>
  <si>
    <t>Pot 0,7 Litre / 0,5 Kg</t>
  </si>
  <si>
    <t>Gemiddeld verbruik per vierkante meter transportband (alleen richtwaarden) ; 1e laag = ca. 300 g/m2 ; 2e laag = ca. 280 g/m2 ; * afhankelijk van het type weefsel ; ; Overeenkomstig de verordening (EG) nr. 1907/2006 (REACH) bevat dit product geen PBT / vPvB-substanties</t>
  </si>
  <si>
    <t xml:space="preserve">Durchschnittlicher Verbrauch pro Quadratmeter Förderband (nur Richtwerte) ; 1. Auftrag = ca. 300g/m² ; 2. Auftrag = ca. 280g/m² ; * abhängig von dem Type des Gewebes </t>
  </si>
  <si>
    <t>Average consumption per square meter of conveyor belt (guideline values only) ; 1st coat = approx. 300 g/m2 ; 2nd coat = approx. 280 g/m2 ; * depending on the type of belt fabric</t>
  </si>
  <si>
    <t>Consommation moyenne par mètre carré de bande transporteuse (valeurs indicatives uniquement) ; 1ère couche = env. 300 g/m2 ; 2ème couche = env. 280g/m2 ; * selon le type de tissu de la ceinture</t>
  </si>
  <si>
    <t>CHC-vrij; Gevaarlijke goederen: Ja; Voor Standaard, K en HR kwaliteit dekrubber ;</t>
  </si>
  <si>
    <t>Ckw-frei ; Gefahrengut: Ja ; Für Gummideckplatten Standard-, K- und HR-Qualität ;</t>
  </si>
  <si>
    <t>CHC-Free ; Dangerous goods: Yes ; For Standard, K and HR quality cover rubber ;</t>
  </si>
  <si>
    <t>Sans CHC ; Marchandises dangereuses : Oui ; Pour revêtement en caoutchouc de qualité Standard, K et HR ;</t>
  </si>
  <si>
    <t xml:space="preserve">Lijm voor Warmvulkanisatie ; </t>
  </si>
  <si>
    <t xml:space="preserve">Kleber für die Heißvulkanisation ; </t>
  </si>
  <si>
    <t>Glue for hot vulcanization ;</t>
  </si>
  <si>
    <t>Colle pour vulcanisation à chaud ;</t>
  </si>
  <si>
    <t>5061983DE ; TUSSENRUBBER-0,8SP ; DEKRUBBER-2MMSP ; TOOL003-KWASTTS</t>
  </si>
  <si>
    <t>5061982DE-1 ; 5061982DE-2</t>
  </si>
  <si>
    <t>090</t>
  </si>
  <si>
    <t>WAGU Heizlösung WTHZN</t>
  </si>
  <si>
    <t>5061983DE</t>
  </si>
  <si>
    <t>T-Rex Hot Vulc+ 3,5 kg</t>
  </si>
  <si>
    <t>45,300</t>
  </si>
  <si>
    <t>Emmer 5 Liter / 3,5 Kg</t>
  </si>
  <si>
    <t>Kanne 5 Liter / 3,5 Kg</t>
  </si>
  <si>
    <t>Bucket 5 Liter / 3,5 Kg</t>
  </si>
  <si>
    <t>Seau 5 Litre / 3,5 Kg</t>
  </si>
  <si>
    <t>Durchschnittlicher Verbrauch pro Quadratmeter Förderband (nur Richtwerte) ;
1. Anstrich = ca. 300g/m2 ;
2. Anstrich = ca. 280g/m2 ;
* abhängig von dem Type des Gewebes</t>
  </si>
  <si>
    <t>Average consumption per square meter of conveyor belt (guideline values only) ;
1st coat = approx. 300 g/m2 ;
2nd coat = approx. 280 g/m2 ;
* depending on the type of belt fabric</t>
  </si>
  <si>
    <t>Consommation moyenne par mètre carré de bande transporteuse (valeurs indicatives uniquement) ;
1ère couche = env. 300 g/m2 ;
2ème couche = env. 280g/m2 ;
* selon le type de tissu de la ceinture</t>
  </si>
  <si>
    <t>5061982DE ; TUSSENRUBBER-0,8SP ; DEKRUBBER-2MMSP ; TOOL003-KWASTTS</t>
  </si>
  <si>
    <t>5061983DE-1</t>
  </si>
  <si>
    <t>5061984DE</t>
  </si>
  <si>
    <t>T-Rex Cleaner 5 liter</t>
  </si>
  <si>
    <t>29,450</t>
  </si>
  <si>
    <t>06-01_T-Rex Cleaner</t>
  </si>
  <si>
    <t xml:space="preserve">T-Rex Cleaner </t>
  </si>
  <si>
    <t>T-Rex Reinigung</t>
  </si>
  <si>
    <t>T-Rex Cleaner</t>
  </si>
  <si>
    <t>T-Rex Nettoyage</t>
  </si>
  <si>
    <t>Blik 5 liter</t>
  </si>
  <si>
    <t>Kanne 5 Liter</t>
  </si>
  <si>
    <t xml:space="preserve">Can 5 liter </t>
  </si>
  <si>
    <t>Pot 5 liter</t>
  </si>
  <si>
    <t>Reinigingsmiddel om vet en vuil van rubber te verwijderen om een ​​schone omgeving te creëren voor sterke hechting. ; Voor universeel gebruik met CHC-vrije lijmsystemen, primers, vulkaniseer- en verwarmingsoplossingen. ; Kan worden gebruikt als spray voor het nauwkeurig reinigen van kleine oppervlakken.</t>
  </si>
  <si>
    <t>Reinigungsmittel zum Entfernen von Fett und Schmutz von Gummi, um eine saubere Umgebung für eine starke Haftung zu schaffen. ; Für den universellen Einsatz mit CKW-freien Klebstoffsystemen, Primern, Vulkanisier- und Heizlösungen. ; Kann als Spray zur präzisen Reinigung kleiner Flächen verwendet werden.</t>
  </si>
  <si>
    <t>Cleaning solvent to remove grease and dirt from rubber to provide a clean environment for strong adhesion ; For universal use with CHC-free adhesive systems, primers, vulcanizing and heating solutions. ; Can be used as spray for precise cleaning of small areas.</t>
  </si>
  <si>
    <t>Solvant de nettoyage pour éliminer la graisse et la saleté du caoutchouc afin de fournir un environnement propre pour une adhérence solide ; Pour une utilisation universelle avec des systèmes adhésifs sans CHC, des apprêts, des solutions de vulcanisation et de chauffage. ; Peut être utilisé en spray pour un nettoyage précis de petites surfaces.</t>
  </si>
  <si>
    <t>CHC-vrij; Gevaarlijke goederen: Ja; Uitstekend olie- en vetoplossend vermogen; Toekomstbestendig, REACH-conform; Zuinig in verbruik; T-REX-reinigingsvloeistoffen kunnen universeel worden gebruikt om olie en vet van oppervlakken te verwijderen en gebruikte borstels te reinigen (d.w.z. CHC-vrije lijmsystemen, primers, vulkanisatie- en verwarmingsoplossingen)</t>
  </si>
  <si>
    <t>CKW-frei ; Gefahrgut: Ja ; Hervorragend öl- und fettlösend ; Zukunftssicher, REACH-Konformität ; Sparsam im Verbrauch; T-REX Reinigungsflüssigkeiten sind universell einsetzbar zur Entfernung von Öl und Fett auf Oberflächen und zur Reinigung gebrauchter Bürsten (z. B. CKW-freie Klebstoffsysteme, Grundierungen, Vulkanisier- und Heizlösungen)</t>
  </si>
  <si>
    <t>CHC-free ; Dangerous goods: Yes ; Excellent oil and grease-dissolving ; Future-proof, REACH compliance ; Economic in consumption ; T-REX cleaning fluids can be universally used to remove oil and grease from surfaces and to clean used brushes (i.e. CHC-free adhesive systems, primers, vulcanizing and heating solutions)</t>
  </si>
  <si>
    <t>Sans CHC ; Marchandises dangereuses : Oui ; Excellent dissolvant d'huile et de graisse ; À l'épreuve du temps, conformité REACH ; Economique en consommation ; Les liquides de nettoyage T-REX peuvent être utilisés universellement pour éliminer l'huile et la graisse des surfaces et pour nettoyer les pinceaux usagés (c'est-à-dire les systèmes adhésifs sans CHC, les apprêts, les solutions de vulcanisation et de chauffage)</t>
  </si>
  <si>
    <t>5061982DE ; 5148730DE ; 5148760DE ; 5148770DE</t>
  </si>
  <si>
    <t>5061984DE-1</t>
  </si>
  <si>
    <t>089</t>
  </si>
  <si>
    <t>041</t>
  </si>
  <si>
    <t>Reinigungsmittel</t>
  </si>
  <si>
    <t>5141490DE</t>
  </si>
  <si>
    <t>T-Rex Vulc B 200 ltr</t>
  </si>
  <si>
    <t>1.984,000</t>
  </si>
  <si>
    <t>1.667,930</t>
  </si>
  <si>
    <t xml:space="preserve">06-03_T-Rex Glue for Cold Vulcanization </t>
  </si>
  <si>
    <t>T-REX Vulc. B Vat</t>
  </si>
  <si>
    <t>T-REX Vulc. B Fass</t>
  </si>
  <si>
    <t>T-REX Vulc. B Barrel</t>
  </si>
  <si>
    <t>T-REX Vulc. B Fut</t>
  </si>
  <si>
    <t>Vat 190 kg</t>
  </si>
  <si>
    <t>Fass 190 kg</t>
  </si>
  <si>
    <t>Barrel 190 kg</t>
  </si>
  <si>
    <t>Fut 190 kg</t>
  </si>
  <si>
    <t>Koud lassen en repareren van transportbanden met weefselversterkingen; Verlijmen van rubberen onderdelen en voeringen; Verlijmen van elastomeerkappen voor aandrijftrommels</t>
  </si>
  <si>
    <t>Kaltverbindungen und Reparatur von Fördergurten mit Gewebeverstärkungen; Kleben von Gummiteilen und Auskleidungen; Kleben von Elastomer-Leggings für Antriebstrommeln</t>
  </si>
  <si>
    <t>Cold splicing and repairs of coveyor belts with fabric reinforcements ; Bonding of rubber components and linings ; Bonding of elastomer laggings for drive pulleys</t>
  </si>
  <si>
    <t>Jonction et réparation à froid de bandes transporteuses avec renforts en tissu ; Collage de composants en caoutchouc et de revêtements ; Collage de jambières élastomères pour poulies motrices</t>
  </si>
  <si>
    <t>CHC-vrij; Gevaarlijke goederen: Ja; Uitstekende initiële hechtsterkte; Hoge dynamische draagkracht; Banden met hoge weerstand; Universeel inzetbaar op vele materialen; Toekomstbestendig, REACH-conform; Uitstekende hechting; Bewezen productkwaliteit; Eenvoudig aan te brengen; Zuinig in verbruik; Vult T-REX-slijtagebeschermings- en reparatiesystemen aan met CN-bindingslaag</t>
  </si>
  <si>
    <t>CKW-frei ; Gefahrgut: Ja ; Hervorragende Anfangshaftung; Hohe dynamische Belastbarkeit ; Hochfeste Bindungen ; Universell einsetzbar auf vielen Materialien; Zukunftssicher, REACH-Konformität ; Hervorragende Haftung; Bewährte Produktqualität; Einfach anzuwenden ; Sparsam im Verbrauch; Ergänzt T-REX Verschleißschutz- und Reparatursysteme mit CN-Haftschicht</t>
  </si>
  <si>
    <t>CHC-free ; Dangerous goods: Yes ; Outstanding initial bond strength ; High dynamic load rating ; High-strength bonds ; Can be universally used on many materials ; Future-proof, REACH compliance ; Excellent adhesion ; Proven product quality ; Easy to apply ; Economic in consumption ; Complements T-REX wear protection and repair systems with CN bonding layer</t>
  </si>
  <si>
    <t>Sans CHC ; Marchandises dangereuses : Oui ; Force de liaison initiale exceptionnelle ; Capacité de charge dynamique élevée ; Liaisons à haute résistance ; Peut être utilisé universellement sur de nombreux matériaux ; À l'épreuve du temps, conformité REACH ; Excellente adhérence ; Qualité de produit éprouvée ; Facile à appliquer ; Economique en consommation ; Complète les systèmes de protection contre l'usure et de réparation T-REX avec une couche de liaison CN</t>
  </si>
  <si>
    <t>5148760DE ; 5148770DE ; 5148730DE ; 5061984DE</t>
  </si>
  <si>
    <t>5141490DE-1</t>
  </si>
  <si>
    <t>082</t>
  </si>
  <si>
    <t>WTS &amp; WTH 2004</t>
  </si>
  <si>
    <t>5148730DE</t>
  </si>
  <si>
    <t>T-Rex Primer A - 750 g</t>
  </si>
  <si>
    <t>20,810</t>
  </si>
  <si>
    <t>06-02_T-Rex Primer</t>
  </si>
  <si>
    <t>T-REX Primer</t>
  </si>
  <si>
    <t>T-REX Primer / Grundierung</t>
  </si>
  <si>
    <t>T-REX Primer / Apprêt</t>
  </si>
  <si>
    <t>Blik 0,75 Kg</t>
  </si>
  <si>
    <t>Kanne 0,75 Kg</t>
  </si>
  <si>
    <t>Can 0,75 Kg</t>
  </si>
  <si>
    <t>Pot 0,75 Kg</t>
  </si>
  <si>
    <t>CHC-vrij; Gevaarlijke goederen: Ja; Kleur: grijs ; Toekomstbestendig, REACH-conform; Zuinig in verbruik; Uitstekende hechting in combinatie met T-REX Vulc. B ; Korte droogtijd; Extra tijdelijke bescherming tegen atmosferische corrosie (vochtigheid)</t>
  </si>
  <si>
    <t>CKW-frei ; Gefahrgut: Ja ; Farbe: Grau; Zukunftssicher, REACH-Konformität ; Sparsam im Verbrauch; Hervorragende Haftung in Kombination mit T-REX Vulc. B ; Kurze Trocknungszeit ; Zusätzlicher temporärer Schutz gegen atmosphärische Korrosion (Feuchtigkeit)</t>
  </si>
  <si>
    <t>CHC-free ; Dangerous goods: Yes ; Colour: Gray ; Future-proof, REACH compliance ; Economic in consumption ; Excellent adhesion in combination with T-REX Vulc. B ; Short drying time ; Additional temporary protection for atmospheric corrosion (humidity)</t>
  </si>
  <si>
    <t>Sans CHC ; Marchandises dangereuses : Oui ; Couleur : Gris ; À l'épreuve du temps, conformité REACH ; Economique en consommation ; Excellente adhérence en combinaison avec T-REX Vulc. B ; Temps de séchage court ; Protection temporaire supplémentaire contre la corrosion atmosphérique (humidité)</t>
  </si>
  <si>
    <t>Primer wordt gebruikt voor het voorbehandelen van metalen oppervlakken van elastomeer-metaalverbindingen voorafgaand aan rubber-metaalverbindingen met hoge dynamische en statische belastingen</t>
  </si>
  <si>
    <t>Primer dienen zur Vorbehandlung von Metalloberflächen von Elastomer-Metall-Verbindungen vor Gummi-Metall-Verbindungen mit hohen dynamischen und statischen Belastungen</t>
  </si>
  <si>
    <t>Primer are used to pretreat metal surfaces of elastomer-metal bonds prior to rubber-metal bonding with high dynamic and static loads</t>
  </si>
  <si>
    <t>Les apprêts sont utilisés pour prétraiter les surfaces métalliques des liaisons élastomère-métal avant la liaison caoutchouc-métal avec des charges dynamiques et statiques élevées</t>
  </si>
  <si>
    <t>5148760DE ; 5148770DE- ; 5061984DE</t>
  </si>
  <si>
    <t>5148730DE-1</t>
  </si>
  <si>
    <t>051</t>
  </si>
  <si>
    <t>Primer</t>
  </si>
  <si>
    <t>5148760DE</t>
  </si>
  <si>
    <t>T-Rex Vulc B - 700 g</t>
  </si>
  <si>
    <t>8,740</t>
  </si>
  <si>
    <t>T-REX Vulc. B</t>
  </si>
  <si>
    <t>Blik 0,7 Kg</t>
  </si>
  <si>
    <t>Kanne 0,7 Kg</t>
  </si>
  <si>
    <t>Can 0,7 Kg</t>
  </si>
  <si>
    <t>Pot 0,7 Kg</t>
  </si>
  <si>
    <t>5141490DE ; 5148770DE ; 5148730DE ; 5061984DE</t>
  </si>
  <si>
    <t>5148760DE-1 ; 5148760DE-2</t>
  </si>
  <si>
    <t>5148770DE</t>
  </si>
  <si>
    <t>T-Rex Vulc B-H - 30 g</t>
  </si>
  <si>
    <t>2,180</t>
  </si>
  <si>
    <t>T-REX Vulc . B Verharder</t>
  </si>
  <si>
    <t>T-REX Vulc. B Härter</t>
  </si>
  <si>
    <t>T-REX Vulc. B Hardener</t>
  </si>
  <si>
    <t>T-REX Vulc. B Durcisseur</t>
  </si>
  <si>
    <t>Flesje 30 Gr</t>
  </si>
  <si>
    <t>Flasche 30 Gr</t>
  </si>
  <si>
    <t>Bottle 30 Gr</t>
  </si>
  <si>
    <t>Flacons 30 Gr</t>
  </si>
  <si>
    <t>CKW-frei ; Gefahrgut: Ja ; Hervorragende Anfangshaftung; Hohe dynamische Tragzahl; Hochfeste Bindungen ; Universell einsetzbar auf vielen Materialien; Zukunftssicher, REACH-Konformität ; Hervorragende Haftung; Bewährte Produktqualität; Einfach anzuwenden ; Sparsam im Verbrauch; Ergänzt T-REX Verschleißschutz- und Reparatursysteme mit CN-Haftschicht</t>
  </si>
  <si>
    <t>Voor lijm T-REX Vulc. B</t>
  </si>
  <si>
    <t>Für Kleber T-REX Vulc. B</t>
  </si>
  <si>
    <t>For glue T-REX Vulc. B</t>
  </si>
  <si>
    <t>Pour colle T-REX Vulc. B</t>
  </si>
  <si>
    <t>5148760DE ; 5141490DE ; 5061984DE ; 5148730DE</t>
  </si>
  <si>
    <t>5148770DE-1 ; 5148770DE-2</t>
  </si>
  <si>
    <t>5210222DE</t>
  </si>
  <si>
    <t>REMALINE 70/CN 25X2000</t>
  </si>
  <si>
    <t>10,000</t>
  </si>
  <si>
    <t>5210407DE</t>
  </si>
  <si>
    <t>REMA PERFORMANCE GRIP 70/CN (8x6) 10X2000</t>
  </si>
  <si>
    <t>5210412DE</t>
  </si>
  <si>
    <t>REMA PERFORMANCE GRIP 70/CN (8x6) 15X2000</t>
  </si>
  <si>
    <t>5210417DE</t>
  </si>
  <si>
    <t>REMA PERFORMANCE GRIP 70/CN (10x8) 15X2000</t>
  </si>
  <si>
    <t>5210422DE</t>
  </si>
  <si>
    <t>5243331DE</t>
  </si>
  <si>
    <t>DX LINE BL STANDARD 60 Shore T</t>
  </si>
  <si>
    <t>5247440DE</t>
  </si>
  <si>
    <t>DX SKIRT STANDARD 60 Shore T2</t>
  </si>
  <si>
    <t>5248120CH</t>
  </si>
  <si>
    <t>T-Rex Repair Strip -10.000x150x3,2 mm</t>
  </si>
  <si>
    <t>12021, REMA TIP TOP (Tianjin) Rubber Technology Co., Ltd.</t>
  </si>
  <si>
    <t>07_Repair Material</t>
  </si>
  <si>
    <t>07-05_T-Rex Repair Strips</t>
  </si>
  <si>
    <t>T-REX Reparatie strip 150mm ; Zonder weefselinlage</t>
  </si>
  <si>
    <t>T-REX Reparaturband 150mm ; Ohne Gewebeeinlage</t>
  </si>
  <si>
    <t>T-REX Repair strip 150mm ; Without fabric reinforced</t>
  </si>
  <si>
    <t>T-REX Bande de réparation 150mm ; Sans pli renforcé</t>
  </si>
  <si>
    <t>Nr. 2 ; Afmeting: 10.000 x 150 mm ; Dikte: 3,2 mm ; Zonder weefselinlage ; Kleur: Zwart</t>
  </si>
  <si>
    <t>Nr. 2 ; Abmessung: 10.000 x 150 mm ; Starke: 3,2 mm ; Ohne Gewebeeinlage ; Farbe: Schwarz</t>
  </si>
  <si>
    <t>Nr. 2 ; Dimensions: 10.000 x 150 mm ; Thickness: 3,2 mm ; Without fabric ; Colour: Black</t>
  </si>
  <si>
    <t>Nr. 2 ; Dimensions : 10.000 x 150 mm ; Epaisseur : 3,2 mm ; Sans pli ; Couleur : Noir</t>
  </si>
  <si>
    <t>Voor het repareren van dekplaatbeschadigingen in de looprichting van de band;</t>
  </si>
  <si>
    <t>Für die Reparatur von Deckplattenschäden in Gurtlaufrichtung ;</t>
  </si>
  <si>
    <t>For repairing cover plate damage in the direction of travel of the belt;</t>
  </si>
  <si>
    <t>Pour réparer les dommages de la plaque de couverture dans le sens de déplacement de la bande ;</t>
  </si>
  <si>
    <t>5317739CH ; 5315748CH ; 5061984DE ; 5148760DE</t>
  </si>
  <si>
    <t>088</t>
  </si>
  <si>
    <t>024</t>
  </si>
  <si>
    <t>Reparaturband</t>
  </si>
  <si>
    <t>5290177DE</t>
  </si>
  <si>
    <t>ABB-45 8x2000</t>
  </si>
  <si>
    <t>1, Rubber transportbanden</t>
  </si>
  <si>
    <t>12028, REMA TIP TOP DBP B.V.</t>
  </si>
  <si>
    <t>5290420DE</t>
  </si>
  <si>
    <t>REMALINE 40B ROOD 6X2000</t>
  </si>
  <si>
    <t>10,010</t>
  </si>
  <si>
    <t>5290451DE</t>
  </si>
  <si>
    <t>REMASKIRT 50/65 12X2000</t>
  </si>
  <si>
    <t>5,000</t>
  </si>
  <si>
    <t>5291474DE</t>
  </si>
  <si>
    <t>NK-ROT 12 X 2000</t>
  </si>
  <si>
    <t>5291522 11DE</t>
  </si>
  <si>
    <t>NK-ROT 6X2000X10000</t>
  </si>
  <si>
    <t>5305514CH</t>
  </si>
  <si>
    <t>T-Rex Repair Patch Size 1 with fabric, 160 x 130 x 3,8 mm</t>
  </si>
  <si>
    <t>1,750</t>
  </si>
  <si>
    <t>07-04_T-Rex Repair Patches</t>
  </si>
  <si>
    <t>T-REX Reparatie pleister 160 x 130 mm ; Met weefselinlage</t>
  </si>
  <si>
    <t>T-REX Reparatur Flicken 160 x 130mm ; Mit Gewebeeinlage</t>
  </si>
  <si>
    <t>T-REX Repair Patch 160 x 130mm ; With fabric reinforced</t>
  </si>
  <si>
    <t>T-Rex Rustine avec pli numéro 1, 160 x 130mm</t>
  </si>
  <si>
    <t>Nr. 1 ; Afmeting: 160 x 130 mm ; Dikte: 3,8 mm ; Met weefselinlage EP 160 ; Kleur: Zwart</t>
  </si>
  <si>
    <t>Nr. 1 ; Abmessung: 160 x 130 mm ; Starke: 3,8 mm ; Mit Gewebeeinlage EP 160 ; Farbe: Schwarz</t>
  </si>
  <si>
    <t>Nr. 1 ; Dimensions: 160 x 130 mm ; Thickness: 3,8 mm ; With fabric reinforced EP 160 ; Colour: Black</t>
  </si>
  <si>
    <t>Nr. 1 ; Dimensions : 160 x 130 mm ; Epaisseur : 3,8 mm ; Avec tissu renforcé EP 160 ; Couleur : Noir</t>
  </si>
  <si>
    <t>stk. T-Rex Reparatiepleister maat 1 - met weefsel - afmeting 160 x 130 x 3,8 mm (02684482)</t>
  </si>
  <si>
    <t>Voor het repareren van banden</t>
  </si>
  <si>
    <t>Für die Reparatur von Durchschlägen ;</t>
  </si>
  <si>
    <t>For repairing punctures</t>
  </si>
  <si>
    <t>Pour réparer les crevaisons</t>
  </si>
  <si>
    <t>5307512CH ; FOURTHANE-RED-00130002FT ; 5061984DE ; 5148760DE</t>
  </si>
  <si>
    <t>5305514CH-1; 5305514CH-2</t>
  </si>
  <si>
    <t>021</t>
  </si>
  <si>
    <t>Reparaturflicken</t>
  </si>
  <si>
    <t>5305521CH</t>
  </si>
  <si>
    <t>T-Rex Repair Patch Size 2 with fabric, 260 x 200 x 3,8 mm</t>
  </si>
  <si>
    <t>2,360</t>
  </si>
  <si>
    <t>T-REX Reparatie pleister 260 x 200 mm ; Met weefselinlage</t>
  </si>
  <si>
    <t>T-REX Reparatur Flicken 260 x 200mm ; Mit Gewebeeinlage</t>
  </si>
  <si>
    <t>T-REX Repair Patch 260 x 200mm ; With fabric reinforced</t>
  </si>
  <si>
    <t>T-Rex Rustine avec pli numéro 2, 260 x 200mm</t>
  </si>
  <si>
    <t>Nr. 2 ; Afmeting: 260 x 200 mm ; Dikte: 3,8 mm ; Met weefselinlage EP 160 ; Kleur: Zwart</t>
  </si>
  <si>
    <t>Nr. 2 ; Abmessung: 260 x 200 mm ; Starke: 3,8 mm ; Mit Gewebeeinlage EP 160 ; Farbe: Schwarz</t>
  </si>
  <si>
    <t>Nr. 2 ; Dimensions: 260 x 200 mm ; Thickness: 3,8 mm ; With fabric reinforced EP 160 ; Colour: Black</t>
  </si>
  <si>
    <t>Nr. 2 ; Dimensions : 260 x 200 mm ; Epaisseur : 3,8 mm ; Avec tissu renforcé EP 160 ; Couleur : Noir</t>
  </si>
  <si>
    <t>stk. T-Rex Reparatiepleister maat 2 - met weefsel - afmeting 260 x 200 x 3,8 mm (02684482)</t>
  </si>
  <si>
    <t>5307529CH ; FOURTHANE-RED-00130002FT ; 5061984DE ; 5148760DE</t>
  </si>
  <si>
    <t>5305521CH-1; 5305521CH-2</t>
  </si>
  <si>
    <t>5305538CH</t>
  </si>
  <si>
    <t>T-Rex Repair Patch Size 3 with fabric, 360 x 270 x 3,8 mm</t>
  </si>
  <si>
    <t>4,130</t>
  </si>
  <si>
    <t>T-REX Reparatie pleister 360 x 270 mm ; Met weefselinlage</t>
  </si>
  <si>
    <t>T-REX Reparatur Flicken 360 x 270mm ; Mit Gewebeeinlage</t>
  </si>
  <si>
    <t>T-REX Repair Patch 360 x 270mm ; With fabric reinforced</t>
  </si>
  <si>
    <t>T-Rex Rustine avec pli numéro 3, 360 x 270mm</t>
  </si>
  <si>
    <t>Nr. 3 ; Afmeting: 360 x 270 mm ; Dikte: 3,8 mm ; Met weefselinlage EP 160 ; Kleur: Zwart</t>
  </si>
  <si>
    <t>Nr. 3 ; Abmessung: 360 x 270 mm ; Starke: 3,8 mm ; Mit Gewebeeinlage EP 160 ; Farbe: Schwarz</t>
  </si>
  <si>
    <t>Nr. 3 ; Dimensions: 360 x 270 mm ; Thickness: 3,8 mm ; With fabric reinforced EP 160 ; Colour: Black</t>
  </si>
  <si>
    <t>Nr. 3 ; Dimensions : 360 x 270 mm ; Epaisseur : 3,8 mm ; Avec tissu renforcé EP 160 ; Couleur : Noir</t>
  </si>
  <si>
    <t>stk. T-Rex Reparatiepleister maat 3 - met weefsel - afmeting 360 x 270 x 3,8 mm (02684482)</t>
  </si>
  <si>
    <t>5307536CH ; FOURTHANE-RED-00130002FT ; 5061984DE ; 5148760DE</t>
  </si>
  <si>
    <t>5305538CH-1; 5305538CH-2</t>
  </si>
  <si>
    <t>5305540CH</t>
  </si>
  <si>
    <t>T-Rex Repair Patch Size 4 with fabric, 470 x 360 x 4,4 mm</t>
  </si>
  <si>
    <t>6,230</t>
  </si>
  <si>
    <t>T-REX Reparatie pleister 470 x 360 mm ; Met weefselinlage</t>
  </si>
  <si>
    <t>T-REX Reparatur Flicken  470 x 360mm ; Mit Gewebeeinlage</t>
  </si>
  <si>
    <t>T-REX Repair Patch 470 x 360mm ; With fabric reinforced</t>
  </si>
  <si>
    <t xml:space="preserve">T-Rex Rustine avec pli numéro 4, 470 x 360mm </t>
  </si>
  <si>
    <t>Nr. 4 ; Afmeting: 470 x 360 mm ; Dikte: 4,4 mm ; Met weefselinlage EP 160 ; Kleur: Zwart</t>
  </si>
  <si>
    <t>Nr. 4 ; Abmessung: 470 x 360 mm ; Starke: 4,4 mm ; Mit Gewebeeinlage EP 160 ; Farbe: Schwarz</t>
  </si>
  <si>
    <t>Nr. 4 ; Dimensions: 460 x 360 mm ; Thickness: 4,4 mm ; With fabric reinforced EP 160 ; Colour: Black</t>
  </si>
  <si>
    <t>Nr. 4 ; Dimensions : 460 x 360 mm ; Epaisseur : 4,4 mm ; Avec tissu renforcé EP 160 ; Couleur : Noir</t>
  </si>
  <si>
    <t>stk. T-Rex Reparatiepleister maat 4 - met weefsel - afmeting 470 x 360 x 4,4 mm (02684482)</t>
  </si>
  <si>
    <t>5305540CH-1; 5305540CH-2</t>
  </si>
  <si>
    <t>5307512CH</t>
  </si>
  <si>
    <t>T-Rex Repair Patch Size 1, 160 x 130 x 2,4 mm</t>
  </si>
  <si>
    <t>1,440</t>
  </si>
  <si>
    <t>1,280</t>
  </si>
  <si>
    <t>T-REX Reparatie pleister 160 x 130 mm ; Zonder weefselinlage</t>
  </si>
  <si>
    <t>T-REX Reparatur Flicken 160 x 130mm ; Ohne Gewebeeinlage</t>
  </si>
  <si>
    <t>T-REX Repair Patch 160 x 130mm ; Without fabric reinforced</t>
  </si>
  <si>
    <t>T-Rex Rustine sans pli numéro 1,160 x 130mm</t>
  </si>
  <si>
    <t>Nr. 1 ; Afmeting: 160 x 130 mm ; Dikte: 2,2 mm ; Zonder weefselinlage ; Kleur: Zwart</t>
  </si>
  <si>
    <t>Nr. 1 ; Abmessung: 160 x 130 mm ; Starke: 3,8 mm ; Ohne Gewebeeinlage ; Farbe: Schwarz</t>
  </si>
  <si>
    <t>Nr. 1 ; Dimensions: 160 x 130 mm ; Thickness: 2,4 mm ; Without fabric ; Colour: Black</t>
  </si>
  <si>
    <t>Nr. 1 ; Dimensions : 160 x 130 mm ; Epaisseur : 2,4 mm ; Sans tissu ; Couleur : Noir</t>
  </si>
  <si>
    <t>stk. T-Rex Reparatiepleister maat 1 - zonder weefsel - afmeting 160 x 130 x 2,4 mm (02684482)</t>
  </si>
  <si>
    <t>Voor het repareren van dekschade</t>
  </si>
  <si>
    <t>Für die Reparatur von Deckplattenschäden ;</t>
  </si>
  <si>
    <t>For repairing cover damage</t>
  </si>
  <si>
    <t>Pour réparer les dommages au pont</t>
  </si>
  <si>
    <t>5305514CH ; FOURTHANE-RED-00130002FT ; 5061984DE ; 5148760DE</t>
  </si>
  <si>
    <t>5307512CH-2; 5307512CH-3</t>
  </si>
  <si>
    <t>5307529CH</t>
  </si>
  <si>
    <t>T-Rex Repair Patch Size 2, 260 x 200 x 2,4 mm</t>
  </si>
  <si>
    <t>2,160</t>
  </si>
  <si>
    <t>1,800</t>
  </si>
  <si>
    <t>T-REX Reparatie pleister 260 x 200 mm ; Zonder weefselinlage</t>
  </si>
  <si>
    <t>T-REX Reparatur Flicken 260 x 2000mm ; Ohne Gewebeeinlage</t>
  </si>
  <si>
    <t>T-REX Repair Patch 260 x 200mm ; Without fabric reinforced</t>
  </si>
  <si>
    <t>T-Rex Rustine sans pli numéro 2, 260 x 200mm</t>
  </si>
  <si>
    <t>Nr. 2; Afmeting: 260 x 200 mm ; Dikte: 2,4 mm ; Zonder weefselinlage ; Kleur: Zwart</t>
  </si>
  <si>
    <t>Nr. 2 ; Abmessung: 260 x 200 mm ; Starke: 2,4 mm ; Ohne Gewebeeinlage ; Farbe: Schwarz</t>
  </si>
  <si>
    <t>Nr. 2 ; Dimensions: 260 x 200 mm ; Thickness: 2,4 mm ; Without fabric ; Colour: Black</t>
  </si>
  <si>
    <t>Nr. 2 ; Dimensions : 260 x 200 mm ; Epaisseur : 2,4 mm ; Sans tissu ; Couleur : Noir</t>
  </si>
  <si>
    <t>stk. T-Rex Reparatiepleister maat 2 - zonder weefsel - afmeting 260 x 200 x 2,4 mm (02684482)</t>
  </si>
  <si>
    <t>5305521CH ; FOURTHANE-RED-00130002FT ; 5061984DE ; 5148760DE</t>
  </si>
  <si>
    <t>5307529CH-2; 5307529CH-3</t>
  </si>
  <si>
    <t>5307536CH</t>
  </si>
  <si>
    <t>T-Rex Repair Patch Size 3, 360 x 270 x 2,4 mm</t>
  </si>
  <si>
    <t>2,720</t>
  </si>
  <si>
    <t>T-REX Reparatie pleister 360 x 270 mm ; Zonder weefselinlage</t>
  </si>
  <si>
    <t>T-REX Reparatur Flicken 360 x 270mm ; Ohne Gewebeeinlage</t>
  </si>
  <si>
    <t>T-REX Repair Patch 360 x 270mm ; Without fabric reinforced</t>
  </si>
  <si>
    <t>T-Rex Rustine sans pli numéro 3, 360 x 270mm</t>
  </si>
  <si>
    <t>Nr. 3 ; Afmeting: 360 x 270 mm ; Dikte: 2,4 mm ; Zonder weefselinlage ; Kleur: Zwart</t>
  </si>
  <si>
    <t>Nr. 3 ; Abmessung: 360 x 270 mm ; Starke: 2,4 mm ; Ohne Gewebeeinlage ; Farbe: Schwarz</t>
  </si>
  <si>
    <t>Nr. 3 ; Dimensions: 360 x 270 mm ; Thickness: 2,4 mm ; Without fabric ; Colour: Black</t>
  </si>
  <si>
    <t>Nr. 3 ; Dimensions : 360 x 270 mm ; Epaisseur : 2,4 mm ; Sans tissu ; Couleur : Noir</t>
  </si>
  <si>
    <t>stk. T-Rex Reparatiepleister maat 3 - zonder weefsel - afmeting 360 x 270 x 2,4 mm (02684482)</t>
  </si>
  <si>
    <t>5305538CH ; FOURTHANE-RED-00130002FT ; 5061984DE ; 5148760DE</t>
  </si>
  <si>
    <t>5307536CH-2; 5307536CH-3</t>
  </si>
  <si>
    <t>5315731CH</t>
  </si>
  <si>
    <t>T-Rex Repair Strip with fabric Nr 1 -10.000x100x3,6 mm</t>
  </si>
  <si>
    <t>51,380</t>
  </si>
  <si>
    <t>T-REX Reparatie strip 100mm ; Met weefselinlage</t>
  </si>
  <si>
    <t>T-REX Reparaturband 100mm ; Mit Gewebeeinlage</t>
  </si>
  <si>
    <t>T-REX Repair strip 100mm ; With fabric reinforced</t>
  </si>
  <si>
    <t>T-REX Bande de réparation 100mm ; Avec pli renforcé</t>
  </si>
  <si>
    <t>Nr. 1 ; Afmeting: 10.000 x 100 mm ; Dikte: 3,6 mm ; Met weefselinlage EP 160 ; Kleur: Zwart</t>
  </si>
  <si>
    <t>Nr. 1 ; Abmessung: 10.000 x 100 mm ; Starke: 3,6 mm ; Mit Gewebeeinlage EP 160 ; Farbe: Schwarz</t>
  </si>
  <si>
    <t>Nr. 1 ; Dimensions: 10.000 x 100 mm ; Thickness: 3,6 mm ; With fabric EP160 ; Colour: Black</t>
  </si>
  <si>
    <t>Nr. 1 ; Dimensions : 10.000 x 100 mm ; Epaisseur : 3,6 mm ; Avec pli EP160 ; Couleur : Noir</t>
  </si>
  <si>
    <t>Voor het repareren van lengtescheuren in transportbanden van textiel en staalkoord;</t>
  </si>
  <si>
    <t>Für die Reparatur von Längsrissen in Gewebe- und Stahlseilfördergurten ;</t>
  </si>
  <si>
    <t>For repairing longitudinal tears in fabric and steel cord conveyor belts;</t>
  </si>
  <si>
    <t xml:space="preserve">Pour réparer les déchirures longitudinales des bandes transporteuses en tissu et en câble d'acier </t>
  </si>
  <si>
    <t>5315748CH</t>
  </si>
  <si>
    <t>T-Rex Repair Strip with fabric Nr 2 -10.000x150x4,6 mm</t>
  </si>
  <si>
    <t>84,840</t>
  </si>
  <si>
    <t>T-REX Reparatie strip 150mm ; Met weefselinlage</t>
  </si>
  <si>
    <t>T-REX Reparaturband 150mm ; Mit Gewebeeinlage</t>
  </si>
  <si>
    <t>T-REX Repair strip 150mm ; With fabric reinforced</t>
  </si>
  <si>
    <t>T-REX Bande de réparation 150mm ; Avec pli renforcé</t>
  </si>
  <si>
    <t>Nr. 2 ; Afmeting: 10.000 x 150 mm ; Dikte: 4,6 mm ; Met weefselinlage EP 160 ; Kleur: Zwart</t>
  </si>
  <si>
    <t>Nr. 2 ; Abmessung: 10.000 x 150 mm ; Starke: 4,6 mm ; Mit Gewebeeinlage EP 160 ; Farbe: Schwarz</t>
  </si>
  <si>
    <t>Nr. 2 ; Dimensions: 10.000 x 150 mm ; Thickness: 4,6 mm ; With fabric EP160 ; Colour: Black</t>
  </si>
  <si>
    <t>Nr. 2 ; Dimensions : 10.000 x 150 mm ; Epaisseur : 4,6 mm ; Avec pli EP160 ; Couleur : Noir</t>
  </si>
  <si>
    <t>5315731CH ; 5315748CH  ; 5061984DE ; 5148760DE</t>
  </si>
  <si>
    <t>5315755CH</t>
  </si>
  <si>
    <t>T-Rex Repair Strip with fabric Nr 3 -10.000x220x4,6 mm</t>
  </si>
  <si>
    <t>130,770</t>
  </si>
  <si>
    <t>T-REX Reparatie strip 220mm ; Met weefselinlage</t>
  </si>
  <si>
    <t>T-REX Reparaturband 220mm ; Mit Gewebeeinlage</t>
  </si>
  <si>
    <t>T-REX Repair strip 220mm ; With fabric reinforced</t>
  </si>
  <si>
    <t>T-REX Bande de réparation 220mm ; Avec pli renforcé</t>
  </si>
  <si>
    <t>Nr. 3 ; Afmeting: 10.000 x 220 mm ; Dikte: 4,6 mm ; Met weefselinlage EP 160 ; Kleur: Zwart</t>
  </si>
  <si>
    <t>Nr. 3 ; Abmessung: 10.000 x 220 mm ; Starke: 4,6 mm ; Mit Gewebeeinlage EP 160 ; Farbe: Schwarz</t>
  </si>
  <si>
    <t>Nr. 3 ; Dimensions: 10.000 x 100 mm ; Thickness: 4,6 mm ; With fabric EP160 ; Colour: Black</t>
  </si>
  <si>
    <t>Nr. 3 ; Dimensions : 10.000 x 100 mm ; Epaisseur : 4,6 mm ; Avec pli EP160 ; Couleur : Noir</t>
  </si>
  <si>
    <t>5315748CH ; 5317752CH ; 5061984DE ; 5148760DE</t>
  </si>
  <si>
    <t>5315760CH</t>
  </si>
  <si>
    <t>T-Rex Repair Strip with fabric Nr 4 -10.000x300x4,8 mm</t>
  </si>
  <si>
    <t>164,200</t>
  </si>
  <si>
    <t>T-REX Reparatie strip 300mm ; Met weefselinlage</t>
  </si>
  <si>
    <t>T-REX Reparaturband 300mm ; Mit Gewebeeinlage</t>
  </si>
  <si>
    <t>T-REX Repair strip 300mm ; With fabric reinforced</t>
  </si>
  <si>
    <t>T-REX Bande de réparation 300mm ; Avec pli renforcé</t>
  </si>
  <si>
    <t>Nr. 4 ; Afmeting: 10.000 x 300 mm ; Dikte: 4,8 mm ; Met weefselinlage EP 160 ; Kleur: Zwart</t>
  </si>
  <si>
    <t>Nr. 4 ; Abmessung: 10.000 x 300 mm ; Starke: 4,8 mm ; Mit Gewebeeinlage EP 160 ; Farbe: Schwarz</t>
  </si>
  <si>
    <t>Nr. 4 ; Dimensions: 10.000 x 300 mm ; Thickness: 4,8 mm ; With fabric EP160 ; Colour: Black</t>
  </si>
  <si>
    <t>Nr. 4 ; Dimensions : 10.000 x 300 mm ; Epaisseur : 4,8 mm ; Avec pli EP160 ; Couleur : Noir</t>
  </si>
  <si>
    <t>5315755CH ; 5317768CH ; 5061984DE ; 5148760DE</t>
  </si>
  <si>
    <t>5315770CH</t>
  </si>
  <si>
    <t>T-Rex Repair Strip with fabric Nr 5 -10.000x400x4,8 mm</t>
  </si>
  <si>
    <t>214,010</t>
  </si>
  <si>
    <t>T-REX Reparatie strip 400mm ; Met weefselinlage</t>
  </si>
  <si>
    <t>T-REX Reparaturband 400mm ; Mit Gewebeeinlage</t>
  </si>
  <si>
    <t>T-REX Repair strip 400mm ; With fabric reinforced</t>
  </si>
  <si>
    <t>T-REX Bande de réparation 400mm ; Avec pli renforcé</t>
  </si>
  <si>
    <t>Nr. 5 ; Afmeting: 10.000 x 400 mm ; Dikte: 4,8 mm ; Met weefselinlage EP 160 ; Kleur: Zwart</t>
  </si>
  <si>
    <t>Nr. 5 ; Abmessung: 10.000 x 400 mm ; Starke: 4,8mm ; Mit Gewebeeinlage EP 160 ; Farbe: Schwarz</t>
  </si>
  <si>
    <t>Nr. 5 ; Dimensions: 10.000 x 400 mm ; Thickness: 4,8 mm ; With fabric EP160 ; Colour: Black</t>
  </si>
  <si>
    <t>Nr. 5 ; Dimensions : 10.000 x 400 mm ; Epaisseur : 4,8 mm ; Avec pli EP160 ; Couleur : Noir</t>
  </si>
  <si>
    <t>5315760CH ; 5317768CH ; 5061984DE ; 5148760DE</t>
  </si>
  <si>
    <t>5317720CH</t>
  </si>
  <si>
    <t>T-Rex Repair Strip Nr 00-20.000x35x1,7 mm</t>
  </si>
  <si>
    <t>25,360</t>
  </si>
  <si>
    <t>T-REX Reparatie strip 35mm ; Zonder weefselinlage</t>
  </si>
  <si>
    <t>T-REX Reparaturband 35mm ; Ohne Gewebeeinlage</t>
  </si>
  <si>
    <t>T-REX Repair strip 35mm ; Without fabric reinforced</t>
  </si>
  <si>
    <t>T-REX Bande de réparation 35mm ; Sans pli renforcé</t>
  </si>
  <si>
    <t>Nr. 00 ; Afmeting: 20.000 x 35 mm ; Dikte: 1,7 mm ; Zonder weefselinlage ; Kleur: Zwart</t>
  </si>
  <si>
    <t>Nr. 00 ; Abmessung: 20.000 x 35 mm ; Starke: 1,7 mm ; Ohne Gewebeeinlage ; Farbe: Schwarz</t>
  </si>
  <si>
    <t>Nr. 00 ; Dimensions: 20.000 x 35 mm ; Thickness: 1,7 mm ; Without fabric ; Colour: Black</t>
  </si>
  <si>
    <t>Nr. 00 ; Dimensions : 20.000 x 35 mm ; Epaisseur : 1,7 mm ; Sans pli ; Couleur : Noir</t>
  </si>
  <si>
    <t>5315731CH ; 5317722CH ; 5061984DE ; 5148760DE</t>
  </si>
  <si>
    <t>5317722CH</t>
  </si>
  <si>
    <t>T-Rex Repair Strip Nr 0 -10.000x70x2,2 mm</t>
  </si>
  <si>
    <t>27,610</t>
  </si>
  <si>
    <t>T-REX Reparatie strip 70mm ; Zonder weefselinlage</t>
  </si>
  <si>
    <t>T-REX Reparaturband 70mm ; Ohne Gewebeeinlage</t>
  </si>
  <si>
    <t>T-REX Repair strip 70mm ; Without fabric reinforced</t>
  </si>
  <si>
    <t>T-REX Bande de réparation 70mm ; Sans pli renforcé</t>
  </si>
  <si>
    <t>Nr. 0 ; Afmeting: 10.000 x 70 mm ; Dikte: 2,2 mm ; Zonder weefselinlage ; Kleur: Zwart</t>
  </si>
  <si>
    <t>Nr. 0 ; Abmessung: 10.000 x 70 mm ; Starke: 2,2 mm ; Ohne Gewebeeinlage ; Farbe: Schwarz</t>
  </si>
  <si>
    <t>Nr. 0 ; Dimensions: 10.000 x 70 mm ; Thickness: 2,2 mm ; Without fabric ; Colour: Black</t>
  </si>
  <si>
    <t>Nr. 0 ; Dimensions : 10.000 x 70 mm ; Epaisseur : 2,2 mm ; Sans pli ; Couleur : Noir</t>
  </si>
  <si>
    <t>5317720CH ; 5315731CH ; 5061984DE ; 5148760DE</t>
  </si>
  <si>
    <t>5317739CH</t>
  </si>
  <si>
    <t>T-Rex Repair Strip Nr 1 -10.000x100x2,2 mm</t>
  </si>
  <si>
    <t>33,790</t>
  </si>
  <si>
    <t>T-REX Reparatie strip 100mm ; Zonder weefselinlage</t>
  </si>
  <si>
    <t>T-REX Reparaturband 100mm ; Ohne Gewebeeinlage</t>
  </si>
  <si>
    <t>T-REX Repair strip 100mm ; Without fabric reinforced</t>
  </si>
  <si>
    <t>T-REX Bande de réparation 100mm ; Sans pli renforcé</t>
  </si>
  <si>
    <t>Nr. 1 ; Afmeting: 10.000 x 100 mm ; Dikte: 2,2 mm ; Zonder weefselinlage ; Kleur: Zwart</t>
  </si>
  <si>
    <t>Nr. 1 ; Abmessung: 10.000 x 100 mm ; Starke: 2,2 mm ; Ohne Gewebeeinlage ; Farbe: Schwarz</t>
  </si>
  <si>
    <t>Nr. 1 ; Dimensions: 10.000 x 100 mm ; Thickness: 2,2 mm ; Without fabric ; Colour: Black</t>
  </si>
  <si>
    <t>Nr. 1 ; Dimensions : 10.000 x 100 mm ; Epaisseur : 2,2 mm ; Sans pli ; Couleur : Noir</t>
  </si>
  <si>
    <t>5317722CH ; 5315731CH ; 5061984DE ; 5148760DE</t>
  </si>
  <si>
    <t>5317746CH</t>
  </si>
  <si>
    <t>T-Rex Repair Strip Nr 2 -10.000x150x3,2 mm</t>
  </si>
  <si>
    <t>49,980</t>
  </si>
  <si>
    <t>5317746-GB</t>
  </si>
  <si>
    <t>T-Rex Repair Strip-10.000x150x3,2 mm-Germanbelt</t>
  </si>
  <si>
    <t>17345, germanBelt Systems GmbH</t>
  </si>
  <si>
    <t>67,966</t>
  </si>
  <si>
    <t>5317752CH</t>
  </si>
  <si>
    <t>T-Rex Repair Strip Nr 3 -10.000x220x3,2 mm</t>
  </si>
  <si>
    <t>77,600</t>
  </si>
  <si>
    <t>T-REX Reparatie strip 220mm ; Zonder weefselinlage</t>
  </si>
  <si>
    <t>T-REX Reparaturband 220mm ; Ohne Gewebeeinlage</t>
  </si>
  <si>
    <t>T-REX Repair strip  200mm ; Without fabric reinforced</t>
  </si>
  <si>
    <t>T-REX Bande de réparation 200mm ; Sans pli renforcé</t>
  </si>
  <si>
    <t>Nr. 3 ; Afmeting: 10.000 x 220 mm ; Dikte: 3,2 mm ; Zonder weefselinlage ; Kleur: Zwart</t>
  </si>
  <si>
    <t>Nr. 3 ; Abmessung: 10.000 x 220 mm ; Starke: 3,2mm ; Ohne Gewebeeinlage ; Farbe: Schwarz</t>
  </si>
  <si>
    <t>Nr. 3 ; Dimensions: 10.000 x 220 mm ; Thickness: 3,2 mm ; Without fabric ; Colour: Black</t>
  </si>
  <si>
    <t>Nr. 3 ; Dimensions : 10.000 x 220 mm ; Epaisseur : 3,2 mm ; Sans pli ; Couleur : Noir</t>
  </si>
  <si>
    <t>5317746CH ; 5315755CH ; 5061984DE ; 5148760DE</t>
  </si>
  <si>
    <t>5317752-GB</t>
  </si>
  <si>
    <t>T-Rex Repair Strip-10.000x220x3,2 mm-Germanbelt</t>
  </si>
  <si>
    <t>90,000</t>
  </si>
  <si>
    <t>5317768CH</t>
  </si>
  <si>
    <t>T-Rex Repair Strip Nr 4 -10.000x300x3,4 mm</t>
  </si>
  <si>
    <t>95,480</t>
  </si>
  <si>
    <t>T-REX Reparatie strip 300mm ; Zonder weefselinlage</t>
  </si>
  <si>
    <t>T-REX Reparaturband 300mm ; Ohne Gewebeeinlage</t>
  </si>
  <si>
    <t>T-REX Repair strip 300mm ; Without fabric reinforced</t>
  </si>
  <si>
    <t>T-REX Bande de réparation 300mm ; Sans pli renforcé</t>
  </si>
  <si>
    <t>Nr. 4 ; Afmeting: 10.000 x 300 mm ; Dikte: 3,4 mm ; Zonder weefselinlage ; Kleur: Zwart</t>
  </si>
  <si>
    <t>Nr. 4 ; Abmessung: 10.000 x 300 mm ; Starke: 3,4 mm ; Ohne Gewebeeinlage ; Farbe: Schwarz</t>
  </si>
  <si>
    <t>Nr. 4 ; Dimensions: 10.000 x 300 mm ; Thickness: 3,4 mm ; Without fabric ; Colour: Black</t>
  </si>
  <si>
    <t>Nr. 4 ; Dimensions : 10.000 x 300 mm ; Epaisseur : 3,4 mm ; Sans pli ; Couleur : Noir</t>
  </si>
  <si>
    <t>5317752CH ; 5315760CH ; 5061984DE ; 5148760DE</t>
  </si>
  <si>
    <t>5317797-GB</t>
  </si>
  <si>
    <t>T-Rex Repair Strip-10.000x300x3,4 mm-Germanbelt</t>
  </si>
  <si>
    <t>125,000</t>
  </si>
  <si>
    <t>5317798-GB</t>
  </si>
  <si>
    <t>T-Rex Repair Strip-10.000x400x3,4 mm-Germanbelt</t>
  </si>
  <si>
    <t>160,000</t>
  </si>
  <si>
    <t>5380354TS</t>
  </si>
  <si>
    <t>Reparaturgewebe EP 160, beids. gummiert-10.000x1.000x1,4 mm</t>
  </si>
  <si>
    <t>99,500</t>
  </si>
  <si>
    <t>16411, TSN Tip Top B.V.</t>
  </si>
  <si>
    <t>65,780</t>
  </si>
  <si>
    <t>5381078TS</t>
  </si>
  <si>
    <t>Silikonpapier - 500.000 x 1.200 mm</t>
  </si>
  <si>
    <t>1,700</t>
  </si>
  <si>
    <t>0,960</t>
  </si>
  <si>
    <t>5397090DE</t>
  </si>
  <si>
    <t>REMAGRIP CP-X 125</t>
  </si>
  <si>
    <t>5397220DE</t>
  </si>
  <si>
    <t>REMAGRIP CK-X 90</t>
  </si>
  <si>
    <t>5397250DE</t>
  </si>
  <si>
    <t>REMAGRIP CK-X 50</t>
  </si>
  <si>
    <t>5397260DE</t>
  </si>
  <si>
    <t>REMAGRIP CK-X 70</t>
  </si>
  <si>
    <t>5398070DE</t>
  </si>
  <si>
    <t>REMAGRIP CK-X 40</t>
  </si>
  <si>
    <t>5398080DE</t>
  </si>
  <si>
    <t>5398110DE</t>
  </si>
  <si>
    <t>5398140DE</t>
  </si>
  <si>
    <t>REMAGRIP CK-X 75</t>
  </si>
  <si>
    <t>5398160DE</t>
  </si>
  <si>
    <t>REMAGRIP CK-X 95</t>
  </si>
  <si>
    <t>5398200DE</t>
  </si>
  <si>
    <t>545496730 44DE</t>
  </si>
  <si>
    <t>REMASKIRT 50 20X1800</t>
  </si>
  <si>
    <t>5490079 44DE</t>
  </si>
  <si>
    <t>REMALINE 65/CN 10X1500</t>
  </si>
  <si>
    <t>5490110 44DE</t>
  </si>
  <si>
    <t>REMALINE 65/CN 15X1500</t>
  </si>
  <si>
    <t>5490127 22DE</t>
  </si>
  <si>
    <t>REMALINE 65/CN 15X2000</t>
  </si>
  <si>
    <t>5490141 22DE</t>
  </si>
  <si>
    <t>REMALINE 65/CN 20X2000</t>
  </si>
  <si>
    <t>5490206DE</t>
  </si>
  <si>
    <t>REMALINE 35 3X1500</t>
  </si>
  <si>
    <t>5490323 11DE</t>
  </si>
  <si>
    <t>REMALINE 35 6X2000</t>
  </si>
  <si>
    <t>5490402 11DE</t>
  </si>
  <si>
    <t>REMALINE 35/CN 6X2000</t>
  </si>
  <si>
    <t>5490440 22DE</t>
  </si>
  <si>
    <t>REMALINE 35/CN 8X2000</t>
  </si>
  <si>
    <t>5490488 22DE</t>
  </si>
  <si>
    <t>REMALINE 35/CN 12X2000</t>
  </si>
  <si>
    <t>5490505 22DE</t>
  </si>
  <si>
    <t>REMALINE 35/CN 15X2000</t>
  </si>
  <si>
    <t>5490505DE</t>
  </si>
  <si>
    <t>5490512DE</t>
  </si>
  <si>
    <t>REMALINE 35 4X1500</t>
  </si>
  <si>
    <t>5490529 22DE</t>
  </si>
  <si>
    <t>REMALINE 35/CN 20X2000</t>
  </si>
  <si>
    <t>5490530DE</t>
  </si>
  <si>
    <t>REMALINE 35/CN 40X2000X5000</t>
  </si>
  <si>
    <t>5490536 22DE</t>
  </si>
  <si>
    <t>REMALINE 35/CN 25X2000</t>
  </si>
  <si>
    <t>5490536DE</t>
  </si>
  <si>
    <t>REMALINE 35 CN 25X2000</t>
  </si>
  <si>
    <t>5490590 22DE</t>
  </si>
  <si>
    <t>REMALINE 35/CN/CN 6X2000</t>
  </si>
  <si>
    <t>5490653 22DE</t>
  </si>
  <si>
    <t>REMALINE 35/EP160/CN 10X2000</t>
  </si>
  <si>
    <t>5490691 22DE</t>
  </si>
  <si>
    <t>REMALINE 35/EP160/CN 15X2000</t>
  </si>
  <si>
    <t>5490803DE</t>
  </si>
  <si>
    <t>REMALINE 40 ORANGE/CN 10X1800</t>
  </si>
  <si>
    <t>5490804 11DE</t>
  </si>
  <si>
    <t>REMALINE 40 ORANGE/CN 10X2000</t>
  </si>
  <si>
    <t>5490811 11DE</t>
  </si>
  <si>
    <t>REMALINE 40 ORANGE/CN 12X2000</t>
  </si>
  <si>
    <t>5490811 22DE</t>
  </si>
  <si>
    <t>5490828 11DE</t>
  </si>
  <si>
    <t>REMALINE 40 ORANGE/CN 20X2000</t>
  </si>
  <si>
    <t>5490859 11DE</t>
  </si>
  <si>
    <t>REMALINE 40 ORANGE/CN 6X2000</t>
  </si>
  <si>
    <t>5490873 11DE</t>
  </si>
  <si>
    <t>REMALINE 40 ORANGE/CN 3X1500</t>
  </si>
  <si>
    <t>5490983 44DE</t>
  </si>
  <si>
    <t>REMALINE 40/CN 10X1500</t>
  </si>
  <si>
    <t>5491014 11DE</t>
  </si>
  <si>
    <t>REMALINE 40/CN 12X2000</t>
  </si>
  <si>
    <t>5491015 22DE</t>
  </si>
  <si>
    <t>5491120 22DE</t>
  </si>
  <si>
    <t>REMALINE 40 ORANGE/CN/CN 6X2000</t>
  </si>
  <si>
    <t>5491486DE</t>
  </si>
  <si>
    <t>REMALINE MP 40 ORANGE/CN 25X770</t>
  </si>
  <si>
    <t>5491500 11DE</t>
  </si>
  <si>
    <t>REMALINE 40 ORANGE/CN 9X2000</t>
  </si>
  <si>
    <t>5491640DE</t>
  </si>
  <si>
    <t>Remaline MP 60/CN - 2.000 x 6 mm</t>
  </si>
  <si>
    <t>5492160 DE</t>
  </si>
  <si>
    <t>REMALINE 25/CN 5X1.050</t>
  </si>
  <si>
    <t>5492160DE</t>
  </si>
  <si>
    <t>REMALINE 35/CN 5X1050</t>
  </si>
  <si>
    <t>5492470 11DE</t>
  </si>
  <si>
    <t>REMALINE 40/WEISS/LEB/CN 6x2000</t>
  </si>
  <si>
    <t>5492490 11DE</t>
  </si>
  <si>
    <t>REMALINE 40/WEISS/LEB/CN 3x1200</t>
  </si>
  <si>
    <t>5492527 11DE</t>
  </si>
  <si>
    <t>REMALINE 50/CN 3X1500</t>
  </si>
  <si>
    <t>5492528DE</t>
  </si>
  <si>
    <t>REMALINE 50/CN 3X1500X15000</t>
  </si>
  <si>
    <t>5492541DE</t>
  </si>
  <si>
    <t>REMALINE 50/CN 5X1500</t>
  </si>
  <si>
    <t>5492682 11DE</t>
  </si>
  <si>
    <t>REMALINE 50/CN 20X2000</t>
  </si>
  <si>
    <t>5492895 11DE</t>
  </si>
  <si>
    <t>REMALINE 60/CN 8X2000</t>
  </si>
  <si>
    <t>5492974 11DE</t>
  </si>
  <si>
    <t>REMALINE 60/CN 20X2000</t>
  </si>
  <si>
    <t>5493052 11DE</t>
  </si>
  <si>
    <t>REMALINE 60/CN 5X2000</t>
  </si>
  <si>
    <t>5493485DE</t>
  </si>
  <si>
    <t>REMALINE 70/EP160/CN 6X2000</t>
  </si>
  <si>
    <t>5493588DE</t>
  </si>
  <si>
    <t>REMALINE 70 ÖL/CN 5x2000</t>
  </si>
  <si>
    <t>5493590 11DE</t>
  </si>
  <si>
    <t>REMALINE 70 ÖL/CN 15x2000</t>
  </si>
  <si>
    <t>5493698DE</t>
  </si>
  <si>
    <t>REMALINE 70 ÖL/CN 4x1.500</t>
  </si>
  <si>
    <t>5493700DE</t>
  </si>
  <si>
    <t>REMALINE 70/EP160/REMALINE40 5X2000</t>
  </si>
  <si>
    <t>5493935 11DE</t>
  </si>
  <si>
    <t>REMALINE 70 V/CN 10x2000</t>
  </si>
  <si>
    <t>5493959DE</t>
  </si>
  <si>
    <t>REMALINE 70 V/CN 12X2000</t>
  </si>
  <si>
    <t>5493997 11DE</t>
  </si>
  <si>
    <t>REMALINE 70 V/CN 20x2000</t>
  </si>
  <si>
    <t>5494060DE</t>
  </si>
  <si>
    <t>REMALINE 70 WEISS ÖL LEB/EP160 4X1500</t>
  </si>
  <si>
    <t>5494250-11DE</t>
  </si>
  <si>
    <t>REMALINE 25 O. CN 3x1200</t>
  </si>
  <si>
    <t>5494288 11DE</t>
  </si>
  <si>
    <t>REMALINE 25/CN 15X2000</t>
  </si>
  <si>
    <t>5494312DE</t>
  </si>
  <si>
    <t>REMALINE 25 EP160/CN 6x2.000</t>
  </si>
  <si>
    <t>5494439DE</t>
  </si>
  <si>
    <t>m² REMADUST 25 Zwart, met lijmlaag  2x1.350x2.0000mm</t>
  </si>
  <si>
    <t>5494480DE</t>
  </si>
  <si>
    <t>REMASTAR CN 3X1000</t>
  </si>
  <si>
    <t>5494481DE</t>
  </si>
  <si>
    <t>REMASTAR CN 6X1000</t>
  </si>
  <si>
    <t>5494482DE</t>
  </si>
  <si>
    <t>REMASTAR/CN RED 6X1500</t>
  </si>
  <si>
    <t>5494483DE</t>
  </si>
  <si>
    <t>REMASTAR/CN RED 3X1500</t>
  </si>
  <si>
    <t>5494605DE</t>
  </si>
  <si>
    <t>REMAGRIP 50/CN 10X2000</t>
  </si>
  <si>
    <t>5494667DE</t>
  </si>
  <si>
    <t>REMAGRIP 50/CN 12X2000</t>
  </si>
  <si>
    <t>5494792 44DE</t>
  </si>
  <si>
    <t>REMAGRIP 60/CN 10X1500</t>
  </si>
  <si>
    <t>5494821 44DE</t>
  </si>
  <si>
    <t>REMAGRIP 60/CN 10X1800</t>
  </si>
  <si>
    <t>5494902DE</t>
  </si>
  <si>
    <t>REMAGRIP 70 S/CN 12x2000x10000mm</t>
  </si>
  <si>
    <t>5494904 11DE</t>
  </si>
  <si>
    <t>REMAGRIP 60/CN 15X2000</t>
  </si>
  <si>
    <t>5495120DE</t>
  </si>
  <si>
    <t>5495372DE</t>
  </si>
  <si>
    <t>REMAGRIP 70/CN-SL 20X2060</t>
  </si>
  <si>
    <t>5495407DE</t>
  </si>
  <si>
    <t>REMAGRIP WIT 60/FD/CN 8MMx2000x10mtr PROFIEL 18x6x3mm</t>
  </si>
  <si>
    <t>5495468DE</t>
  </si>
  <si>
    <t>REMAGRIP 60/WEISS/ÖL/LEB/CN 8x2000</t>
  </si>
  <si>
    <t>5495476DE</t>
  </si>
  <si>
    <t>REMAGRIP WIT 60/FD/CN 10MMx2000x10mtr PROFIEL 18x6x3mm</t>
  </si>
  <si>
    <t>5495483DE</t>
  </si>
  <si>
    <t>REMAGRIP WIT 60/FD/CN 12MMx2000x10mtr PROFIEL 18x6x3mm</t>
  </si>
  <si>
    <t>5495484DE</t>
  </si>
  <si>
    <t>REMAGRIP 60/WEISS/ÖL/LEB/CN 12x2000</t>
  </si>
  <si>
    <t>5495557 11DE</t>
  </si>
  <si>
    <t>REMAGRIP 65/CN 10X1200 MAXI</t>
  </si>
  <si>
    <t>5495578 11DE</t>
  </si>
  <si>
    <t>REMAGRIP 65/CN 10X1500</t>
  </si>
  <si>
    <t>5495588 44DE</t>
  </si>
  <si>
    <t>REMAGRIP 65/CN 10X1600 MAXI</t>
  </si>
  <si>
    <t>5495589 44DE</t>
  </si>
  <si>
    <t>REMAGRIP 65/CN 10X1800 MAXI</t>
  </si>
  <si>
    <t>5495602 44DE</t>
  </si>
  <si>
    <t>REMAGRIP 65/CN 12X1200 MAXI</t>
  </si>
  <si>
    <t>5495625 44DE</t>
  </si>
  <si>
    <t>REMAGRIP 65/CN 12X1500 MAXI</t>
  </si>
  <si>
    <t>5495651 44DE</t>
  </si>
  <si>
    <t>REMAGRIP 65/CN 12X1800 MAXI</t>
  </si>
  <si>
    <t>5495707DE</t>
  </si>
  <si>
    <t>REMAGRIP 65 V/CN-GOST 8X2000 MAXI</t>
  </si>
  <si>
    <t>5495745DE</t>
  </si>
  <si>
    <t>REMAGRIP 65 V/CN-GOST 12X1200 MAXI</t>
  </si>
  <si>
    <t>5495760</t>
  </si>
  <si>
    <t>REMAGRIP 70 S/CN 12x2.060x10.000mm</t>
  </si>
  <si>
    <t>5495798 22DE</t>
  </si>
  <si>
    <t>REMAGRIP 70/CN 1X2.000 MAXI</t>
  </si>
  <si>
    <t>5495799DE</t>
  </si>
  <si>
    <t>REMAGRIP ZWART 70/CN 10MMx2000x10mtr</t>
  </si>
  <si>
    <t>5495805DE</t>
  </si>
  <si>
    <t>REMAGRIP 70/CN 12MMx2000MM</t>
  </si>
  <si>
    <t>5495824DE</t>
  </si>
  <si>
    <t>REMAGRIP 70/CN 15mmx2.000x10mtr</t>
  </si>
  <si>
    <t>5495830DE</t>
  </si>
  <si>
    <t>REMAGRIP 70/CN 20MMx2000x10mtr</t>
  </si>
  <si>
    <t>5495831DE</t>
  </si>
  <si>
    <t>REMAGRIP 70/CN(10x8) 20X2000 MAXI</t>
  </si>
  <si>
    <t>5495854DE</t>
  </si>
  <si>
    <t>REMAGRIP 70 V/CN 12MMx2000x10mtr</t>
  </si>
  <si>
    <t>5495876DE</t>
  </si>
  <si>
    <t>REMAGRIP 70/CN(10x8) 15X2000 MAXI</t>
  </si>
  <si>
    <t>5495886DE</t>
  </si>
  <si>
    <t>5495893 22DE</t>
  </si>
  <si>
    <t>REMAGRIP 70/CN-SL 12X2060 MAXI</t>
  </si>
  <si>
    <t>5495893DE</t>
  </si>
  <si>
    <t>REMAGRIP 70/CN-SL 12X2060</t>
  </si>
  <si>
    <t>5495902DE</t>
  </si>
  <si>
    <t>REMAGRIP 70 S/CN 12x2.000x10.000mm</t>
  </si>
  <si>
    <t>5495941 01DE</t>
  </si>
  <si>
    <t>REMAGRIP 70/CN-SL 10X343</t>
  </si>
  <si>
    <t>5495941DE</t>
  </si>
  <si>
    <t>REMAGRIP 70/CN-SL 10X2060</t>
  </si>
  <si>
    <t>5495996 22DE</t>
  </si>
  <si>
    <t>REMAGRIP 70/CN-SL 18X2060 MAXI</t>
  </si>
  <si>
    <t>5496005 22DE</t>
  </si>
  <si>
    <t>REMAGRIP 70/CN-SL 15X2060 MAXI</t>
  </si>
  <si>
    <t>5496005DE</t>
  </si>
  <si>
    <t>REMAGRIP 70/CN/SL 15 mmx2.060x10 mtr</t>
  </si>
  <si>
    <t>5496035DE</t>
  </si>
  <si>
    <t>REMASKIRT 40 6X2000</t>
  </si>
  <si>
    <t>5496630DE</t>
  </si>
  <si>
    <t>REMASKIRT 50 12X1800</t>
  </si>
  <si>
    <t>5496737 44DE</t>
  </si>
  <si>
    <t>REMASKIRT 50 25X1800</t>
  </si>
  <si>
    <t>5496751DE</t>
  </si>
  <si>
    <t>REMASKIRT 50 30X1800</t>
  </si>
  <si>
    <t>5497004DE</t>
  </si>
  <si>
    <t>REMACLEAN 60 5X1800</t>
  </si>
  <si>
    <t>5497279DE</t>
  </si>
  <si>
    <t>Remaclean 60/Schwarz - 7 x 1800</t>
  </si>
  <si>
    <t>5497915DE</t>
  </si>
  <si>
    <t>REMALINE 40 WEISS LEB/EP160/CN 10X2000</t>
  </si>
  <si>
    <t>5499000 11DE</t>
  </si>
  <si>
    <t>REMALINE 25/CN 6X2.000</t>
  </si>
  <si>
    <t>5499019DE</t>
  </si>
  <si>
    <t>REMALINE 25/CN 5X2000</t>
  </si>
  <si>
    <t>5499070 11DE</t>
  </si>
  <si>
    <t>REMALINE 40/WS/LM/CN 10x2000</t>
  </si>
  <si>
    <t>5499090 11DE</t>
  </si>
  <si>
    <t>REMALINE 70/WS/OEL/LM/CN 10x2000</t>
  </si>
  <si>
    <t>5499100 11DE</t>
  </si>
  <si>
    <t>REMALINE 70/CN 5X2000</t>
  </si>
  <si>
    <t>5499120 11DE</t>
  </si>
  <si>
    <t>REMALINE 70 ÖL/CN 6 x 2000</t>
  </si>
  <si>
    <t>5499170DE</t>
  </si>
  <si>
    <t xml:space="preserve"> REMALINE 70 wit  FD/CN 6mm 10.000X2.000X06</t>
  </si>
  <si>
    <t>5501990 22DE</t>
  </si>
  <si>
    <t>REMACLEAN 70 HR 10X2000</t>
  </si>
  <si>
    <t>5502009DE</t>
  </si>
  <si>
    <t>REMALINE70/WS/ÖL/LM/CN 4x1</t>
  </si>
  <si>
    <t>12020, REMA TIP TOP South Africa</t>
  </si>
  <si>
    <t>5503296 11DE</t>
  </si>
  <si>
    <t>Uniline 60/KS - 8X2.000</t>
  </si>
  <si>
    <t>5503302 44DE</t>
  </si>
  <si>
    <t>Uniline 60/KS - 8X1.500</t>
  </si>
  <si>
    <t>5503313 11DE</t>
  </si>
  <si>
    <t>Uniline 60/KS - 12X2000</t>
  </si>
  <si>
    <t>5503320 11DE</t>
  </si>
  <si>
    <t>Uniline 60/KS - 15X2000</t>
  </si>
  <si>
    <t>5503322 44DE</t>
  </si>
  <si>
    <t>Uniline 60/KS - 15X1.500</t>
  </si>
  <si>
    <t>5503337 22DE</t>
  </si>
  <si>
    <t>Uniline 60/KS - 20X2000</t>
  </si>
  <si>
    <t>5503344 22DE</t>
  </si>
  <si>
    <t>Uniline 60/KS - 25X2000</t>
  </si>
  <si>
    <t>5503351DE</t>
  </si>
  <si>
    <t>Uniline 60/KS - 3X1.500</t>
  </si>
  <si>
    <t>5503390 22DE</t>
  </si>
  <si>
    <t>Uniline 60/KS - 4X2.000</t>
  </si>
  <si>
    <t>5503421 22DE</t>
  </si>
  <si>
    <t>Uniline 40/KS - 6X2.000</t>
  </si>
  <si>
    <t>5503433 22DE</t>
  </si>
  <si>
    <t>Uniline 40/KS - 4X2.000</t>
  </si>
  <si>
    <t>5503446 11DE</t>
  </si>
  <si>
    <t>Uniline 40/KS - 8X2000</t>
  </si>
  <si>
    <t>5503449 44DE</t>
  </si>
  <si>
    <t>Uniline 40/KS - 8X1500</t>
  </si>
  <si>
    <t>5503453 22DE</t>
  </si>
  <si>
    <t>Uniline 40/KS - 10X2.000</t>
  </si>
  <si>
    <t>5503456 44DE</t>
  </si>
  <si>
    <t>Uniline 40/KS - 10X1500</t>
  </si>
  <si>
    <t>5503479 22DE</t>
  </si>
  <si>
    <t>Uniline 40/KS - 15X2.000</t>
  </si>
  <si>
    <t>5503480 44DE</t>
  </si>
  <si>
    <t>Uniline 40/KS - 15X1500</t>
  </si>
  <si>
    <t>5503486 22DE</t>
  </si>
  <si>
    <t>Uniline 40/KS - 20X2.000</t>
  </si>
  <si>
    <t>5503503-11DE</t>
  </si>
  <si>
    <t>Uniline 40/KS - 3x1.500</t>
  </si>
  <si>
    <t>5503503-3MMZA</t>
  </si>
  <si>
    <t>Uniline 40/KS - 3mm</t>
  </si>
  <si>
    <t>7,000</t>
  </si>
  <si>
    <t>5503503-4MMZA</t>
  </si>
  <si>
    <t>Uniline 40/KS - 4mm</t>
  </si>
  <si>
    <t>7,040</t>
  </si>
  <si>
    <t>5503540 22DE</t>
  </si>
  <si>
    <t>Uniline 40/KS - 12X2000</t>
  </si>
  <si>
    <t>5503550 22DE</t>
  </si>
  <si>
    <t>Uniline 40/KS - 7X2000</t>
  </si>
  <si>
    <t>5503643DE</t>
  </si>
  <si>
    <t>UNILAG 10X2000</t>
  </si>
  <si>
    <t>5503650DE</t>
  </si>
  <si>
    <t>UNILAG 12X2000</t>
  </si>
  <si>
    <t>5503667DE</t>
  </si>
  <si>
    <t>UNILAG 15X2000</t>
  </si>
  <si>
    <t>5503680 22DE</t>
  </si>
  <si>
    <t>UNIGRIP 60/KS 12X2000</t>
  </si>
  <si>
    <t>5503708 44DE</t>
  </si>
  <si>
    <t>UNIGRIP 60/KS 10X1600</t>
  </si>
  <si>
    <t>5503713 44DE</t>
  </si>
  <si>
    <t>UNIGRIP 60/KS 12X1400</t>
  </si>
  <si>
    <t>5503716 44DE</t>
  </si>
  <si>
    <t>UNIGRIP 60/KS 12X1600</t>
  </si>
  <si>
    <t>5504811DE</t>
  </si>
  <si>
    <t>CB5/PC-QU./CN 3x1550x300</t>
  </si>
  <si>
    <t>5507008DE</t>
  </si>
  <si>
    <t>REMAFLON 3X1200 Non-stick liner</t>
  </si>
  <si>
    <t>5507065DE</t>
  </si>
  <si>
    <t>REMASLIDEPLATTE 1000x1900x8</t>
  </si>
  <si>
    <t>5507105DE</t>
  </si>
  <si>
    <t>UNISKIRT 40 3X1500</t>
  </si>
  <si>
    <t>5507151 11DE</t>
  </si>
  <si>
    <t>UNISKIRT 40 20X2000</t>
  </si>
  <si>
    <t>5507491 11DE</t>
  </si>
  <si>
    <t>UNISKIRT 40 6X2000</t>
  </si>
  <si>
    <t>5509018DE</t>
  </si>
  <si>
    <t>REMALINE 35/CN 4.5x2000x10000</t>
  </si>
  <si>
    <t>5509458DE</t>
  </si>
  <si>
    <t>REMAGRIP 50/CN 20X2000 mm</t>
  </si>
  <si>
    <t>5509702DE</t>
  </si>
  <si>
    <t>REMASKIRT 40</t>
  </si>
  <si>
    <t>5509890DE</t>
  </si>
  <si>
    <t>REMACLEAN 70 V 3X1500</t>
  </si>
  <si>
    <t>5730087DE</t>
  </si>
  <si>
    <t>REMATHAN G75/CN 4X1400</t>
  </si>
  <si>
    <t>5732194DE</t>
  </si>
  <si>
    <t>REMATHAN 80 FDA/CN 6X1400</t>
  </si>
  <si>
    <t>5732380DE</t>
  </si>
  <si>
    <t>REMATHAN 90/CN 6X1400</t>
  </si>
  <si>
    <t>7200197DE</t>
  </si>
  <si>
    <t>REMATEX 3x1500x10000mm SMOOTH/ROUGH</t>
  </si>
  <si>
    <t>ADE-TEC50-1220X100X50CH</t>
  </si>
  <si>
    <t>Impact bars, afm: 1.220x100x50 mm-00801608</t>
  </si>
  <si>
    <t>30, Overige slijtmaterialen</t>
  </si>
  <si>
    <t>29,900</t>
  </si>
  <si>
    <t>ADE-TEC75-1220X100X75CH</t>
  </si>
  <si>
    <t>Impact bars, afm: 1.220x100x75 mm-00801621</t>
  </si>
  <si>
    <t>37,030</t>
  </si>
  <si>
    <t>ADE-TEC75-1500X100X75CH</t>
  </si>
  <si>
    <t>Impact bars, afm: 1.500x100x75 mm-00801603</t>
  </si>
  <si>
    <t>43,160</t>
  </si>
  <si>
    <t>AFSCHRAPERBUIS-TREX-0500TS</t>
  </si>
  <si>
    <t>T-Rex Pur afschraperbuis/rond tbv BB 500 mm</t>
  </si>
  <si>
    <t>104,000</t>
  </si>
  <si>
    <t>11, Bandafschrapers</t>
  </si>
  <si>
    <t>12129, Konings Transportbandenbouw B.V.</t>
  </si>
  <si>
    <t>86,400</t>
  </si>
  <si>
    <t>AFSCHRAPERBUIS-TREX-0650TS</t>
  </si>
  <si>
    <t>T-Rex Pur afschraperbuis/rond tbv BB 650 mm</t>
  </si>
  <si>
    <t>122,000</t>
  </si>
  <si>
    <t>92,630</t>
  </si>
  <si>
    <t>AFSCHRAPERBUIS-TREX-0800TS</t>
  </si>
  <si>
    <t>T-Rex Pur afschraperbuis/rond tbv BB 800 mm</t>
  </si>
  <si>
    <t>140,000</t>
  </si>
  <si>
    <t>118,830</t>
  </si>
  <si>
    <t>AFSCHRAPERBUIS-TREX-1000TS</t>
  </si>
  <si>
    <t>T-Rex Pur afschraperbuis/rond tbv BB 1000 mm</t>
  </si>
  <si>
    <t>143,970</t>
  </si>
  <si>
    <t>AFSCHRAPERBUIS-TREX-1200TS</t>
  </si>
  <si>
    <t>T-Rex Pur afschraperbuis/rond tbv BB 1200 mm</t>
  </si>
  <si>
    <t>176,000</t>
  </si>
  <si>
    <t>159,940</t>
  </si>
  <si>
    <t>AFSCHRAPERBUIS-TREX-1400TS</t>
  </si>
  <si>
    <t>T-Rex Pur afschraperbuis/rond tbv BB 1400 mm</t>
  </si>
  <si>
    <t>212,000</t>
  </si>
  <si>
    <t>122,150</t>
  </si>
  <si>
    <t>ASGCO-AFSCHRAAPBLAD-2.200AS</t>
  </si>
  <si>
    <t>ASGCO-Afschraperblad - voor afschraper BB 2.200</t>
  </si>
  <si>
    <t>12015, Asgco Manufacturing, Inc.</t>
  </si>
  <si>
    <t>867,540</t>
  </si>
  <si>
    <t>ASGCO-AFSCHRAAPBLAD3-1050AS</t>
  </si>
  <si>
    <t>ASGCO-AfschraperBlad3 - Belt width 1050 mm</t>
  </si>
  <si>
    <t>250,000</t>
  </si>
  <si>
    <t>ASGCO-AFSCHRAAPBLAD3-500AS</t>
  </si>
  <si>
    <t>ASGCO-AfschraperBlad3 - Belt width 500 mm</t>
  </si>
  <si>
    <t>133,040</t>
  </si>
  <si>
    <t>ASGCO-AFSCHRAAPBLAD3-650AS</t>
  </si>
  <si>
    <t>ASGCO-AfschraperBlad3 - Belt width 650 mm</t>
  </si>
  <si>
    <t>175,000</t>
  </si>
  <si>
    <t>ASGCO-AFSCHRAAPBLAD3-800AS</t>
  </si>
  <si>
    <t>ASGCO-AfschraperBlad3 - Belt width 800 mm</t>
  </si>
  <si>
    <t>ASGCO-AFSCHRAAPBLAD3-950AS</t>
  </si>
  <si>
    <t>ASGCO-AfschraperBlad3 - Belt width 950 mm</t>
  </si>
  <si>
    <t>200,000</t>
  </si>
  <si>
    <t>ASGCO-AFSCHRAAPBLAD-MINI-650AS</t>
  </si>
  <si>
    <t>ASGCO-AfschraperBlad - mini voor belt width 650 mm</t>
  </si>
  <si>
    <t>178,190</t>
  </si>
  <si>
    <t>ASGCO-AFSCHRAAPBLAD-SUPER900AS</t>
  </si>
  <si>
    <t>ASGCO-AfschraperBlad - super voor belt width 900 mm</t>
  </si>
  <si>
    <t>458,640</t>
  </si>
  <si>
    <t>ASGCO-AFSCHRAPER-MINI-650-KAS</t>
  </si>
  <si>
    <t>ASGCO - Mini-Skalper Belt Cleaner 650 mm met kera</t>
  </si>
  <si>
    <t>29, Ov.slijtmat. buitenland</t>
  </si>
  <si>
    <t>520,160</t>
  </si>
  <si>
    <t>ASGCO-AFSCHRAPER-PRIM-1000AS</t>
  </si>
  <si>
    <t>ASGCO - Primary skalper 4 system 1000 mm</t>
  </si>
  <si>
    <t>1.247,690</t>
  </si>
  <si>
    <t>ASGCO-AFSCHRAPER-PRIM-1200AS</t>
  </si>
  <si>
    <t>ASGCO - Primary skalper 4 system 1200 mm</t>
  </si>
  <si>
    <t>1.066,270</t>
  </si>
  <si>
    <t>ASGCO-AFSCHRAPER-PRIM-1400AS</t>
  </si>
  <si>
    <t>ASGCO - Primary skalper 4 system 1400 mm</t>
  </si>
  <si>
    <t>1.280,160</t>
  </si>
  <si>
    <t>ASGCO-AFSCHRAPER-PRIM-1400SPAS</t>
  </si>
  <si>
    <t>ASGCO - Primary skalper 4 system 1400 mm - Special Length</t>
  </si>
  <si>
    <t>1.814,110</t>
  </si>
  <si>
    <t>ASGCO-AFSCHRAPER-PRIM-650AS</t>
  </si>
  <si>
    <t>ASGCO - Primary skalper 4 system 650 mm</t>
  </si>
  <si>
    <t>958,850</t>
  </si>
  <si>
    <t>ASGCO-AFSCHRAPER-PRIM-800AS</t>
  </si>
  <si>
    <t>ASGCO - Primary skalper 4 system 800 mm</t>
  </si>
  <si>
    <t>1.040,870</t>
  </si>
  <si>
    <t>ASGCO-AFSCHRAPER-SUPER-900AS</t>
  </si>
  <si>
    <t>ASGCO - Super skalper 900 mm</t>
  </si>
  <si>
    <t>1.373,500</t>
  </si>
  <si>
    <t>ASGCO-BLADE-PRIM4-1200AS</t>
  </si>
  <si>
    <t>ASGCO - Primary skalper 4 Replacement Blade 1.050 mm</t>
  </si>
  <si>
    <t>279,830</t>
  </si>
  <si>
    <t>ASGCO-BLADE-PRIM4-1400AS</t>
  </si>
  <si>
    <t>ASGCO - Primary skalper 4 Replacement Blade 1.200 mm</t>
  </si>
  <si>
    <t>530,200</t>
  </si>
  <si>
    <t>ASGCO-CHEVRON CLEANER-1000AS</t>
  </si>
  <si>
    <t>ASGCO - Chevron cleaner (notched) flex-O-Disc-1000</t>
  </si>
  <si>
    <t>1.132,810</t>
  </si>
  <si>
    <t>ASGCO-CHEVRON CLEANER-1200AS</t>
  </si>
  <si>
    <t>ASGCO - Chevron cleaner (notched) flex-O-Disc-1200</t>
  </si>
  <si>
    <t>1.227,450</t>
  </si>
  <si>
    <t>ASGCO-CHEVRON CLEANER-650AS</t>
  </si>
  <si>
    <t>ASGCO - Chevron cleaner (notched) flex-O-Disc-650</t>
  </si>
  <si>
    <t>1.155,000</t>
  </si>
  <si>
    <t>ASGCO-CHEVRON CLEANER-800AS</t>
  </si>
  <si>
    <t>ASGCO - Chevron cleaner (notched) flex-O-Disc-800</t>
  </si>
  <si>
    <t>980,420</t>
  </si>
  <si>
    <t>ASGCO-EXSOB-UHMW-02-024.0AS</t>
  </si>
  <si>
    <t>ASGCO - Excalibur system 24 blade</t>
  </si>
  <si>
    <t>127,720</t>
  </si>
  <si>
    <t>ASGCO-INSP-DOOR-30X30AS</t>
  </si>
  <si>
    <t>ASGCO - Inspection Door+Screen 30x30</t>
  </si>
  <si>
    <t>220,760</t>
  </si>
  <si>
    <t>ASGCO-INSP-DOOR-30X45AS</t>
  </si>
  <si>
    <t>ASGCO - Inspection Door+Screen 30x45</t>
  </si>
  <si>
    <t>234,160</t>
  </si>
  <si>
    <t>ASGCO-INSP-DOOR-30X45SSAS</t>
  </si>
  <si>
    <t>ASGCO - Inspection Door+Screen 30x45SS316</t>
  </si>
  <si>
    <t>540,980</t>
  </si>
  <si>
    <t>ASGCO-INSP-DOOR-45X60AS</t>
  </si>
  <si>
    <t>ASGCO - Inspection Door+Screen 45x60</t>
  </si>
  <si>
    <t>280,960</t>
  </si>
  <si>
    <t>ASGCO-INSP-DOOR-HD60X60AS</t>
  </si>
  <si>
    <t>ASGCO - Inspection Door+Screen HD 60x60</t>
  </si>
  <si>
    <t>521,980</t>
  </si>
  <si>
    <t>ASGCO-INSP-DOOR-HD60X90AS</t>
  </si>
  <si>
    <t>ASGCO - Inspection Door+Screen HD 60x90</t>
  </si>
  <si>
    <t>695,800</t>
  </si>
  <si>
    <t>ASGCO-LOCKING-PIN-SKALP4AS</t>
  </si>
  <si>
    <t>ASGCO - Locking Pin with Cable- Skalper 4</t>
  </si>
  <si>
    <t>11,750</t>
  </si>
  <si>
    <t>ASGCO-M-EXSC-01-LH-031.0AS</t>
  </si>
  <si>
    <t>ASGCO - Excalibur system 31 blade (tensioner links)</t>
  </si>
  <si>
    <t>584,830</t>
  </si>
  <si>
    <t>ASGCO-M-EXSC-01-LH-039.0AS</t>
  </si>
  <si>
    <t>ASGCO - Excalibur system 39 blade (tensioner links)</t>
  </si>
  <si>
    <t>639,110</t>
  </si>
  <si>
    <t>ASGCO-M-EXSC-01-RH-031.0AS</t>
  </si>
  <si>
    <t>ASGCO - Excalibur system 31 blade (tensioner rechts)</t>
  </si>
  <si>
    <t>ASGCO-M-EXSC-01-RH-039.0AS</t>
  </si>
  <si>
    <t>ASGCO - Excalibur system 39 blade (tensioner rechts)</t>
  </si>
  <si>
    <t>ASGCO-M-EXSC-02-RH-025.5AS</t>
  </si>
  <si>
    <t>ASGCO - Excalibur system 25.5 blade (tensioner rechts)</t>
  </si>
  <si>
    <t>689,070</t>
  </si>
  <si>
    <t>ASGCO-M-EXSC-03-RH-017.0AS</t>
  </si>
  <si>
    <t>ASGCO - Excalibur system 17 blade (tensioner rechts)</t>
  </si>
  <si>
    <t>334,310</t>
  </si>
  <si>
    <t>ASGCO-M-EXSC-03-RH-020.0AS</t>
  </si>
  <si>
    <t>ASGCO - Excalibur system 20 blade (tensioner rechts)</t>
  </si>
  <si>
    <t>343,990</t>
  </si>
  <si>
    <t>ASGCO-SAFEGUARD-CAGES1000AS</t>
  </si>
  <si>
    <t>ASGCO - Safeguard - Cage 1.000</t>
  </si>
  <si>
    <t>101,090</t>
  </si>
  <si>
    <t>ASGCO-SAFEGUARD-CAGES1200AS</t>
  </si>
  <si>
    <t>ASGCO - Safeguard - Cage 1.200</t>
  </si>
  <si>
    <t>92,640</t>
  </si>
  <si>
    <t>ASGCO-SAFEGUARD-CAGES1350AS</t>
  </si>
  <si>
    <t>ASGCO - Safeguard - Cage 1.350</t>
  </si>
  <si>
    <t>94,160</t>
  </si>
  <si>
    <t>ASGCO-SAFEGUARD-CAGES1400AS</t>
  </si>
  <si>
    <t>ASGCO - Safeguard - Cage 1.400</t>
  </si>
  <si>
    <t>90,180</t>
  </si>
  <si>
    <t>ASGCO-SAFEGUARD-CAGES500AS</t>
  </si>
  <si>
    <t>ASGCO - Safeguard - Cage 500</t>
  </si>
  <si>
    <t>53,907</t>
  </si>
  <si>
    <t>ASGCO-SAFEGUARD-CAGES650AS</t>
  </si>
  <si>
    <t>ASGCO - Safeguard - Cage 650</t>
  </si>
  <si>
    <t>57,595</t>
  </si>
  <si>
    <t>ASGCO-SAFEGUARD-CAGES800AS</t>
  </si>
  <si>
    <t>ASGCO - Safeguard - Cage 800</t>
  </si>
  <si>
    <t>80,020</t>
  </si>
  <si>
    <t>ASGCO-SAFEGUARD-GUARD1000AS</t>
  </si>
  <si>
    <t>ASGCO - Safeguard - Guard 1.000</t>
  </si>
  <si>
    <t>114,130</t>
  </si>
  <si>
    <t>ASGCO-SAFEGUARD-GUARD1200AS</t>
  </si>
  <si>
    <t>ASGCO - Safeguard - Guard 1.200</t>
  </si>
  <si>
    <t>140,560</t>
  </si>
  <si>
    <t>ASGCO-SAFEGUARD-GUARD1350AS</t>
  </si>
  <si>
    <t>ASGCO - Safeguard - Guard 1.350</t>
  </si>
  <si>
    <t>102,080</t>
  </si>
  <si>
    <t>ASGCO-SAFEGUARD-GUARD1400AS</t>
  </si>
  <si>
    <t>ASGCO - Safeguard - Guard 1.400</t>
  </si>
  <si>
    <t>123,440</t>
  </si>
  <si>
    <t>ASGCO-SAFEGUARD-GUARD500AS</t>
  </si>
  <si>
    <t>ASGCO - Safeguard - Guard 500</t>
  </si>
  <si>
    <t>48,977</t>
  </si>
  <si>
    <t>ASGCO-SAFEGUARD-GUARD600AS</t>
  </si>
  <si>
    <t>ASGCO - Safeguard - Guard 600</t>
  </si>
  <si>
    <t>56,530</t>
  </si>
  <si>
    <t>ASGCO-SAFEGUARD-GUARD650AS</t>
  </si>
  <si>
    <t>ASGCO - Safeguard - Guard 650</t>
  </si>
  <si>
    <t>92,840</t>
  </si>
  <si>
    <t>ASGCO-SAFEGUARD-GUARD800AS</t>
  </si>
  <si>
    <t>ASGCO - Safeguard - Guard 800</t>
  </si>
  <si>
    <t>97,330</t>
  </si>
  <si>
    <t>ASGCO-STD-DOUBLE CLAMP-MOUNTAS</t>
  </si>
  <si>
    <t>ASGCO - Standard Double Clamp-Mount-24 INCH</t>
  </si>
  <si>
    <t>35, Bandzijgeleidingsmat.</t>
  </si>
  <si>
    <t>88,670</t>
  </si>
  <si>
    <t>ASGCO-STD-SINGLE CLAMP-MOUNTAS</t>
  </si>
  <si>
    <t>ASGCO - Standard Single Clamp-Mount-24 INCH</t>
  </si>
  <si>
    <t>64,620</t>
  </si>
  <si>
    <t>ASGCO-SUREGRIP-CLAMPBC5-0900AS</t>
  </si>
  <si>
    <t>ASGCO - Sure Grip Belt Clamp BC5 0900</t>
  </si>
  <si>
    <t>812,890</t>
  </si>
  <si>
    <t>ASGCO-SUREGRIP-CLAMPBC5-1050AS</t>
  </si>
  <si>
    <t>ASGCO - Sure Grip Belt Clamp BC5 1050</t>
  </si>
  <si>
    <t>743,900</t>
  </si>
  <si>
    <t>ASGCO-SUREGRIP-CLAMPBC5-1200AS</t>
  </si>
  <si>
    <t>ASGCO - Sure Grip Belt Clamp BC5 1200</t>
  </si>
  <si>
    <t>711,970</t>
  </si>
  <si>
    <t>ASGCO-SUREGRIP-CLAMPBC5-1500AS</t>
  </si>
  <si>
    <t>ASGCO - Sure Grip Belt Clamp BC5 1500</t>
  </si>
  <si>
    <t>728,630</t>
  </si>
  <si>
    <t>ASGCO-SUREGRIP-CLAMPBC5-1800AS</t>
  </si>
  <si>
    <t>ASGCO - Sure Grip Belt Clamp BC5 1800</t>
  </si>
  <si>
    <t>872,200</t>
  </si>
  <si>
    <t>ASGCO-SUREGRIP-CLAMPBC7-2100AS</t>
  </si>
  <si>
    <t>ASGCO - Sure Grip Belt Clamp BC7 2100</t>
  </si>
  <si>
    <t>879,820</t>
  </si>
  <si>
    <t>ASGCO-SUREGRIP-CLAMPBC7-2400AS</t>
  </si>
  <si>
    <t>ASGCO - Sure Grip Belt Clamp BC7 2400</t>
  </si>
  <si>
    <t>1.233,140</t>
  </si>
  <si>
    <t>ASGCO-TENSIONER-KIT-SKALP4AS</t>
  </si>
  <si>
    <t>ASGCO - E-Z Torque Tensioner Kit - Skalper 4</t>
  </si>
  <si>
    <t>627,020</t>
  </si>
  <si>
    <t>ASGCO-TENSION-SPRING-SKALPAS</t>
  </si>
  <si>
    <t>ASGCO -Tensioning spring for skalper</t>
  </si>
  <si>
    <t>21,000</t>
  </si>
  <si>
    <t>AUSGLEICHPLATTE 500X0,5DE</t>
  </si>
  <si>
    <t>Reparaturausgleichplatte - 10.000 x 500 x 0,5 mm-00800078</t>
  </si>
  <si>
    <t>8,030</t>
  </si>
  <si>
    <t>71,900</t>
  </si>
  <si>
    <t>AUSGLEICHPLATTE 500X1,5DE</t>
  </si>
  <si>
    <t>Reparaturausgleichplatte - 10.000 x 500 x 1,5 mm-00800080</t>
  </si>
  <si>
    <t>149,800</t>
  </si>
  <si>
    <t>AUSGLEICHPLATTE 500X3,0DE</t>
  </si>
  <si>
    <t>Reparaturausgleichplatte - 10.000 x 500 x 3 mm-00800082</t>
  </si>
  <si>
    <t>197,900</t>
  </si>
  <si>
    <t>BANDKRAMMEN-200LE</t>
  </si>
  <si>
    <t>Bandkrammen Nr. 200</t>
  </si>
  <si>
    <t>0,730</t>
  </si>
  <si>
    <t>17013, Leijenaar</t>
  </si>
  <si>
    <t>6,060</t>
  </si>
  <si>
    <t>07-06_Staples for Quick Repair</t>
  </si>
  <si>
    <t>T-REX Bandkrammen ; Maat 200</t>
  </si>
  <si>
    <t>T-REX Sechszack-Klammern ; Maß 200</t>
  </si>
  <si>
    <t>T-REX Shark tooth clips ; Size 200</t>
  </si>
  <si>
    <t>T-REX Agrafes dentées ; numéro 200</t>
  </si>
  <si>
    <t>Banddikte: ≤ 4 mm ; Tanden: 8 mm ; Verpakking: 100 stuks</t>
  </si>
  <si>
    <t>Gurtstärke: ≤ 4 mm ; Zähne: 8 mm ; Inhalt: 100 Stück</t>
  </si>
  <si>
    <t>Belt thickness: ≤ 4 mm ; Teeth: 8 mm ; Content: 100 pieces</t>
  </si>
  <si>
    <t>Épaisseur de la bande : ≤ 4 mm ; Dents : 8 mm ; Contenu : 100 pièces</t>
  </si>
  <si>
    <t>Bandkrammen worden voornamelijk gebruikt voor het snel repareren van kleine scheuren en insnijdingen in transportbanden of als hulpmiddel bij het intrekken of wisselen van banden.</t>
  </si>
  <si>
    <t>Sechszack-Klammern werden vor allem für Schnell-Reparaturen von kleinen Rissen und Schnitten in Fördergurten oder als Montagehilfe beim Einziehen/Wechseln von Gurten verwendet.</t>
  </si>
  <si>
    <t>Shark tooth clips are primarily used for quick repair of small tears and cuts in conveyor belts or as an aid for retracting or changing belts.</t>
  </si>
  <si>
    <t>Les Agrafes dentées de requin sont principalement utilisés pour la réparation rapide de petites déchirures et coupures dans les bandes transporteuses ou comme aide pour rétracter ou changer les bandes.</t>
  </si>
  <si>
    <t>BANDKRAMMEN-201PR ; BANDKRAMMEN-202LE ; BANDKRAMMEN-203PR ; BANDKRAMMEN-204PR</t>
  </si>
  <si>
    <t>BANDKRAMMEN-200LE-1; BANDKRAMMEN-200LE-2; BANDKRAMMEN-200LE-3; BANDKRAMMEN-200LE-4</t>
  </si>
  <si>
    <t>092</t>
  </si>
  <si>
    <t>002</t>
  </si>
  <si>
    <t>mech. Verbinder Bandnadeln</t>
  </si>
  <si>
    <t>BANDKRAMMEN-200PR</t>
  </si>
  <si>
    <t>12070, Premier Udyog</t>
  </si>
  <si>
    <t>5,700</t>
  </si>
  <si>
    <t>BANDKRAMMEN-200PR-1; BANDKRAMMEN-200PR-2; BANDKRAMMEN-200PR-3; BANDKRAMMEN-200PR-4</t>
  </si>
  <si>
    <t>BANDKRAMMEN-201PR</t>
  </si>
  <si>
    <t>Bandkrammen Nr. 201</t>
  </si>
  <si>
    <t>7,860</t>
  </si>
  <si>
    <t>T-REX Bandkrammen ; Maat 201</t>
  </si>
  <si>
    <t>T-REX Sechszack-Klammern ; Maß 201</t>
  </si>
  <si>
    <t>T-REX Shark tooth clips ; Size 201</t>
  </si>
  <si>
    <t>T-REX Agrafes dentées ; numéro 201</t>
  </si>
  <si>
    <t>Banddikte: 4 mm - 6 mm ; Tanden: 10 mm ; Verpakking: 100 stuks</t>
  </si>
  <si>
    <t>Gurtstärke: 4 mm - 6 mm ; Zähne: 10 mm ; Inhalt: 100 Stück</t>
  </si>
  <si>
    <t>Belt thickness:  4 mm - 6 mm ; Teeth: 10 mm ; Content: 100 pieces</t>
  </si>
  <si>
    <t>Épaisseur de la bande : 4 mm - 6 mm ; Dents : 10 mm ; Contenu : 100 pièces</t>
  </si>
  <si>
    <t xml:space="preserve">BANDKRAMMEN-200PR ; BANDKRAMMEN-202LE ; BANDKRAMMEN-203PR ; BANDKRAMMEN-204PR ; </t>
  </si>
  <si>
    <t>BANDKRAMMEN-201PR-1; BANDKRAMMEN-201PR-2; BANDKRAMMEN-201PR-3; BANDKRAMMEN-201PR-4</t>
  </si>
  <si>
    <t>BANDKRAMMEN-202BA</t>
  </si>
  <si>
    <t>Bandkrammen Nr. 202</t>
  </si>
  <si>
    <t>12143, Bauer Metallwaren</t>
  </si>
  <si>
    <t>4,480</t>
  </si>
  <si>
    <t>T-REX Bandkrammen ; Maat 202</t>
  </si>
  <si>
    <t>T-REX Sechszack-Klammern ; Maß 202</t>
  </si>
  <si>
    <t>T-REX Shark tooth clips ; Size 202</t>
  </si>
  <si>
    <t>T-REX Agrafes dentées ; numéro 202</t>
  </si>
  <si>
    <t>Banddikte: 6 mm - 8 mm ; Tanden: 12 mm ; Verpakking: 100 stuks</t>
  </si>
  <si>
    <t>Gurtstärke: 6 mm - 8 mm ; Zähne: 12 mm ; Inhalt: 100 Stück</t>
  </si>
  <si>
    <t>Belt thickness: 6 mm - 8 mm ; Teeth: 12 mm ; Content: 100 pieces</t>
  </si>
  <si>
    <t>Épaisseur de la bande : 6 mm - 8 mm ; Dents : 12 mm ; Contenu : 100 pièces</t>
  </si>
  <si>
    <t xml:space="preserve">BANDKRAMMEN-200PR ; BANDKRAMMEN-201PR ; BANDKRAMMEN-203PR ; BANDKRAMMEN-204PR ; </t>
  </si>
  <si>
    <t>BANDKRAMMEN-202BA-1; BANDKRAMMEN-202BA-2; BANDKRAMMEN-202BA-3; BANDKRAMMEN-202BA-4</t>
  </si>
  <si>
    <t>BANDKRAMMEN-202LE</t>
  </si>
  <si>
    <t>9,780</t>
  </si>
  <si>
    <t>T-REX Agrafes dentées ; numéro 203</t>
  </si>
  <si>
    <t>BANDKRAMMEN-202LE-1; BANDKRAMMEN-202LE-2; BANDKRAMMEN-202LE-3; BANDKRAMMEN-202LE-4</t>
  </si>
  <si>
    <t>BANDKRAMMEN-203BA</t>
  </si>
  <si>
    <t>Bandkrammen Nr. 203</t>
  </si>
  <si>
    <t>6,560</t>
  </si>
  <si>
    <t>T-REX Bandkrammen ; Maat 203</t>
  </si>
  <si>
    <t>T-REX Sechszack-Klammern ; Maß 203</t>
  </si>
  <si>
    <t>T-REX Shark tooth clips ; Size 203</t>
  </si>
  <si>
    <t>Banddikte: 8 mm - 10 mm ; Tanden: 16 mm ; Verpakking: 100 stuks</t>
  </si>
  <si>
    <t>Gurtstärke: 8 mm - 10 mm; Zähne: 16 mm ; Inhalt: 100 Stück</t>
  </si>
  <si>
    <t>Belt thickness: 8 mm - 10 mm; Teeth: 16 mm ; Content: 100 pieces</t>
  </si>
  <si>
    <t>Épaisseur de la bande : 8 mm - 10 mm ; Dents : 16 mm ; Contenu : 100 pièces</t>
  </si>
  <si>
    <t xml:space="preserve">BANDKRAMMEN-201PR ; BANDKRAMMEN-202LE ;  BANDKRAMMEN-204PR ; BANDKRAMMEN-205PR ; </t>
  </si>
  <si>
    <t>BANDKRAMMEN-203BA-1; BANDKRAMMEN-203BA-2; BANDKRAMMEN-203BA-3; BANDKRAMMEN-203BA-4</t>
  </si>
  <si>
    <t>BANDKRAMMEN-203PR</t>
  </si>
  <si>
    <t>12,840</t>
  </si>
  <si>
    <t>BANDKRAMMEN-203PR-1; BANDKRAMMEN-203PR-2; BANDKRAMMEN-203PR-3; BANDKRAMMEN-203PR-4</t>
  </si>
  <si>
    <t>BANDKRAMMEN-204PR</t>
  </si>
  <si>
    <t>Bandkrammen Nr. 204</t>
  </si>
  <si>
    <t>9,370</t>
  </si>
  <si>
    <t>T-REX Bandkrammen ; Maat 204</t>
  </si>
  <si>
    <t>T-REX Sechszack-Klammern ; Maß 204</t>
  </si>
  <si>
    <t>T-REX Shark tooth clips ; Size 204</t>
  </si>
  <si>
    <t>T-REX Agrafes dentées ; numéro 204</t>
  </si>
  <si>
    <t>Banddikte: 10 mm - 13 mm ; Tanden: 20 mm ; Verpakking: 100 stuks</t>
  </si>
  <si>
    <t>Gurtstärke: 10 mm - 13 mm ; Zähne: 20 mm ; Inhalt: 100 Stück</t>
  </si>
  <si>
    <t>Belt thickness:  10 mm - 13 mm ; Teeth: 20 mm ; Content: 100 pieces</t>
  </si>
  <si>
    <t>Épaisseur de la bande : 10 mm - 13 mm ; Dents : 20 mm ; Contenu : 100 pièces</t>
  </si>
  <si>
    <t xml:space="preserve">BANDKRAMMEN-202LE ; BANDKRAMMEN-203PR ; BANDKRAMMEN-205PR ; BANDKRAMMEN-206PR ; </t>
  </si>
  <si>
    <t>BANDKRAMMEN-204PR-1; BANDKRAMMEN-204PR-2; BANDKRAMMEN-204PR-3; BANDKRAMMEN-204PR-4</t>
  </si>
  <si>
    <t>BANDKRAMMEN-205PR</t>
  </si>
  <si>
    <t>Bandkrammen Nr. 205</t>
  </si>
  <si>
    <t>12,780</t>
  </si>
  <si>
    <t>T-REX Bandkrammen ; Maat 205</t>
  </si>
  <si>
    <t>T-REX Sechszack-Klammern ; Maß 205</t>
  </si>
  <si>
    <t>T-REX Shark tooth clips ; Size 205</t>
  </si>
  <si>
    <t>T-REX Agrafes dentées ; numéro 205</t>
  </si>
  <si>
    <t>Banddikte: 13 mm - 15 mm ; Tanden: 23 mm ; Verpakking: 100 stuks</t>
  </si>
  <si>
    <t>Gurtstärke: 13 mm - 15 mm; Zähne: 23 mm ; Inhalt: 100 Stück</t>
  </si>
  <si>
    <t>Belt thickness:  13 mm - 15 mm ; Teeth: 23 mm ; Content: 100 pieces</t>
  </si>
  <si>
    <t>Épaisseur de la bande : 13 mm - 15 mm ; Dents : 23 mm ; Contenu : 100 pièces</t>
  </si>
  <si>
    <t>BANDKRAMMEN-203PR ; BANDKRAMMEN-204PR ; BANDKRAMMEN-206PR ; BANDKRAMMEN-207PR</t>
  </si>
  <si>
    <t>BANDKRAMMEN-205PR-1; BANDKRAMMEN-205PR-2; BANDKRAMMEN-205PR-3; BANDKRAMMEN-205PR-4</t>
  </si>
  <si>
    <t>BANDKRAMMEN-206PR</t>
  </si>
  <si>
    <t>Bandkrammen Nr. 206</t>
  </si>
  <si>
    <t>18,030</t>
  </si>
  <si>
    <t>T-REX Bandkrammen ; Maat 206</t>
  </si>
  <si>
    <t>T-REX Sechszack-Klammern ; Maß 206</t>
  </si>
  <si>
    <t>T-REX Shark tooth clips ; Size 206</t>
  </si>
  <si>
    <t>T-REX Agrafes dentées ; numéro 206</t>
  </si>
  <si>
    <t>Banddikte: 15 mm - 18 mm ; Tanden: 29 mm ; Verpakking: 100 stuks</t>
  </si>
  <si>
    <t>Gurtstärke: 15 mm - 18 mm; Zähne: 29 mm ; Inhalt: 100 Stück</t>
  </si>
  <si>
    <t>Belt thickness:  15 mm - 18 mm; Teeth: 29 mm ; Content: 100 pieces</t>
  </si>
  <si>
    <t>Epaisseur de la bande : 15 mm - 18 mm ; Dents : 29 mm ; Contenu : 100 pièces</t>
  </si>
  <si>
    <t>BANDKRAMMEN-203PR ; BANDKRAMMEN-204PR ; BANDKRAMMEN-205PR ; BANDKRAMMEN-207PR</t>
  </si>
  <si>
    <t>BANDKRAMMEN-206PR-1; BANDKRAMMEN-206PR-2; BANDKRAMMEN-206PR-3; BANDKRAMMEN-206PR-4</t>
  </si>
  <si>
    <t>BANDKRAMMEN-207PR</t>
  </si>
  <si>
    <t>Bandkrammen Nr. 207</t>
  </si>
  <si>
    <t>2,200</t>
  </si>
  <si>
    <t>18,570</t>
  </si>
  <si>
    <t>T-REX Bandkrammen ; Maat 207</t>
  </si>
  <si>
    <t>T-REX Sechszack-Klammern ; Maß 207</t>
  </si>
  <si>
    <t>T-REX Shark tooth clips ; Size 207</t>
  </si>
  <si>
    <t>T-REX Agrafes dentées ; numéro 207</t>
  </si>
  <si>
    <t>Banddikte: 18 mm - 21 mm ; Tanden: 38 mm ; Verpakking: 50 stuks</t>
  </si>
  <si>
    <t>Gurtstärke: 18 mm - 21 mm; Zähne: 38 mm ; Inhalt: 50 Stück</t>
  </si>
  <si>
    <t>Belt thickness:  18 mm - 21 mm ; Teeth: 38 mm ; Content: 50 pieces</t>
  </si>
  <si>
    <t>Épaisseur de la bande : 18 mm - 21 mm ; Dents : 38 mm ; Contenu : 50 pièces</t>
  </si>
  <si>
    <t xml:space="preserve">BANDKRAMMEN-203PR ; BANDKRAMMEN-204PR ; BANDKRAMMEN-205PR ; BANDKRAMMEN-206PR </t>
  </si>
  <si>
    <t>BANDKRAMMEN-207PR-1; BANDKRAMMEN-207PR-2; BANDKRAMMEN-207PR-3; BANDKRAMMEN-207PR-4</t>
  </si>
  <si>
    <t>BANDKRAMMEN-FASTENERS-1"PR</t>
  </si>
  <si>
    <t>Bandkrammen-fasteners-1" (50 stuks)</t>
  </si>
  <si>
    <t>17,890</t>
  </si>
  <si>
    <t>07-07_Fasteners</t>
  </si>
  <si>
    <t>T-REX Verbinders ; Type 1″</t>
  </si>
  <si>
    <t>T-REX Gurtverbinder ; Typ 1″</t>
  </si>
  <si>
    <t>T-REX Fasteners ; Type 1″</t>
  </si>
  <si>
    <t>T-REX Agrafes plates avec boulons Type 1″</t>
  </si>
  <si>
    <t>Banddikte: 5 mm - 11 mm ; Verpakking: 50 stuks</t>
  </si>
  <si>
    <t>Gurtstärke: 5 mm - 11 mm ; Inhalt: 50 stück</t>
  </si>
  <si>
    <t>Belt thickness: 5 mm - 11 mm ; Content: 50 pieces</t>
  </si>
  <si>
    <t>Épaisseur de la bande : 5 mm - 11 mm ; Contenu : 50 pièces</t>
  </si>
  <si>
    <t>Snel reparatiemateriaal voor transportbanden in installaties zonder schrapers. Kan worden gebruikt als tijdelijke verbinding en voor reparatie.</t>
  </si>
  <si>
    <t xml:space="preserve">Schnelle Repararaturmaterial für Fördergurte in Förderer ohne Abstreifer. Kann als temporärer Verbinder und für Reparaturen eingesetzt werden. </t>
  </si>
  <si>
    <t>Quick repair material for conveyor belts in installations without scrapers. Can be used as a temporary splice and for repair.</t>
  </si>
  <si>
    <t>Matériel de réparation rapide pour bandes transporteuses dans des installations sans racleurs. Peut être utilisé comme épissure temporaire et pour la réparation.</t>
  </si>
  <si>
    <t>TOOL012-BELTPUNCH-08PR ; BANDKRAMMEN-FASTENERS-1½"PR ; BANDKRAMMEN-FASTENERS-2"PR ; BANDKRAMMEN-FASTENERS-3"PR</t>
  </si>
  <si>
    <t>BANDKRAMMEN-FASTENERS-1½"PR</t>
  </si>
  <si>
    <t>Bandkrammen-fasteners-1½"(20 stuks)</t>
  </si>
  <si>
    <t>8,980</t>
  </si>
  <si>
    <t>T-REX Verbinders ; Type 1½″</t>
  </si>
  <si>
    <t>T-REX Gurtverbinder ; Typ 1½″</t>
  </si>
  <si>
    <t>T-REX Fasteners ; Type 1½″</t>
  </si>
  <si>
    <t>T-REX Agrafes plates avec boulons Type 1½″</t>
  </si>
  <si>
    <t>Banddikte: 11 mm - 17 mm ; Verpakking: 20 stuks</t>
  </si>
  <si>
    <t>Gurtstärke: 11 mm - 17 mm ; Inhalt: 20 stück</t>
  </si>
  <si>
    <t>Belt thickness: 11 mm - 17 mm ; Content: 20 pieces</t>
  </si>
  <si>
    <t>Épaisseur de la bande : 11 mm - 17 mm ; Contenu : 20 pièces</t>
  </si>
  <si>
    <t xml:space="preserve">TOOL011-CLAMPKEYPR ; TOOL013-BELTPUNCH-10PR ; TOOL014-CLAMPKEY-FOR MACHINEPR ; BANDKRAMMEN-FASTENERS-1"PR </t>
  </si>
  <si>
    <t>BANDKRAMMEN-FASTENERS-2"PR</t>
  </si>
  <si>
    <t>Bandkrammen-fasteners-2"(20 stuks)</t>
  </si>
  <si>
    <t>9,850</t>
  </si>
  <si>
    <t>T-REX Verbinders ; Type 2″</t>
  </si>
  <si>
    <t>T-REX Gurtverbinder ; Typ 2″</t>
  </si>
  <si>
    <t>T-REX Fasteners ; Type 2″</t>
  </si>
  <si>
    <t>T-REX Agrafes plates avec boulons Type 2″</t>
  </si>
  <si>
    <t>Banddikte: 14 mm - 21 mm ; Verpakking: 20 stuks</t>
  </si>
  <si>
    <t>Gurtstärke: 14 mm - 21 mm ; Inhalt: 20 stück</t>
  </si>
  <si>
    <t>Belt thickness: 14 mm - 21 mm ; Content: 20 pieces</t>
  </si>
  <si>
    <t>Épaisseur de la bande : 14 mm - 21 mm ; Contenu : 20 pièces</t>
  </si>
  <si>
    <t>BANDKRAMMEN-FASTENERS-3"PR</t>
  </si>
  <si>
    <t>Bandkrammen-fasteners-3"(10 stuks)</t>
  </si>
  <si>
    <t>10,250</t>
  </si>
  <si>
    <t>T-REX Verbinders ; Type 3″</t>
  </si>
  <si>
    <t>T-REX Gurtverbinder ; Typ 3″</t>
  </si>
  <si>
    <t>T-REX Fasteners ; Type 3″</t>
  </si>
  <si>
    <t>T-REX Agrafes plates avec boulons Type 3″</t>
  </si>
  <si>
    <t>Banddikte: &gt; 24 mm ; Verpakking: 10 stuks</t>
  </si>
  <si>
    <t>Gurtstärke:  &gt; 24 mm ; Inhalt: 10 stück</t>
  </si>
  <si>
    <t>Belt thickness: &gt; 24 mm ; Content: 10 pieces</t>
  </si>
  <si>
    <t>Épaisseur de la bande : &gt; 24 mm ; Contenu : 10 pièces</t>
  </si>
  <si>
    <t>BANDKRAMMEN-FASTENERS-1½"PR ; BANDKRAMMEN-FASTENERS-2"PR ; BANDKRAMMEN-FASTENERS-3"PR</t>
  </si>
  <si>
    <t>BANDKRAMMEN-FASTENERS-K27LE</t>
  </si>
  <si>
    <t>Bandkrammen-fasteners-K27(12 stuks)</t>
  </si>
  <si>
    <t>120,890</t>
  </si>
  <si>
    <t>BANDKRAMMEN-FASTENERS-MS25LE</t>
  </si>
  <si>
    <t>Bandkrammen-Fasteners-MS25</t>
  </si>
  <si>
    <t>41,590</t>
  </si>
  <si>
    <t>BANDKRAMMEN-FASTENERS-MS35LE</t>
  </si>
  <si>
    <t>Bandkrammen-Fasteners-MS35</t>
  </si>
  <si>
    <t>52,560</t>
  </si>
  <si>
    <t>BANDKRAMMEN-FASTENERS-MS45LE</t>
  </si>
  <si>
    <t>Bandkrammen-Fasteners-MS45</t>
  </si>
  <si>
    <t>60,830</t>
  </si>
  <si>
    <t>BANDOVERKAPPING-1-KUNSTSTOFRO</t>
  </si>
  <si>
    <t>Bandoverkapping Nr.1,BB400, kunststof</t>
  </si>
  <si>
    <t>43,800</t>
  </si>
  <si>
    <t>21, Bandoverkappingen</t>
  </si>
  <si>
    <t>12034, Renolit Ondex</t>
  </si>
  <si>
    <t>12_Safety Products</t>
  </si>
  <si>
    <t>12-03_Conveyor Belt Covers, PVC</t>
  </si>
  <si>
    <t>Bandoverkapping PVC ; Bandbreedte 400 mm</t>
  </si>
  <si>
    <t>Abdeckhauben PVC ; Gurtbreite 400 mm</t>
  </si>
  <si>
    <t>Belt covers PVC ; Beltwidth 400 mm</t>
  </si>
  <si>
    <t>Capots en PVC ; Largeur 400 mm</t>
  </si>
  <si>
    <t>998</t>
  </si>
  <si>
    <t>Industrie sonstiges</t>
  </si>
  <si>
    <t>BANDOVERKAPPING-2-KUNSTSTOFRO</t>
  </si>
  <si>
    <t>Bandoverkapping Nr.2,BB500, kunststof</t>
  </si>
  <si>
    <t>27,520</t>
  </si>
  <si>
    <t>Bandoverkapping PVC ; Bandbreedte 500 mm</t>
  </si>
  <si>
    <t>Abdeckhauben PVC ; Gurtbreite 500 mm</t>
  </si>
  <si>
    <t>Belt covers PVC ; Beltwidth 500 mm</t>
  </si>
  <si>
    <t>Capots en PVC ; Largeur 500 mm</t>
  </si>
  <si>
    <t>BANDOVERKAPPING-3-KUNSTSTOFRO</t>
  </si>
  <si>
    <t>Bandoverkapping Nr.3,BB650, kunststof</t>
  </si>
  <si>
    <t>30,530</t>
  </si>
  <si>
    <t>Bandoverkapping PVC ; Bandbreedte 650 mm</t>
  </si>
  <si>
    <t>Abdeckhauben PVC ; Gurtbreite 650 mm</t>
  </si>
  <si>
    <t>Belt covers PVC ; Beltwidth 650 mm</t>
  </si>
  <si>
    <t>Capots en PVC ; Largeur 650 mm</t>
  </si>
  <si>
    <t>BANDOVERKAPPING-4-KUNSTSTOFRO</t>
  </si>
  <si>
    <t>Bandoverkapping Nr.4,BB800, kunststof</t>
  </si>
  <si>
    <t>59,200</t>
  </si>
  <si>
    <t>37,210</t>
  </si>
  <si>
    <t>Bandoverkapping PVC ; Bandbreedte 800 mm</t>
  </si>
  <si>
    <t>Abdeckhauben PVC ; Gurtbreite 800 mm</t>
  </si>
  <si>
    <t>Belt covers PVC ; Beltwidth 800 mm</t>
  </si>
  <si>
    <t>Capots en PVC ; Largeur 800 mm</t>
  </si>
  <si>
    <t>BANDOVERKAPPING-5-KUNSTSTOFRO</t>
  </si>
  <si>
    <t>Bandoverkapping Nr.5,BB1000, kunststof</t>
  </si>
  <si>
    <t>62,950</t>
  </si>
  <si>
    <t>39,590</t>
  </si>
  <si>
    <t>Bandoverkapping PVC ; Bandbreedte 1000 mm</t>
  </si>
  <si>
    <t>Abdeckhauben PVC ; Gurtbreite 1000 mm</t>
  </si>
  <si>
    <t>Belt covers PVC ; Beltwidth 1000 mm</t>
  </si>
  <si>
    <t>Capots en PVC ; Largeur 1000 mm</t>
  </si>
  <si>
    <t>BANDOVERKAPPING-6-KUNSTSTOFRO</t>
  </si>
  <si>
    <t>Bandoverkapping Nr.6,BB1200, kunststof</t>
  </si>
  <si>
    <t>73,650</t>
  </si>
  <si>
    <t>46,280</t>
  </si>
  <si>
    <t>Bandoverkapping PVC ; Bandbreedte 1200 mm</t>
  </si>
  <si>
    <t>Abdeckhauben PVC ; Gurtbreite 1200 mm</t>
  </si>
  <si>
    <t>Belt covers PVC ; Beltwidth 1200 mm</t>
  </si>
  <si>
    <t>Capots en PVC ; Largeur 1200 mm</t>
  </si>
  <si>
    <t>BANDOVERKAPPING-7-KUNSTSTOFRO</t>
  </si>
  <si>
    <t>Bandoverkapping Nr.7,BB1400, kunststof</t>
  </si>
  <si>
    <t>88,150</t>
  </si>
  <si>
    <t>55,400</t>
  </si>
  <si>
    <t>Bandoverkapping PVC ; Bandbreedte 1400 mm</t>
  </si>
  <si>
    <t>Abdeckhauben PVC ; Gurtbreite 1400 mm</t>
  </si>
  <si>
    <t>Belt covers PVC ; Beltwidth 1400 mm</t>
  </si>
  <si>
    <t>Capots en PVC ; Largeur 1400 mm</t>
  </si>
  <si>
    <t>BANDOVERKAPPING-NR1-STAALPX</t>
  </si>
  <si>
    <t>Bandoverkapping Nr.1,BB400, staal</t>
  </si>
  <si>
    <t>37,300</t>
  </si>
  <si>
    <t>16914, Phenix Industries</t>
  </si>
  <si>
    <t>18,440</t>
  </si>
  <si>
    <t>12-02_Conveyor Belt Covers, Steel</t>
  </si>
  <si>
    <t>Bandoverkapping Staal ; Bandbreedte 400 mm</t>
  </si>
  <si>
    <t>Abdeckhauben Stahl ; Gurtbreite 400 mm</t>
  </si>
  <si>
    <t>Belt covers Steel ; Beltwidth 400 mm</t>
  </si>
  <si>
    <t>Capots en acier ; Largeur 400 mm</t>
  </si>
  <si>
    <t>BANDOVERKAPPING-NR2-STAALPX</t>
  </si>
  <si>
    <t>Bandoverkapping Nr.2,BB500, staal</t>
  </si>
  <si>
    <t>18,670</t>
  </si>
  <si>
    <t>Bandoverkapping Staal ; Bandbreedte 500 mm</t>
  </si>
  <si>
    <t>Abdeckhauben Stahl ; Gurtbreite 500 mm</t>
  </si>
  <si>
    <t>Belt covers Steel ; Beltwidth 500 mm</t>
  </si>
  <si>
    <t>Capots en acier ; Largeur 500 mm</t>
  </si>
  <si>
    <t>BANDOVERKAPPING-NR3-STAALPX</t>
  </si>
  <si>
    <t>Bandoverkapping Nr.3,BB650, staal</t>
  </si>
  <si>
    <t>24,090</t>
  </si>
  <si>
    <t>Bandoverkapping Staal ; Bandbreedte 650 mm</t>
  </si>
  <si>
    <t>Abdeckhauben Stahl ; Gurtbreite 650 mm</t>
  </si>
  <si>
    <t>Belt covers Steel ; Beltwidth 650 mm</t>
  </si>
  <si>
    <t>Capots en acier ; Largeur 650 mm</t>
  </si>
  <si>
    <t>BANDOVERKAPPING-NR4-STAALPX</t>
  </si>
  <si>
    <t>Bandoverkapping Nr.4,BB800, staal</t>
  </si>
  <si>
    <t>27,350</t>
  </si>
  <si>
    <t>Bandoverkapping Staal ; Bandbreedte 800 mm</t>
  </si>
  <si>
    <t>Abdeckhauben Stahl ; Gurtbreite 800 mm</t>
  </si>
  <si>
    <t>Belt covers Steel ; Beltwidth 800 mm</t>
  </si>
  <si>
    <t>Capots en acier ; Largeur 800 mm</t>
  </si>
  <si>
    <t>BANDOVERKAPPING-NR5-STAALPX</t>
  </si>
  <si>
    <t>Bandoverkapping Nr.5,BB1000, staal</t>
  </si>
  <si>
    <t>30,350</t>
  </si>
  <si>
    <t>Bandoverkapping Staal ; Bandbreedte 1000 mm</t>
  </si>
  <si>
    <t>Abdeckhauben Stahl ; Gurtbreite 1000 mm</t>
  </si>
  <si>
    <t>Belt covers Steel ; Beltwidth 1000 mm</t>
  </si>
  <si>
    <t>Capots en acier ; Largeur 1000 mm</t>
  </si>
  <si>
    <t>BANDOVERKAPPING-NR6-STAALPX</t>
  </si>
  <si>
    <t>Bandoverkapping Nr.6,BB1200, staal</t>
  </si>
  <si>
    <t>54,900</t>
  </si>
  <si>
    <t>34,460</t>
  </si>
  <si>
    <t>Bandoverkapping Staal ; Bandbreedte 1200 mm</t>
  </si>
  <si>
    <t>Abdeckhauben Stahl ; Gurtbreite 1200 mm</t>
  </si>
  <si>
    <t>Belt covers Steel ; Beltwidth 1200 mm</t>
  </si>
  <si>
    <t>Capots en acier ; Largeur 1200 mm</t>
  </si>
  <si>
    <t>BANDOVERKAPPING-NR7-STAALPX</t>
  </si>
  <si>
    <t>Bandoverkapping Nr.7,BB1400, staal</t>
  </si>
  <si>
    <t>37,720</t>
  </si>
  <si>
    <t>Bandoverkapping Staal ; Bandbreedte 1400 mm</t>
  </si>
  <si>
    <t>Abdeckhauben Stahl ; Gurtbreite 1400 mm</t>
  </si>
  <si>
    <t>Belt covers Steel ; Beltwidth 1400 mm</t>
  </si>
  <si>
    <t>Capots en acier ; Largeur 1400 mm</t>
  </si>
  <si>
    <t>BELT BRUSH CLEANER RBC-A-100HY</t>
  </si>
  <si>
    <t>secondary cleaner RBC-A-100 with motor/ rubber brush</t>
  </si>
  <si>
    <t>12003, Hsin Yung Chien Co. Ltd.</t>
  </si>
  <si>
    <t>2.200,000</t>
  </si>
  <si>
    <t>BELT LIFTING STATIONKR</t>
  </si>
  <si>
    <t>Conveyor Belt Lifting Station</t>
  </si>
  <si>
    <t>9, Overige transportbanden</t>
  </si>
  <si>
    <t>17614, Krozmet s.c.</t>
  </si>
  <si>
    <t>1.750,000</t>
  </si>
  <si>
    <t>05_Tools</t>
  </si>
  <si>
    <t>05-01_T-Rex Belt Lifting Station</t>
  </si>
  <si>
    <t>T-REX Banden hefstation</t>
  </si>
  <si>
    <t>T-REX Fördergurt Hebestation</t>
  </si>
  <si>
    <t>T-REX Belt Lifting Station</t>
  </si>
  <si>
    <t xml:space="preserve">T-REX Station de relèvement </t>
  </si>
  <si>
    <t>Lengte 1.150 mm ; Breedte 315 mm ; Minimale hefhoogte 170 mm ; Maximale hefhoogte 470 mm ; Gewicht 14,9 kg</t>
  </si>
  <si>
    <t>Länge 1.150 mm ; Breite 315 mm ; Mindesthubhöhe 170 mm ; Maximale Hubhöhe 470 mm ; Gewicht 14,9 kg</t>
  </si>
  <si>
    <t>Length 1.150 mm ; Width 315 mm ; Minimum lifting height 170 mm ; Maximum lifting height 470 mm ; Weight 14,9 kg ; The belt lifting station consists of: ; - Support beam to be mounted on the conveyor frame ; - Lifting arm to adjust height of the lifting station ; - Wheel frame for transporting the belt lifting station</t>
  </si>
  <si>
    <t>Longueur 1.150 mm ; Largeur 315 mm ; Hauteur de levage minimale 170 mm ; Hauteur de levage maximale 470 mm ; Poids 14,9 kg</t>
  </si>
  <si>
    <t>Height / Safe Lifting Capacity: ; 0 – 25 mm / 225 kg ; 25 – 50 mm / 450 kg ; 50 – 75 mm / 675 kg ; 75 – 100 mm / 900 kg ; 100 – 125 mm / 1.150 kg ; 125 – 150 mm / 1.350 kg ; 150 – 175 mm / 1.600 kg ; &gt; 175 mm / 1.800 kg</t>
  </si>
  <si>
    <t>Gemaakt van lichtgewicht aluminium, gemakkelijk te vervoeren. ; Geschikt voor bandbreedtes van 650 mm tot 1.000 mm.</t>
  </si>
  <si>
    <t>Aus leichtem Aluminium, einfach zu transportieren. ; Geeignet für Bandbreiten von 650 mm bis 1.000 mm.</t>
  </si>
  <si>
    <t>Made of lightweight aluminium, easy to transport. ; Suitable for belt width between 650 mm to 1.000 mm. ; It reduces risk for injury when lifting the conveyor belt when placing splicing station. ; A smart tool for quicker conveyor roller replacement. ;</t>
  </si>
  <si>
    <t>Fabriqué en aluminium léger, facile à transporter. ; Convient pour une largeur de bande comprise entre 650 mm et 1 000 mm.</t>
  </si>
  <si>
    <t>091</t>
  </si>
  <si>
    <t>031</t>
  </si>
  <si>
    <t>Spann- u Hebewerkzeuge</t>
  </si>
  <si>
    <t>BELT-CLAMP-1500KG-NEWDESIGNKR</t>
  </si>
  <si>
    <t>BELT CLAMP 1500KG-NEW DESIGN</t>
  </si>
  <si>
    <t>110,000</t>
  </si>
  <si>
    <t>05-04_REX-CLAMP</t>
  </si>
  <si>
    <t>T-REX Banden klem ; 1500 kg</t>
  </si>
  <si>
    <t>T-REX Gurtklemme ; 1500 kg</t>
  </si>
  <si>
    <t>T-REX Belt Clamp ; 1500 kg</t>
  </si>
  <si>
    <t>T-REX Pince ; 1500 kg</t>
  </si>
  <si>
    <t>Stevig ontwerp: 1.500 kg. ; &gt; 6 mm Banddikte</t>
  </si>
  <si>
    <t>Verstärkte Ausführung: 1.500 kg. ; &gt; 6 mm Gurt Stärke</t>
  </si>
  <si>
    <t>Strong design: 1.500 kg. ; &gt; 6 mm Belt Thickness ; Overall length ± 418 mm ; Height ± 235 mm ; Width ± 90 mm ; Safety shackle 3,25 T ; Weight approx. 6,740 kg</t>
  </si>
  <si>
    <t>Design avancé: 1.500 kg. ; &gt; 6 mm Épaisseur de la bande</t>
  </si>
  <si>
    <t>Strippen transportband (verwijderen van rubber deklagen, inlagen/ staalkabels) ter voorbereiding van lasverbinding ; Samentrekken van uiteinden transportband voor snelle reparatie / montage</t>
  </si>
  <si>
    <t>Zum Entfernen von Gummi (Deckplatten und Textileinlagen) von Textilfördergurten (vorbereiten Gurtverbindung) ; Für das einziehen von Förderbänder</t>
  </si>
  <si>
    <t>Stripping conveyor belt (removal of rubber covers, fabric / steel cables) for splicing ; Pulling conveyor belts together for quick repair / installation</t>
  </si>
  <si>
    <t>Pour séparer les plis  (caoutchouc et textile / câbles métalliques) avant jonction ; Pour rapprocher les extrémités de la bande transporteuse l’un vers l’autre pour réparation ou installation facile et rapide</t>
  </si>
  <si>
    <t>Belt stripping &amp; Belt pulling</t>
  </si>
  <si>
    <t>Préparation des jonctions</t>
  </si>
  <si>
    <t>BELT-CLAMP-800KG-NEWDESIGNKR</t>
  </si>
  <si>
    <t>BELT CLAMP 800KG-NEW DESIGN</t>
  </si>
  <si>
    <t>95,000</t>
  </si>
  <si>
    <t>T-REX Banden klem ; 800 kg</t>
  </si>
  <si>
    <t>T-REX Gurtklemme ; 800 kg</t>
  </si>
  <si>
    <t>T-REX Belt Clamp ; 800 kg</t>
  </si>
  <si>
    <t>T-REX Pince ; 800 kg</t>
  </si>
  <si>
    <t>Stevig ontwerp: 800 kg. ; &lt; 6 mm Band dikte</t>
  </si>
  <si>
    <t>Verstärkte  Ausführung: 800 kg. ; &lt; 6 mm Gurt Stärke</t>
  </si>
  <si>
    <t>Strong design: 800 kg. ; &lt; 6 mm Belt Thickness ; Overall length ± 315 mm ; Height ± 150 mm ; Width ± 98 mm ; Safety shackle 1,5 T ; Weight approx. 2,784 kg</t>
  </si>
  <si>
    <t>Design avancé: 800 kg. ; &lt; 6 mm Épaisseur de la bande</t>
  </si>
  <si>
    <t>BEVESTIGINGSBANDEN-NYLON-APX</t>
  </si>
  <si>
    <t>Nylon bevestigingsbanden-kapnr. 1 t/m 9</t>
  </si>
  <si>
    <t>12,600</t>
  </si>
  <si>
    <t>9,810</t>
  </si>
  <si>
    <t>Nylon bevestigingsbanden-kapnr. 1+2+3</t>
  </si>
  <si>
    <t>Nylon-Befestigungsriemen Hauben Nr. 1+2+3</t>
  </si>
  <si>
    <t>Nylon Fixing Straps Cover No. 1+2+3</t>
  </si>
  <si>
    <t>Sangles de fixation en nylon pour capot nr. 1+2+3</t>
  </si>
  <si>
    <t>BEVESTIGINGSBANDEN-NYLON-BPX</t>
  </si>
  <si>
    <t>Nylon bevestigingsbanden-kapnr. 4+5</t>
  </si>
  <si>
    <t>13,350</t>
  </si>
  <si>
    <t>10,350</t>
  </si>
  <si>
    <t>Nylon-Befestigungsriemen Hauben Nr. 4+5</t>
  </si>
  <si>
    <t>Nylon Fixing Straps Cover No. 4+5</t>
  </si>
  <si>
    <t>Sangles de fixation en nylon pour capot nr. 4+5</t>
  </si>
  <si>
    <t>BEVESTIGINGSBANDEN-NYLON-CPX</t>
  </si>
  <si>
    <t>Nylon bevestigingsbanden-kapnr. 6+7</t>
  </si>
  <si>
    <t>10,840</t>
  </si>
  <si>
    <t>Nylon-Befestigungsriemen Hauben Nr. 6+7</t>
  </si>
  <si>
    <t>Nylon Fixing Straps Cover No. 6+7</t>
  </si>
  <si>
    <t>Sangles de fixation en nylon pour capot nr. 6+7</t>
  </si>
  <si>
    <t>BEVESTIGINGSBANDEN-RVS-1RO</t>
  </si>
  <si>
    <t>RVS bevestigingsbanden tbv kapnr. 1</t>
  </si>
  <si>
    <t>21,500</t>
  </si>
  <si>
    <t>9,700</t>
  </si>
  <si>
    <t>Edelstahl-Befestigungsriemen für Hauben-Nr. 1</t>
  </si>
  <si>
    <t>Stainless steel fastening straps for cover nr. 1</t>
  </si>
  <si>
    <t>Sangles de fixation en acier inoxydable pour capot nr. 1</t>
  </si>
  <si>
    <t>BEVESTIGINGSBANDEN-RVS-2RO</t>
  </si>
  <si>
    <t>RVS bevestigingsbanden tbv kapnr. 2</t>
  </si>
  <si>
    <t>Edelstahl-Befestigungsriemen für Hauben-Nr. 2</t>
  </si>
  <si>
    <t>Stainless steel fastening straps for cover nr. 2</t>
  </si>
  <si>
    <t>Sangles de fixation en acier inoxydable pour capot nr. 2</t>
  </si>
  <si>
    <t>BEVESTIGINGSBANDEN-RVS-3RO</t>
  </si>
  <si>
    <t>RVS bevestigingsbanden tbv kapnr. 3</t>
  </si>
  <si>
    <t>Edelstahl-Befestigungsriemen für Hauben-Nr. 3</t>
  </si>
  <si>
    <t>Stainless steel fastening straps for cover nr. 3</t>
  </si>
  <si>
    <t>Sangles de fixation en acier inoxydable pour capot nr. 3</t>
  </si>
  <si>
    <t>BEVESTIGINGSBANDEN-RVS-4RO</t>
  </si>
  <si>
    <t>RVS bevestigingsbanden tbv kapnr. 4</t>
  </si>
  <si>
    <t>Edelstahl-Befestigungsriemen für Hauben-Nr. 4</t>
  </si>
  <si>
    <t>Stainless steel fastening straps for cover nr. 4</t>
  </si>
  <si>
    <t>Sangles de fixation en acier inoxydable pour capot nr. 4</t>
  </si>
  <si>
    <t>BEVESTIGINGSBANDEN-RVS-4T/M7RO</t>
  </si>
  <si>
    <t>RVS bevestigingsbanden tbv kapnr. 1 t/m 7</t>
  </si>
  <si>
    <t>10,800</t>
  </si>
  <si>
    <t>RVS bevestigingsbanden tbv kapnr. 4+5+6+7</t>
  </si>
  <si>
    <t>Edelstahl-Befestigungsriemen für Hauben-Nr. 4+5+6+7</t>
  </si>
  <si>
    <t>Stainless steel fastening straps for cover nr. 4+5+6+7</t>
  </si>
  <si>
    <t>Sangles de fixation en acier inoxydable pour capot nr. 4+5+6+7</t>
  </si>
  <si>
    <t>BEVESTIGINGSBANDEN-RVS-5LW</t>
  </si>
  <si>
    <t>RVS bevestigingsbanden tbv kapnr. 5</t>
  </si>
  <si>
    <t>18802, Négosyl</t>
  </si>
  <si>
    <t>9,970</t>
  </si>
  <si>
    <t>Edelstahl-Befestigungsriemen für Hauben-Nr. 5</t>
  </si>
  <si>
    <t>Stainless steel fastening straps for cover nr. 5</t>
  </si>
  <si>
    <t>Sangles de fixation en acier inoxydable pour capot nr. 5</t>
  </si>
  <si>
    <t>BEVESTIGINGSBEUGELS-KAP7RO</t>
  </si>
  <si>
    <t>Bevestigingsbeugels-staal-t.b.v. kap 7</t>
  </si>
  <si>
    <t>63,000</t>
  </si>
  <si>
    <t>29,500</t>
  </si>
  <si>
    <t>CERAGUM-1850X480X14TG</t>
  </si>
  <si>
    <t>Ceragum-1.850x480x14 mm</t>
  </si>
  <si>
    <t>356,100</t>
  </si>
  <si>
    <t>24, Trommelbekl. materiaal</t>
  </si>
  <si>
    <t>16844, MLT, Minet Lacing Technology SA</t>
  </si>
  <si>
    <t>312,000</t>
  </si>
  <si>
    <t>04_Drum Lagging</t>
  </si>
  <si>
    <t>04-10_Ceramic in Rubber CERA-GUM</t>
  </si>
  <si>
    <t>CERA-GUM ; Keramiek in Rubber</t>
  </si>
  <si>
    <t>CERA-GUM ; Keramik in Gummi</t>
  </si>
  <si>
    <t>CERA-GUM ; Ceramic in Rubber</t>
  </si>
  <si>
    <t>CERA-GUM ; Céramique dans caoutchouc</t>
  </si>
  <si>
    <t>Met lijmlaag ; Lengte 1.850 mm ; Breedte 480 mm ; Dikte 14 mm</t>
  </si>
  <si>
    <t>Mit Kontaktschicht ; Länge 1.850 mm ; Breite 480 mm ; Stärke 14 mm</t>
  </si>
  <si>
    <t>With bonding layer ; Length 10.000mm ; Width 380 mm ; Thickness 12 mm</t>
  </si>
  <si>
    <t>Avec face adhésive ; Longeur 1.850 mm ; Largeur 480 mm ; Épaisseur 14 mm</t>
  </si>
  <si>
    <t>078</t>
  </si>
  <si>
    <t>065</t>
  </si>
  <si>
    <t>Trommelbelag Gummikeramik</t>
  </si>
  <si>
    <t>CERA-REX-10.000X380X12-WITCH</t>
  </si>
  <si>
    <t>Cera-Rex-trommelbekleding-10.000x380x12 wit</t>
  </si>
  <si>
    <t>872,410</t>
  </si>
  <si>
    <t>04-09_Ceramic in Rubber CERA-REX</t>
  </si>
  <si>
    <t>CERA-REX ; Keramiek in Rubber</t>
  </si>
  <si>
    <t>CERA-REX ; Keramik in Gummi</t>
  </si>
  <si>
    <t>CERA-REX ; Ceramic in Rubber</t>
  </si>
  <si>
    <t>CERA-REX ; Céramique dans caoutchouc</t>
  </si>
  <si>
    <t>Met lijmlaag ; Lengte 10.000 mm ; Breedte 380 mm ; Dikte 12 mm</t>
  </si>
  <si>
    <t>Mit Kontaktschicht ; Länge 10.000 mm ; Breite 380 mm ; Stärke 12 mm</t>
  </si>
  <si>
    <t>With bonding layer ; Length 1.850 mm ; Width 480 mm ; Thickness 14 mm</t>
  </si>
  <si>
    <t>Avec face adhésive ; Longeur 10.000 mm ; Largeur 380 mm ; Épaisseur 12 mm</t>
  </si>
  <si>
    <t xml:space="preserve">Einvulkanisierte Keramikplättchen ; Einreihige Keramik, genoppt ; Hoch verschleißfest ; Einfache, dauerhafte Befestigung mit universelle Klebesystemen ; Trommelbelag für extremste Einsatzbedingungen ; Bei Nässe, Lehm, Schlamm und abrasivem Fördergut ; Auch bei sehr hohen Gurtspannungen ; Insbesondere bei hochverschleißbeanspruchten Antriebstrommeln </t>
  </si>
  <si>
    <t>Vulcanised ceramic tiles ; Single-row ceramic, with knobs ; Highly resistant to wear ; Simple and durable affixing with universal bonding systems ; Pulley lagging for pulleys operating under extreme conditions ; For wet, clay-containing, muddy and abrasive materials ; Also for belts under very high tension ; Especially suitable for drive pulleys subjected to extreme wear</t>
  </si>
  <si>
    <t>Die genoppte Keramiksteinoberfläche sorgt für den optimalen Grip bei hoch beanspruchten Antriebstrommeln unter widrigen Einsatzbedingungen (Nässe, Schmutz).</t>
  </si>
  <si>
    <t>The knobbly surface of the ceramic tiles provides optimum grip on pulleys subject to high stress.</t>
  </si>
  <si>
    <t>063</t>
  </si>
  <si>
    <t>REMAGRIP CK-X 12mm</t>
  </si>
  <si>
    <t>CHEVRON MOLDSA</t>
  </si>
  <si>
    <t>Chevron Mold</t>
  </si>
  <si>
    <t>12012, Sanwei Holding Group Co., Ltd.</t>
  </si>
  <si>
    <t>4.650,000</t>
  </si>
  <si>
    <t>CHRIS-PUR-RED-CHINA-1450X80X10</t>
  </si>
  <si>
    <t>Polyurethaan-PUR90-A30407.00.0010-1450x80x10-Christiaens</t>
  </si>
  <si>
    <t>35,000</t>
  </si>
  <si>
    <t>16, Industriële Kunststoffen</t>
  </si>
  <si>
    <t>16,700</t>
  </si>
  <si>
    <t>CHRIS-PUR-RED-CHINA-2040X80X10</t>
  </si>
  <si>
    <t>Polyurethaan-PUR90-A30407.00.0015-2040x80x10-Christiaens</t>
  </si>
  <si>
    <t>18,500</t>
  </si>
  <si>
    <t>COBBLER-MESLE</t>
  </si>
  <si>
    <t>Cobblermes</t>
  </si>
  <si>
    <t>20,700</t>
  </si>
  <si>
    <t>14,490</t>
  </si>
  <si>
    <t>COLD SPLICE ROLLER-CSR1200KR</t>
  </si>
  <si>
    <t>Cold splice roller, CSR 1200 mm, belt width up to 2.200 mm</t>
  </si>
  <si>
    <t>235,000</t>
  </si>
  <si>
    <t>05-05_T-Rex Cold Splice Roller</t>
  </si>
  <si>
    <t>T-REX Aanroller (koude las) ; Bandbreedte tot 2.200 mm</t>
  </si>
  <si>
    <t>T-REX Kaltverbindung Anroller ; Gurtbreite bis 2.200 mm</t>
  </si>
  <si>
    <t>T-REX Cold Splice Roller ; Beltwidth up to 2.200 mm</t>
  </si>
  <si>
    <t>T-REX Rouleur pour jonction à froid ; Largeur jusqu’à 2.200 mm</t>
  </si>
  <si>
    <t>Aluminium ; Lichter dan staal ; Robuust ontwerp ; Goede druk</t>
  </si>
  <si>
    <t>Doppelwirkend für anrollen Gurtverbindung ; Aluminium ; Leichter als Stahl ; Verstärkte Ausführung ; Hoher Anpressdruck</t>
  </si>
  <si>
    <t>Aluminium ; Lighter than Steel ; Strong Design ; Great Pressure</t>
  </si>
  <si>
    <t>Rouleur à double pression pour jonction à froid ; Aluminium ; Plus léger que l’acier ; Désign avancé ; Pression élevée</t>
  </si>
  <si>
    <t>Sonstige</t>
  </si>
  <si>
    <t>COLD SPLICE ROLLER-CSR420KR</t>
  </si>
  <si>
    <t>Cold splice roller, CSR 420 mm, belt width up to 650 mm</t>
  </si>
  <si>
    <t>185,000</t>
  </si>
  <si>
    <t>T-REX Aanroller (koude las) ; Bandbreedte tot 650 mm</t>
  </si>
  <si>
    <t>T-REX Kaltverbindung Anroller ; Gurtbreite bis 650 mm</t>
  </si>
  <si>
    <t>T-REX Cold Splice Roller ; Beltwidth up to 650 mm</t>
  </si>
  <si>
    <t>COLD SPLICE ROLLER-CSR600KR</t>
  </si>
  <si>
    <t>Cold splice roller, CSR 600 mm, belt width up to 1.100 mm</t>
  </si>
  <si>
    <t>189,000</t>
  </si>
  <si>
    <t>T-REX Aanroller (koude las) ; Bandbreedte tot 1.100 mm</t>
  </si>
  <si>
    <t>T-REX Kaltverbindung Anroller ; Gurtbreite bis 1.100 mm</t>
  </si>
  <si>
    <t>T-REX Cold Splice Roller ; Beltwidth up to 1.100 mm</t>
  </si>
  <si>
    <t>COLD SPLICE ROLLER-CSR800KR</t>
  </si>
  <si>
    <t>Cold splice roller, CSR 800 mm, belt width up to 1.500 mm</t>
  </si>
  <si>
    <t>T-REX Aanroller (koude las) ; Bandbreedte tot 1.500 mm</t>
  </si>
  <si>
    <t>T-REX Kaltverbindung Anroller ; Gurtbreite bis 1.500 mm</t>
  </si>
  <si>
    <t>T-REX Cold Splice Roller ; Beltwidth up to 1.500 mm</t>
  </si>
  <si>
    <t>Doppelwirkend für anrollen Gurtverbindung ; Aluminium ; Leichter als Stahl ; Starkes Design ; Hoher Anpressdruck</t>
  </si>
  <si>
    <t>CP1000XXX500/3-10+3CO</t>
  </si>
  <si>
    <t>CP 500/3-10+3-BB1000-RIPSTOP</t>
  </si>
  <si>
    <t>12017, Conflex Industrial Ltd.</t>
  </si>
  <si>
    <t>71,850</t>
  </si>
  <si>
    <t>01_Conveyor Belts</t>
  </si>
  <si>
    <t>01-05_Ripstop</t>
  </si>
  <si>
    <t>Ripstop met staalkabels in bovendeklaag ; CP 500/3-10+3</t>
  </si>
  <si>
    <t>Ripstop mit Stahlseil Breaker in Deckplatte ; CP 500/3-10+3</t>
  </si>
  <si>
    <t>Ripstop with steel cables in top cover ; CP 500/3-10+3</t>
  </si>
  <si>
    <t>Ripstop avec breaker en acier dans le revêtement supérieur ; CP 500/3-10+3</t>
  </si>
  <si>
    <t>Bandweefseltype: EP ; Treksterkte: 500 N/mm ; Aantal inlagen: 3 + 1 Breker ; Bovendek: 10 mm ; Onderdek: 3 mm ; Brekerinlage: ; - BF 125 in bovendek ; -Diameter kabel ± Ø 1,35mm ; -Afstand ± 8 - 12 mm ; Bandbreedte: 1000 mm ; Slijtwaarde: &lt; 90 mm³</t>
  </si>
  <si>
    <t>Gewebetype: EP ; Zugfestigkeit: 500 N/mm ; Anzahl Einlagen: 3 + 1 Breaker ; Deckplatte: 10 mm ; Laufseite: 3 mm ; Brechereinlage: ; - BF 125 im Deckplatte ; -Kabeldurchmesser ± Ø 1,35mm ; -Abstand ± 8 - 12 mm ; Gurtbreite: 1000 mm ; Abrieb: &lt; 90 mm³</t>
  </si>
  <si>
    <t>Fabric type: EP ; Tensile strength: 500 N/mm ; Number of plies: 3 + 1 Breaker ; Topcover: 10 mm ; Bottomcover: 3 mm ; Breaker: ; - BF 125 in Topcover ; -Diameter cable ± Ø 1,35mm ; -Pitch ± 8 - 12 mm ; Beltwidth: 1000 mm ; Abrasion: &lt; 90 mm³</t>
  </si>
  <si>
    <t>Carcasse: EP ; Résistance à la traction: 500 N/mm ; Nombre de plis: 3 + 1 Breaker ; Revêtement supérieur: 10 mm ; Revêtement inférieur: 3 mm ; Breaker: ; - BF 125 dans revêtement supérieur ; -Diamètre des câbles ± Ø 1,35mm ; -Espacement ± 8 - 12 mm ; Largeur de bande: 1000 mm ; Abrasion: &lt; 90 mm³</t>
  </si>
  <si>
    <t>Breker versterking ; Beschermd tegen beschadigingen en scheuren in lengterichting ; Verlengt de levensduur van uw transportband</t>
  </si>
  <si>
    <t>Breaker-Verstärkung ; Beständig gegen Beschädigungen und Risse in Längsrichtung ; Verlängert die Lebensdauer Ihres Förderbandes</t>
  </si>
  <si>
    <t>Breaker Reinforcement ; Resists damage and tears in length direction rip ; Extends the lifetime of your conveyor belt</t>
  </si>
  <si>
    <t>Protection anti-déchirement ; Résiste aux impacts et aux déchirures dans le sens de la longueur ; Prolonge la durée de vie de votre bande transporteuse</t>
  </si>
  <si>
    <t>040</t>
  </si>
  <si>
    <t>030</t>
  </si>
  <si>
    <t>CP1000XXX500/3-10+3-DIN-YSA</t>
  </si>
  <si>
    <t>51,360</t>
  </si>
  <si>
    <t>Ripstop mit Stahlseil Breaker im Obendecke ; CP 500/3-10+3</t>
  </si>
  <si>
    <t>Bandweefseltype: EP ; Treksterkte: 500 N/mm ; Aantal inlagen: 3 + 1 Breker ; Bovendek: 10 mm ; Onderdek: 3 mm ; Brekerinlage: ; - BF 125 in bovendek ; -Diameter kabel ± Ø 1,35mm ; -Afstand ± 8 - 12 mm ; Bandbreedte: 1000 mm ; Slijtwaarde: &lt; 150 mm³</t>
  </si>
  <si>
    <t>Gewebetype: EP ; Zugfestigkeit: 500 N/mm ; Anzahl Einlagen: 3 + 1 Brecher ; Oberdeck: 10 mm ; Unterdeck: 3 mm ; Brechereinlage: ; - BF 125 im Oberdeck ; -Kabeldurchmesser ± Ø 1,35mm ; -Abstand ± 8 - 12 mm ; Gurtbreite: 1000 mm ; Abrieb: &lt; 150 mm³</t>
  </si>
  <si>
    <t>Fabric type: EP ; Tensile strength: 500 N/mm ; Number of plies: 3 + 1 Breaker ; Topcover: 10 mm ; Bottomcover: 3 mm ; Breaker: ; - BF 125 in Topcover ; -Diameter cable ± Ø 1,35mm ; -Pitch ± 8 - 12 mm ; Beltwidth: 1000 mm ; Abrasion: &lt; 150 mm³</t>
  </si>
  <si>
    <t>Breaker-Verstärkung ; Beständig gegen Beschädigungen und Risse in Längenrichtung ; Verlängert die Lebensdauer Ihres Förderbandes</t>
  </si>
  <si>
    <t>CP1000XXX500/3-10+3SA</t>
  </si>
  <si>
    <t>48,410</t>
  </si>
  <si>
    <t>Gewebetype: EP ; Zugfestigkeit: 500 N/mm ; Anzahl Einlagen: 3 + 1 Brecher ; Oberdeck: 10 mm ; Unterdeck: 3 mm ; Brechereinlage: ; - BF 125 im Oberdeck ; -Kabeldurchmesser ± Ø 1,35mm ; -Abstand ± 8 - 12 mm ; Gurtbreite: 1000 mm ; Abrieb: &lt; 90 mm³</t>
  </si>
  <si>
    <t>CP1000XXX500/3-5+3CO</t>
  </si>
  <si>
    <t>CP 500/3-5+3,BB1000-RIPSTOP</t>
  </si>
  <si>
    <t>55,560</t>
  </si>
  <si>
    <t>Ripstop met staalkabels in bovendeklaag ; CP 500/3-5+3</t>
  </si>
  <si>
    <t>Ripstop mit Stahlseil Breaker im Obendecke ; CP 500/3-5+3</t>
  </si>
  <si>
    <t>Ripstop with steel cables in top cover ; CP 500/3-5+3</t>
  </si>
  <si>
    <t>Ripstop avec breaker en acier dans le revêtement supérieur ; CP 500/3-5+3</t>
  </si>
  <si>
    <t>Bandweefseltype: EP ; Treksterkte: 500 N/mm ; Aantal inlagen: 3 + 1 Breker ; Bovendek: 5 mm ; Onderdek: 3 mm ; Brekerinlage: ; - BF 125 in bovendek ; -Diameter kabel ± Ø 1,35mm ; -Afstand ± 8 - 12 mm ; Bandbreedte: 1000 mm ; Slijtwaarde: &lt; 90 mm³</t>
  </si>
  <si>
    <t>Gewebetype: EP ; Zugfestigkeit: 500 N/mm ; Anzahl Einlagen: 3 + 1 Brecher ; Oberdeck: 5 mm ; Unterdeck: 3 mm ; Brechereinlage: ; - BF 125 im Oberdeck ; -Kabeldurchmesser ± Ø 1,35mm ; -Abstand ± 8 - 12 mm ; Gurtbreite: 1000 mm ; Abrieb: &lt; 90 mm³</t>
  </si>
  <si>
    <t>Fabric type: EP ; Tensile strength: 500 N/mm ; Number of plies: 3 + 1 Breaker ; Topcover: 5 mm ; Bottomcover: 3 mm ; Breaker: ; - BF 125 in Topcover ; -Diameter cable ± Ø 1,35mm ; -Pitch ± 8 - 12 mm ; Beltwidth: 1000 mm ; Abrasion: &lt; 90 mm³</t>
  </si>
  <si>
    <t>Carcasse: EP ; Résistance à la traction: 500 N/mm ; Nombre de plis: 3 + 1 Breaker ; Revêtement supérieur: 5 mm ; Revêtement inférieur: 3 mm ; Breaker: ; - BF 125 dans revêtement supérieur ; -Diamètre des câbles ± Ø 1,35mm ; -Espacement ± 8 - 12 mm ; Largeur de bande: 1000 mm ; Abrasion: &lt; 90 mm³</t>
  </si>
  <si>
    <t>CP1000XXX500/3-5+3SA</t>
  </si>
  <si>
    <t>36,850</t>
  </si>
  <si>
    <t>CP1000XXX500/3-8+3CO</t>
  </si>
  <si>
    <t>CP 500/3-8+3,BB1000-RIPSTOP</t>
  </si>
  <si>
    <t>57,020</t>
  </si>
  <si>
    <t>Ripstop met staalkabels in bovendeklaag ; CP 500/3-8+3</t>
  </si>
  <si>
    <t>Ripstop mit Stahlseil Breaker im Obendecke ; CP 500/3-8+3</t>
  </si>
  <si>
    <t>Ripstop with steel cables in top cover ; CP 500/3-8+3</t>
  </si>
  <si>
    <t>Ripstop avec breaker en acier dans le revêtement supérieur ; CP 500/3-8+3</t>
  </si>
  <si>
    <t>Bandweefseltype: EP ; Treksterkte: 500 N/mm ; Aantal inlagen: 3 + 1 Breker ; Bovendek: 8 mm ; Onderdek: 3 mm ; Brekerinlage: ; - BF 125 in bovendek ; -Diameter kabel ± Ø 1,35mm ; -Afstand ± 8 - 12 mm ; Bandbreedte: 1000 mm ; Slijtwaarde: &lt; 90 mm³</t>
  </si>
  <si>
    <t>Gewebetype: EP ; Zugfestigkeit: 500 N/mm ; Anzahl Einlagen: 3 + 1 Brecher ; Oberdeck: 8 mm ; Unterdeck: 3 mm ; Brechereinlage: ; - BF 125 im Oberdeck ; -Kabeldurchmesser ± Ø 1,35mm ; -Abstand ± 8 - 12 mm ; Gurtbreite: 1000 mm ; Abrieb: &lt; 90 mm³</t>
  </si>
  <si>
    <t>Fabric type: EP ; Tensile strength: 500 N/mm ; Number of plies: 3 + 1 Breaker ; Topcover: 8 mm ; Bottomcover: 3 mm ; Breaker: ; - BF 125 in Topcover ; -Diameter cable ± Ø 1,35mm ; -Pitch ± 8 - 12 mm ; Beltwidth: 1000 mm ; Abrasion: &lt; 90 mm³</t>
  </si>
  <si>
    <t>Carcasse: EP ; Résistance à la traction: 500 N/mm ; Nombre de plis: 3 + 1 Breaker ; Revêtement supérieur: 8 mm ; Revêtement inférieur: 3 mm ; Breaker: ; - BF 125 dans revêtement supérieur ; -Diamètre des câbles ± Ø 1,35mm ; -Espacement ± 8 - 12 mm ; Largeur de bande: 1000 mm ; Abrasion: &lt; 90 mm³</t>
  </si>
  <si>
    <t>CP1000XXX500/3-8+3SA</t>
  </si>
  <si>
    <t>43,790</t>
  </si>
  <si>
    <t>CP1000XXX500/3-8+3ZZ</t>
  </si>
  <si>
    <t>50,210</t>
  </si>
  <si>
    <t>CP1170PRH500/3-7+3-H100HY</t>
  </si>
  <si>
    <t>CP 500/3-7+3,BB1170,profiel H100</t>
  </si>
  <si>
    <t>3, Rubber profielbanden</t>
  </si>
  <si>
    <t>126,520</t>
  </si>
  <si>
    <t>CP1200PRG315/3-3+2-C15P600SA</t>
  </si>
  <si>
    <t>CP 315/3-3+2,BB1200-RIPSTOP-C15P600 O&amp;V</t>
  </si>
  <si>
    <t>60,866</t>
  </si>
  <si>
    <t>CP1200PRL500/3-5+3-P17-36-WCT</t>
  </si>
  <si>
    <t>CP 500/3-5+3,BB1200-RIPSTOP-P17-36B900-DIN-W</t>
  </si>
  <si>
    <t>85,750</t>
  </si>
  <si>
    <t>17338, Centrum Tasm i Pasow Szczepan Jurek</t>
  </si>
  <si>
    <t>2.370,720</t>
  </si>
  <si>
    <t>CP1200XXX2000/4-8+5CO</t>
  </si>
  <si>
    <t>CP 2000/4-8+5,BB1200-RIPSTOP-DIN-Y</t>
  </si>
  <si>
    <t>CP1200XXX2000/4-8+5SA</t>
  </si>
  <si>
    <t>79,920</t>
  </si>
  <si>
    <t>CP1200XXX500/3-10+3CO</t>
  </si>
  <si>
    <t>CP 500/3-10+3-BB1200-RIPSTOP</t>
  </si>
  <si>
    <t>75,260</t>
  </si>
  <si>
    <t>Bandweefseltype: EP ; Treksterkte: 500 N/mm ; Aantal inlagen: 3 + 1 Breker ; Bovendek: 10 mm ; Onderdek: 3 mm ; Brekerinlage: ; - BF 125 in bovendek ; -Diameter kabel ± Ø 1,35mm ; -Afstand ± 8 - 12 mm ; Bandbreedte: 1200 mm ; Slijtwaarde: &lt; 90 mm³</t>
  </si>
  <si>
    <t>Gewebetype: EP ; Zugfestigkeit: 500 N/mm ; Anzahl Einlagen: 3 + 1 Brecher ; Oberdeck: 10 mm ; Unterdeck: 3 mm ; Brechereinlage: ; - BF 125 im Oberdeck ; -Kabeldurchmesser ± Ø 1,35mm ; -Abstand ± 8 - 12 mm ; Gurtbreite: 1200 mm ; Abrieb: &lt; 90 mm³</t>
  </si>
  <si>
    <t>Fabric type: EP ; Tensile strength: 500 N/mm ; Number of plies: 3 + 1 Breaker ; Topcover: 10 mm ; Bottomcover: 3 mm ; Breaker: ; - BF 125 in Topcover ; -Diameter cable ± Ø 1,35mm ; -Pitch ± 8 - 12 mm ; Beltwidth: 1200 mm ; Abrasion: &lt; 90 mm³</t>
  </si>
  <si>
    <t>Carcasse: EP ; Résistance à la traction: 500 N/mm ; Nombre de plis: 3 + 1 Breaker ; Revêtement supérieur: 10 mm ; Revêtement inférieur: 3 mm ; Breaker: ; - BF 125 dans revêtement supérieur ; -Diamètre des câbles ± Ø 1,35mm ; -Espacement ± 8 - 12 mm ; Largeur de bande: 1200 mm ; Abrasion: &lt; 90 mm³</t>
  </si>
  <si>
    <t>CP1200XXX500/3-10+3-DIN-YSA</t>
  </si>
  <si>
    <t>CP 500/3-10+3-BB1200-RIPSTOP - DIN-Y</t>
  </si>
  <si>
    <t>61,640</t>
  </si>
  <si>
    <t>CP1200XXX500/3-10+3-EINDLB</t>
  </si>
  <si>
    <t>CP 500/3-10+3-BB1200-RIPSTOP-Eindloos</t>
  </si>
  <si>
    <t>16383, LBS Conveyor Belts B.V.</t>
  </si>
  <si>
    <t>2.143,250</t>
  </si>
  <si>
    <t>CP1200XXX500/3-10+3SA</t>
  </si>
  <si>
    <t>70,203</t>
  </si>
  <si>
    <t>CP1200XXX500/3-5+3CO</t>
  </si>
  <si>
    <t>CP 500/3-5+3,BB1200-RIPSTOP</t>
  </si>
  <si>
    <t>140,530</t>
  </si>
  <si>
    <t>66,670</t>
  </si>
  <si>
    <t>Bandweefseltype: EP ; Treksterkte: 500 N/mm ; Aantal inlagen: 3 + 1 Breker ; Bovendek: 5 mm ; Onderdek: 3 mm ; Brekerinlage: ; - BF 125 in bovendek ; -Diameter kabel ± Ø 1,35mm ; -Afstand ± 8 - 12 mm ; Bandbreedte: 1200 mm ; Slijtwaarde: &lt; 90 mm³</t>
  </si>
  <si>
    <t>Gewebetype: EP ; Zugfestigkeit: 500 N/mm ; Anzahl Einlagen: 3 + 1 Brecher ; Oberdeck: 5 mm ; Unterdeck: 3 mm ; Brechereinlage: ; - BF 125 im Oberdeck ; -Kabeldurchmesser ± Ø 1,35mm ; -Abstand ± 8 - 12 mm ; Gurtbreite: 1200 mm ; Abrieb: &lt; 90 mm³</t>
  </si>
  <si>
    <t>Fabric type: EP ; Tensile strength: 500 N/mm ; Number of plies: 3 + 1 Breaker ; Topcover: 5 mm ; Bottomcover: 3 mm ; Breaker: ; - BF 125 in Topcover ; -Diameter cable ± Ø 1,35mm ; -Pitch ± 8 - 12 mm ; Beltwidth: 1200 mm ; Abrasion: &lt; 90 mm³</t>
  </si>
  <si>
    <t>Carcasse: EP ; Résistance à la traction: 500 N/mm ; Nombre de plis: 3 + 1 Breaker ; Revêtement supérieur: 5 mm ; Revêtement inférieur: 3 mm ; Breaker: ; - BF 125 dans revêtement supérieur ; -Diamètre des câbles ± Ø 1,35mm ; -Espacement ± 8 - 12 mm ; Largeur de bande: 1200 mm ; Abrasion: &lt; 90 mm³</t>
  </si>
  <si>
    <t>CP1200XXX500/3-5+3SA</t>
  </si>
  <si>
    <t>52,710</t>
  </si>
  <si>
    <t>CP1200XXX500/3-8+3CO</t>
  </si>
  <si>
    <t>CP 500/3-8+3,BB1200-RIPSTOP</t>
  </si>
  <si>
    <t>68,820</t>
  </si>
  <si>
    <t>Bandweefseltype: EP ; Treksterkte: 500 N/mm ; Aantal inlagen: 3 + 1 Breker ; Bovendek: 8 mm ; Onderdek: 3 mm ; Brekerinlage: ; - BF 125 in bovendek ; -Diameter kabel ± Ø 1,35mm ; -Afstand ± 8 - 12 mm ; Bandbreedte: 1200 mm ; Slijtwaarde: &lt; 90 mm³</t>
  </si>
  <si>
    <t>Gewebetype: EP ; Zugfestigkeit: 500 N/mm ; Anzahl Einlagen: 3 + 1 Brecher ; Oberdeck: 8 mm ; Unterdeck: 3 mm ; Brechereinlage: ; - BF 125 im Oberdeck ; -Kabeldurchmesser ± Ø 1,35mm ; -Abstand ± 8 - 12 mm ; Gurtbreite: 1200 mm ; Abrieb: &lt; 90 mm³</t>
  </si>
  <si>
    <t>Fabric type: EP ; Tensile strength: 500 N/mm ; Number of plies: 3 + 1 Breaker ; Topcover: 8 mm ; Bottomcover: 3 mm ; Breaker: ; - BF 125 in Topcover ; -Diameter cable ± Ø 1,35mm ; -Pitch ± 8 - 12 mm ; Beltwidth: 1200 mm ; Abrasion: &lt; 90 mm³</t>
  </si>
  <si>
    <t>Carcasse: EP ; Résistance à la traction: 500 N/mm ; Nombre de plis: 3 + 1 Breaker ; Revêtement supérieur: 8 mm ; Revêtement inférieur: 3 mm ; Breaker: ; - BF 125 dans revêtement supérieur ; -Diamètre des câbles ± Ø 1,35mm ; -Espacement ± 8 - 12 mm ; Largeur de bande: 1200 mm ; Abrasion: &lt; 90 mm³</t>
  </si>
  <si>
    <t>CP1200XXX500/3-8+3RP</t>
  </si>
  <si>
    <t>12185, Repa Transportbanden B.V.</t>
  </si>
  <si>
    <t>73,450</t>
  </si>
  <si>
    <t>CP1200XXX500/3-8+3SA</t>
  </si>
  <si>
    <t>52,550</t>
  </si>
  <si>
    <t>CP1400PRM500/3-5+3-C25P1335CT</t>
  </si>
  <si>
    <t>CP 500/3-5+3,BB1400-RIPSTOP-C25P1335</t>
  </si>
  <si>
    <t>154,000</t>
  </si>
  <si>
    <t>CP1400XXX500/3-10+3CO</t>
  </si>
  <si>
    <t>CP 500/3-10+3,BB1400-RIPSTOP</t>
  </si>
  <si>
    <t>72,910</t>
  </si>
  <si>
    <t>Bandweefseltype: EP ; Treksterkte: 500 N/mm ; Aantal inlagen: 3 + 1 Breker ; Bovendek: 10 mm ; Onderdek: 3 mm ; Brekerinlage: ; - BF 125 in bovendek ; -Diameter kabel ± Ø 1,35mm ; -Afstand ± 8 - 12 mm ; Bandbreedte: 1400 mm ; Slijtwaarde: &lt; 90 mm³</t>
  </si>
  <si>
    <t>Gewebetype: EP ; Zugfestigkeit: 500 N/mm ; Anzahl Einlagen: 3 + 1 Brecher ; Oberdeck: 10 mm ; Unterdeck: 3 mm ; Brechereinlage: ; - BF 125 im Oberdeck ; -Kabeldurchmesser ± Ø 1,35mm ; -Abstand ± 8 - 12 mm ; Gurtbreite: 1400 mm ; Abrieb: &lt; 90 mm³</t>
  </si>
  <si>
    <t>Fabric type: EP ; Tensile strength: 500 N/mm ; Number of plies: 3 + 1 Breaker ; Topcover: 10 mm ; Bottomcover: 3 mm ; Breaker: ; - BF 125 in Topcover ; -Diameter cable ± Ø 1,35mm ; -Pitch ± 8 - 12 mm ; Beltwidth: 1400 mm ; Abrasion: &lt; 90 mm³</t>
  </si>
  <si>
    <t>Carcasse: EP ; Résistance à la traction: 500 N/mm ; Nombre de plis: 3 + 1 Breaker ; Revêtement supérieur: 10 mm ; Revêtement inférieur: 3 mm ; Breaker: ; - BF 125 dans revêtement supérieur ; -Diamètre des câbles ± Ø 1,35mm ; -Espacement ± 8 - 12 mm ; Largeur de bande: 1400 mm ; Abrasion: &lt; 90 mm³</t>
  </si>
  <si>
    <t>CP1400XXX500/3-10+3SA</t>
  </si>
  <si>
    <t>81,908</t>
  </si>
  <si>
    <t>CP1400XXX500/3-5+3CO</t>
  </si>
  <si>
    <t>CP 500/3-5+3,BB1400-RIPSTOP</t>
  </si>
  <si>
    <t>54,710</t>
  </si>
  <si>
    <t>Bandweefseltype: EP ; Treksterkte: 500 N/mm ; Aantal inlagen: 3 + 1 Breker ; Bovendek: 5 mm ; Onderdek: 3 mm ; Brekerinlage: ; - BF 125 in bovendek ; -Diameter kabel ± Ø 1,35mm ; -Afstand ± 8 - 12 mm ; Bandbreedte: 1400 mm ; Slijtwaarde: &lt; 90 mm³</t>
  </si>
  <si>
    <t>Gewebetype: EP ; Zugfestigkeit: 500 N/mm ; Anzahl Einlagen: 3 + 1 Brecher ; Oberdeck: 5 mm ; Unterdeck: 3 mm ; Brechereinlage: ; - BF 125 im Oberdeck ; -Kabeldurchmesser ± Ø 1,35mm ; -Abstand ± 8 - 12 mm ; Gurtbreite: 1400 mm ; Abrieb: &lt; 90 mm³</t>
  </si>
  <si>
    <t>Fabric type: EP ; Tensile strength: 500 N/mm ; Number of plies: 3 + 1 Breaker ; Topcover: 5 mm ; Bottomcover: 3 mm ; Breaker: ; - BF 125 in Topcover ; -Diameter cable ± Ø 1,35mm ; -Pitch ± 8 - 12 mm ; Beltwidth: 1400 mm ; Abrasion: &lt; 90 mm³</t>
  </si>
  <si>
    <t>Carcasse: EP ; Résistance à la traction: 500 N/mm ; Nombre de plis: 3 + 1 Breaker ; Revêtement supérieur: 5 mm ; Revêtement inférieur: 3 mm ; Breaker: ; - BF 125 dans revêtement supérieur ; -Diamètre des câbles ± Ø 1,35mm ; -Espacement ± 8 - 12 mm ; Largeur de bande: 1400 mm ; Abrasion: &lt; 90 mm³</t>
  </si>
  <si>
    <t>CP1400XXX500/3-5+3SA</t>
  </si>
  <si>
    <t>51,580</t>
  </si>
  <si>
    <t>CP1400XXX500/3-8+3CO</t>
  </si>
  <si>
    <t>CP 500/3-8+3,BB1400-RIPSTOP</t>
  </si>
  <si>
    <t>80,290</t>
  </si>
  <si>
    <t>Bandweefseltype: EP ; Treksterkte: 500 N/mm ; Aantal inlagen: 3 + 1 Breker ; Bovendek: 8 mm ; Onderdek: 3 mm ; Brekerinlage: ; - BF 125 in bovendek ; -Diameter kabel ± Ø 1,35mm ; -Afstand ± 8 - 12 mm ; Bandbreedte: 1400 mm ; Slijtwaarde: &lt; 90 mm³</t>
  </si>
  <si>
    <t>Gewebetype: EP ; Zugfestigkeit: 500 N/mm ; Anzahl Einlagen: 3 + 1 Brecher ; Oberdeck: 8 mm ; Unterdeck: 3 mm ; Brechereinlage: ; - BF 125 im Oberdeck ; -Kabeldurchmesser ± Ø 1,35mm ; -Abstand ± 8 - 12 mm ; Gurtbreite: 1400 mm ; Abrieb: &lt; 90 mm³</t>
  </si>
  <si>
    <t>Fabric type: EP ; Tensile strength: 500 N/mm ; Number of plies: 3 + 1 Breaker ; Topcover: 8 mm ; Bottomcover: 3 mm ; Breaker: ; - BF 125 in Topcover ; -Diameter cable ± Ø 1,35mm ; -Pitch ± 8 - 12 mm ; Beltwidth: 1400 mm ; Abrasion: &lt; 90 mm³</t>
  </si>
  <si>
    <t>Carcasse: EP ; Résistance à la traction: 500 N/mm ; Nombre de plis: 3 + 1 Breaker ; Revêtement supérieur: 8 mm ; Revêtement inférieur: 3 mm ; Breaker: ; - BF 125 dans revêtement supérieur ; -Diamètre des câbles ± Ø 1,35mm ; -Espacement ± 8 - 12 mm ; Largeur de bande: 1400 mm ; Abrasion: &lt; 90 mm³</t>
  </si>
  <si>
    <t>CP1400XXX500/3-8+3SA</t>
  </si>
  <si>
    <t>67,970</t>
  </si>
  <si>
    <t>CP1600XXX500/3-10+3CO</t>
  </si>
  <si>
    <t>CP 500/3-10+3,BB1600-RIPSTOP</t>
  </si>
  <si>
    <t>106,360</t>
  </si>
  <si>
    <t>Bandweefseltype: EP ; Treksterkte: 500 N/mm ; Aantal inlagen: 3 + 1 Breker ; Bovendek: 10 mm ; Onderdek: 3 mm ; Brekerinlage: ; - BF 125 in bovendek ; -Diameter kabel ± Ø 1,35mm ; -Afstand ± 8 - 12 mm ; Bandbreedte: 1600 mm ; Slijtwaarde: &lt; 90 mm³</t>
  </si>
  <si>
    <t>Gewebetype: EP ; Zugfestigkeit: 500 N/mm ; Anzahl Einlagen: 3 + 1 Brecher ; Oberdeck: 10 mm ; Unterdeck: 3 mm ; Brechereinlage: ; - BF 125 im Oberdeck ; -Kabeldurchmesser ± Ø 1,35mm ; -Abstand ± 8 - 12 mm ; Gurtbreite: 1600 mm ; Abrieb: &lt; 90 mm³</t>
  </si>
  <si>
    <t>Fabric type: EP ; Tensile strength: 500 N/mm ; Number of plies: 3 + 1 Breaker ; Topcover: 10 mm ; Bottomcover: 3 mm ; Breaker: ; - BF 125 in Topcover ; -Diameter cable ± Ø 1,35mm ; -Pitch ± 8 - 12 mm ; Beltwidth: 1600 mm ; Abrasion: &lt; 90 mm³</t>
  </si>
  <si>
    <t>Carcasse: EP ; Résistance à la traction: 500 N/mm ; Nombre de plis: 3 + 1 Breaker ; Revêtement supérieur: 10 mm ; Revêtement inférieur: 3 mm ; Breaker: ; - BF 125 dans revêtement supérieur ; -Diamètre des câbles ± Ø 1,35mm ; -Espacement ± 8 - 12 mm ; Largeur de bande: 1600 mm ; Abrasion: &lt; 90 mm³</t>
  </si>
  <si>
    <t>CP1600XXX500/3-10+3SA</t>
  </si>
  <si>
    <t>93,600</t>
  </si>
  <si>
    <t>CP1600XXX500/3-5+3CO</t>
  </si>
  <si>
    <t>CP 500/3-5+3-BB1600-RIPSTOP</t>
  </si>
  <si>
    <t>99,000</t>
  </si>
  <si>
    <t>67,170</t>
  </si>
  <si>
    <t>Bandweefseltype: EP ; Treksterkte: 500 N/mm ; Aantal inlagen: 3 + 1 Breker ; Bovendek: 5 mm ; Onderdek: 3 mm ; Brekerinlage: ; - BF 125 in bovendek ; -Diameter kabel ± Ø 1,35mm ; -Afstand ± 8 - 12 mm ; Bandbreedte: 1600 mm ; Slijtwaarde: &lt; 90 mm³</t>
  </si>
  <si>
    <t>Gewebetype: EP ; Zugfestigkeit: 500 N/mm ; Anzahl Einlagen: 3 + 1 Brecher ; Oberdeck: 5 mm ; Unterdeck: 3 mm ; Brechereinlage: ; - BF 125 im Oberdeck ; -Kabeldurchmesser ± Ø 1,35mm ; -Abstand ± 8 - 12 mm ; Gurtbreite: 1600 mm ; Abrieb: &lt; 90 mm³</t>
  </si>
  <si>
    <t>Fabric type: EP ; Tensile strength: 500 N/mm ; Number of plies: 3 + 1 Breaker ; Topcover: 5 mm ; Bottomcover: 3 mm ; Breaker: ; - BF 125 in Topcover ; -Diameter cable ± Ø 1,35mm ; -Pitch ± 8 - 12 mm ; Beltwidth: 1600 mm ; Abrasion: &lt; 90 mm³</t>
  </si>
  <si>
    <t>Carcasse: EP ; Résistance à la traction: 500 N/mm ; Nombre de plis: 3 + 1 Breaker ; Revêtement supérieur: 5 mm ; Revêtement inférieur: 3 mm ; Breaker: ; - BF 125 dans revêtement supérieur ; -Diamètre des câbles ± Ø 1,35mm ; -Espacement ± 8 - 12 mm ; Largeur de bande: 1600 mm ; Abrasion: &lt; 90 mm³</t>
  </si>
  <si>
    <t>CP1600XXX500/3-5+3SA</t>
  </si>
  <si>
    <t>70,280</t>
  </si>
  <si>
    <t>CP1600XXX500/3-8+3CO</t>
  </si>
  <si>
    <t>CP 500/3-8+3-BB1600-RIPSTOP</t>
  </si>
  <si>
    <t>85,460</t>
  </si>
  <si>
    <t>Bandweefseltype: EP ; Treksterkte: 500 N/mm ; Aantal inlagen: 3 + 1 Breker ; Bovendek: 8 mm ; Onderdek: 3 mm ; Brekerinlage: ; - BF 125 in bovendek ; -Diameter kabel ± Ø 1,35mm ; -Afstand ± 8 - 12 mm ; Bandbreedte: 1600 mm ; Slijtwaarde: &lt; 90 mm³</t>
  </si>
  <si>
    <t>Gewebetype: EP ; Zugfestigkeit: 500 N/mm ; Anzahl Einlagen: 3 + 1 Brecher ; Oberdeck: 8 mm ; Unterdeck: 3 mm ; Brechereinlage: ; - BF 125 im Oberdeck ; -Kabeldurchmesser ± Ø 1,35mm ; -Abstand ± 8 - 12 mm ; Gurtbreite: 1600 mm ; Abrieb: &lt; 90 mm³</t>
  </si>
  <si>
    <t>Fabric type: EP ; Tensile strength: 500 N/mm ; Number of plies: 3 + 1 Breaker ; Topcover: 8 mm ; Bottomcover: 3 mm ; Breaker: ; - BF 125 in Topcover ; -Diameter cable ± Ø 1,35mm ; -Pitch ± 8 - 12 mm ; Beltwidth: 1600 mm ; Abrasion: &lt; 90 mm³</t>
  </si>
  <si>
    <t>Carcasse: EP ; Résistance à la traction: 500 N/mm ; Nombre de plis: 3 + 1 Breaker ; Revêtement supérieur: 8 mm ; Revêtement inférieur: 3 mm ; Breaker: ; - BF 125 dans revêtement supérieur ; -Diamètre des câbles ± Ø 1,35mm ; -Espacement ± 8 - 12 mm ; Largeur de bande: 1600 mm ; Abrasion: &lt; 90 mm³</t>
  </si>
  <si>
    <t>CP1600XXX500/3-8+3SA</t>
  </si>
  <si>
    <t>84,276</t>
  </si>
  <si>
    <t>CP500OVX500/3-5+3SA</t>
  </si>
  <si>
    <t>CP 500/3-5+3,BB500-RIPSTOP - O&amp;V</t>
  </si>
  <si>
    <t>21,200</t>
  </si>
  <si>
    <t>CP650PRL500/3-5+3-H80-T30CT</t>
  </si>
  <si>
    <t>CP 500/3-5+3,BB650-RIPSTOP-H80-T30</t>
  </si>
  <si>
    <t>142,220</t>
  </si>
  <si>
    <t>CP650PRL500/3-5+3-P16-05B650CT</t>
  </si>
  <si>
    <t>CP 500/3-5+3,BB650-RIPSTOP-P16-05 B650</t>
  </si>
  <si>
    <t>79,780</t>
  </si>
  <si>
    <t>CP650PRL500/3-5+3-P16-06B380CT</t>
  </si>
  <si>
    <t>CP 500/3-5+3,BB650-RIPSTOP-P16-06 B380</t>
  </si>
  <si>
    <t>69,760</t>
  </si>
  <si>
    <t>CP650XXX500/3-5+3CO</t>
  </si>
  <si>
    <t>CP 500/3-5+3,BB650-RIPSTOP</t>
  </si>
  <si>
    <t>32,980</t>
  </si>
  <si>
    <t>Bandweefseltype: EP ; Treksterkte: 500 N/mm ; Aantal inlagen: 3 + 1 Breker ; Bovendek: 5 mm ; Onderdek: 3 mm ; Brekerinlage: ; - BF 125 in bovendek ; -Diameter kabel ± Ø 1,35mm ; -Afstand ± 8 - 12 mm ; Bandbreedte: 650 mm ; Slijtwaarde: &lt; 90 mm³</t>
  </si>
  <si>
    <t>Gewebetype: EP ; Zugfestigkeit: 500 N/mm ; Anzahl Einlagen: 3 + 1 Brecher ; Oberdeck: 5 mm ; Unterdeck: 3 mm ; Brechereinlage: ; - BF 125 im Oberdeck ; -Kabeldurchmesser ± Ø 1,35mm ; -Abstand ± 8 - 12 mm ; Gurtbreite: 650 mm ; Abrieb: &lt; 90 mm³</t>
  </si>
  <si>
    <t>Fabric type: EP ; Tensile strength: 500 N/mm ; Number of plies: 3 + 1 Breaker ; Topcover: 5 mm ; Bottomcover: 3 mm ; Breaker: ; - BF 125 in Topcover ; -Diameter cable ± Ø 1,35mm ; -Pitch ± 8 - 12 mm ; Beltwidth: 650 mm ; Abrasion: &lt; 90 mm³</t>
  </si>
  <si>
    <t>Carcasse: EP ; Résistance à la traction: 500 N/mm ; Nombre de plis: 3 + 1 Breaker ; Revêtement supérieur: 5 mm ; Revêtement inférieur: 3 mm ; Breaker: ; - BF 125 dans revêtement supérieur ; -Diamètre des câbles ± Ø 1,35mm ; -Espacement ± 8 - 12 mm ; Largeur de bande: 650 mm ; Abrasion: &lt; 90 mm³</t>
  </si>
  <si>
    <t>CP650XXX500/3-5+3SA</t>
  </si>
  <si>
    <t>23,950</t>
  </si>
  <si>
    <t>Fabric type: EP ; Tensile strength: 500 N/mm ; Number of plies: 3 + 1 Breaker ; Topcover: 5 mm ; Bottomcover: 3 mm ; Breaker: ; - BF 125 in Topcover ; -Diameter cable ± Ø 1,35mm ; -Pitch ± 8 - 12 mm ; Beltwidth: 650 mm ; Abrasion: &lt; 90 mm3</t>
  </si>
  <si>
    <t>CP800PRH500/3-10+3-H46LB</t>
  </si>
  <si>
    <t>CP 500/3-10+3,BB800-RIPSTOP-H46</t>
  </si>
  <si>
    <t>134,200</t>
  </si>
  <si>
    <t>CP800PRL500/3-8+3-P25-06B465CT</t>
  </si>
  <si>
    <t>CP 500/3-8+3,BB800-RIPSTOP-P25-06 B465</t>
  </si>
  <si>
    <t>90,250</t>
  </si>
  <si>
    <t>CP800XXX500/3-10+3CO</t>
  </si>
  <si>
    <t>CP 500/3-10+3-BB800-RIPSTOP</t>
  </si>
  <si>
    <t>53,250</t>
  </si>
  <si>
    <t>Bandweefseltype: EP ; Treksterkte: 500 N/mm ; Aantal inlagen: 3 + 1 Breker ; Bovendek: 10 mm ; Onderdek: 3 mm ; Brekerinlage: ; - BF 125 in bovendek ; -Diameter kabel ± Ø 1,35mm ; -Afstand ± 8 - 12 mm ; Bandbreedte: 800 mm ; Slijtwaarde: &lt; 90 mm³</t>
  </si>
  <si>
    <t>Gewebetype: EP ; Zugfestigkeit: 500 N/mm ; Anzahl Einlagen: 3 + 1 Brecher ; Oberdeck: 10 mm ; Unterdeck: 3 mm ; Brechereinlage: ; - BF 125 im Oberdeck ; -Kabeldurchmesser ± Ø 1,35mm ; -Abstand ± 8 - 12 mm ; Gurtbreite: 800 mm ; Abrieb: &lt; 90 mm³</t>
  </si>
  <si>
    <t>Fabric type: EP ; Tensile strength: 500 N/mm ; Number of plies: 3 + 1 Breaker ; Topcover: 10 mm ; Bottomcover: 3 mm ; Breaker: ; - BF 125 in Topcover ; -Diameter cable ± Ø 1,35mm ; -Pitch ± 8 - 12 mm ; Beltwidth: 800 mm ; Abrasion: &lt; 90 mm³</t>
  </si>
  <si>
    <t>Carcasse: EP ; Résistance à la traction: 500 N/mm ; Nombre de plis: 3 + 1 Breaker ; Revêtement supérieur: 10 mm ; Revêtement inférieur: 3 mm ; Breaker: ; - BF 125 dans revêtement supérieur ; -Diamètre des câbles ± Ø 1,35mm ; -Espacement ± 8 - 12 mm ; Largeur de bande: 800 mm ; Abrasion: &lt; 90 mm³</t>
  </si>
  <si>
    <t>CP800XXX500/3-10+3-DIN-YSA</t>
  </si>
  <si>
    <t>41,090</t>
  </si>
  <si>
    <t>Bandweefseltype: EP ; Treksterkte: 500 N/mm ; Aantal inlagen: 3 + 1 Breker ; Bovendek: 10 mm ; Onderdek: 3 mm ; Brekerinlage: ; - BF 125 in bovendek ; -Diameter kabel ± Ø 1,35mm ; -Afstand ± 8 - 12 mm ; Bandbreedte: 800 mm ; Slijtwaarde: &lt; 150 mm³</t>
  </si>
  <si>
    <t>Gewebetype: EP ; Zugfestigkeit: 500 N/mm ; Anzahl Einlagen: 3 + 1 Brecher ; Oberdeck: 10 mm ; Unterdeck: 3 mm ; Brechereinlage: ; - BF 125 im Oberdeck ; -Kabeldurchmesser ± Ø 1,35mm ; -Abstand ± 8 - 12 mm ; Gurtbreite: 800 mm ; Abrieb: &lt; 150 mm³</t>
  </si>
  <si>
    <t>Fabric type: EP ; Tensile strength: 500 N/mm ; Number of plies: 3 + 1 Breaker ; Topcover: 10 mm ; Bottomcover: 3 mm ; Breaker: ; - BF 125 in Topcover ; -Diameter cable ± Ø 1,35mm ; -Pitch ± 8 - 12 mm ; Beltwidth: 800 mm ; Abrasion: &lt; 150 mm³</t>
  </si>
  <si>
    <t>CP800XXX500/3-10+3SA</t>
  </si>
  <si>
    <t>46,810</t>
  </si>
  <si>
    <t>CP800XXX500/3-5+3CO</t>
  </si>
  <si>
    <t>CP 500/3-5+3-BB800-RIPSTOP</t>
  </si>
  <si>
    <t>39,580</t>
  </si>
  <si>
    <t>Bandweefseltype: EP ; Treksterkte: 500 N/mm ; Aantal inlagen: 3 + 1 Breker ; Bovendek: 5 mm ; Onderdek: 3 mm ; Brekerinlage: ; - BF 125 in bovendek ; -Diameter kabel ± Ø 1,35mm ; -Afstand ± 8 - 12 mm ; Bandbreedte: 800 mm ; Slijtwaarde: &lt; 90 mm³</t>
  </si>
  <si>
    <t>Gewebetype: EP ; Zugfestigkeit: 500 N/mm ; Anzahl Einlagen: 3 + 1 Brecher ; Oberdeck: 5 mm ; Unterdeck: 3 mm ; Brechereinlage: ; - BF 125 im Oberdeck ; -Kabeldurchmesser ± Ø 1,35mm ; -Abstand ± 8 - 12 mm ; Gurtbreite: 800 mm ; Abrieb: &lt; 90 mm³</t>
  </si>
  <si>
    <t>Fabric type: EP ; Tensile strength: 500 N/mm ; Number of plies: 3 + 1 Breaker ; Topcover: 5 mm ; Bottomcover: 3 mm ; Breaker: ; - BF 125 in Topcover ; -Diameter cable ± Ø 1,35mm ; -Pitch ± 8 - 12 mm ; Beltwidth: 800 mm ; Abrasion: &lt; 90 mm³</t>
  </si>
  <si>
    <t>Carcasse: EP ; Résistance à la traction: 500 N/mm ; Nombre de plis: 3 + 1 Breaker ; Revêtement supérieur: 5 mm ; Revêtement inférieur: 3 mm ; Breaker: ; - BF 125 dans revêtement supérieur ; -Diamètre des câbles ± Ø 1,35mm ; -Espacement ± 8 - 12 mm ; Largeur de bande: 800 mm ; Abrasion: &lt; 90 mm³</t>
  </si>
  <si>
    <t>CP800XXX500/3-5+3SA</t>
  </si>
  <si>
    <t>29,480</t>
  </si>
  <si>
    <t>CP800XXX500/3-8+3CO</t>
  </si>
  <si>
    <t>CP 500/3-8+3-BB800-RIPSTOP</t>
  </si>
  <si>
    <t>47,680</t>
  </si>
  <si>
    <t>Bandweefseltype: EP ; Treksterkte: 500 N/mm ; Aantal inlagen: 3 + 1 Breker ; Bovendek: 8 mm ; Onderdek: 3 mm ; Brekerinlage: ; - BF 125 in bovendek ; -Diameter kabel ± Ø 1,35mm ; -Afstand ± 8 - 12 mm ; Bandbreedte: 800 mm ; Slijtwaarde: &lt; 90 mm³</t>
  </si>
  <si>
    <t>Gewebetype: EP ; Zugfestigkeit: 500 N/mm ; Anzahl Einlagen: 3 + 1 Brecher ; Oberdeck: 8 mm ; Unterdeck: 3 mm ; Brechereinlage: ; - BF 125 im Oberdeck ; -Kabeldurchmesser ± Ø 1,35mm ; -Abstand ± 8 - 12 mm ; Gurtbreite: 800 mm ; Abrieb: &lt; 90 mm³</t>
  </si>
  <si>
    <t>Fabric type: EP ; Tensile strength: 500 N/mm ; Number of plies: 3 + 1 Breaker ; Topcover: 8 mm ; Bottomcover: 3 mm ; Breaker: ; - BF 125 in Topcover ; -Diameter cable ± Ø 1,35mm ; -Pitch ± 8 - 12 mm ; Beltwidth: 800 mm ; Abrasion: &lt; 90 mm³</t>
  </si>
  <si>
    <t>Carcasse: EP ; Résistance à la traction: 500 N/mm ; Nombre de plis: 3 + 1 Breaker ; Revêtement supérieur: 8 mm ; Revêtement inférieur: 3 mm ; Breaker: ; - BF 125 dans revêtement supérieur ; -Diamètre des câbles ± Ø 1,35mm ; -Espacement ± 8 - 12 mm ; Largeur de bande: 800 mm ; Abrasion: &lt; 90 mm³</t>
  </si>
  <si>
    <t>CP800XXX500/3-8+3SA</t>
  </si>
  <si>
    <t>35,030</t>
  </si>
  <si>
    <t>CW-102X38-AH14-GRIT16BJ</t>
  </si>
  <si>
    <t>Ruwkom Ø 102 x 38 mm, AH 14 mm, grit 16</t>
  </si>
  <si>
    <t>17183, B&amp;J Rocket Sales AG</t>
  </si>
  <si>
    <t>46,130</t>
  </si>
  <si>
    <t>CW-76X25-AH14-GRIT16BJ</t>
  </si>
  <si>
    <t>Ruwkom Ø 76 x 25 mm, AH 14 mm, grit 16</t>
  </si>
  <si>
    <t>23,840</t>
  </si>
  <si>
    <t>DEKRUBBER-1MMSP</t>
  </si>
  <si>
    <t>Ongevulkaniseerd dekrubber - 500 x 1 mm (Spain)</t>
  </si>
  <si>
    <t>16324, Spain Rubber, S.L.</t>
  </si>
  <si>
    <t>3,520</t>
  </si>
  <si>
    <t>06-05_Unvulcanized Cover Rubber</t>
  </si>
  <si>
    <t>Ongevulkaniseerd dekrubber ; 1 mm</t>
  </si>
  <si>
    <t>Unvulkanisertes Deckgummi ; 1 mm</t>
  </si>
  <si>
    <t>Unvulcanised Cover Rubber ; 1 mm</t>
  </si>
  <si>
    <t>Gomme de revêtement ; 1 mm</t>
  </si>
  <si>
    <t>Dikte: 1 mm ; Breedte: 500 mm ; Rollen van 10 kg ; Kleur: Zwart</t>
  </si>
  <si>
    <t>Stärke: 1 mm ; Breite: 500 mm ; Rolle von 10 kg ; Farbe: Schwarz</t>
  </si>
  <si>
    <t>Thickness: 1 mm ; Width: 500 mm ; Roll of 10 kg ; Colour: Black</t>
  </si>
  <si>
    <t>Epaisseur: 1 mm ; Largeur: 500 mm ; Rouleau de 10kg ; Couleur: Noir</t>
  </si>
  <si>
    <t>5061982DE ; 5061984DE ; TUSSENRUBBER-0,8SP ; DEKRUBBER-2MMSP</t>
  </si>
  <si>
    <t>001</t>
  </si>
  <si>
    <t>EP Verbindungsmaterial, Normalqualität</t>
  </si>
  <si>
    <t>DEKRUBBER-2MMSP</t>
  </si>
  <si>
    <t>Ongevulkaniseerd dekrubber - 500 x 2 mm (Spain)</t>
  </si>
  <si>
    <t>Ongevulkaniseerd dekrubber ; 2 mm</t>
  </si>
  <si>
    <t>Unvulkanisertes Deckgummi ; 2 mm</t>
  </si>
  <si>
    <t>Unvulcanised Cover Rubber ; 2 mm</t>
  </si>
  <si>
    <t>Gomme de revêtement ; 2 mm</t>
  </si>
  <si>
    <t>Dikte: 2 mm ; Breedte: 500 mm ; Rollen van 10 kg ; Kleur: Zwart</t>
  </si>
  <si>
    <t>Starke: 2 mm ; Breite: 500 mm ; Rolle von 10 kg ; Farbe: Schwarz</t>
  </si>
  <si>
    <t>Thickness: 2 mm ; Width: 500 mm ; Roll of 10 kg ; Colour: Black</t>
  </si>
  <si>
    <t>Epaisseur: 2 mm ; Largeur: 500 mm ; Rouleau de 10kg ; Couleur: Noir</t>
  </si>
  <si>
    <t>5061982DE ; 5061984DE ; TUSSENRUBBER-0,8SP ; DEKRUBBER-1MMSP</t>
  </si>
  <si>
    <t>DEKRUBBER-3MMSP</t>
  </si>
  <si>
    <t>Ongevulkaniseerd dekrubber - 500 x 3 mm (Spain)</t>
  </si>
  <si>
    <t>Ongevulkaniseerd dekrubber ; 3 mm</t>
  </si>
  <si>
    <t>Unvulkanisertes Deckgummi ; 3 mm</t>
  </si>
  <si>
    <t>Unvulcanised Cover Rubber ; 3 mm</t>
  </si>
  <si>
    <t>Gomme de revêtement ; 3 mm</t>
  </si>
  <si>
    <t>Dikte: 3 mm ; Breedte: 500 mm ; Rollen van 10 kg ; Kleur: Zwart</t>
  </si>
  <si>
    <t>Starke: 3 mm ; Breite: 500 mm ; Rolle von 10 kg ; Farbe: Schwarz</t>
  </si>
  <si>
    <t>Thickness: 3 mm ; Width: 500 mm ; Roll of 10 kg ; Colour: Black</t>
  </si>
  <si>
    <t>Epaisseur: 3 mm ; Largeur: 500 mm ; Rouleau de 10kg ; Couleur: Noir</t>
  </si>
  <si>
    <t>DEKRUBBER-4MMSP</t>
  </si>
  <si>
    <t>Ongevulkaniseerd dekrubber - 500 x 4 mm (Spain)</t>
  </si>
  <si>
    <t>Ongevulkaniseerd dekrubber ; 4 mm</t>
  </si>
  <si>
    <t>Unvulkanisertes Deckgummi ; 4 mm</t>
  </si>
  <si>
    <t>Unvulcanised Cover Rubber ; 4 mm</t>
  </si>
  <si>
    <t>Gomme de revêtement ; 4 mm</t>
  </si>
  <si>
    <t>Dikte: 4 mm ; Breedte: 500 mm ; Rollen van 10 kg ; Kleur: Zwart</t>
  </si>
  <si>
    <t>Starke: 4 mm ; Breite: 500 mm ; Rolle von 10 kg ; Farbe: Schwarz</t>
  </si>
  <si>
    <t>Thickness: 4 mm ; Width: 500 mm ; Roll of 10 kg ; Colour: Black</t>
  </si>
  <si>
    <t>Epaisseur: 4 mm ; Largeur: 500 mm ; Rouleau de 10kg ; Couleur: Noir</t>
  </si>
  <si>
    <t>DELPHIN-MESZZ</t>
  </si>
  <si>
    <t>Delphin mes</t>
  </si>
  <si>
    <t>41,000</t>
  </si>
  <si>
    <t>12,500</t>
  </si>
  <si>
    <t>DOKUMENTKSTBLNEZZ</t>
  </si>
  <si>
    <t>Dokumentkosten</t>
  </si>
  <si>
    <t>58, Vrachtkosten</t>
  </si>
  <si>
    <t>DOUBLE CLAMP-600MMKR</t>
  </si>
  <si>
    <t>Standard Double Clamp - 600mm</t>
  </si>
  <si>
    <t>64,500</t>
  </si>
  <si>
    <t>DUO-REX BLOCK-DOUBLE SEALINGCH</t>
  </si>
  <si>
    <t>Seal Skirt CB180 15/25 x 180 x 10000</t>
  </si>
  <si>
    <t>22,980</t>
  </si>
  <si>
    <t>09_Components</t>
  </si>
  <si>
    <t>09-04_Skirting Block</t>
  </si>
  <si>
    <t>OPU-TEC DUO</t>
  </si>
  <si>
    <t>ECO-SBR-SKIRT-10.000X100X10CH</t>
  </si>
  <si>
    <t>T-REX ECONOMY 10.000 x 100 x 10 mm (volle rol) ZWART</t>
  </si>
  <si>
    <t>14,695</t>
  </si>
  <si>
    <t>03_Wear Protection</t>
  </si>
  <si>
    <t>03-09_T-REX60 Side Skirt Rubber</t>
  </si>
  <si>
    <t xml:space="preserve">T-REX60 Economy Zijgeleidingsrubber ; Zwart 100x10 mm </t>
  </si>
  <si>
    <t>T-REX60 Economy Seitenführungsgummi Schwarz 100x10mm</t>
  </si>
  <si>
    <t>T-REX60 Economy Side Skirt Rubber Black 100x10mm</t>
  </si>
  <si>
    <t>T-REX60 Bavettes Economy Noir 100x10mm</t>
  </si>
  <si>
    <t xml:space="preserve">Afmetingen: 10.000x100x10mm ; Kleur: Zwart ; Slijtwaarde &lt; 300 mm³ ; Shore-hardheid ± 60° - 65° ; Soortelijk gewicht 1,14 </t>
  </si>
  <si>
    <t xml:space="preserve">Abmessungen: 10.000x100x10mm ; Farbe: Schwarz ; Abrieb &lt; 300 mm³ ; Shore Härte ± 60° - 65° ; Spezifisches Gewicht 1,14 </t>
  </si>
  <si>
    <t xml:space="preserve">Dimensions: 10.000x100x10mm ; Colour: Black ; Abrasion &lt; 300 mm³ ; Shore ± 60° - 65° ; Specific weight 1,14 </t>
  </si>
  <si>
    <t xml:space="preserve">Dimensions: 10.000x100x10mm ; Couleur: Noir ; Abrasion &lt; 300 mm³ ; Dureté Shore ± 60° - 65° ; Poids 1,14 </t>
  </si>
  <si>
    <t>T-REX60 ECONOMY side skirt is used as side skirting material against spilling and abrasion in a wide variety of applications. ; Produced according to ISO and DIN standards.  ; The operating temperatures for longer periods suggested between -30 °C to +90 °C and for short periods could be -55 °C to +110°C.</t>
  </si>
  <si>
    <t>Abstreifgummi Sonstige</t>
  </si>
  <si>
    <t>ECO-SBR-SKIRT-10.000X120X10CH</t>
  </si>
  <si>
    <t>T-REX ECONOMY 10.000 x 120 x 10 mm (volle rol) ZWART</t>
  </si>
  <si>
    <t>17,634</t>
  </si>
  <si>
    <t xml:space="preserve">T-REX60 Economy Zijgeleidingsrubber ; Zwart 120x10 mm </t>
  </si>
  <si>
    <t>T-REX60 Economy Seitenführungsgummi Schwarz 120x10mm</t>
  </si>
  <si>
    <t>T-REX60 Economy Side Skirt Rubber Black 120x10mm</t>
  </si>
  <si>
    <t>T-REX60 Bavettes Economy Noir 120x10mm</t>
  </si>
  <si>
    <t xml:space="preserve">Afmetingen: 10.000x120x10mm ; Kleur: Zwart ; Slijtwaarde &lt; 300 mm³ ; Shore-hardheid ± 60° - 65° ; Soortelijk gewicht 1,14 </t>
  </si>
  <si>
    <t xml:space="preserve">Abmessungen: 10.000x120x10mm ; Farbe: Schwarz ; Abrieb &lt; 300 mm³ ; Shore Härte ± 60° - 65° ; Spezifisches Gewicht 1,14 </t>
  </si>
  <si>
    <t xml:space="preserve">Dimensions: 10.000x120x10mm ; Colour: Black ; Abrasion &lt; 300 mm³ ; Shore ± 60° - 65° ; Specific weight 1,14 </t>
  </si>
  <si>
    <t xml:space="preserve">Dimensions: 10.000x120x10mm ; Couleur: Noir ; Abrasion &lt; 300 mm³ ; Dureté Shore ± 60° - 65° ; Poids 1,14 </t>
  </si>
  <si>
    <t>ECO-SBR-SKIRT-10.000X150X10CH</t>
  </si>
  <si>
    <t>T-REX ECONOMY 10.000 x 150 x 10 mm (volle rol) ZWART</t>
  </si>
  <si>
    <t>22,042</t>
  </si>
  <si>
    <t xml:space="preserve">T-REX60 Economy Zijgeleidingsrubber ; Zwart 150x10 mm </t>
  </si>
  <si>
    <t>T-REX60 Economy Seitenführungsgummi Schwarz 150x10mm</t>
  </si>
  <si>
    <t>T-REX60 Economy Side Skirt Rubber Black 150x10mm</t>
  </si>
  <si>
    <t>T-REX60 Bavettes Economy Noir 150x10mm</t>
  </si>
  <si>
    <t xml:space="preserve">Afmetingen: 10.000x150x10mm ; Kleur: Zwart ; Slijtwaarde &lt; 300 mm³ ; Shore-hardheid ± 60° - 65° ; Soortelijk gewicht 1,14 </t>
  </si>
  <si>
    <t xml:space="preserve">Abmessungen: 10.000x150x10mm ; Farbe: Schwarz ; Abrieb &lt; 300 mm³ ; Shore Härte ± 60° - 65° ; Spezifisches Gewicht 1,14 </t>
  </si>
  <si>
    <t xml:space="preserve">Dimensions: 10.000x150x10mm ; Colour: Black ; Abrasion &lt; 300 mm³ ; Shore ± 60° - 65° ; Specific weight 1,14 </t>
  </si>
  <si>
    <t xml:space="preserve">Dimensions: 10.000x150x10mm ; Couleur: Noir ; Abrasion &lt; 300 mm³ ; Dureté Shore ± 60° - 65° ; Poids 1,14 </t>
  </si>
  <si>
    <t>ECO-SBR-SKIRT-10.000X200X10CH</t>
  </si>
  <si>
    <t>T-REX ECONOMY 10.000 x 200 x 10 mm (volle rol) ZWART</t>
  </si>
  <si>
    <t>29,390</t>
  </si>
  <si>
    <t xml:space="preserve">T-REX60 Economy Zijgeleidingsrubber ; Zwart 200x10 mm </t>
  </si>
  <si>
    <t>T-REX60 Economy Seitenführungsgummi Schwarz 200x10mm</t>
  </si>
  <si>
    <t>T-REX60 Economy Side Skirt Rubber Black 200x10mm</t>
  </si>
  <si>
    <t>T-REX60 Bavettes Economy Noir 200x10mm</t>
  </si>
  <si>
    <t xml:space="preserve">Afmetingen: 10.000x200x10mm ; Kleur: Zwart ; Slijtwaarde &lt; 300 mm³ ; Shore-hardheid ± 60° - 65° ; Soortelijk gewicht 1,14 </t>
  </si>
  <si>
    <t xml:space="preserve">Abmessungen: 10.000x200x10mm ; Farbe: Schwarz ; Abrieb &lt; 300 mm³ ; Shore Härte ± 60° - 65° ; Spezifisches Gewicht 1,14 </t>
  </si>
  <si>
    <t xml:space="preserve">Dimensions: 10.000x200x10mm ; Colour: Black ; Abrasion &lt; 300 mm³ ; Shore ± 60° - 65° ; Specific weight 1,14 </t>
  </si>
  <si>
    <t xml:space="preserve">Dimensions: 10.000x200x10mm ; Couleur: Noir ; Abrasion &lt; 300 mm³ ; Dureté Shore ± 60° - 65° ; Poids 1,14 </t>
  </si>
  <si>
    <t>ECO-SKIRT COMBI 737103-010DE</t>
  </si>
  <si>
    <t>Ecoskirt Combi zwart/grijs/zwart 10.000x180x25mm</t>
  </si>
  <si>
    <t>18,000</t>
  </si>
  <si>
    <t>ECO-SKIRT40 704320-010DE</t>
  </si>
  <si>
    <t>Eco-Skirt40-20.000x120x10 mm (volle rol) - ZWART</t>
  </si>
  <si>
    <t>24,000</t>
  </si>
  <si>
    <t>ECO-SKIRT40 704380-010DE</t>
  </si>
  <si>
    <t>Eco-Skirt40-20.000x200x10 mm (volle rol) - ZWART</t>
  </si>
  <si>
    <t>40,000</t>
  </si>
  <si>
    <t>ECO-SKIRT40 704400-010DE</t>
  </si>
  <si>
    <t>Eco-Skirt40-20.000x250x10 mm (volle rol) - ZWART</t>
  </si>
  <si>
    <t>50,000</t>
  </si>
  <si>
    <t>ECO-SKIRT40 704420-010DE</t>
  </si>
  <si>
    <t>Eco-Skirt40-20.000x300x10 mm (volle rol) - ZWART</t>
  </si>
  <si>
    <t>60,000</t>
  </si>
  <si>
    <t>ECO-SKIRT60 704010-010DE</t>
  </si>
  <si>
    <t>Eco-Skirt60-10.000x050x08 mm (volle rol) - ZWART</t>
  </si>
  <si>
    <t>ECO-SKIRT60 704300-010DE</t>
  </si>
  <si>
    <t>Eco-Skirt60-20.000x120x10 mm (volle rol) - ZWART</t>
  </si>
  <si>
    <t>ECO-SKIRT60 706000-010DE</t>
  </si>
  <si>
    <t>Eco-Skirt60-20.000x200x25 mm (volle rol) - ZWART</t>
  </si>
  <si>
    <t>4,000</t>
  </si>
  <si>
    <t>ECO-SKIRT60 706090-010DE</t>
  </si>
  <si>
    <t>Eco-Skirt60-10.000x150x10 mm (volle rol) - ZWART</t>
  </si>
  <si>
    <t>15,000</t>
  </si>
  <si>
    <t>ECO-SKIRT60 706100-010DE</t>
  </si>
  <si>
    <t>Eco-Skirt60-10.000x170x10 mm (volle rol) - ZWART</t>
  </si>
  <si>
    <t>17,000</t>
  </si>
  <si>
    <t>ECO-SKIRT60 706240-010DE</t>
  </si>
  <si>
    <t>Eco-Skirt60-20.000x060x10 mm (volle rol) - ZWART</t>
  </si>
  <si>
    <t>12,000</t>
  </si>
  <si>
    <t>ECO-SKIRT60 706280-010DE</t>
  </si>
  <si>
    <t>Eco-Skirt60-20.000x080x10 mm (volle rol) - ZWART</t>
  </si>
  <si>
    <t>16,000</t>
  </si>
  <si>
    <t>ECO-SKIRT60 706300-010DE</t>
  </si>
  <si>
    <t>Eco-Skirt60-20.000x100x10 mm (volle rol) - ZWART</t>
  </si>
  <si>
    <t>20,000</t>
  </si>
  <si>
    <t>ECO-SKIRT60 706510-010DE</t>
  </si>
  <si>
    <t>Eco-Skirt60-30.000x150x10 mm (volle rol) - ZWART</t>
  </si>
  <si>
    <t>45,000</t>
  </si>
  <si>
    <t>ECO-SKIRT60 706610-010CNDE</t>
  </si>
  <si>
    <t>Eco-Skirt60-20.000x060x06 mm (volle rol) - ZWART-met lijmlaa</t>
  </si>
  <si>
    <t>EE2400GLY400/3-3+0HY</t>
  </si>
  <si>
    <t>EE 400/3-3+0,BB2400-GLY</t>
  </si>
  <si>
    <t>8, Glijbanden</t>
  </si>
  <si>
    <t>114,750</t>
  </si>
  <si>
    <t>EGELMATTEN-500X500WW</t>
  </si>
  <si>
    <t>Egelmatten - 500 x 500 mm</t>
  </si>
  <si>
    <t>12040, Yongli Nederland Wormer B.V. (vh Wellwaij)</t>
  </si>
  <si>
    <t>53,260</t>
  </si>
  <si>
    <t>08_Belt Cleaning</t>
  </si>
  <si>
    <t>08-05_Belt Brush Mat</t>
  </si>
  <si>
    <t>071</t>
  </si>
  <si>
    <t>T-REX</t>
  </si>
  <si>
    <t>EINDLOOS-VOORBEREIDENZZ</t>
  </si>
  <si>
    <t>Eindloos voorbereiden transportband</t>
  </si>
  <si>
    <t>52, Werkplaats uren</t>
  </si>
  <si>
    <t>EINDLOOS-VULKANISERENZZ</t>
  </si>
  <si>
    <t>Eindloos vulkaniseren transportband</t>
  </si>
  <si>
    <t>EMMERBZ</t>
  </si>
  <si>
    <t>Emmer zonder deksel</t>
  </si>
  <si>
    <t>5,450</t>
  </si>
  <si>
    <t>17228, Bunzl Verpakkingen B.V.</t>
  </si>
  <si>
    <t>0,230</t>
  </si>
  <si>
    <t>EP1000GLY250/2-2+0HY</t>
  </si>
  <si>
    <t>EP 250/2-2+0,BB1000-GLY</t>
  </si>
  <si>
    <t>34,950</t>
  </si>
  <si>
    <t>17,822</t>
  </si>
  <si>
    <t>01-04_Bareback</t>
  </si>
  <si>
    <t>Glijband, Slijtvast, Standaard kwaliteit ; EP 250/2-2+0</t>
  </si>
  <si>
    <t>Gleitgurt, Abriebfest, Standardqualität ; EP 250/2-2+0</t>
  </si>
  <si>
    <t>Bareback, Abrasion resistant, Standard Quality ; EP 250/2-2+0</t>
  </si>
  <si>
    <t>Bande à sole de glisse, Anti-abrasion, qualité standard ; EP 250/2-2+0</t>
  </si>
  <si>
    <t xml:space="preserve">Bandweefseltype: EP ; Treksterkte: 250 N/mm ; Aantal inlagen: 2 ; Bovendek: 2 mm ; Onderdek: 0 mm ; Bandbreedte: 1000 mm </t>
  </si>
  <si>
    <t>Gewebetype: EP ; Zugfestigkeit: 250 N/mm ; Anzahl Einlagen: 2 ; Deckplatte: 2 mm ; Laufseite: 0 mm ; Gurtbreite: 1000 mm</t>
  </si>
  <si>
    <t>Fabric type: EP ; Tensile strength: 250 N/mm ; Number of plies: 2 ; Topcover: 2 mm ; Bottomcover: 0 mm ; Beltwidth: 1000 mm</t>
  </si>
  <si>
    <t>Carcasse: EP ; Résistance à la traction: 250 N/mm ; Nombre de plis: 2 ; Revêtement supérieur: 2 mm ; Revêtement inférieur: 0 mm ; Largeur de bande: 1000 mm</t>
  </si>
  <si>
    <t>Zeer lage wrijvingsweerstand ; Lage energieverbruikseigenschappen ; Anti-statisch</t>
  </si>
  <si>
    <t>Sehr geringer Reibungswiderstand ; Eigenschaften mit niedrigem Energieverbrauch ; Antistatisch</t>
  </si>
  <si>
    <t>Very low frictional resistance ; Low energy consumption properties ; Anti-static</t>
  </si>
  <si>
    <t>Très faible résistance au frottement ; Propriétés à faible consommation d'énergie ; Antistatique</t>
  </si>
  <si>
    <t>EP1000GLY250/2-2+0JO</t>
  </si>
  <si>
    <t>12014, ZhongYi Rubber Co. Ltd.</t>
  </si>
  <si>
    <t>12,760</t>
  </si>
  <si>
    <t>Gewebetype: EP ; Zugfestigkeit: 250 N/mm ; Anzahl Einlagen: 2 ; Oberdeck: 2 mm ; Unterdeck: 0 mm ; Gurtbreite: 1000 mm</t>
  </si>
  <si>
    <t>EP1000GLY250/2-2+0ZZ</t>
  </si>
  <si>
    <t>11,570</t>
  </si>
  <si>
    <t>EP1000GLY400/3-2+0HY</t>
  </si>
  <si>
    <t>EP 400/3-2+0,BB1000-GLY</t>
  </si>
  <si>
    <t>21,900</t>
  </si>
  <si>
    <t>Glijband, Slijtvast, Standaard kwaliteit ; EP 400/3-2+0</t>
  </si>
  <si>
    <t>Gleitgurt, Abriebfest, Standardqualität ; EP 400/3-2+0</t>
  </si>
  <si>
    <t>Bareback, Abrasion resistant, Standard Quality ; EP 400/3-2+0</t>
  </si>
  <si>
    <t>Bande à sole de glisse, Anti-abrasion, qualité standard ; EP 400/3-2+0</t>
  </si>
  <si>
    <t>Bandweefseltype: EP ; Treksterkte: 400 N/mm ; Aantal inlagen: 3 ; Bovendek: 2 mm ; Onderdek: 0 mm ; Bandbreedte: 1000 mm</t>
  </si>
  <si>
    <t>Gewebetype: EP ; Zugfestigkeit: 400 N/mm ; Anzahl Einlagen: 3 ; Oberdeck: 2 mm ; Unterdeck: 0 mm ; Gurtbreite: 1000 mm</t>
  </si>
  <si>
    <t>Fabric type: EP ; Tensile strength: 400 N/mm ; Number of plies: 3 ; Topcover: 2 mm ; Bottomcover: 0 mm ; Beltwidth: 1000 mm</t>
  </si>
  <si>
    <t>Carcasse: EP ; Résistance à la traction: 400 N/mm ; Nombre de plis: 3 ; Revêtement supérieur: 2 mm ; Revêtement inférieur: 0 mm ; Largeur de bande: 1000 mm</t>
  </si>
  <si>
    <t>EP1000GLY400/3-2+0JO</t>
  </si>
  <si>
    <t>15,940</t>
  </si>
  <si>
    <t>EP1000GLY400/3-3+0HY</t>
  </si>
  <si>
    <t>EP 400/3-3+0,BB1000-GLY</t>
  </si>
  <si>
    <t>24,210</t>
  </si>
  <si>
    <t>Glijband, Slijtvast, Standaard kwaliteit ; EP 400/3-3+0</t>
  </si>
  <si>
    <t>Gleitgurt, Abriebfest, Standardqualität ; EP 400/3-3+0</t>
  </si>
  <si>
    <t>Bareback, Abrasion resistant, Standard Quality ; EP 400/3-3+0</t>
  </si>
  <si>
    <t>Bande à sole de glisse, Anti-abrasion, qualité standard ; EP 400/3-3+0</t>
  </si>
  <si>
    <t>Bandweefseltype: EP ; Treksterkte: 400 N/mm ; Aantal inlagen: 3 ; Bovendek: 3 mm ; Onderdek: 0 mm ; Bandbreedte: 1000 mm</t>
  </si>
  <si>
    <t>Gewebetype: EP ; Zugfestigkeit: 400 N/mm ; Anzahl Einlagen: 3 ; Oberdeck: 3 mm ; Unterdeck: 0 mm ; Gurtbreite: 1000 mm</t>
  </si>
  <si>
    <t>Fabric type: EP ; Tensile strength: 400 N/mm ; Number of plies: 3 ; Topcover: 3 mm ; Bottomcover: 0 mm ; Beltwidth: 1000 mm</t>
  </si>
  <si>
    <t>Carcasse: EP ; Résistance à la traction: 400 N/mm ; Nombre de plis: 3 ; Revêtement supérieur: 3 mm ; Revêtement inférieur: 0 mm ; Largeur de bande: 1000 mm</t>
  </si>
  <si>
    <t>EP1000GLY400/3-3+0JO</t>
  </si>
  <si>
    <t>19,130</t>
  </si>
  <si>
    <t>EP1000GLY400/3-3+0KA</t>
  </si>
  <si>
    <t>12013, Kale Konveyor Bant.San.Dis.Tic.Ltd.STI.</t>
  </si>
  <si>
    <t>17,230</t>
  </si>
  <si>
    <t>Fabric type: EP ; Tensile strength: 400 N/mm ; Number of plies: 3 ; Topcover: 3 mm ; Bottomcover: 0 mm ; Beltwidth: 1200 mm</t>
  </si>
  <si>
    <t>Carcasse: EP ; Résistance à la traction: 400 N/mm ; Nombre de plis: 3 ; Revêtement supérieur: 3 mm ; Revêtement inférieur: 0 mm ; Largeur de bande: 1200 mm</t>
  </si>
  <si>
    <t>EP1000GLY500/4-6+0HY</t>
  </si>
  <si>
    <t>EP 500/4-6+0,BB1000-GLY</t>
  </si>
  <si>
    <t>42,770</t>
  </si>
  <si>
    <t>Glijband, Slijtvast, Standaard kwaliteit ; EP 500/4-6+0</t>
  </si>
  <si>
    <t>Gleitgurt, Abriebfest, Standardqualität ; EP 500/4-6+0</t>
  </si>
  <si>
    <t>Bareback, Abrasion resistant, Standard Quality ; EP 500/4-6+0</t>
  </si>
  <si>
    <t>Bande à sole de glisse, Anti-abrasion, qualité standard ; EP 500/4-6+0</t>
  </si>
  <si>
    <t>Bandweefseltype: EP ; Treksterkte: 500 N/mm ; Aantal inlagen: 4 ; Bovendek: 6 mm ; Onderdek: 0 mm ; Bandbreedte: 1000 mm</t>
  </si>
  <si>
    <t>Gewebetype: EP ; Zugfestigkeit: 500 N/mm ; Anzahl Einlagen: 4 ; Oberdeck: 6 mm ; Unterdeck: 0 mm ; Gurtbreite: 1000 mm</t>
  </si>
  <si>
    <t>Fabric type: EP ; Tensile strength: 500 N/mm ; Number of plies: 4 ; Topcover: 6 mm ; Bottomcover: 0 mm ; Beltwidth: 1000 mm</t>
  </si>
  <si>
    <t>Carcasse: EP ; Résistance à la traction: 500 N/mm ; Nombre de plis: 4 ; Revêtement supérieur: 6 mm ; Revêtement inférieur: 0 mm ; Largeur de bande: 1000 mm</t>
  </si>
  <si>
    <t>EP1000GLY500/4-6+0JO</t>
  </si>
  <si>
    <t>30,590</t>
  </si>
  <si>
    <t>EP1000GLY500/4-6+0SH</t>
  </si>
  <si>
    <t>12009, Shuangma Rubber Co., Limited</t>
  </si>
  <si>
    <t>25,710</t>
  </si>
  <si>
    <t>EP1000HB250/2-4+2-150°PH</t>
  </si>
  <si>
    <t>EP 250/2-4+2,BB1000,HB</t>
  </si>
  <si>
    <t>5, Hittebestendig</t>
  </si>
  <si>
    <t>12016, Shandong Phoebus Rubber Products Co., Ltd</t>
  </si>
  <si>
    <t>18,920</t>
  </si>
  <si>
    <t>EP1000HB315/2-4+2-180°SA</t>
  </si>
  <si>
    <t>EP 315/2-4+2,BB1000,HB180° EPDM</t>
  </si>
  <si>
    <t>12,210</t>
  </si>
  <si>
    <t>EP1000HB400/3-5+2-150°PH</t>
  </si>
  <si>
    <t>EP 400/3-5+2,BB1000,HB</t>
  </si>
  <si>
    <t>31,400</t>
  </si>
  <si>
    <t>01-02_Heat Resistant</t>
  </si>
  <si>
    <t>Meerlaags, Hittebestendige Kwaliteit ; EP 400/3-5+2</t>
  </si>
  <si>
    <t>Mehrlagig, Hitzebeständige Qualität ; EP 400/3-5+2</t>
  </si>
  <si>
    <t>Multiply, Heat Resistant Quality ; EP 400/3-5+2</t>
  </si>
  <si>
    <t>Multiplis, Qualité Anti Chaleur ; EP 400/3-5+2</t>
  </si>
  <si>
    <t>Bandweefseltype: EP ; Treksterkte: 400 N/mm ; Aantal inlagen: 3 ; Bovendek: 5 mm ; Onderdek: 2 mm ; Bandbreedte: 1000 mm ; Hittebestendig 150°-170°</t>
  </si>
  <si>
    <t>Gewebetype: EP ; Zugfestigkeit: 400 N/mm ; Anzahl Einlagen: 3 ; Deckplatte: 5 mm ; Laufseite: 2 mm ; Gurtbreite: 1000 mm ; Hitzebeständig 150°-170°</t>
  </si>
  <si>
    <t>Fabric type: EP ; Tensile strength: 400 N/mm ; Number of plies: 3 ; Topcover: 5 mm ; Bottomcover: 2 mm ; Beltwidth: 1000 mm ; Heat resistant 150°-170°</t>
  </si>
  <si>
    <t>After aging 70°C x 168 h	: ; Change of tensile strength: ± 25% ; Change of elongation: ± 25%</t>
  </si>
  <si>
    <t>032</t>
  </si>
  <si>
    <t>EP1000HB400/3-5+2-150°SA</t>
  </si>
  <si>
    <t>28,636</t>
  </si>
  <si>
    <t>Gewebetype: EP ; Zugfestigkeit: 400 N/mm ; Anzahl Einlagen: 3 ; Oberdeck: 5 mm ; Unterdeck: 2 mm ; Gurtbreite: 1000 mm ; Hitzebeständig 150°-170°</t>
  </si>
  <si>
    <t>EP1000HB400/3-5+2-150°SL</t>
  </si>
  <si>
    <t>12049, Qingdao Good Belt International Trade Co. Ltd</t>
  </si>
  <si>
    <t>25,960</t>
  </si>
  <si>
    <t>EP1000HB500/4-5+2-200°PH</t>
  </si>
  <si>
    <t>EP 500/4-5+2,BB1000,HB200º</t>
  </si>
  <si>
    <t>37,630</t>
  </si>
  <si>
    <t>Meerlaags, Hittebestendige Kwaliteit ; EP 500/4-5+2</t>
  </si>
  <si>
    <t>Mehrlagig, Hitzebeständige Qualität ; EP 500/4-5+2</t>
  </si>
  <si>
    <t>Multiply, Heat Resistant Quality ; EP 500/4-5+2</t>
  </si>
  <si>
    <t>Multiplis, Qualité Anti Chaleur ; EP 500/4-5+2</t>
  </si>
  <si>
    <t>Bandweefseltype: EP ; Treksterkte: 500 N/mm ; Aantal inlagen: 4 ; Bovendek: 5 mm ; Onderdek: 2 mm ; Bandbreedte: 1000 mm ; Hittebestendig 180°-200°</t>
  </si>
  <si>
    <t>Gewebetype: EP ; Zugfestigkeit: 500 N/mm ; Anzahl Einlagen: 4 ; Oberdeck: 5 mm ; Unterdeck: 2 mm ; Gurtbreite: 1000 mm ; Hitzebeständig 180°-200°</t>
  </si>
  <si>
    <t>Fabric type: EP ; Tensile strength: 500 N/mm ; Number of plies: 4 ; Topcover: 5 mm ; Bottomcover: 2 mm ; Beltwidth: 1000 mm ; Heat resistant 180°-200°</t>
  </si>
  <si>
    <t>EP1000HB500/4-5+2-200°SA</t>
  </si>
  <si>
    <t>47,991</t>
  </si>
  <si>
    <t>EP1000HB630/4-6+3½-200°SA</t>
  </si>
  <si>
    <t>EP 630/4-6+3½,BB1000,HB200º</t>
  </si>
  <si>
    <t>44,370</t>
  </si>
  <si>
    <t>EP1000HB800/5-5+3-200°SA</t>
  </si>
  <si>
    <t>EP 800/5-5+3,BB1000,HB200º EPDM</t>
  </si>
  <si>
    <t>55,780</t>
  </si>
  <si>
    <t>EP1000OVG250/2-2+0HY</t>
  </si>
  <si>
    <t>EP 250/2-2+0,BB1000-GLY-O+V</t>
  </si>
  <si>
    <t>7, Glij Olie en vet</t>
  </si>
  <si>
    <t>18,740</t>
  </si>
  <si>
    <t>Glijband, Olie- en vetbestendige Kwaliteit ; EP 250/2-2+0</t>
  </si>
  <si>
    <t>Gleitgurt, Öl und Fettbeständige Qualität ; EP 250/2-2+0</t>
  </si>
  <si>
    <t>Bareback, Oil and Grease Resistant Quality ; EP 250/2-2+0</t>
  </si>
  <si>
    <t>Bande à sole de glisse, Qualité résistant aux huiles et graisses ; EP 250/2-2+0</t>
  </si>
  <si>
    <t>Bandweefseltype: EP ; Treksterkte: 250 N/mm ; Aantal inlagen: 2 ; Bovendek: 2 mm ; Onderdek: 0 mm ; Bandbreedte: 1000 mm ; Olie- en vetbestendige Kwaliteit</t>
  </si>
  <si>
    <t>Gewebetype: EP ; Zugfestigkeit: 250 N/mm ; Anzahl Einlagen: 2 ; Deckplatte: 2 mm ; Laufseite: 0 mm ; Gurtbreite: 1000 mm ; Öl und Fettbeständige Qualität</t>
  </si>
  <si>
    <t>Fabric type: EP ; Tensile strength: 250 N/mm ; Number of plies: 2 ; Topcover: 2 mm ; Bottomcover: 0 mm ; Beltwidth: 1000 mm ; Oil and Grease Resistant Quality</t>
  </si>
  <si>
    <t xml:space="preserve">Zeer lage wrijvingsweerstand ; Lage energieverbruikseigenschappen ; Anti-statisch </t>
  </si>
  <si>
    <t>EP1000OVG250/2-2+0JO</t>
  </si>
  <si>
    <t>14,270</t>
  </si>
  <si>
    <t>Gewebetype: EP ; Zugfestigkeit: 250 N/mm ; Anzahl Einlagen: 2 ; Oberdeck: 2 mm ; Unterdeck: 0 mm ; Gurtbreite: 1000 mm ; Öl und Fettbeständige Qualität</t>
  </si>
  <si>
    <t>EP1000OVG400/3-2+0AR</t>
  </si>
  <si>
    <t>EP 400/3-2+0,BB1000-GLY-O+V</t>
  </si>
  <si>
    <t>12041, S.C. Artego S.A.</t>
  </si>
  <si>
    <t>25,610</t>
  </si>
  <si>
    <t>Glijband, Olie- en vetbestendige Kwaliteit ; EP 400/3-2+0</t>
  </si>
  <si>
    <t>Gleitgurt, Öl und Fettbeständige Qualität ; EP 400/3-2+0</t>
  </si>
  <si>
    <t>Bareback, Oil and Grease Resistant Quality ; EP 400/3-2+0</t>
  </si>
  <si>
    <t>Bande à sole de glisse, Qualité résistant aux huiles et graisses ; EP 400/3-2+0</t>
  </si>
  <si>
    <t>Bandweefseltype: EP ; Treksterkte: 400 N/mm ; Aantal inlagen: 3 ; Bovendek: 2 mm ; Onderdek: 0 mm ; Bandbreedte: 1000 mm ; Olie- en vetbestendige Kwaliteit</t>
  </si>
  <si>
    <t>Gewebetype: EP ; Zugfestigkeit: 400 N/mm ; Anzahl Einlagen: 3 ; Oberdeck: 2 mm ; Unterdeck: 0 mm ; Gurtbreite: 1000 mm ; Öl und Fettbeständige Qualität</t>
  </si>
  <si>
    <t>Fabric type: EP ; Tensile strength: 400 N/mm ; Number of plies: 3 ; Topcover: 2 mm ; Bottomcover: 0 mm ; Beltwidth: 1000 mm ; Oil and Grease Resistant Quality</t>
  </si>
  <si>
    <t>EP1000OVG400/3-2+0FF</t>
  </si>
  <si>
    <t>12058, Zhejiang Fenfei Rubber &amp; Plastic Product Co. Ltd.</t>
  </si>
  <si>
    <t>26,600</t>
  </si>
  <si>
    <t>EP1000OVG400/3-2+0HY</t>
  </si>
  <si>
    <t>27,560</t>
  </si>
  <si>
    <t>EP1000OVG400/3-2+0JO</t>
  </si>
  <si>
    <t>20,250</t>
  </si>
  <si>
    <t>EP1000OVG400/3-3+0FF</t>
  </si>
  <si>
    <t>EP 400/3-3+0,BB1000-GLY-O+V</t>
  </si>
  <si>
    <t>30,710</t>
  </si>
  <si>
    <t>Glijband, Olie- en vetbestendige Kwaliteit ; EP 400/3-3+0</t>
  </si>
  <si>
    <t>Gleitgurt, Öl und Fettbeständige Qualität ; EP EP 400/3-3+0</t>
  </si>
  <si>
    <t>Bareback, Oil and Grease Resistant Quality ; EP EP 400/3-3+0</t>
  </si>
  <si>
    <t>Bande à sole de glisse, Qualité résistant aux huiles et graisses ; EP EP 400/3-3+0</t>
  </si>
  <si>
    <t>Bandweefseltype: EP ; Treksterkte: 400 N/mm ; Aantal inlagen: 3 ; Bovendek: 3 mm ; Onderdek: 0 mm ; Bandbreedte: 1000 mm ; Olie- en vetbestendige Kwaliteit</t>
  </si>
  <si>
    <t>Gewebetype: EP ; Zugfestigkeit: 400 N/mm ; Anzahl Einlagen: 3 ; Oberdeck: 3 mm ; Unterdeck: 0 mm ; Gurtbreite: 1000 mm ; Öl und Fettbeständige Qualität</t>
  </si>
  <si>
    <t>Fabric type: EP ; Tensile strength: 400 N/mm ; Number of plies: 3 ; Topcover: 3 mm ; Bottomcover: 0 mm ; Beltwidth: 1000 mm ; Oil and Grease Resistant Quality</t>
  </si>
  <si>
    <t>EP1000OVG400/3-3+0HY</t>
  </si>
  <si>
    <t>32,260</t>
  </si>
  <si>
    <t>EP1000OVG400/3-3+0JO</t>
  </si>
  <si>
    <t>22,840</t>
  </si>
  <si>
    <t>EP1000OVG500/4-0+0-SAWMILLHY</t>
  </si>
  <si>
    <t>EP 500/4-0+0,BB1000-O+V-Saw Mill</t>
  </si>
  <si>
    <t>31,690</t>
  </si>
  <si>
    <t>01-12_Saw Mill</t>
  </si>
  <si>
    <t>Houtzagerij Glijband, Olie- en vetbestendige Kwaliteit ; EP 500/4-0+0</t>
  </si>
  <si>
    <t>Sägewerk Gleitgurt, Öl und Fettbeständige Qualität ; EP 500/4-0+0</t>
  </si>
  <si>
    <t>Saw Mill Bareback, Oil and Grease Resistant Quality ; EP 500/4-0+0</t>
  </si>
  <si>
    <t>Bande à sole de glisse pour Scierie, Qualité résistant aux huiles et graisses ; EP 500/4-0+0</t>
  </si>
  <si>
    <t>Bandweefseltype: EP ; Treksterkte: 500 N/mm ; Aantal inlagen: 4 ; Bovendek: 0 mm ; Onderdek: 0 mm ; Bandbreedte: 1000 mm ; Olie- en vetbestendige Kwaliteit</t>
  </si>
  <si>
    <t>Gewebetype: EP ; Zugfestigkeit: 500 N/mm ; Anzahl Einlagen: 4 ; Deckplatte: 0 mm ; Laufseite: 0 mm ; Gurtbreite: 1000 mm ; Öl und Fettbeständige Qualität</t>
  </si>
  <si>
    <t>Fabric type: EP ; Tensile strength: 500 N/mm ; Number of plies: 4 ; Topcover: 0 mm ; Bottomcover: 0 mm ; Beltwidth: 1000 mm ; Oil and Grease Resistant Quality</t>
  </si>
  <si>
    <t>Harsbestendig ; Olie- en vetbestendig ; Geschikt voor de houtverwerkingsindustrie en papierindustrie</t>
  </si>
  <si>
    <t>Harzbeständig ; Öl- und fettbeständig ; Geeignet für die holzverarbeitende Industrie und Papierindustrie</t>
  </si>
  <si>
    <t>Resin resistant ; Oil and grease resistant ; Suitable for the wood processing industry and paper industry</t>
  </si>
  <si>
    <t>Résistant à la résine ; Résistant à l'huile et à la graisse ; Convient pour l'industrie de la transformation du bois et l'industrie du papier</t>
  </si>
  <si>
    <t>EP1000OVG500/4-3+0HY</t>
  </si>
  <si>
    <t>EP 500/4-3+0,BB1000-GLY-O+V</t>
  </si>
  <si>
    <t>40,320</t>
  </si>
  <si>
    <t>Glijband, Olie- en vetbestendige Kwaliteit ; EP 500/4-3+0</t>
  </si>
  <si>
    <t>Gleitgurt, Öl und Fettbeständige Qualität ; EP EP 500/4-3+0</t>
  </si>
  <si>
    <t>Bareback, Oil and Grease Resistant Quality ; EP 500/4-3+0</t>
  </si>
  <si>
    <t>Bande à sole de glisse, Qualité résistant aux huiles et graisses ; EP 500/4-3+0</t>
  </si>
  <si>
    <t>Bandweefseltype: EP ; Treksterkte: 500 N/mm ; Aantal inlagen: 4 ; Bovendek: 3 mm ; Onderdek: 0 mm ; Bandbreedte: 1000 mm ; Olie- en vetbestendige Kwaliteit</t>
  </si>
  <si>
    <t>Gewebetype: EP ; Zugfestigkeit: 500 N/mm ; Anzahl Einlagen: 4 ; Oberdeck: 3 mm ; Unterdeck: 0 mm ; Gurtbreite: 1000 mm ; Öl und Fettbeständige Qualität</t>
  </si>
  <si>
    <t>Fabric type: EP ; Tensile strength: 500 N/mm ; Number of plies: 4 ; Topcover: 3 mm ; Bottomcover: 0 mm ; Beltwidth: 1000 mm ; Oil and Grease Resistant Quality</t>
  </si>
  <si>
    <t>EP1000OVX1000/5-3+3-ELEVATORSA</t>
  </si>
  <si>
    <t>EP 1000/5-3+3-BB1000 ELEVATOR-OV</t>
  </si>
  <si>
    <t>46,450</t>
  </si>
  <si>
    <t>EP1000OVX250/2-3+1CO</t>
  </si>
  <si>
    <t>EP 250/2-3+1,BB1000-O+V</t>
  </si>
  <si>
    <t>6, Olie en vet</t>
  </si>
  <si>
    <t>19,843</t>
  </si>
  <si>
    <t>01-03_Oil and Grease Resistant</t>
  </si>
  <si>
    <t>Meerlaags, Olie- en vetbestendige Kwaliteit ; EP 250/2-3+1</t>
  </si>
  <si>
    <t>Mehrlagig, Öl und Fettbeständige Qualität ; EP 250/2-3+1</t>
  </si>
  <si>
    <t>Multiply, Oil and Grease Resistant Quality ; EP 250/2-3+1</t>
  </si>
  <si>
    <t>Multiplis, Qualité résistant aux huiles et graisses ; EP 250/2-3+1</t>
  </si>
  <si>
    <t>Bandweefseltype: EP ; Treksterkte: 250 N/mm ; Aantal inlagen: 2 ; Bovendek: 3 mm ; Onderdek: 1 mm ; Bandbreedte: 1000 mm ; Olie- en vetbestendige Kwaliteit</t>
  </si>
  <si>
    <t>Gewebetype: EP ; Zugfestigkeit: 250 N/mm ; Anzahl Einlagen: 2 ; Oberdeck: 3 mm ; Unterdeck: 1 mm ; Gurtbreite: 1000 mm ; Öl und Fettbeständige Qualität</t>
  </si>
  <si>
    <t>Fabric type: EP ; Tensile strength: 250 N/mm ; Number of plies: 2 ; Topcover: 3 mm ; Bottomcover: 1 mm ; Beltwidth: 1000 mm ; Oil and Grease Resistant Quality</t>
  </si>
  <si>
    <t>EP1000OVX250/2-3+1FF</t>
  </si>
  <si>
    <t>EP 250/2-3+1,BB1000O+V</t>
  </si>
  <si>
    <t>18,710</t>
  </si>
  <si>
    <t>EP1000OVX250/2-3+1HY</t>
  </si>
  <si>
    <t>28,450</t>
  </si>
  <si>
    <t>EP1000OVX250/2-3+1JO</t>
  </si>
  <si>
    <t>22,040</t>
  </si>
  <si>
    <t>EP1000OVX250/2-3+1-MORKN</t>
  </si>
  <si>
    <t>EP 250/2-3+1 BB1000-O+V-MOR</t>
  </si>
  <si>
    <t>33,130</t>
  </si>
  <si>
    <t>12060, Knapheide GmbH Hydraulik Systeme</t>
  </si>
  <si>
    <t>EP1000OVX250/2-3+1SH</t>
  </si>
  <si>
    <t>22,110</t>
  </si>
  <si>
    <t>EP1000OVX400/3-3+1JO</t>
  </si>
  <si>
    <t>EP 400/3-3+1,BB1000-O+V</t>
  </si>
  <si>
    <t>23,051</t>
  </si>
  <si>
    <t>EP1000OVX400/3-4+2AR</t>
  </si>
  <si>
    <t>EP 400/3-4+2,BB1000-O+V</t>
  </si>
  <si>
    <t>34,680</t>
  </si>
  <si>
    <t>Meerlaags, Olie- en vetbestendige Kwaliteit ; EP 400/3-4+2</t>
  </si>
  <si>
    <t>Mehrlagig, Öl und Fettbeständige Qualität ; EP 400/3-4+2</t>
  </si>
  <si>
    <t>Multiply, Oil and Grease Resistant Quality ; EP 400/3-4+2</t>
  </si>
  <si>
    <t>Multiplis, Qualité résistant aux huiles et graisses ; EP 400/3-4+2</t>
  </si>
  <si>
    <t>Bandweefseltype: EP ; Treksterkte: 400 N/mm ; Aantal inlagen: 3 ; Bovendek: 4 mm ; Onderdek: 2 mm ; Bandbreedte: 1000 mm ; Olie- en vetbestendige Kwaliteit</t>
  </si>
  <si>
    <t>Gewebetype: EP ; Zugfestigkeit: 400 N/mm ; Anzahl Einlagen: 3 ; Oberdeck: 4 mm ; Unterdeck: 2 mm ; Gurtbreite: 1000 mm ; Öl und Fettbeständige Qualität</t>
  </si>
  <si>
    <t>Fabric type: EP ; Tensile strength: 400 N/mm ; Number of plies: 3 ; Topcover: 4 mm ; Bottomcover: 2 mm ; Beltwidth: 1000 mm ; Oil and Grease Resistant Quality</t>
  </si>
  <si>
    <t>EP1000OVX400/3-4+2PH</t>
  </si>
  <si>
    <t>24,630</t>
  </si>
  <si>
    <t>EP1000OVX400/3-4+2RP</t>
  </si>
  <si>
    <t>29,000</t>
  </si>
  <si>
    <t>EP1000OVX400/3-4+2SA</t>
  </si>
  <si>
    <t>30,258</t>
  </si>
  <si>
    <t>EP1000OVX400/3-4+2SH</t>
  </si>
  <si>
    <t>24,300</t>
  </si>
  <si>
    <t>EP1000OVX400/3-4+2SL</t>
  </si>
  <si>
    <t>21,850</t>
  </si>
  <si>
    <t>EP1000OVX500/3-4+2MORSPECSH</t>
  </si>
  <si>
    <t>EP 500/3-4+2,BB1000-O+V-MOR</t>
  </si>
  <si>
    <t>21,760</t>
  </si>
  <si>
    <t>EP1000OVX500/3-6+2PH</t>
  </si>
  <si>
    <t>EP 500/3-6+2,BB1000-O+V</t>
  </si>
  <si>
    <t>62,500</t>
  </si>
  <si>
    <t>28,750</t>
  </si>
  <si>
    <t>Meerlaags, Olie- en vetbestendige Kwaliteit ; EP 500/3-6+2</t>
  </si>
  <si>
    <t>Mehrlagig, Öl und Fettbeständige Qualität ; EP 500/3-6+2</t>
  </si>
  <si>
    <t>Multiply, Oil and Grease Resistant Quality ; EP 500/3-6+2</t>
  </si>
  <si>
    <t>Multiplis, Qualité résistant aux huiles et graisses ; EP 500/3-6+2</t>
  </si>
  <si>
    <t>Bandweefseltype: EP ; Treksterkte: 500 N/mm ; Aantal inlagen: 3 ; Bovendek: 6 mm ; Onderdek: 2 mm ; Bandbreedte: 1000 mm ; Olie- en vetbestendige Kwaliteit</t>
  </si>
  <si>
    <t>Gewebetype: EP ; Zugfestigkeit: 500 N/mm ; Anzahl Einlagen: 3 ; Oberdeck: 6 mm ; Unterdeck: 2 mm ; Gurtbreite: 1000 mm ; Öl und Fettbeständige Qualität</t>
  </si>
  <si>
    <t>Fabric type: EP ; Tensile strength: 500 N/mm ; Number of plies: 3 ; Topcover: 6 mm ; Bottomcover: 2 mm ; Beltwidth: 1000 mm ; Oil and Grease Resistant Quality</t>
  </si>
  <si>
    <t>EP1000OVX500/3-6+2SA</t>
  </si>
  <si>
    <t>38,249</t>
  </si>
  <si>
    <t>EP1000OVX630/4-2+2-ELEVATORSA</t>
  </si>
  <si>
    <t>EP 630/4-2+2-BB1000 ELEVATOR-OV</t>
  </si>
  <si>
    <t>24,378</t>
  </si>
  <si>
    <t xml:space="preserve">01-08_Elevator </t>
  </si>
  <si>
    <t>Elevator, Olie- en vetbestendige Kwaliteit ; EP 630/4-2+2</t>
  </si>
  <si>
    <t>Elevator, Öl und Fettbeständige Qualität ; EP 630/4-2+2</t>
  </si>
  <si>
    <t>Elevator, Oil and Grease Resistant Quality ; EP 630/4-2+2</t>
  </si>
  <si>
    <t>Élévatrice, Qualité résistant aux huiles et graisses ; EP 630/4-2+2</t>
  </si>
  <si>
    <t>Bandweefseltype: EP ; Treksterkte: 630 N/mm ; Aantal inlagen: 4 ; Bovendek: 2 mm ; Onderdek: 2 mm ; Bandbreedte: 1000 mm ; Olie- en vetbestendige Kwaliteit ; Elevator</t>
  </si>
  <si>
    <t>Gewebetype: EP ; Zugfestigkeit: 630 N/mm ; Anzahl Einlagen: 4 ; Oberdeck: 2 mm ; Unterdeck: 2 mm ; Gurtbreite: 1000 mm ; Öl und Fettbeständige Qualität ; Elevator</t>
  </si>
  <si>
    <t>Fabric type: EP ; Tensile strength: 630 N/mm ; Number of plies: 4 ; Topcover: 2 mm ; Bottomcover: 2 mm ; Beltwidth: 1000 mm ; Oil and Grease Resistant Quality ; Elevator</t>
  </si>
  <si>
    <t xml:space="preserve">Carcasse: EP ; Tension de service: 630 N/mm ; Nombre de plis: 4 ; Revêtement supérieur: 2 mm ; Revêtement inférieur: 2 mm ; Largeur de bande: 1000 mm ; Qualité résistante à l’huile et graisse ; Sangle Elévatrice
</t>
  </si>
  <si>
    <t>Antistatic: &lt; 300 MΩ ; Oil-resistant volume variation %≤(70℃,72h,IRM902) : 20 %</t>
  </si>
  <si>
    <t>050</t>
  </si>
  <si>
    <t>EP1000OVX630/4-8+3MORAR</t>
  </si>
  <si>
    <t>EP 630/4-8+3,BB1000-O+V-MOR</t>
  </si>
  <si>
    <t>55,180</t>
  </si>
  <si>
    <t>EP1000OVX800/4-2+2-ELEVATORSA</t>
  </si>
  <si>
    <t>EP 800/4-2+2-BB1000 ELEVATOR-OV</t>
  </si>
  <si>
    <t>32,030</t>
  </si>
  <si>
    <t>Elevator, Olie- en vetbestendige Kwaliteit ; EP 800/4-2+2</t>
  </si>
  <si>
    <t>Elevator, Öl und Fettbeständige Qualität ; EP 800/4-2+2</t>
  </si>
  <si>
    <t>Elevator, Oil and Grease Resistant Quality ; EP 800/4-2+2</t>
  </si>
  <si>
    <t>Élévatrice, Qualité résistant aux huiles et graisses ; EP 800/4-2+2</t>
  </si>
  <si>
    <t>Bandweefseltype: EP ; Treksterkte: 800 N/mm ; Aantal inlagen: 4 ; Bovendek: 2 mm ; Onderdek: 2 mm ; Bandbreedte: 1000 mm ; Olie- en vetbestendige Kwaliteit ; Elevator</t>
  </si>
  <si>
    <t>Gewebetype: EP ; Zugfestigkeit: 800 N/mm ; Anzahl Einlagen: 4 ; Oberdeck: 2 mm ; Unterdeck: 2 mm ; Gurtbreite: 1000 mm ; Öl und Fettbeständige Qualität ; Elevator</t>
  </si>
  <si>
    <t>Fabric type: EP ; Tensile strength: 800 N/mm ; Number of plies: 4 ; Topcover: 2 mm ; Bottomcover: 2 mm ; Beltwidth: 1000 mm ; Oil and Grease Resistant Quality ; Elevator</t>
  </si>
  <si>
    <t xml:space="preserve">Carcasse: EP ; Tension de service: 800 N/mm ; Nombre de plis: 4 ; Revêtement supérieur: 2 mm ; Revêtement inférieur: 2 mm ; Largeur de bande: 1000 mm ; Qualité résistante à l’huile et graisse ; Sangle Elévatrice
</t>
  </si>
  <si>
    <t>EP1000PRG250/2-3+2-MULTIVHY</t>
  </si>
  <si>
    <t>EP 250/2-3+2,BB1000-Multi V profiel 6 mm O&amp;V</t>
  </si>
  <si>
    <t>78,000</t>
  </si>
  <si>
    <t>34,723</t>
  </si>
  <si>
    <t>02_Profiled Conveyor Belts</t>
  </si>
  <si>
    <t>02-06_Oil and Grease Resistant</t>
  </si>
  <si>
    <t>Chevron, Olie- en vetbestendige kwaliteit ; EP 250/2-3+2 met multi V6 profiel</t>
  </si>
  <si>
    <t>Chevron, Öl und Fettbeständige Qualität ; EP 250/2-3+2  mit multi V6 Profil</t>
  </si>
  <si>
    <t>Chevron, Oil and Grease Resistant Quality ; EP 250/2-3+2 with multi V6  profile</t>
  </si>
  <si>
    <t>Chevron, Qualité résistant aux huiles et graisses ; EP 250/2-3+2 avec multi V6  profil</t>
  </si>
  <si>
    <t>Bandweefseltype: EP ; Treksterkte: 250 N/mm ; Aantal inlagen: 2 ; Bovendek: 3 mm ; Onderdek: 2 mm ; Bandbreedte: 1000 mm ; Profiel hoogte: 6 mm ; Profiel breedte: Volledige bandbreedte ; Type: V6 ; Olie- en vetbestendige Kwaliteit</t>
  </si>
  <si>
    <t>Gewebetype: EP ; Zugfestigkeit: 250 N/mm ; Anzahl Einlagen: 2 ; Oberdeck: 3 mm ; Unterdeck: 2 mm ; Gurtbreite: 1000 mm ; Profilhöhe: 6 mm ; Profilbreite: Komplette Gurtbreite ; Profiltyp: V6 ; Öl und Fettbeständige Qualität</t>
  </si>
  <si>
    <t>Fabric type: EP ; Tensile strength: 250 N/mm ; Number of plies: 2 ; Topcover: 3 mm ; Bottomcover: 2 mm ; Beltwidth: 1000 mm ; Profile height: 6 mm ; Profile width: Full belt width ; Profile type: V6 ; Oil and Grease Resistant Quality</t>
  </si>
  <si>
    <t>Carcasse: EP ; Résistance à la traction: 250 N/mm ; Nombre de plis: 2 ; Revêtement supérieur: 3 mm ; Revêtement inférieur: 2 mm ; Largeur de bande: 1000 mm ; Hauteur du profil: 6 mm ; Largeur du profil: Sur toute la largeur ; Type de profil: V6 ; Qualité résistant aux huiles et graisses</t>
  </si>
  <si>
    <t>EP1000PRG400/3-3+1½-C25P750HY</t>
  </si>
  <si>
    <t>EP 400/3-3+1,BB1000-profiel C25P750 O&amp;V</t>
  </si>
  <si>
    <t>75,900</t>
  </si>
  <si>
    <t>63,300</t>
  </si>
  <si>
    <t>Chevron, Olie- en vetbestendige kwaliteit ; EP 400/3-3+1½ met C25 profiel</t>
  </si>
  <si>
    <t>Chevron, Öl und Fettbeständige Qualität ; EP 400/3-3+1½  mit C25 Profil</t>
  </si>
  <si>
    <t>Chevron, Oil and Grease Resistant Quality ; EP 400/3-3+1½ with C25  profile</t>
  </si>
  <si>
    <t>Chevron, Qualité résistant aux huiles et graisses ; EP 400/3-3+1½ avec C25  profil</t>
  </si>
  <si>
    <t>Bandweefseltype: EP ; Treksterkte: 400 N/mm ; Aantal inlagen: 3 ; Bovendek: 3 mm ; Onderdek: 1½ mm ; Bandbreedte: 1000 mm ; Profiel hoogte: 25 mm ; Profiel breedte: 750mm ; Type:C25P750 ; Olie- en vetbestendige Kwaliteit</t>
  </si>
  <si>
    <t>Gewebetype: EP ; Zugfestigkeit: 400 N/mm ; Anzahl Einlagen: 3 ; Oberdeck: 3 mm ; Unterdeck: 1½ mm ; Gurtbreite: 1000 mm ; Profilhöhe: 25 mm ; Profilbreite: 750mm ; Profiltyp: C25P750 ; Öl und Fettbeständige Qualität</t>
  </si>
  <si>
    <t>Fabric type: EP ; Tensile strength: 400 N/mm ; Number of plies: 3 ; Topcover: 3 mm ; Bottomcover: 1½ mm ; Beltwidth: 1000 mm ; Profile height: 25 mm ; Profile width: 750mm ; Profile type: C25P750 ; Oil and Grease Resistant Quality</t>
  </si>
  <si>
    <t>Carcasse: EP ; Résistance à la traction: 400 N/mm ; Nombre de plis: 3 ; Revêtement supérieur: 3 mm ; Revêtement inférieur: 1½ mm ; Largeur de bande: 1000 mm ; Hauteur du profil: 25 mm ; Largeur du profil: 750mm ; Type de profil: C25P750 ; Qualité résistant aux huiles et graisses</t>
  </si>
  <si>
    <t>EP1000PRG400/3-3+1-C15P750HY</t>
  </si>
  <si>
    <t>EP 400/3-3+1,BB1000-profiel C15P750 O&amp;V</t>
  </si>
  <si>
    <t>52,930</t>
  </si>
  <si>
    <t>Chevron, Olie- en vetbestendige kwaliteit ; EP 400/3-3+1 met C15 profiel</t>
  </si>
  <si>
    <t>Chevron, Öl und Fettbeständige Qualität ; EP 400/3-3+1  mit C15 Profil</t>
  </si>
  <si>
    <t>Chevron, Oil and Grease Resistant Quality ; EP 400/3-3+1 with C15  profile</t>
  </si>
  <si>
    <t>Chevron, Qualité résistant aux huiles et graisses ; EP 400/3-3+1 avec C15  profil</t>
  </si>
  <si>
    <t>Bandweefseltype: EP ; Treksterkte: 400 N/mm ; Aantal inlagen: 3 ; Bovendek: 3 mm ; Onderdek: 1 mm ; Bandbreedte: 1000 mm ; Profiel hoogte: 15 mm ; Profiel breedte: 750mm ; Type:C15P750 ; Olie- en vetbestendige Kwaliteit</t>
  </si>
  <si>
    <t>Gewebetype: EP ; Zugfestigkeit: 400 N/mm ; Anzahl Einlagen: 3 ; Oberdeck: 3 mm ; Unterdeck: 1 mm ; Gurtbreite: 1000 mm ; Profilhöhe: 15 mm ; Profilbreite: 750mm ; Profiltyp: C15P750 ; Öl und Fettbeständige Qualität</t>
  </si>
  <si>
    <t>Fabric type: EP ; Tensile strength: 400 N/mm ; Number of plies: 3 ; Topcover: 3 mm ; Bottomcover: 1 mm ; Beltwidth: 1000 mm ; Profile height: 15 mm ; Profile width: 750mm ; Profile type: C15P750 ; Oil and Grease Resistant Quality</t>
  </si>
  <si>
    <t>Carcasse: EP ; Résistance à la traction: 400 N/mm ; Nombre de plis: 3 ; Revêtement supérieur: 3 mm ; Revêtement inférieur: 1 mm ; Largeur de bande: 1000 mm ; Hauteur du profil: 15 mm ; Largeur du profil: 750mm ; Type de profil: C15P750 ; Qualité résistant aux huiles et graisses</t>
  </si>
  <si>
    <t>EP1000PRG400/3-3+1-H63DA</t>
  </si>
  <si>
    <t>EP 400/3-3+1,BB1000-profiel H63 O&amp;V</t>
  </si>
  <si>
    <t>95,800</t>
  </si>
  <si>
    <t>12011, Zhejiang Double Arrow Rubber Co., Ltd</t>
  </si>
  <si>
    <t>67,070</t>
  </si>
  <si>
    <t>Chevron, Olie- en vetbestendige kwaliteit ; EP 400/3-3+1 met H63 profiel</t>
  </si>
  <si>
    <t>Chevron, Öl und Fettbeständige Qualität ; EP 400/3-3+1  mit H63 Profil</t>
  </si>
  <si>
    <t>Chevron, Oil and Grease Resistant Quality ; EP 400/3-3+1 with H63  profile</t>
  </si>
  <si>
    <t>Chevron, Qualité résistant aux huiles et graisses ; EP 400/3-3+1 avec H63  profil</t>
  </si>
  <si>
    <t>Bandweefseltype: EP ; Treksterkte: 400 N/mm ; Aantal inlagen: 3 ; Bovendek: 3 mm ; Onderdek: 1 mm ; Bandbreedte: 1000 mm ; Profiel hoogte: 32 mm ; Profiel breedte: 630mm ; Type: H63 ; Olie- en vetbestendige Kwaliteit</t>
  </si>
  <si>
    <t>Gewebetype: EP ; Zugfestigkeit: 400 N/mm ; Anzahl Einlagen: 3 ; Oberdeck: 3 mm ; Unterdeck: 1 mm ; Gurtbreite: 1000 mm ; Profilhöhe: 32 mm ; Profilbreite: 630mm ; Profiltyp: H63 ; Öl und Fettbeständige Qualität</t>
  </si>
  <si>
    <t>Fabric type: EP ; Tensile strength: 400 N/mm ; Number of plies: 3 ; Topcover: 3 mm ; Bottomcover: 1 mm ; Beltwidth: 1000 mm ; Profile height: 32 mm ; Profile width: 630mm ; Profile type: H63 ; Oil and Grease Resistant Quality</t>
  </si>
  <si>
    <t>Carcasse: EP ; Résistance à la traction: 400 N/mm ; Nombre de plis: 3 ; Revêtement supérieur: 3 mm ; Revêtement inférieur: 1 mm ; Largeur de bande: 1000 mm ; Hauteur du profil: 32 mm ; Largeur du profil: 630mm ; Type de profil: H63 ; Qualité résistant aux huiles et graisses</t>
  </si>
  <si>
    <t>EP1000PRG400/3-3+1-H63HY</t>
  </si>
  <si>
    <t>EP1000PRG400/3-3+1-H75HY</t>
  </si>
  <si>
    <t>EP 400/3-3+1,BB1000-profiel H75 O&amp;V</t>
  </si>
  <si>
    <t>74,280</t>
  </si>
  <si>
    <t>Chevron, Olie- en vetbestendige kwaliteit ; EP 400/3-3+1 met H75 profiel</t>
  </si>
  <si>
    <t>Chevron, Öl und Fettbeständige Qualität ; EP 400/3-3+1  mit H75 Profil</t>
  </si>
  <si>
    <t>Chevron, Oil and Grease Resistant Quality ; EP 400/3-3+1 with H75  profile</t>
  </si>
  <si>
    <t>Chevron, Qualité résistant aux huiles et graisses ; EP 400/3-3+1 avec H75  profil</t>
  </si>
  <si>
    <t>Bandweefseltype: EP ; Treksterkte: 400 N/mm ; Aantal inlagen: 3 ; Bovendek: 3 mm ; Onderdek: 1 mm ; Bandbreedte: 1000 mm ; Profiel hoogte: 32 mm ; Profiel breedte: 750mm ; Type: H75 ; Olie- en vetbestendige Kwaliteit</t>
  </si>
  <si>
    <t>Gewebetype: EP ; Zugfestigkeit: 400 N/mm ; Anzahl Einlagen: 3 ; Oberdeck: 3 mm ; Unterdeck: 1 mm ; Gurtbreite: 1000 mm ; Profilhöhe: 32 mm ; Profilbreite: 750mm ; Profiltyp: H75 ; Öl und Fettbeständige Qualität</t>
  </si>
  <si>
    <t>Fabric type: EP ; Tensile strength: 400 N/mm ; Number of plies: 3 ; Topcover: 3 mm ; Bottomcover: 1 mm ; Beltwidth: 1000 mm ; Profile height: 32 mm ; Profile width: 750mm ; Profile type: H75 ; Oil and Grease Resistant Quality</t>
  </si>
  <si>
    <t>Carcasse: EP ; Résistance à la traction: 400 N/mm ; Nombre de plis: 3 ; Revêtement supérieur: 3 mm ; Revêtement inférieur: 1 mm ; Largeur de bande: 1000 mm ; Hauteur du profil: 32 mm ; Largeur du profil: 750mm ; Type de profil: H75 ; Qualité résistant aux huiles et graisses</t>
  </si>
  <si>
    <t>EP1000PRG400/3-3+1-L63HY</t>
  </si>
  <si>
    <t>EP 400/3-3+1,BB1000-profiel L63-vol O&amp;V</t>
  </si>
  <si>
    <t>63,240</t>
  </si>
  <si>
    <t>Chevron, Olie- en vetbestendige kwaliteit ; EP 400/3-3+1 met L63 profiel</t>
  </si>
  <si>
    <t>Chevron, Öl und Fettbeständige Qualität ; EP 400/3-3+1  mit L63 Profil</t>
  </si>
  <si>
    <t>Chevron, Oil and Grease Resistant Quality ; EP 400/3-3+1 with L63  profile</t>
  </si>
  <si>
    <t>Chevron, Qualité résistant aux huiles et graisses ; EP 400/3-3+1 avec L63  profil</t>
  </si>
  <si>
    <t>Bandweefseltype: EP ; Treksterkte: 400 N/mm ; Aantal inlagen: 3 ; Bovendek: 3 mm ; Onderdek: 1 mm ; Bandbreedte: 1000 mm ; Profiel hoogte: 17 mm ; Profiel breedte: 630mm ; Type: L63 ; Olie- en vetbestendige Kwaliteit</t>
  </si>
  <si>
    <t>Gewebetype: EP ; Zugfestigkeit: 400 N/mm ; Anzahl Einlagen: 3 ; Oberdeck: 3 mm ; Unterdeck: 1 mm ; Gurtbreite: 1000 mm ; Profilhöhe: 17 mm ; Profilbreite: 630mm ; Profiltyp: L63 ; Öl und Fettbeständige Qualität</t>
  </si>
  <si>
    <t>Fabric type: EP ; Tensile strength: 400 N/mm ; Number of plies: 3 ; Topcover: 3 mm ; Bottomcover: 1 mm ; Beltwidth: 1000 mm ; Profile height: 17 mm ; Profile width: 630mm ; Profile type: L63 ; Oil and Grease Resistant Quality</t>
  </si>
  <si>
    <t>Carcasse: EP ; Résistance à la traction: 400 N/mm ; Nombre de plis: 3 ; Revêtement supérieur: 3 mm ; Revêtement inférieur: 1 mm ; Largeur de bande: 1000 mm ; Hauteur du profil: 17 mm ; Largeur du profil: 630mm ; Type de profil: L63 ; Qualité résistant aux huiles et graisses</t>
  </si>
  <si>
    <t>EP1000PRG400/3-3+1-L95HY</t>
  </si>
  <si>
    <t>EP 400/3-3+1,BB1000-profiel L95-vol O&amp;V</t>
  </si>
  <si>
    <t>53,399</t>
  </si>
  <si>
    <t>Chevron, Olie- en vetbestendige kwaliteit ; EP 400/3-3+1 met L95 profiel</t>
  </si>
  <si>
    <t>Chevron, Öl und Fettbeständige Qualität ; EP 400/3-3+1  mit L95 Profil</t>
  </si>
  <si>
    <t>Chevron, Oil and Grease Resistant Quality ; EP 400/3-3+1 with L95  profile</t>
  </si>
  <si>
    <t>Chevron, Qualité résistant aux huiles et graisses ; EP 400/3-3+1 avec L95  profil</t>
  </si>
  <si>
    <t>Bandweefseltype: EP ; Treksterkte: 400 N/mm ; Aantal inlagen: 3 ; Bovendek: 3 mm ; Onderdek: 1 mm ; Bandbreedte: 1000 mm ; Profiel hoogte: 17 mm ; Profiel breedte: 950mm ; Type: L95 ; Olie- en vetbestendige Kwaliteit</t>
  </si>
  <si>
    <t>Gewebetype: EP ; Zugfestigkeit: 400 N/mm ; Anzahl Einlagen: 3 ; Oberdeck: 3 mm ; Unterdeck: 1 mm ; Gurtbreite: 1000 mm ; Profilhöhe: 17 mm ; Profilbreite: 950mm ; Profiltyp: L95 ; Öl und Fettbeständige Qualität</t>
  </si>
  <si>
    <t>Fabric type: EP ; Tensile strength: 400 N/mm ; Number of plies: 3 ; Topcover: 3 mm ; Bottomcover: 1 mm ; Beltwidth: 1000 mm ; Profile height: 17 mm ; Profile width: 950mm ; Profile type: L95 ; Oil and Grease Resistant Quality</t>
  </si>
  <si>
    <t>Carcasse: EP ; Résistance à la traction: 400 N/mm ; Nombre de plis: 3 ; Revêtement supérieur: 3 mm ; Revêtement inférieur: 1 mm ; Largeur de bande: 1000 mm ; Hauteur du profil: 17 mm ; Largeur du profil: 950mm ; Type de profil: L95 ; Qualité résistant aux huiles et graisses</t>
  </si>
  <si>
    <t>EP1000PRG400/3-3+2-MULTIVHY</t>
  </si>
  <si>
    <t>EP 400/3-3+2,BB1000-Multi V profiel 6 mm O&amp;V</t>
  </si>
  <si>
    <t>40,960</t>
  </si>
  <si>
    <t>Chevron, Olie- en vetbestendige kwaliteit ; EP 400/3-3+2 met multi V6 profiel</t>
  </si>
  <si>
    <t>Chevron, Öl und Fettbeständige Qualität ; EP 400/3-3+2 mit multi V6 Profil</t>
  </si>
  <si>
    <t>Chevron, Oil and Grease Resistant Quality ; EP 400/3-3+2 with multi V6  profile</t>
  </si>
  <si>
    <t>Chevron, Qualité résistant aux huiles et graisses ; EP 400/3-3+2 avec multi V6  profil</t>
  </si>
  <si>
    <t>Bandweefseltype: EP ; Treksterkte: 400 N/mm ; Aantal inlagen: 3 ; Bovendek: 3 mm ; Onderdek: 2 mm ; Bandbreedte: 1000 mm ; Profiel hoogte: 6 mm ; Profiel breedte: Volledige bandbreedte ; Type: V6 ; Olie- en vetbestendige Kwaliteit</t>
  </si>
  <si>
    <t>Gewebetype: EP ; Zugfestigkeit: 400 N/mm ; Anzahl Einlagen: 3 ; Oberdeck: 3 mm ; Unterdeck: 2 mm ; Gurtbreite: 1000 mm ; Profilhöhe: 6 mm ; Profilbreite: Komplette Gurtbreite ; Profiltyp: V6 ; Öl und Fettbeständige Qualität</t>
  </si>
  <si>
    <t>Fabric type: EP ; Tensile strength: 400 N/mm ; Number of plies: 3 ; Topcover: 3 mm ; Bottomcover: 2 mm ; Beltwidth: 1000 mm ; Profile height: 6 mm ; Profile width: Full belt width ; Profile type: V6 ; Oil and Grease Resistant Quality</t>
  </si>
  <si>
    <t>Carcasse: EP ; Résistance à la traction: 400 N/mm ; Nombre de plis: 3 ; Revêtement supérieur: 3 mm ; Revêtement inférieur: 2 mm ; Largeur de bande: 1000 mm ; Hauteur du profil: 6 mm ; Largeur du profil: Sur toute la largeur ; Type de profil: V6 ; Qualité résistant aux huiles et graisses</t>
  </si>
  <si>
    <t>EP1000PRG400/3-3+2-MULTIVSH</t>
  </si>
  <si>
    <t>30,190</t>
  </si>
  <si>
    <t>EP1000PRH400/3-3+1-H63HY</t>
  </si>
  <si>
    <t>EP 400/3-3+1,BB1000-profiel H63</t>
  </si>
  <si>
    <t>76,700</t>
  </si>
  <si>
    <t>56,340</t>
  </si>
  <si>
    <t>02-05_Profile height 32 mm</t>
  </si>
  <si>
    <t>Chevron, Standaard kwaliteit ; EP 400/3-3+1 met H63 profiel</t>
  </si>
  <si>
    <t>Chevron, Standardqualität ; EP 400/3-3+1 mit H63 Profil</t>
  </si>
  <si>
    <t>Chevron, Standard Quality ; EP 400/3-3+1 with H63 profile</t>
  </si>
  <si>
    <t>Chevron, Qualité standard ; EP 400/3-3+1 met H63 profil</t>
  </si>
  <si>
    <t>Bandweefseltype: EP ; Treksterkte: 400 N/mm ; Aantal inlagen: 3 ; Bovendek: 3 mm ; Onderdek:  mm 1 ; Bandbreedte: 1000 mm ; Profiel hoogte: 32 mm ; Profiel breedte: 630 mm ; Profiel type: open</t>
  </si>
  <si>
    <t>Gewebetype: EP ; Zugfestigkeit: 400 N/mm ; Anzahl Einlagen: 3 ; Oberdeck: 3 mm ; Unterdeck: 1 mm ; Gurtbreite: 1000 mm ; Profilhöhe: 32 mm ; Profilbreite: 630 mm ; Profiltyp: offen</t>
  </si>
  <si>
    <t>Fabric type: EP ; Tensile strength: 400 N/mm ; Number of plies: 3 ; Topcover: 3 mm ; Bottomcover: 1 mm ; Beltwidth: 1000 mm ; Profile height: 32 mm ; Profile width: 630 mm ; Profile type: open</t>
  </si>
  <si>
    <t>Carcasse: EP ; Résistance à la traction: 400 N/mm ; Nombre de plis: 3 ; Revêtement supérieur: 3 mm ; Revêtement inférieur: 1 mm ; Largeur de bande: 1000 mm ; Hauteur du profil: 32 mm ; Largeur du profil: 630 mm ; Type de profil: Ouvert</t>
  </si>
  <si>
    <t>EP1000PRH400/3-3+1-H63JO</t>
  </si>
  <si>
    <t>38,010</t>
  </si>
  <si>
    <t>EP1000PRH400/3-3+1-H75HY</t>
  </si>
  <si>
    <t>EP 400/3-3+1,BB1000-profiel H75</t>
  </si>
  <si>
    <t>Chevron, Standaard kwaliteit ; EP 400/3-3+1 met H75 profiel</t>
  </si>
  <si>
    <t>Chevron, Standardqualität ; EP 400/3-3+1 mit H75 Profil</t>
  </si>
  <si>
    <t>Chevron, Standard Quality ; EP 400/3-3+1 with H75 profile</t>
  </si>
  <si>
    <t>Chevron, Qualité standard ; EP 400/3-3+1 met H75 profil</t>
  </si>
  <si>
    <t>Bandweefseltype: EP ; Treksterkte: 400 N/mm ; Aantal inlagen: 3 ; Bovendek: 3 mm ; Onderdek:  mm 1 ; Bandbreedte: 1000 mm ; Profiel hoogte: 32 mm ; Profiel breedte: 750 mm ; Profiel type: open</t>
  </si>
  <si>
    <t>Gewebetype: EP ; Zugfestigkeit: 400 N/mm ; Anzahl Einlagen: 3 ; Oberdeck: 3 mm ; Unterdeck: 1 mm ; Gurtbreite: 1000 mm ; Profilhöhe: 32 mm ; Profilbreite: 750 mm ; Profiltyp: offen</t>
  </si>
  <si>
    <t>Fabric type: EP ; Tensile strength: 400 N/mm ; Number of plies: 3 ; Topcover: 3 mm ; Bottomcover: 1 mm ; Beltwidth: 1000 mm ; Profile height: 32 mm ; Profile width: 750 mm ; Profile type: open</t>
  </si>
  <si>
    <t>Carcasse: EP ; Résistance à la traction: 400 N/mm ; Nombre de plis: 3 ; Revêtement supérieur: 3 mm ; Revêtement inférieur: 1 mm ; Largeur de bande: 1000 mm ; Hauteur du profil: 32 mm ; Largeur du profil: 750 mm ; Type de profil: Ouvert</t>
  </si>
  <si>
    <t>EP1000PRH400/3-3+1-H75JO</t>
  </si>
  <si>
    <t>39,560</t>
  </si>
  <si>
    <t>EP1000PRH400/3-3+2-Y32P600HY</t>
  </si>
  <si>
    <t>EP 400/3-3+2,BB1000-profiel Y32P600</t>
  </si>
  <si>
    <t>59,450</t>
  </si>
  <si>
    <t>Chevron, Standaard kwaliteit ; EP 400/3-3+2 met Y32P600 profiel</t>
  </si>
  <si>
    <t>Chevron, Standardqualität ; EP 400/3-3+2 mit Y32P600 Profil</t>
  </si>
  <si>
    <t>Chevron, Standard Quality ; EP 400/3-3+2 with Y32P600 profile</t>
  </si>
  <si>
    <t>Chevron, Qualité standard ; EP 400/3-3+2 met Y32P600 profil</t>
  </si>
  <si>
    <t>Bandweefseltype: EP ; Treksterkte: 400 N/mm ; Aantal inlagen: 3 ; Bovendek: 3 mm ; Onderdek:  mm 2 ; Bandbreedte: 1000 mm ; Profiel hoogte: 32 mm ; Profiel breedte: 600 mm ; Profiel type: gesloten Y</t>
  </si>
  <si>
    <t>Gewebetype: EP ; Zugfestigkeit: 400 N/mm ; Anzahl Einlagen: 3 ; Oberdeck: 3 mm ; Unterdeck: 2 mm ; Gurtbreite: 1000 mm ; Profilhöhe: 32 mm ; Profilbreite: 600 mm ; Profiltyp: geschlossen Y</t>
  </si>
  <si>
    <t>Fabric type: EP ; Tensile strength: 400 N/mm ; Number of plies: 3 ; Topcover: 3 mm ; Bottomcover: 2 mm ; Beltwidth: 1000 mm ; Profile height: 32 mm ; Profile width: 600 mm ; Profile type: closed Y</t>
  </si>
  <si>
    <t>Carcasse: EP ; Résistance à la traction: 400 N/mm ; Nombre de plis: 3 ; Revêtement supérieur: 3 mm ; Revêtement inférieur: 2 mm ; Largeur de bande: 1000 mm ; Hauteur du profil: 32 mm ; Largeur du profil: 600 mm ; Type de profil: Y Fermé</t>
  </si>
  <si>
    <t>EP1000PRH400/3-3+2-Y32P600JO</t>
  </si>
  <si>
    <t>42,180</t>
  </si>
  <si>
    <t>Bandweefseltype: EP ; Treksterkte: 400 N/mm ; Aantal inlagen: 3 ; Bovendek: 3 mm ; Onderdek:  mm 2 ; Bandbreedte: 1000 mm ; Profiel hoogte: 32 mm ; Profiel breedte: 600 mm ; Profiel type: open Y</t>
  </si>
  <si>
    <t>Gewebetype: EP ; Zugfestigkeit: 400 N/mm ; Anzahl Einlagen: 3 ; Oberdeck: 3 mm ; Unterdeck: 2 mm ; Gurtbreite: 1000 mm ; Profilhöhe: 32 mm ; Profilbreite: 600 mm ; Profiltyp: offen Y</t>
  </si>
  <si>
    <t>Fabric type: EP ; Tensile strength: 400 N/mm ; Number of plies: 3 ; Topcover: 3 mm ; Bottomcover: 2 mm ; Beltwidth: 1000 mm ; Profile height: 32 mm ; Profile width: 600 mm ; Profile type: open Y</t>
  </si>
  <si>
    <t>Carcasse: EP ; Résistance à la traction: 400 N/mm ; Nombre de plis: 3 ; Revêtement supérieur: 3 mm ; Revêtement inférieur: 2 mm ; Largeur de bande: 1000 mm ; Hauteur du profil: 32 mm ; Largeur du profil: 600 mm ; Type de profil: Y Ouvert</t>
  </si>
  <si>
    <t>EP1000PRH400/3-3+2-Y32P800HY</t>
  </si>
  <si>
    <t>EP 400/3-3+2,BB1000-profiel Y32P800</t>
  </si>
  <si>
    <t>102,850</t>
  </si>
  <si>
    <t>57,390</t>
  </si>
  <si>
    <t>Chevron, Standaard kwaliteit ; EP 400/3-3+2 met Y32P800 profiel</t>
  </si>
  <si>
    <t>Chevron, Standardqualität ; EP 400/3-3+2 mit Y32P800 Profil</t>
  </si>
  <si>
    <t>Chevron, Standard Quality ; EP 400/3-3+2 with Y32P800 profile</t>
  </si>
  <si>
    <t>Chevron, Qualité standard ; EP 400/3-3+2 met Y32P800 profil</t>
  </si>
  <si>
    <t>Bandweefseltype: EP ; Treksterkte: 400 N/mm ; Aantal inlagen: 3 ; Bovendek: 3 mm ; Onderdek:  mm 2 ; Bandbreedte: 1000 mm ; Profiel hoogte: 32 mm ; Profiel breedte: 800 mm ; Profiel type: open Y</t>
  </si>
  <si>
    <t>Gewebetype: EP ; Zugfestigkeit: 400 N/mm ; Anzahl Einlagen: 3 ; Oberdeck: 3 mm ; Unterdeck: 2 mm ; Gurtbreite: 1000 mm ; Profilhöhe: 32 mm ; Profilbreite: 800 mm ; Profiltyp: offen Y</t>
  </si>
  <si>
    <t>Fabric type: EP ; Tensile strength: 400 N/mm ; Number of plies: 3 ; Topcover: 3 mm ; Bottomcover: 2 mm ; Beltwidth: 1000 mm ; Profile height: 32 mm ; Profile width: 800 mm ; Profile type: open Y</t>
  </si>
  <si>
    <t>Carcasse: EP ; Résistance à la traction: 400 N/mm ; Nombre de plis: 3 ; Revêtement supérieur: 3 mm ; Revêtement inférieur: 2 mm ; Largeur de bande: 1000 mm ; Hauteur du profil: 32 mm ; Largeur du profil: 800 mm ; Type de profil: Y Ouvert</t>
  </si>
  <si>
    <t>EP1000PRH400/3-3+2-Y32P800JO</t>
  </si>
  <si>
    <t>EP1000PRH500/3-1ST-10+2-Y32LB</t>
  </si>
  <si>
    <t>EP 500/3-1ST-10+2 BB1000-Y32P600</t>
  </si>
  <si>
    <t>170,070</t>
  </si>
  <si>
    <t>EP1000PRH500/3-3+2-Y32P800HY</t>
  </si>
  <si>
    <t>EP 500/3-3+2,BB1000-profiel Y32P800</t>
  </si>
  <si>
    <t>59,190</t>
  </si>
  <si>
    <t>Chevron, Standaard kwaliteit ; EP 500/3-3+2 met Y32P800 profiel</t>
  </si>
  <si>
    <t>Chevron, Standardqualität ; EP 500/3-3+2 mit Y32P800 Profil</t>
  </si>
  <si>
    <t>Chevron, Standard Quality ; EP 500/3-3+2 with Y32P800 profile</t>
  </si>
  <si>
    <t>Chevron, Qualité standard ; EP 500/3-3+2 met Y32P800 profil</t>
  </si>
  <si>
    <t>Bandweefseltype: EP ; Treksterkte: 500 N/mm ; Aantal inlagen: 3 ; Bovendek: 3 mm ; Onderdek:  mm 2 ; Bandbreedte: 1000 mm ; Profiel hoogte: 32 mm ; Profiel breedte: 800 mm ; Profiel type: open Y</t>
  </si>
  <si>
    <t>Gewebetype: EP ; Zugfestigkeit: 500 N/mm ; Anzahl Einlagen: 3 ; Oberdeck: 3 mm ; Unterdeck: 2 mm ; Gurtbreite: 1000 mm ; Profilhöhe: 32 mm ; Profilbreite: 800 mm ; Profiltyp: offen Y</t>
  </si>
  <si>
    <t>Fabric type: EP ; Tensile strength: 500 N/mm ; Number of plies: 3 ; Topcover: 3 mm ; Bottomcover: 2 mm ; Beltwidth: 1000 mm ; Profile height: 32 mm ; Profile width: 800 mm ; Profile type: open Y</t>
  </si>
  <si>
    <t>Carcasse: EP ; Résistance à la traction: 500 N/mm ; Nombre de plis: 3 ; Revêtement supérieur: 3 mm ; Revêtement inférieur: 2 mm ; Largeur de bande: 1000 mm ; Hauteur du profil: 32 mm ; Largeur du profil: 800 mm ; Type de profil: Y Ouvert</t>
  </si>
  <si>
    <t>EP1000PRH500/4-3+2-Y32P800HY</t>
  </si>
  <si>
    <t>EP 500/4-3+2,BB1000-profiel Y32P800</t>
  </si>
  <si>
    <t>126,350</t>
  </si>
  <si>
    <t>76,610</t>
  </si>
  <si>
    <t>Chevron, Standaard kwaliteit ; EP 500/4-3+2 met Y32P800 profiel</t>
  </si>
  <si>
    <t>Chevron, Standardqualität ; EP 500/4-3+2 mit Y32P800 Profil</t>
  </si>
  <si>
    <t>Chevron, Standard Quality ; EP 500/4-3+2 with Y32P800 profile</t>
  </si>
  <si>
    <t>Chevron, Qualité standard ; EP 500/4-3+2 met Y32P800 profil</t>
  </si>
  <si>
    <t>Bandweefseltype: EP ; Treksterkte: 500 N/mm ; Aantal inlagen: 4 ; Bovendek: 3 mm ; Onderdek:  mm 2 ; Bandbreedte: 1000 mm ; Profiel hoogte: 32 mm ; Profiel breedte: 800 mm ; Profiel type: open Y</t>
  </si>
  <si>
    <t>Gewebetype: EP ; Zugfestigkeit: 500 N/mm ; Anzahl Einlagen: 4 ; Oberdeck: 3 mm ; Unterdeck: 2 mm ; Gurtbreite: 1000 mm ; Profilhöhe: 32 mm ; Profilbreite: 800 mm ; Profiltyp: offen Y</t>
  </si>
  <si>
    <t>Fabric type: EP ; Tensile strength: 500 N/mm ; Number of plies: 4 ; Topcover: 3 mm ; Bottomcover: 2 mm ; Beltwidth: 1000 mm ; Profile height: 32 mm ; Profile width: 800 mm ; Profile type: open Y</t>
  </si>
  <si>
    <t>Carcasse: EP ; Résistance à la traction: 500 N/mm ; Nombre de plis: 4 ; Revêtement supérieur: 3 mm ; Revêtement inférieur: 2 mm ; Largeur de bande: 1000 mm ; Hauteur du profil: 32 mm ; Largeur du profil: 800 mm ; Type de profil: Y Ouvert</t>
  </si>
  <si>
    <t>EP1000PRH500/4-3+2-Y32P800JO</t>
  </si>
  <si>
    <t>EP1000PRH500/4-3+2-Y32P800TA</t>
  </si>
  <si>
    <t>12023, Oriental Rubber Industries PVT Ltd.</t>
  </si>
  <si>
    <t>50,600</t>
  </si>
  <si>
    <t>EP1000PRL250/2-3+1½-C15P750HY</t>
  </si>
  <si>
    <t>EP 250/2-3+1½,BB1000-profiel C15P750</t>
  </si>
  <si>
    <t>34,573</t>
  </si>
  <si>
    <t>02-02_Profile height 15 mm</t>
  </si>
  <si>
    <t>Chevron, Standaard kwaliteit ; EP 250/2-3+1½ met C15P750 profiel</t>
  </si>
  <si>
    <t>Chevron, Standardqualität ; EP 250/2-3+1½ mit C15P750 Profil</t>
  </si>
  <si>
    <t>Chevron, Standard Quality ; EP 250/2-3+1½ with C15P750 profile</t>
  </si>
  <si>
    <t>Chevron, Qualité standard ; EP 250/2-3+1½ met C15P750 profil</t>
  </si>
  <si>
    <t>Bandweefseltype: EP ; Treksterkte: 250 N/mm ; Aantal inlagen: 2 ; Bovendek: 3 mm ; Onderdek:  mm 1½ ; Bandbreedte: 1000 mm ; Profiel hoogte: 15 mm ; Profiel breedte: 750 mm ; Profiel type: open V</t>
  </si>
  <si>
    <t>Gewebetype: EP ; Zugfestigkeit: 250 N/mm ; Anzahl Einlagen: 2 ; Oberdeck: 3 mm ; Unterdeck: 1½ mm ; Gurtbreite: 1000 mm ; Profilhöhe: 15 mm ; Profilbreite: 750 mm ; Profiltyp: offen V</t>
  </si>
  <si>
    <t>Fabric type: EP ; Tensile strength: 250 N/mm ; Number of plies: 2 ; Topcover: 3 mm ; Bottomcover: 1½ mm ; Beltwidth: 1000 mm ; Profile height: 15 mm ; Profile width: 750 mm ; Profile type: open V</t>
  </si>
  <si>
    <t>Carcasse: EP ; Résistance à la traction: 250 N/mm ; Nombre de plis: 2 ; Revêtement supérieur: 3 mm ; Revêtement inférieur: 1½ mm ; Largeur de bande: 1000 mm ; Hauteur du profil: 15 mm ; Largeur du profil: 750 mm ; Type de profil: V Ouvert</t>
  </si>
  <si>
    <t>EP1000PRL250/2-3+1½-C15P750JO</t>
  </si>
  <si>
    <t>24,330</t>
  </si>
  <si>
    <t>EP1000PRL250/2-3+1-L75HY</t>
  </si>
  <si>
    <t>EP 250/2-3+1-BB1000-profiel L75</t>
  </si>
  <si>
    <t>47,050</t>
  </si>
  <si>
    <t>31,140</t>
  </si>
  <si>
    <t>02-03_Profile height 17 mm</t>
  </si>
  <si>
    <t>Chevron, Standaard kwaliteit ; EP 250/2-3+1 met L75 profiel</t>
  </si>
  <si>
    <t>Chevron, Standardqualität ; EP 250/2-3+1 mit L75 Profil</t>
  </si>
  <si>
    <t>Chevron, Standard Quality ; EP 250/2-3+1 with L75 profile</t>
  </si>
  <si>
    <t>Chevron, Qualité standard ; EP 250/2-3+1 met L75 profil</t>
  </si>
  <si>
    <t>Bandweefseltype: EP ; Treksterkte: 250 N/mm ; Aantal inlagen: 2 ; Bovendek: 3 mm ; Onderdek:  mm 1 ; Bandbreedte: 1000 mm ; Profiel hoogte: 17 mm ; Profiel breedte: 750 mm ; Profiel type: open Y</t>
  </si>
  <si>
    <t>Gewebetype: EP ; Zugfestigkeit: 250 N/mm ; Anzahl Einlagen: 2 ; Oberdeck: 3 mm ; Unterdeck: 1 mm ; Gurtbreite: 1000 mm ; Profilhöhe: 17 mm ; Profilbreite: 750 mm ; Profiltyp: offen Y</t>
  </si>
  <si>
    <t>Fabric type: EP ; Tensile strength: 250 N/mm ; Number of plies: 2 ; Topcover: 3 mm ; Bottomcover: 1 mm ; Beltwidth: 1000 mm ; Profile height: 17 mm ; Profile width: 750 mm ; Profile type: open Y</t>
  </si>
  <si>
    <t>Carcasse: EP ; Résistance à la traction: 250 N/mm ; Nombre de plis: 2 ; Revêtement supérieur: 3 mm ; Revêtement inférieur: 1 mm ; Largeur de bande: 1000 mm ; Hauteur du profil: 17 mm ; Largeur du profil: 750 mm ; Type de profil: Y Ouvert</t>
  </si>
  <si>
    <t>EP1000PRL250/2-3+1-L75JO</t>
  </si>
  <si>
    <t>EP 250/2-3+1,BB1000-profiel L75</t>
  </si>
  <si>
    <t>74,650</t>
  </si>
  <si>
    <t>28,460</t>
  </si>
  <si>
    <t>EP1000PRL250/2-3+1-L95HY</t>
  </si>
  <si>
    <t>EP 250/2-3+1,BB1000-profiel L95</t>
  </si>
  <si>
    <t>Chevron, Standaard kwaliteit ; EP 250/2-3+1 met L95 profiel</t>
  </si>
  <si>
    <t>Chevron, Standardqualität ; EP 250/2-3+1 mit L95 Profil</t>
  </si>
  <si>
    <t>Chevron, Standard Quality ; EP 250/2-3+1 with L95 profile</t>
  </si>
  <si>
    <t>Chevron, Qualité standard ; EP 250/2-3+1 met L95 profil</t>
  </si>
  <si>
    <t>Bandweefseltype: EP ; Treksterkte: 250 N/mm ; Aantal inlagen: 2 ; Bovendek: 3 mm ; Onderdek:  mm 1 ; Bandbreedte: 1000 mm ; Profiel hoogte: 17 mm ; Profiel breedte: 950 mm ; Profiel type: open Y</t>
  </si>
  <si>
    <t>Gewebetype: EP ; Zugfestigkeit: 250 N/mm ; Anzahl Einlagen: 2 ; Oberdeck: 3 mm ; Unterdeck: 1 mm ; Gurtbreite: 1000 mm ; Profilhöhe: 17 mm ; Profilbreite: 950 mm ; Profiltyp: offen Y</t>
  </si>
  <si>
    <t>Fabric type: EP ; Tensile strength: 250 N/mm ; Number of plies: 2 ; Topcover: 3 mm ; Bottomcover: 1 mm ; Beltwidth: 1000 mm ; Profile height: 17 mm ; Profile width: 950 mm ; Profile type: open Y</t>
  </si>
  <si>
    <t>Carcasse: EP ; Résistance à la traction: 250 N/mm ; Nombre de plis: 2 ; Revêtement supérieur: 3 mm ; Revêtement inférieur: 1 mm ; Largeur de bande: 1000 mm ; Hauteur du profil: 17 mm ; Largeur du profil: 950 mm ; Type de profil: Y Ouvert</t>
  </si>
  <si>
    <t>EP1000PRL250/2-3+1-L95JO</t>
  </si>
  <si>
    <t>28,550</t>
  </si>
  <si>
    <t>EP1000PRL250/2-3+1-L95SA</t>
  </si>
  <si>
    <t>EP 250/2-3+1-BB1000-profiel L95</t>
  </si>
  <si>
    <t>30,111</t>
  </si>
  <si>
    <t>EP1000PRL250/2-3+2-MULTIVHY</t>
  </si>
  <si>
    <t>EP 250/2-3+2,BB1000-Multi V profiel 6 mm</t>
  </si>
  <si>
    <t>35,690</t>
  </si>
  <si>
    <t>02-01_Profile height 6 – 13½ mm</t>
  </si>
  <si>
    <t>Chevron, Standaard kwaliteit ; EP 250/2-3+2 met multi V6 profiel</t>
  </si>
  <si>
    <t>Chevron, Standardqualität ; EP 250/2-3+2 mit multi V6 Profil</t>
  </si>
  <si>
    <t>Chevron, Standard Quality ; EP 250/2-3+2 with multi V6  profile</t>
  </si>
  <si>
    <t>Chevron, Qualité standard ; EP 250/2-3+2 avec multi V6  profil</t>
  </si>
  <si>
    <t>Bandweefseltype: EP ; Treksterkte: 250 N/mm ; Aantal inlagen: 2 ; Bovendek: 3 mm ; Onderdek: 2 mm ; Bandbreedte: 1000 mm ; Profiel hoogte: 6 mm ; Profiel breedte: Volledige bandbreedte ; Type: V6</t>
  </si>
  <si>
    <t>Gewebetype: EP ; Zugfestigkeit: 250 N/mm ; Anzahl Einlagen: 2 ; Oberdeck: 3 mm ; Unterdeck: 2 mm ; Gurtbreite: 1000 mm ; Profilhöhe: 6 mm ; Profilbreite: Komplette Gurtbreite ; Profiltyp: V6</t>
  </si>
  <si>
    <t>Fabric type: EP ; Tensile strength: 250 N/mm ; Number of plies: 2 ; Topcover: 3 mm ; Bottomcover: 2 mm ; Beltwidth: 1000 mm ; Profile height: 6 mm ; Profile width: Full belt width ; Profile type: V6</t>
  </si>
  <si>
    <t>Carcasse: EP ; Résistance à la traction: 250 N/mm ; Nombre de plis: 2 ; Revêtement supérieur: 3 mm ; Revêtement inférieur: 2 mm ; Largeur de bande: 1000 mm ; Hauteur du profil: 6 mm ; Largeur du profil: Sur toute la largeur ; Type de profil: V6</t>
  </si>
  <si>
    <t>EP1000PRL250/2-3+2-MULTIVSH</t>
  </si>
  <si>
    <t>19,680</t>
  </si>
  <si>
    <t>EP1000PRL315/3-3+1½C15P750SB</t>
  </si>
  <si>
    <t>EP 315/3-3+1½,BB1000-profiel C15P750-SB</t>
  </si>
  <si>
    <t>41,550</t>
  </si>
  <si>
    <t>17313, Speedbird Supplies Ltd.</t>
  </si>
  <si>
    <t>23,050</t>
  </si>
  <si>
    <t>EP1000PRL400/3-3+1½-C15P600FF</t>
  </si>
  <si>
    <t>EP 400/3-3+1½,BB1000-profiel C15P600</t>
  </si>
  <si>
    <t>31,300</t>
  </si>
  <si>
    <t>Chevron, Standaard kwaliteit ; EP 250/2-3+1½ met C15P600 profiel</t>
  </si>
  <si>
    <t>Chevron, Standardqualität ; EP 250/2-3+1½ mit C15P600 Profil</t>
  </si>
  <si>
    <t>Chevron, Standard Quality ; EP 250/2-3+1½ with C15P600 profile</t>
  </si>
  <si>
    <t>Chevron, Qualité standard ; EP 250/2-3+1½ met C15P600 profil</t>
  </si>
  <si>
    <t>Bandweefseltype: EP ; Treksterkte: 250 N/mm ; Aantal inlagen: 2 ; Bovendek: 3 mm ; Onderdek:  mm 1½ ; Bandbreedte: 1000 mm ; Profiel hoogte: 15 mm ; Profiel breedte: 600 mm ; Profiel type: open V</t>
  </si>
  <si>
    <t>Gewebetype: EP ; Zugfestigkeit: 250 N/mm ; Anzahl Einlagen: 2 ; Oberdeck: 3 mm ; Unterdeck: 1½ mm ; Gurtbreite: 1000 mm ; Profilhöhe: 15 mm ; Profilbreite: 600 mm ; Profiltyp: offen V</t>
  </si>
  <si>
    <t>Fabric type: EP ; Tensile strength: 250 N/mm ; Number of plies: 2 ; Topcover: 3 mm ; Bottomcover: 1½ mm ; Beltwidth: 1000 mm ; Profile height: 15 mm ; Profile width: 600 mm ; Profile type: open V</t>
  </si>
  <si>
    <t>Carcasse: EP ; Résistance à la traction: 250 N/mm ; Nombre de plis: 2 ; Revêtement supérieur: 3 mm ; Revêtement inférieur: 1½ mm ; Largeur de bande: 1000 mm ; Hauteur du profil: 15 mm ; Largeur du profil: 600 mm ; Type de profil: V Ouvert</t>
  </si>
  <si>
    <t>EP1000PRL400/3-3+1½-C15P600HY</t>
  </si>
  <si>
    <t>35,550</t>
  </si>
  <si>
    <t>Chevron, Standaard kwaliteit ; EP 400/3-3+1½ met C15P600 profiel</t>
  </si>
  <si>
    <t>Chevron, Standardqualität ; EP 400/3-3+1½ mit C15P600 Profil</t>
  </si>
  <si>
    <t>Chevron, Standard Quality ; EP 400/3-3+1½ with C15P600 profile</t>
  </si>
  <si>
    <t>Chevron, Qualité standard ; EP 400/3-3+1½ met C15P600 profil</t>
  </si>
  <si>
    <t>Bandweefseltype: EP ; Treksterkte: 400 N/mm ; Aantal inlagen: 3 ; Bovendek: 3 mm ; Onderdek:  mm 1½ ; Bandbreedte: 1000 mm ; Profiel hoogte: 15 mm ; Profiel breedte: 600 mm ; Profiel type: open V</t>
  </si>
  <si>
    <t>Gewebetype: EP ; Zugfestigkeit: 400 N/mm ; Anzahl Einlagen: 3 ; Oberdeck: 3 mm ; Unterdeck: 1½ mm ; Gurtbreite: 1000 mm ; Profilhöhe: 15 mm ; Profilbreite: 600 mm ; Profiltyp: offen V</t>
  </si>
  <si>
    <t>Fabric type: EP ; Tensile strength: 400 N/mm ; Number of plies: 3 ; Topcover: 3 mm ; Bottomcover: 1½ mm ; Beltwidth: 1000 mm ; Profile height: 15 mm ; Profile width: 600 mm ; Profile type: open V</t>
  </si>
  <si>
    <t>Carcasse: EP ; Résistance à la traction: 400 N/mm ; Nombre de plis: 3 ; Revêtement supérieur: 3 mm ; Revêtement inférieur: 1½ mm ; Largeur de bande: 1000 mm ; Hauteur du profil: 15 mm ; Largeur du profil: 600 mm ; Type de profil: V Ouvert</t>
  </si>
  <si>
    <t>EP1000PRL400/3-3+1½-C15P600JO</t>
  </si>
  <si>
    <t>33,290</t>
  </si>
  <si>
    <t>EP1000PRL400/3-3+1½-C15P600SH</t>
  </si>
  <si>
    <t>25,950</t>
  </si>
  <si>
    <t>EP1000PRL400/3-3+1½-C15P750FF</t>
  </si>
  <si>
    <t>EP 400/3-3+1½,BB1000-profiel C15P750</t>
  </si>
  <si>
    <t>70,450</t>
  </si>
  <si>
    <t>29,820</t>
  </si>
  <si>
    <t>Chevron, Standaard kwaliteit ; EP 400/3-3+1½ met C15P750 profiel</t>
  </si>
  <si>
    <t>Chevron, Standardqualität ; EP 400/3-3+1½ mit C15P750 Profil</t>
  </si>
  <si>
    <t>Chevron, Standard Quality ; EP 400/3-3+1½ with C15P750 profile</t>
  </si>
  <si>
    <t>Chevron, Qualité standard ; EP 400/3-3+1½ met C15P750 profil</t>
  </si>
  <si>
    <t>Bandweefseltype: EP ; Treksterkte: 400 N/mm ; Aantal inlagen: 3 ; Bovendek: 3 mm ; Onderdek:  mm 1½ ; Bandbreedte: 1000 mm ; Profiel hoogte: 15 mm ; Profiel breedte: 750 mm ; Profiel type: open V</t>
  </si>
  <si>
    <t>Gewebetype: EP ; Zugfestigkeit: 400 N/mm ; Anzahl Einlagen: 3 ; Oberdeck: 3 mm ; Unterdeck: 1½ mm ; Gurtbreite: 1000 mm ; Profilhöhe: 15 mm ; Profilbreite: 750 mm ; Profiltyp: offen V</t>
  </si>
  <si>
    <t>Fabric type: EP ; Tensile strength: 400 N/mm ; Number of plies: 3 ; Topcover: 3 mm ; Bottomcover: 1½ mm ; Beltwidth: 1000 mm ; Profile height: 15 mm ; Profile width: 750 mm ; Profile type: open V</t>
  </si>
  <si>
    <t>Carcasse: EP ; Résistance à la traction: 400 N/mm ; Nombre de plis: 3 ; Revêtement supérieur: 3 mm ; Revêtement inférieur: 1½ mm ; Largeur de bande: 1000 mm ; Hauteur du profil: 15 mm ; Largeur du profil: 750 mm ; Type de profil: V Ouvert</t>
  </si>
  <si>
    <t>EP1000PRL400/3-3+1½-C15P750HY</t>
  </si>
  <si>
    <t>EP1000PRL400/3-3+1½-C15P750JO</t>
  </si>
  <si>
    <t>25,810</t>
  </si>
  <si>
    <t>EP1000PRL400/3-3+1½-C15P750KA</t>
  </si>
  <si>
    <t>26,050</t>
  </si>
  <si>
    <t>EP1000PRL400/3-3+1-L63FF</t>
  </si>
  <si>
    <t>EP 400/3-3+1,BB1000-profiel L63</t>
  </si>
  <si>
    <t>34,720</t>
  </si>
  <si>
    <t>Chevron, Standaard kwaliteit ; EP 400/3-3+1 met L63 profiel</t>
  </si>
  <si>
    <t>Chevron, Standardqualität ; EP 400/3-3+1 mit L63 Profil</t>
  </si>
  <si>
    <t>Chevron, Standard Quality ; EP 400/3-3+1 with L63 profile</t>
  </si>
  <si>
    <t>Chevron, Qualité standard ; EP 400/3-3+1 met L63 profil</t>
  </si>
  <si>
    <t>Bandweefseltype: EP ; Treksterkte: 400 N/mm ; Aantal inlagen: 3 ; Bovendek: 3 mm ; Onderdek:  mm 1 ; Bandbreedte: 1000 mm ; Profiel hoogte: 17 mm ; Profiel breedte: 630 mm ; Profiel type: open Y</t>
  </si>
  <si>
    <t>Gewebetype: EP ; Zugfestigkeit: 400 N/mm ; Anzahl Einlagen: 3 ; Oberdeck: 3 mm ; Unterdeck: 1 mm ; Gurtbreite: 1000 mm ; Profilhöhe: 17 mm ; Profilbreite: 630 mm ; Profiltyp: offen Y</t>
  </si>
  <si>
    <t>Fabric type: EP ; Tensile strength: 400 N/mm ; Number of plies: 3 ; Topcover: 3 mm ; Bottomcover: 1 mm ; Beltwidth: 1000 mm ; Profile height: 17 mm ; Profile width: 630 mm ; Profile type: open Y</t>
  </si>
  <si>
    <t>Carcasse: EP ; Résistance à la traction: 400 N/mm ; Nombre de plis: 3 ; Revêtement supérieur: 3 mm ; Revêtement inférieur: 1 mm ; Largeur de bande: 1000 mm ; Hauteur du profil: 17 mm ; Largeur du profil: 630 mm ; Type de profil: Y Ouvert</t>
  </si>
  <si>
    <t>EP1000PRL400/3-3+1-L63HY</t>
  </si>
  <si>
    <t>37,750</t>
  </si>
  <si>
    <t>EP1000PRL400/3-3+1-L63JO</t>
  </si>
  <si>
    <t>31,630</t>
  </si>
  <si>
    <t>EP1000PRL400/3-3+1-L75DA</t>
  </si>
  <si>
    <t>EP 400/3-3+1,BB1000-profiel L75</t>
  </si>
  <si>
    <t>75,600</t>
  </si>
  <si>
    <t>31,250</t>
  </si>
  <si>
    <t>Chevron, Standaard kwaliteit ; EP 400/3-3+1 met L75 profiel</t>
  </si>
  <si>
    <t>Chevron, Standardqualität ; EP 400/3-3+1 mit L75 Profil</t>
  </si>
  <si>
    <t>Chevron, Standard Quality ; EP 400/3-3+1 with L75 profile</t>
  </si>
  <si>
    <t>Chevron, Qualité standard ; EP 400/3-3+1 met L75 profil</t>
  </si>
  <si>
    <t>Bandweefseltype: EP ; Treksterkte: 400 N/mm ; Aantal inlagen: 3 ; Bovendek: 3 mm ; Onderdek:  mm 1 ; Bandbreedte: 1000 mm ; Profiel hoogte: 17 mm ; Profiel breedte: 750 mm ; Profiel type: open Y</t>
  </si>
  <si>
    <t>Gewebetype: EP ; Zugfestigkeit: 400 N/mm ; Anzahl Einlagen: 3 ; Oberdeck: 3 mm ; Unterdeck: 1 mm ; Gurtbreite: 1000 mm ; Profilhöhe: 17 mm ; Profilbreite: 750 mm ; Profiltyp: offen Y</t>
  </si>
  <si>
    <t>Fabric type: EP ; Tensile strength: 400 N/mm ; Number of plies: 3 ; Topcover: 3 mm ; Bottomcover: 1 mm ; Beltwidth: 1000 mm ; Profile height: 17 mm ; Profile width: 750 mm ; Profile type: open Y</t>
  </si>
  <si>
    <t>Carcasse: EP ; Résistance à la traction: 400 N/mm ; Nombre de plis: 3 ; Revêtement supérieur: 3 mm ; Revêtement inférieur: 1 mm ; Largeur de bande: 1000 mm ; Hauteur du profil: 17 mm ; Largeur du profil: 750 mm ; Type de profil: Y Ouvert</t>
  </si>
  <si>
    <t>EP1000PRL400/3-3+1-L75HY</t>
  </si>
  <si>
    <t>34,600</t>
  </si>
  <si>
    <t>EP1000PRL400/3-3+1-L75JO</t>
  </si>
  <si>
    <t>31,610</t>
  </si>
  <si>
    <t>EP1000PRL400/3-3+1-L95HY</t>
  </si>
  <si>
    <t>EP 400/3-3+1,BB1000-profiel L95</t>
  </si>
  <si>
    <t>Chevron, Standaard kwaliteit ; EP 400/3-3+1 met L95 profiel</t>
  </si>
  <si>
    <t>Chevron, Standardqualität ; EP 400/3-3+1 mit L95 Profil</t>
  </si>
  <si>
    <t>Chevron, Standard Quality ; EP 400/3-3+1 with L95 profile</t>
  </si>
  <si>
    <t>Chevron, Qualité standard ; EP 400/3-3+1 met L95 profil</t>
  </si>
  <si>
    <t>Bandweefseltype: EP ; Treksterkte: 400 N/mm ; Aantal inlagen: 3 ; Bovendek: 3 mm ; Onderdek:  mm 1 ; Bandbreedte: 1000 mm ; Profiel hoogte: 17 mm ; Profiel breedte: 950 mm ; Profiel type: open Y</t>
  </si>
  <si>
    <t>Gewebetype: EP ; Zugfestigkeit: 400 N/mm ; Anzahl Einlagen: 3 ; Oberdeck: 3 mm ; Unterdeck: 1 mm ; Gurtbreite: 1000 mm ; Profilhöhe: 17 mm ; Profilbreite: 950 mm ; Profiltyp: offen Y</t>
  </si>
  <si>
    <t>Fabric type: EP ; Tensile strength: 400 N/mm ; Number of plies: 3 ; Topcover: 3 mm ; Bottomcover: 1 mm ; Beltwidth: 1000 mm ; Profile height: 17 mm ; Profile width: 950 mm ; Profile type: open Y</t>
  </si>
  <si>
    <t>Carcasse: EP ; Résistance à la traction: 400 N/mm ; Nombre de plis: 3 ; Revêtement supérieur: 3 mm ; Revêtement inférieur: 1 mm ; Largeur de bande: 1000 mm ; Hauteur du profil: 17 mm ; Largeur du profil: 950 mm ; Type de profil: Y Ouvert</t>
  </si>
  <si>
    <t>EP1000PRL400/3-3+1-L95JO</t>
  </si>
  <si>
    <t>30,410</t>
  </si>
  <si>
    <t>EP1000PRL400/3-3+2-MULTIVHY</t>
  </si>
  <si>
    <t>EP 400/3-3+2,BB1000-Multi V profiel 6 mm</t>
  </si>
  <si>
    <t>45,640</t>
  </si>
  <si>
    <t>Chevron, Standaard kwaliteit ; EP 400/3-3+2 met multi V6 profiel</t>
  </si>
  <si>
    <t>Chevron, Standardqualität ; EP 400/3-3+2 mit multi V6 Profil</t>
  </si>
  <si>
    <t>Chevron, Standard Quality ; EP 400/3-3+2 with multi V6  profile</t>
  </si>
  <si>
    <t>Chevron, Qualité standard ; EP 400/3-3+2 avec multi V6  profil</t>
  </si>
  <si>
    <t>Bandweefseltype: EP ; Treksterkte: 400 N/mm ; Aantal inlagen: 3 ; Bovendek: 3 mm ; Onderdek: 2 mm ; Bandbreedte: 1000 mm ; Profiel hoogte: 6 mm ; Profiel breedte: Volledige bandbreedte ; Type: V6</t>
  </si>
  <si>
    <t>Gewebetype: EP ; Zugfestigkeit: 400 N/mm ; Anzahl Einlagen: 3 ; Oberdeck: 3 mm ; Unterdeck: 2 mm ; Gurtbreite: 1000 mm ; Profilhöhe: 6 mm ; Profilbreite: Komplette Gurtbreite ; Profiltyp: V6</t>
  </si>
  <si>
    <t>Fabric type: EP ; Tensile strength: 400 N/mm ; Number of plies: 3 ; Topcover: 3 mm ; Bottomcover: 2 mm ; Beltwidth: 1000 mm ; Profile height: 6 mm ; Profile width: Full belt width ; Profile type: V6</t>
  </si>
  <si>
    <t>Carcasse: EP ; Résistance à la traction: 400 N/mm ; Nombre de plis: 3 ; Revêtement supérieur: 3 mm ; Revêtement inférieur: 2 mm ; Largeur de bande: 1100 mm ; Hauteur du profil: 6 mm ; Largeur du profil: Sur toute la largeur ; Type de profil: V6</t>
  </si>
  <si>
    <t>EP1000PRL400/3-3+2-MULTIVSH</t>
  </si>
  <si>
    <t>28,150</t>
  </si>
  <si>
    <t>Bandweefseltype: EP ; Treksterkte: 400 N/mm ; Aantal inlagen: 3 ; Bovendek: 3 mm ; Onderdek: 2 mm ; Bandbreedte: 1000 mm ; Profiel hoogte: 6 mm ; Profiel breedte: Volledige bandbreedte ; Type: V7</t>
  </si>
  <si>
    <t>Gewebetype: EP ; Zugfestigkeit: 400 N/mm ; Anzahl Einlagen: 3 ; Oberdeck: 3 mm ; Unterdeck: 2 mm ; Gurtbreite: 1000 mm ; Profilhöhe: 6 mm ; Profilbreite: Komplette Gurtbreite ; Profiltyp: V7</t>
  </si>
  <si>
    <t>Fabric type: EP ; Tensile strength: 400 N/mm ; Number of plies: 3 ; Topcover: 3 mm ; Bottomcover: 2 mm ; Beltwidth: 1000 mm ; Profile height: 6 mm ; Profile width: Full belt width ; Profile type: V7</t>
  </si>
  <si>
    <t>Carcasse: EP ; Résistance à la traction: 400 N/mm ; Nombre de plis: 3 ; Revêtement supérieur: 3 mm ; Revêtement inférieur: 2 mm ; Largeur de bande: 1100 mm ; Hauteur du profil: 6 mm ; Largeur du profil: Sur toute la largeur ; Type de profil: V7</t>
  </si>
  <si>
    <t>EP1000PRL500/4-6+2-C15P750JO</t>
  </si>
  <si>
    <t>EP 500/4-6+2,BB1000-profiel C15P750</t>
  </si>
  <si>
    <t>42,030</t>
  </si>
  <si>
    <t>EP1000PRM400/3-3+1½-C25P750HY</t>
  </si>
  <si>
    <t>EP 400/3-3+1½,BB1000-profiel C25P750</t>
  </si>
  <si>
    <t>44,880</t>
  </si>
  <si>
    <t>02-04_Profile height 25 mm</t>
  </si>
  <si>
    <t>Chevron, Standaard kwaliteit ; EP 400/3-3+1½ met C25P750 profiel</t>
  </si>
  <si>
    <t>Chevron, Standardqualität ; EP 400/3-3+1½ mit C25P750 Profil</t>
  </si>
  <si>
    <t>Chevron, Standard Quality ; EP 400/3-3+1½ with C25P750  profile</t>
  </si>
  <si>
    <t>Chevron, Qualité standard ; EP 400/3-3+1½ met C25P750  profil</t>
  </si>
  <si>
    <t>Bandweefseltype: EP ; Treksterkte: 400 N/mm ; Aantal inlagen: 3 ; Bovendek: 3 mm ; Onderdek:  1½ mm ; Bandbreedte: 1000 mm ; Profiel hoogte: 25 mm ; Profiel breedte: 750 mm ; Profiel type: open</t>
  </si>
  <si>
    <t>Gewebetype: EP ; Zugfestigkeit: 400 N/mm ; Anzahl Einlagen: 3 ; Oberdeck: 3 mm ; Unterdeck: 1½ mm ; Gurtbreite: 1000 mm ; Profilhöhe: 25 mm ; Profilbreite: 750 mm ; Profiltyp: offen</t>
  </si>
  <si>
    <t>Fabric type: EP ; Tensile strength: 400 N/mm ; Number of plies: 3 ; Topcover: 3 mm ; Bottomcover: 1½ mm ; Beltwidth: 1000 mm ; Profile height: 25 mm ; Profile width: 750 mm ; Profile type: open</t>
  </si>
  <si>
    <t>Carcasse: EP ; Résistance à la traction: 400 N/mm ; Nombre de plis: 3 ; Revêtement supérieur: 3 mm ; Revêtement inférieur: 1½ mm ; Largeur de bande: 1000 mm ; Hauteur du profil: 25 mm ; Largeur du profil: 750 mm ; Type de profil: Ouvert</t>
  </si>
  <si>
    <t>EP1000PRM400/3-3+1½-C25P750JO</t>
  </si>
  <si>
    <t>34,770</t>
  </si>
  <si>
    <t>EP1000SGG250/2-3+0HY</t>
  </si>
  <si>
    <t>EP 250/2-3+0,BB1000, Supergrip/glijband</t>
  </si>
  <si>
    <t>18,640</t>
  </si>
  <si>
    <t>01-06_Supergrip Black</t>
  </si>
  <si>
    <t>Glijband, Supergrip, Standaard kwaliteit ; EP 250/2-3+0</t>
  </si>
  <si>
    <t>Gleitgurt, Supergrip, Standardqualität ; EP 250/2-3+0</t>
  </si>
  <si>
    <t>Bareback, Rough Top, Standard Quality ; EP 250/2-3+0</t>
  </si>
  <si>
    <t>Bande à sole de glisse, Nid d'abeille, qualité standard ; EP 250/2-3+0</t>
  </si>
  <si>
    <t>Bandweefseltype: EP ; Treksterkte: 250 N/mm ; Aantal inlagen: 2 ; Bovendek: 3 mm ; Onderdek: 0 mm ; Bandbreedte: 1000 mm ; Supergrip / Rough Top Zwart</t>
  </si>
  <si>
    <t>Gewebetype: EP ; Zugfestigkeit: 250 N/mm ; Anzahl Einlagen: 2 ; Oberdeck: 3 mm ; Unterdeck: 0 mm ; Gurtbreite: 1000 mm ; Supergrip / Rough Top Schwarz</t>
  </si>
  <si>
    <t>Fabric type: EP ; Tensile strength: 250 N/mm ; Number of plies: 2 ; Topcover: 3 mm ; Bottomcover: 0 mm ; Beltwidth: 1000 mm ; Supergrip / Rough Top Black</t>
  </si>
  <si>
    <t>Carcasse: EP ; Tension de service: 250 N/mm ; Nombre de plis: 2 ; Revêtement supérieur: 3 mm ; Revêtement inférieur: 0 mm ; Largeur de bande: 1000 mm ; Nid d'abeille Noir</t>
  </si>
  <si>
    <t>EP1000SGG400/3-3+0HY</t>
  </si>
  <si>
    <t>EP 400/3-3+0,BB1000, Supergrip/glijband</t>
  </si>
  <si>
    <t>22,080</t>
  </si>
  <si>
    <t>Glijband, Supergrip, Standaard kwaliteit ; EP 400/3-3+0</t>
  </si>
  <si>
    <t>Gleitgurt, Supergrip, Standardqualität ; EP 400/3-3+0</t>
  </si>
  <si>
    <t>Bareback, Rough Top, Standard Quality ; EP 400/3-3+0</t>
  </si>
  <si>
    <t>Bande à sole de glisse, Nid d'abeille, qualité standard ; EP 400/3-3+0</t>
  </si>
  <si>
    <t>Bandweefseltype: EP ; Treksterkte: 400 N/mm ; Aantal inlagen: 3 ; Bovendek: 3 mm ; Onderdek: 0 mm ; Bandbreedte: 1000 mm ; Supergrip / Rough Top Zwart</t>
  </si>
  <si>
    <t>Gewebetype: EP ; Zugfestigkeit: 400 N/mm ; Anzahl Einlagen: 3 ; Oberdeck: 3 mm ; Unterdeck: 0 mm ; Gurtbreite: 1000 mm ; Supergrip / Rough Top Schwarz</t>
  </si>
  <si>
    <t>Fabric type: EP ; Tensile strength: 400 N/mm ; Number of plies: 3 ; Topcover: 3 mm ; Bottomcover: 0 mm ; Beltwidth: 1000 mm ; Supergrip / Rough Top Black</t>
  </si>
  <si>
    <t>Carcasse: EP ; Tension de service: 400 N/mm ; Nombre de plis: 3 ; Revêtement supérieur: 3 mm ; Revêtement inférieur: 0 mm ; Largeur de bande: 1000 mm ; Nid d'abeille Noir</t>
  </si>
  <si>
    <t>EP1000SGR250/2-3+1HY</t>
  </si>
  <si>
    <t>EP 250/2-3+1,BB1000, Supergrip zwart</t>
  </si>
  <si>
    <t>27,000</t>
  </si>
  <si>
    <t>21,630</t>
  </si>
  <si>
    <t>Meerlaags, Supergrip, Standaard kwaliteit ; EP 250/2-3+1</t>
  </si>
  <si>
    <t>Mehrlagig, Supergrip, Standardqualität ; EP 250/2-3+1</t>
  </si>
  <si>
    <t>Multiply, Rough Top, Standard Quality ; EP 250/2-3+1</t>
  </si>
  <si>
    <t>Multiplis, Nid d'abeille, Qualité standard ; EP 250/2-3+1</t>
  </si>
  <si>
    <t>Bandweefseltype: EP ; Treksterkte: 250 N/mm ; Aantal inlagen: 2 ; Bovendek: 3 mm ; Onderdek: 1 mm ; Bandbreedte: 1000 mm ; Supergrip / Rough Top Zwart</t>
  </si>
  <si>
    <t>Gewebetype: EP ; Zugfestigkeit: 250 N/mm ; Anzahl Einlagen: 2 ; Oberdeck: 3 mm ; Unterdeck: 1 mm ; Gurtbreite: 1000 mm ; Supergrip / Rough Top Schwarz</t>
  </si>
  <si>
    <t>Fabric type: EP ; Tensile strength: 250 N/mm ; Number of plies: 2 ; Topcover: 3 mm ; Bottomcover: 1 mm ; Beltwidth: 1000 mm ; Supergrip / Rough Top Black</t>
  </si>
  <si>
    <t>Carcasse: EP ; Résistance à la traction: 250 N/mm ; Nombre de plis: 2 ; Revêtement supérieur: 3 mm ; Revêtement inférieur: 1 mm ; Largeur de bande: 1000 mm ; Nid d'abeille Noir</t>
  </si>
  <si>
    <t>EP1000SGR400/3-3+1HY</t>
  </si>
  <si>
    <t>EP 400/3-3+1,BB1000, Supergrip zwart</t>
  </si>
  <si>
    <t>25,820</t>
  </si>
  <si>
    <t>Meerlaags, Supergrip, Standaard kwaliteit ; EP 400/3-3+1</t>
  </si>
  <si>
    <t>Mehrlagig, Supergrip, Standardqualität ; EP 400/3-3+1</t>
  </si>
  <si>
    <t>Multiply, Rough Top, Standard Quality ; EP 400/3-3+1</t>
  </si>
  <si>
    <t>Multiplis, Nid d'abeille, Qualité standard ; EP 400/3-3+1</t>
  </si>
  <si>
    <t>Bandweefseltype: EP ; Treksterkte: 400 N/mm ; Aantal inlagen: 3 ; Bovendek: 3 mm ; Onderdek: 1 mm ; Bandbreedte: 1000 mm ; Supergrip / Rough Top Zwart</t>
  </si>
  <si>
    <t>Gewebetype: EP ; Zugfestigkeit: 400 N/mm ; Anzahl Einlagen: 3 ; Oberdeck: 3 mm ; Unterdeck: 1 mm ; Gurtbreite: 1000 mm ; Supergrip / Rough Top Schwarz</t>
  </si>
  <si>
    <t>Fabric type: EP ; Tensile strength: 400 N/mm ; Number of plies: 3 ; Topcover: 3 mm ; Bottomcover: 1 mm ; Beltwidth: 1000 mm ; Supergrip / Rough Top Black</t>
  </si>
  <si>
    <t>Carcasse: EP ; Résistance à la traction: 400 N/mm ; Nombre de plis: 3 ; Revêtement supérieur: 3 mm ; Revêtement inférieur: 1 mm ; Largeur de bande: 1000 mm ; Nid d'abeille Noir</t>
  </si>
  <si>
    <t>EP1000XXX100/1-1+1HY</t>
  </si>
  <si>
    <t>EP 100/1-1+1,BB1000</t>
  </si>
  <si>
    <t>12,920</t>
  </si>
  <si>
    <t xml:space="preserve">01-01_Anti Abrasion </t>
  </si>
  <si>
    <t>Meerlaags, Slijtvast, Standaard kwaliteit ; EP 100/1-1+1</t>
  </si>
  <si>
    <t>Mehrlagig, Abriebfest, Standardqualität ; EP 100/1-1+1</t>
  </si>
  <si>
    <t>Multiply, Abrasion resistant, Standard Quality ; EP 100/1-1+1</t>
  </si>
  <si>
    <t>Multiplis, Anti-abrasion, Qualité standard ; EP 100/1-1+1</t>
  </si>
  <si>
    <t>Bandweefseltype: EP ; Treksterkte: 100 N/mm ; Aantal inlagen: 1 ; Bovendek: 1 mm ; Onderdek: 1 mm ; Bandbreedte: 1000 mm</t>
  </si>
  <si>
    <t>Gewebetype: EP ; Zugfestigkeit: 100 N/mm ; Anzahl Einlagen: 1 ; Oberdeck: 1 mm ; Unterdeck: 1 mm ; Gurtbreite: 1000 mm</t>
  </si>
  <si>
    <t>Fabric type: EP ; Tensile strength: 100 N/mm ; Number of plies: 1 ; Topcover: 1 mm ; Bottomcover: 1 mm ; Beltwidth: 1000 mm</t>
  </si>
  <si>
    <t>Carcasse: EP ; Résistance à la traction: 100 N/mm ; Nombre de plis: 1 ; Revêtement supérieur: 1 mm ; Revêtement inférieur: 1 mm ; Largeur de bande: 1000 mm</t>
  </si>
  <si>
    <t>EP1000XXX1000/4-10+3-DIN-WKA</t>
  </si>
  <si>
    <t>EP 1000/4-10+3,BB1000-DIN-W</t>
  </si>
  <si>
    <t>42,960</t>
  </si>
  <si>
    <t>EP1000XXX1000/4-6+2-DIN-YKA</t>
  </si>
  <si>
    <t>EP 1000/4-6+2,BB1000-DIN-Y</t>
  </si>
  <si>
    <t>30,910</t>
  </si>
  <si>
    <t>EP1000XXX1000/4-6+2KA</t>
  </si>
  <si>
    <t>EP 1000/4-6+2,BB1000</t>
  </si>
  <si>
    <t>30,730</t>
  </si>
  <si>
    <t>EP1000XXX1000/4-8+3FF</t>
  </si>
  <si>
    <t>EP 1000/4-8+3,BB1000</t>
  </si>
  <si>
    <t>65,100</t>
  </si>
  <si>
    <t>Meerlaags, Slijtvast, Standaard kwaliteit ; EP 1000/4-8+3</t>
  </si>
  <si>
    <t>Mehrlagig, Abriebfest, Standardqualität ; EP 1000/4-8+3</t>
  </si>
  <si>
    <t>Multiply, Abrasion resistant, Standard Quality ; EP 1000/4-8+3</t>
  </si>
  <si>
    <t>Multiplis, Anti-abrasion, Qualité standard ; EP 1000/4-8+3</t>
  </si>
  <si>
    <t>Bandweefseltype: EP ; Treksterkte: 1000N/mm ; Aantal inlagen: 4 ; Bovendek: 8 mm ; Onderdek: 3 mm ; Bandbreedte: 1000 mm</t>
  </si>
  <si>
    <t>Gewebetype: EP ; Zugfestigkeit: 1000 N/mm ; Anzahl Einlagen: 4 ; Oberdeck: 8 mm ; Unterdeck: 3 mm ; Gurtbreite: 1000 mm</t>
  </si>
  <si>
    <t>Fabric type: EP ; Tensile strength: 1000 N/mm ; Number of plies: 4 ; Topcover: 8 mm ; Bottomcover: 3 mm ; Beltwidth: 1000 mm</t>
  </si>
  <si>
    <t>Carcasse: EP ; Résistance à la traction: 1000 N/mm ; Nombre de plis: 4 ; Revêtement supérieur: 8 mm ; Revêtement inférieur: 3 mm ; Largeur de bande: 1000 mm</t>
  </si>
  <si>
    <t>EP1000XXX1000/4-8+3SH</t>
  </si>
  <si>
    <t>EP1000XXX1000/5-4+3KA</t>
  </si>
  <si>
    <t>EP 1000/5-4+3,BB1000</t>
  </si>
  <si>
    <t>32,160</t>
  </si>
  <si>
    <t>EP1000XXX200/2-2+1HY</t>
  </si>
  <si>
    <t>EP 200/2-2+1,BB1000</t>
  </si>
  <si>
    <t>19,800</t>
  </si>
  <si>
    <t>14,178</t>
  </si>
  <si>
    <t>Meerlaags, Slijtvast, Standaard kwaliteit ; EP 200/2-2+1</t>
  </si>
  <si>
    <t>Mehrlagig, Abriebfest, Standardqualität ; EP 200/2-2+1</t>
  </si>
  <si>
    <t>Multiply, Abrasion resistant, Standard Quality ; EP 200/2-2+1</t>
  </si>
  <si>
    <t>Multiplis, Anti-abrasion, Qualité standard ; EP 200/2-2+1</t>
  </si>
  <si>
    <t>Bandweefseltype: EP ; Treksterkte: 200 N/mm ; Aantal inlagen: 2 ; Bovendek: 2 mm ; Onderdek: 1 mm ; Bandbreedte: 1000 mm</t>
  </si>
  <si>
    <t>Gewebetype: EP ; Zugfestigkeit: 200 N/mm ; Anzahl Einlagen: 2 ; Oberdeck: 2 mm ; Unterdeck: 1 mm ; Gurtbreite: 1000 mm</t>
  </si>
  <si>
    <t>Fabric type: EP ; Tensile strength: 200 N/mm ; Number of plies: 2 ; Topcover: 2 mm ; Bottomcover: 1 mm ; Beltwidth: 1000 mm</t>
  </si>
  <si>
    <t>Carcasse: EP ; Résistance à la traction: 200 N/mm ; Nombre de plis: 2 ; Revêtement supérieur: 2 mm ; Revêtement inférieur: 1 mm ; Largeur de bande: 1000 mm</t>
  </si>
  <si>
    <t>EP1000XXX200/2-2+1KA</t>
  </si>
  <si>
    <t>13,820</t>
  </si>
  <si>
    <t>EP1000XXX250/2-3+1½-7.5SH</t>
  </si>
  <si>
    <t>EP 250/2-3+1½,BB1000-7.5mm</t>
  </si>
  <si>
    <t>12,490</t>
  </si>
  <si>
    <t>EP1000XXX250/2-3+1½KA</t>
  </si>
  <si>
    <t>EP 250/2-3+1½,BB1000</t>
  </si>
  <si>
    <t>EP1000XXX250/2-3+1½SH</t>
  </si>
  <si>
    <t>15,580</t>
  </si>
  <si>
    <t>Meerlaags, Slijtvast, Standaard kwaliteit ; EP 200/2-2+2</t>
  </si>
  <si>
    <t>Mehrlagig, Abriebfest, Standardqualität ; EP 200/2-2+2</t>
  </si>
  <si>
    <t>Multiply, Abrasion resistant, Standard Quality ; EP 200/2-2+2</t>
  </si>
  <si>
    <t>Multiplis, Anti-abrasion, Qualité standard ; EP 200/2-2+2</t>
  </si>
  <si>
    <t>EP1000XXX250/2-3+1HY</t>
  </si>
  <si>
    <t>EP 250/2-3+1,BB1000</t>
  </si>
  <si>
    <t>17,211</t>
  </si>
  <si>
    <t>Meerlaags, Slijtvast, Standaard kwaliteit ; EP 250/2-3+1</t>
  </si>
  <si>
    <t>Mehrlagig, Abriebfest, Standardqualität ; EP 250/2-3+1</t>
  </si>
  <si>
    <t>Multiply, Abrasion resistant, Standard Quality ; EP 250/2-3+1</t>
  </si>
  <si>
    <t>Multiplis, Anti-abrasion, Qualité standard ; EP 250/2-3+1</t>
  </si>
  <si>
    <t>Bandweefseltype: EP ; Treksterkte: 250 N/mm ; Aantal inlagen: 2 ; Bovendek: 3 mm ; Onderdek: 1 mm ; Bandbreedte: 1000 mm</t>
  </si>
  <si>
    <t>Gewebetype: EP ; Zugfestigkeit: 250 N/mm ; Anzahl Einlagen: 2 ; Oberdeck: 3 mm ; Unterdeck: 1 mm ; Gurtbreite: 1000 mm</t>
  </si>
  <si>
    <t>Fabric type: EP ; Tensile strength: 250 N/mm ; Number of plies: 2 ; Topcover: 3 mm ; Bottomcover: 1 mm ; Beltwidth: 1000 mm</t>
  </si>
  <si>
    <t>Carcasse: EP ; Résistance à la traction: 250 N/mm ; Nombre de plis: 2 ; Revêtement supérieur: 3 mm ; Revêtement inférieur: 1 mm ; Largeur de bande: 1000 mm</t>
  </si>
  <si>
    <t>EP1000XXX250/2-3+1JO</t>
  </si>
  <si>
    <t>EP1000XXX250/2-3+1KA</t>
  </si>
  <si>
    <t>16,020</t>
  </si>
  <si>
    <t>EP1000XXX250/2-3+1SH</t>
  </si>
  <si>
    <t>12,740</t>
  </si>
  <si>
    <t>EP1000XXX315/2-4+2KA</t>
  </si>
  <si>
    <t>EP 315/2-4+2,BB1000</t>
  </si>
  <si>
    <t>42,420</t>
  </si>
  <si>
    <t>16,480</t>
  </si>
  <si>
    <t>Meerlaags, Slijtvast, Standaard kwaliteit ; EP 315/2-4+2</t>
  </si>
  <si>
    <t>Mehrlagig, Abriebfest, Standardqualität ; EP 315/2-4+2</t>
  </si>
  <si>
    <t>Multiply, Abrasion resistant, Standard Quality ; EP 315/2-4+2</t>
  </si>
  <si>
    <t>Multiplis, Anti-abrasion, Qualité standard ; EP 315/2-4+2</t>
  </si>
  <si>
    <t>Bandweefseltype: EP ; Treksterkte: 315 N/mm ; Aantal inlagen: 2 ; Bovendek: 4 mm ; Onderdek: 2 mm ; Bandbreedte: 1000 mm</t>
  </si>
  <si>
    <t>Gewebetype: EP ; Zugfestigkeit: 315 N/mm ; Anzahl Einlagen: 2 ; Oberdeck: 4 mm ; Unterdeck: 2 mm ; Gurtbreite: 1000 mm</t>
  </si>
  <si>
    <t>Fabric type: EP ; Tensile strength: 315 N/mm ; Number of plies: 2 ; Topcover: 4 mm ; Bottomcover: 2 mm ; Beltwidth: 1000 mm</t>
  </si>
  <si>
    <t>Carcasse: EP ; Résistance à la traction: 315 N/mm ; Nombre de plis: 2 ; Revêtement supérieur: 4 mm ; Revêtement inférieur: 2 mm ; Largeur de bande: 1000 mm</t>
  </si>
  <si>
    <t>EP1000XXX315/2-4+2SH</t>
  </si>
  <si>
    <t>16,750</t>
  </si>
  <si>
    <t>EP1000XXX400/3-3+1½-12MPAKA</t>
  </si>
  <si>
    <t>EP 400/3-3+1½,BB1000, 12 mpa</t>
  </si>
  <si>
    <t>16,870</t>
  </si>
  <si>
    <t>EP1000XXX400/3-3+1½KA</t>
  </si>
  <si>
    <t>EP 400/3-3+1½,BB1000</t>
  </si>
  <si>
    <t>19,100</t>
  </si>
  <si>
    <t>Meerlaags, Slijtvast, Standaard kwaliteit ; EP 400/3-3+1½</t>
  </si>
  <si>
    <t>Mehrlagig, Abriebfest, Standardqualität ; EP 400/3-3+1½</t>
  </si>
  <si>
    <t>Multiply, Abrasion resistant, Standard Quality ; EP 400/3-3+1½</t>
  </si>
  <si>
    <t>Multiplis, Anti-abrasion, Qualité standard ; EP 400/3-3+1½</t>
  </si>
  <si>
    <t>Bandweefseltype: EP ; Treksterkte: 400N/mm ; Aantal inlagen: 3 ; Bovendek: 3 mm ; Onderdek: 1½ mm ; Bandbreedte: 1000 mm</t>
  </si>
  <si>
    <t>Gewebetype: EP ; Zugfestigkeit: 400 N/mm ; Anzahl Einlagen: 3 ; Oberdeck: 3 mm ; Unterdeck: 1½ mm ; Gurtbreite: 1000 mm</t>
  </si>
  <si>
    <t>Fabric type: EP ; Tensile strength: 400 N/mm ; Number of plies: 3 ; Topcover: 3 mm ; Bottomcover: 1½ mm ; Beltwidth: 1000 mm</t>
  </si>
  <si>
    <t>Carcasse: EP ; Résistance à la traction: 400 N/mm ; Nombre de plis: 3 ; Revêtement supérieur: 3 mm ; Revêtement inférieur: 1½ mm ; Largeur de bande: 1000 mm</t>
  </si>
  <si>
    <t>EP1000XXX400/3-3+1½SH</t>
  </si>
  <si>
    <t>18,230</t>
  </si>
  <si>
    <t>EP1000XXX400/3-3+1HY</t>
  </si>
  <si>
    <t>EP 400/3-3+1,BB1000</t>
  </si>
  <si>
    <t>24,720</t>
  </si>
  <si>
    <t>EP1000XXX400/3-4+2-16MPASH</t>
  </si>
  <si>
    <t>EP 400/3-4+2,BB1000-130 mm³ and 16 MPa</t>
  </si>
  <si>
    <t>18,680</t>
  </si>
  <si>
    <t>EP1000XXX400/3-4+2CO</t>
  </si>
  <si>
    <t>EP 400/3-4+2,BB1000</t>
  </si>
  <si>
    <t>21,730</t>
  </si>
  <si>
    <t>Meerlaags, Slijtvast, Standaard kwaliteit ; EP 400/3-4+2</t>
  </si>
  <si>
    <t>Mehrlagig, Abriebfest, Standardqualität ; EP 400/3-4+2</t>
  </si>
  <si>
    <t>Multiply, Abrasion resistant, Standard Quality ; EP 400/3-4+2</t>
  </si>
  <si>
    <t>Multiplis, Anti-abrasion, Qualité standard ; EP 400/3-4+2</t>
  </si>
  <si>
    <t>Bandweefseltype: EP ; Treksterkte: 400N/mm ; Aantal inlagen: 3 ; Bovendek: 4 mm ; Onderdek: 2 mm ; Bandbreedte: 1000 mm</t>
  </si>
  <si>
    <t>Gewebetype: EP ; Zugfestigkeit: 400 N/mm ; Anzahl Einlagen: 3 ; Oberdeck: 4 mm ; Unterdeck: 2 mm ; Gurtbreite: 1000 mm</t>
  </si>
  <si>
    <t>Fabric type: EP ; Tensile strength: 400 N/mm ; Number of plies: 3 ; Topcover: 4 mm ; Bottomcover: 2 mm ; Beltwidth: 1000 mm</t>
  </si>
  <si>
    <t>Carcasse: EP ; Résistance à la traction: 400 N/mm ; Nombre de plis: 3 ; Revêtement supérieur: 4 mm ; Revêtement inférieur: 2 mm ; Largeur de bande: 1000 mm</t>
  </si>
  <si>
    <t>EP1000XXX400/3-4+2-DIN-WSH</t>
  </si>
  <si>
    <t>EP 400/3-4+2,BB1000-DIN-W</t>
  </si>
  <si>
    <t>21,110</t>
  </si>
  <si>
    <t>EP1000XXX400/3-4+2-DIN-XKA</t>
  </si>
  <si>
    <t>EP 400/3-4+2,BB1000-DIN-X</t>
  </si>
  <si>
    <t>76,920</t>
  </si>
  <si>
    <t>24,150</t>
  </si>
  <si>
    <t>EP1000XXX400/3-4+2FF</t>
  </si>
  <si>
    <t>18,780</t>
  </si>
  <si>
    <t>EP1000XXX400/3-4+2HU</t>
  </si>
  <si>
    <t>12082, Rongcheng Huacheng Rubber Co., Ltd.</t>
  </si>
  <si>
    <t>EP1000XXX400/3-4+2HY</t>
  </si>
  <si>
    <t>24,180</t>
  </si>
  <si>
    <t>EP1000XXX400/3-4+2JO</t>
  </si>
  <si>
    <t>23,330</t>
  </si>
  <si>
    <t>21,190</t>
  </si>
  <si>
    <t>EP1000XXX400/3-4+2KA</t>
  </si>
  <si>
    <t>21,890</t>
  </si>
  <si>
    <t>EP1000XXX400/3-4+2LS</t>
  </si>
  <si>
    <t>12210, Zhejiang Longshenghua Rubber Co., Ltd</t>
  </si>
  <si>
    <t>24,400</t>
  </si>
  <si>
    <t>EP1000XXX400/3-4+2QH</t>
  </si>
  <si>
    <t>12152, Qingdao Honghuasheng Trade Co., Ltd.</t>
  </si>
  <si>
    <t>22,750</t>
  </si>
  <si>
    <t>EP1000XXX400/3-4+2RP</t>
  </si>
  <si>
    <t>25,000</t>
  </si>
  <si>
    <t>EP1000XXX400/3-4+2SA</t>
  </si>
  <si>
    <t>21,180</t>
  </si>
  <si>
    <t>EP1000XXX400/3-4+2SH</t>
  </si>
  <si>
    <t>18,810</t>
  </si>
  <si>
    <t>EP1000XXX400/3-4+2-TB30/T20+SJ</t>
  </si>
  <si>
    <t>EP 400/3-4+2,BB1000 met meenemer TB30 -T20 Strojrem</t>
  </si>
  <si>
    <t>17330, Strojrem d.o.o.</t>
  </si>
  <si>
    <t>1.440,000</t>
  </si>
  <si>
    <t>EP1000XXX400/3-6+2-DIN-WSH</t>
  </si>
  <si>
    <t>EP 400/3-6+2,BB1000-DIN-W</t>
  </si>
  <si>
    <t>25,010</t>
  </si>
  <si>
    <t>EP1000XXX400/3-6+2FF</t>
  </si>
  <si>
    <t>EP 400/3-6+2,BB1000</t>
  </si>
  <si>
    <t>25,170</t>
  </si>
  <si>
    <t>Meerlaags, Slijtvast, Standaard kwaliteit ; EP 400/3-6+2</t>
  </si>
  <si>
    <t>Mehrlagig, Abriebfest, Standardqualität ; EP 400/3-6+2</t>
  </si>
  <si>
    <t>Multiply, Abrasion resistant, Standard Quality ; EP 400/3-6+2</t>
  </si>
  <si>
    <t>Multiplis, Anti-abrasion, Qualité standard ; EP 400/3-6+2</t>
  </si>
  <si>
    <t>Bandweefseltype: EP ; Treksterkte: 400N/mm ; Aantal inlagen: 3 ; Bovendek: 6 mm ; Onderdek: 2 mm ; Bandbreedte: 1000 mm</t>
  </si>
  <si>
    <t>Gewebetype: EP ; Zugfestigkeit: 400 N/mm ; Anzahl Einlagen: 3 ; Oberdeck: 6 mm ; Unterdeck: 2 mm ; Gurtbreite: 1000 mm</t>
  </si>
  <si>
    <t>Fabric type: EP ; Tensile strength: 400 N/mm ; Number of plies: 3 ; Topcover: 6 mm ; Bottomcover: 2 mm ; Beltwidth: 1000 mm</t>
  </si>
  <si>
    <t>Carcasse: EP ; Résistance à la traction: 400 N/mm ; Nombre de plis: 3 ; Revêtement supérieur: 6 mm ; Revêtement inférieur: 2 mm ; Largeur de bande: 1000 mm</t>
  </si>
  <si>
    <t>EP1000XXX400/3-6+2HY</t>
  </si>
  <si>
    <t>28,329</t>
  </si>
  <si>
    <t>EP1000XXX400/3-6+2KA</t>
  </si>
  <si>
    <t>25,590</t>
  </si>
  <si>
    <t>EP1000XXX400/3-6+2PH</t>
  </si>
  <si>
    <t>27,130</t>
  </si>
  <si>
    <t>EP1000XXX400/3-6+2SA</t>
  </si>
  <si>
    <t>25,220</t>
  </si>
  <si>
    <t>EP1000XXX400/3-6+2SH</t>
  </si>
  <si>
    <t>21,680</t>
  </si>
  <si>
    <t>EP1000XXX500/3-5+1½KA</t>
  </si>
  <si>
    <t>EP 500/3-5+1½,BB1000</t>
  </si>
  <si>
    <t>23,530</t>
  </si>
  <si>
    <t>Meerlaags, Slijtvast, Standaard kwaliteit ; EP 500/3-5+1½</t>
  </si>
  <si>
    <t>Mehrlagig, Abriebfest, Standardqualität ; EP 500/3-5+1½</t>
  </si>
  <si>
    <t>Multiply, Abrasion resistant, Standard Quality ; EP 500/3-5+1½</t>
  </si>
  <si>
    <t>Multiplis, Anti-abrasion, Qualité standard ; EP 500/3-5+1½</t>
  </si>
  <si>
    <t>Bandweefseltype: EP ; Treksterkte: 500N/mm ; Aantal inlagen: 3 ; Bovendek: 5 mm ; Onderdek: 1½ mm ; Bandbreedte: 1000 mm</t>
  </si>
  <si>
    <t>Gewebetype: EP ; Zugfestigkeit: 500 N/mm ; Anzahl Einlagen: 3 ; Oberdeck: 5 mm ; Unterdeck: 1½ mm ; Gurtbreite: 1000 mm</t>
  </si>
  <si>
    <t>Fabric type: EP ; Tensile strength: 500 N/mm ; Number of plies: 3 ; Topcover: 5 mm ; Bottomcover: 1½ mm ; Beltwidth: 1000 mm</t>
  </si>
  <si>
    <t>Carcasse: EP ; Résistance à la traction: 500 N/mm ; Nombre de plis: 3 ; Revêtement supérieur: 5 mm ; Revêtement inférieur: 1½ mm ; Largeur de bande: 1000 mm</t>
  </si>
  <si>
    <t>EP1000XXX500/3-5+2KA</t>
  </si>
  <si>
    <t>EP 500/3-5+2,BB1000</t>
  </si>
  <si>
    <t>22,070</t>
  </si>
  <si>
    <t>Meerlaags, Slijtvast, Standaard kwaliteit ; EP 500/3-5+2</t>
  </si>
  <si>
    <t>Mehrlagig, Abriebfest, Standardqualität ; EP 500/3-5+2</t>
  </si>
  <si>
    <t>Multiply, Abrasion resistant, Standard Quality ; EP 500/3-5+2</t>
  </si>
  <si>
    <t>Multiplis, Anti-abrasion, Qualité standard ; EP 500/3-5+2</t>
  </si>
  <si>
    <t>Bandweefseltype: EP ; Treksterkte: 500N/mm ; Aantal inlagen: 3 ; Bovendek: 5 mm ; Onderdek: 2 mm ; Bandbreedte: 1000 mm</t>
  </si>
  <si>
    <t>Gewebetype: EP ; Zugfestigkeit: 500 N/mm ; Anzahl Einlagen: 3 ; Oberdeck: 5 mm ; Unterdeck: 2 mm ; Gurtbreite: 1000 mm</t>
  </si>
  <si>
    <t>Fabric type: EP ; Tensile strength: 500 N/mm ; Number of plies: 3 ; Topcover: 5 mm ; Bottomcover: 2 mm ; Beltwidth: 1000 mm</t>
  </si>
  <si>
    <t>Carcasse: EP ; Résistance à la traction: 500 N/mm ; Nombre de plis: 3 ; Revêtement supérieur: 5 mm ; Revêtement inférieur: 2 mm ; Largeur de bande: 1000 mm</t>
  </si>
  <si>
    <t>EP1000XXX500/3-6+2-DIN-WKA</t>
  </si>
  <si>
    <t>EP 500/3-6+2,BB1000-DIN-W</t>
  </si>
  <si>
    <t>26,260</t>
  </si>
  <si>
    <t>EP1000XXX500/3-6+2KA</t>
  </si>
  <si>
    <t>EP 500/3-6+2,BB1000</t>
  </si>
  <si>
    <t>26,100</t>
  </si>
  <si>
    <t>Meerlaags, Slijtvast, Standaard kwaliteit ; EP 500/3-6+2</t>
  </si>
  <si>
    <t>Mehrlagig, Abriebfest, Standardqualität ; EP 500/3-6+2</t>
  </si>
  <si>
    <t>Multiply, Abrasion resistant, Standard Quality ; EP 500/3-6+2</t>
  </si>
  <si>
    <t>Multiplis, Anti-abrasion, Qualité standard ; EP 500/3-6+2</t>
  </si>
  <si>
    <t>Bandweefseltype: EP ; Treksterkte: 500N/mm ; Aantal inlagen: 3 ; Bovendek: 6 mm ; Onderdek: 2 mm ; Bandbreedte: 1000 mm</t>
  </si>
  <si>
    <t>Gewebetype: EP ; Zugfestigkeit: 500 N/mm ; Anzahl Einlagen: 3 ; Oberdeck: 6 mm ; Unterdeck: 2 mm ; Gurtbreite: 1000 mm</t>
  </si>
  <si>
    <t>Fabric type: EP ; Tensile strength: 500 N/mm ; Number of plies: 3 ; Topcover: 6 mm ; Bottomcover: 2 mm ; Beltwidth: 1000 mm</t>
  </si>
  <si>
    <t>Carcasse: EP ; Résistance à la traction: 500 N/mm ; Nombre de plis: 3 ; Revêtement supérieur: 6 mm ; Revêtement inférieur: 2 mm ; Largeur de bande: 1000 mm</t>
  </si>
  <si>
    <t>EP1000XXX500/3-6+2PH</t>
  </si>
  <si>
    <t>29,540</t>
  </si>
  <si>
    <t>EP1000XXX500/3-6+2QH</t>
  </si>
  <si>
    <t>23,350</t>
  </si>
  <si>
    <t>EP1000XXX500/3-6+2SH</t>
  </si>
  <si>
    <t>EP1000XXX500/4-3+1KA</t>
  </si>
  <si>
    <t>EP 500/4-3+1,BB1000</t>
  </si>
  <si>
    <t>19,110</t>
  </si>
  <si>
    <t>EP1000XXX500/4-4+2KA</t>
  </si>
  <si>
    <t>EP 500/4-4+2,BB1000</t>
  </si>
  <si>
    <t>75,330</t>
  </si>
  <si>
    <t>23,280</t>
  </si>
  <si>
    <t>Meerlaags, Slijtvast, Standaard kwaliteit ; EP 500/4-4+2</t>
  </si>
  <si>
    <t>Mehrlagig, Abriebfest, Standardqualität ; EP 500/4-4+2</t>
  </si>
  <si>
    <t>Multiply, Abrasion resistant, Standard Quality ; EP 500/4-4+2</t>
  </si>
  <si>
    <t>Multiplis, Anti-abrasion, Qualité standard ; EP 500/4-4+2</t>
  </si>
  <si>
    <t>Bandweefseltype: EP ; Treksterkte: 500N/mm ; Aantal inlagen: 4 ; Bovendek: 4 mm ; Onderdek: 2 mm ; Bandbreedte: 1000 mm</t>
  </si>
  <si>
    <t>Gewebetype: EP ; Zugfestigkeit: 500 N/mm ; Anzahl Einlagen: 4 ; Oberdeck: 4 mm ; Unterdeck: 2 mm ; Gurtbreite: 1000 mm</t>
  </si>
  <si>
    <t>Fabric type: EP ; Tensile strength: 500 N/mm ; Number of plies: 4 ; Topcover: 4 mm ; Bottomcover: 2 mm ; Beltwidth: 1000 mm</t>
  </si>
  <si>
    <t>Carcasse: EP ; Résistance à la traction: 500 N/mm ; Nombre de plis: 4 ; Revêtement supérieur: 4 mm ; Revêtement inférieur: 2 mm ; Largeur de bande: 1000 mm</t>
  </si>
  <si>
    <t>EP1000XXX500/4-5+2CP</t>
  </si>
  <si>
    <t>EP 500/4-5+2,BB1000</t>
  </si>
  <si>
    <t>12018, Cobra Europe Sp. z.o.o.</t>
  </si>
  <si>
    <t>24,740</t>
  </si>
  <si>
    <t>Meerlaags, Slijtvast, Standaard kwaliteit ; EP 500/4-5+2</t>
  </si>
  <si>
    <t>Mehrlagig, Abriebfest, Standardqualität ; EP 500/4-5+2</t>
  </si>
  <si>
    <t>Multiply, Abrasion resistant, Standard Quality ; EP 500/4-5+2</t>
  </si>
  <si>
    <t>Multiplis, Anti-abrasion, Qualité standard ; EP 500/4-5+2</t>
  </si>
  <si>
    <t>Bandweefseltype: EP ; Treksterkte: 500N/mm ; Aantal inlagen: 4 ; Bovendek: 5 mm ; Onderdek: 2 mm ; Bandbreedte: 1000 mm</t>
  </si>
  <si>
    <t>Gewebetype: EP ; Zugfestigkeit: 500 N/mm ; Anzahl Einlagen: 4 ; Oberdeck: 5 mm ; Unterdeck: 2 mm ; Gurtbreite: 1000 mm</t>
  </si>
  <si>
    <t>Fabric type: EP ; Tensile strength: 500 N/mm ; Number of plies: 4 ; Topcover: 5 mm ; Bottomcover: 2 mm ; Beltwidth: 1000 mm</t>
  </si>
  <si>
    <t>Carcasse: EP ; Résistance à la traction: 500 N/mm ; Nombre de plis: 4 ; Revêtement supérieur: 5 mm ; Revêtement inférieur: 2 mm ; Largeur de bande: 1000 mm</t>
  </si>
  <si>
    <t>EP1000XXX500/4-5+2FF</t>
  </si>
  <si>
    <t>26,150</t>
  </si>
  <si>
    <t>EP1000XXX500/4-5+2KA</t>
  </si>
  <si>
    <t>27,580</t>
  </si>
  <si>
    <t>EP1000XXX500/4-5+2SH</t>
  </si>
  <si>
    <t>24,380</t>
  </si>
  <si>
    <t>EP1000XXX630/3-3+2FF</t>
  </si>
  <si>
    <t>EP 630/3-3+2,BB1000</t>
  </si>
  <si>
    <t>22,320</t>
  </si>
  <si>
    <t>24,130</t>
  </si>
  <si>
    <t>EP1000XXX630/3-3+2KA</t>
  </si>
  <si>
    <t>22,660</t>
  </si>
  <si>
    <t>EP1000XXX630/3-3+2SH</t>
  </si>
  <si>
    <t>23,370</t>
  </si>
  <si>
    <t>EP1000XXX630/3-6+2FF</t>
  </si>
  <si>
    <t>EP 630/3-6+2,BB1000</t>
  </si>
  <si>
    <t>27,590</t>
  </si>
  <si>
    <t>Meerlaags, Slijtvast, Standaard kwaliteit ; EP 630/3-6+2</t>
  </si>
  <si>
    <t>Mehrlagig, Abriebfest, Standardqualität ; EP 630/3-6+2</t>
  </si>
  <si>
    <t>Multiply, Abrasion resistant, Standard Quality ; EP 630/3-6+2</t>
  </si>
  <si>
    <t>Multiplis, Anti-abrasion, Qualité standard ; EP 630/3-6+2</t>
  </si>
  <si>
    <t>Bandweefseltype: EP ; Treksterkte: 630N/mm ; Aantal inlagen: 3 ; Bovendek: 6 mm ; Onderdek: 2 mm ; Bandbreedte: 1000 mm</t>
  </si>
  <si>
    <t>Gewebetype: EP ; Zugfestigkeit: 630 N/mm ; Anzahl Einlagen: 3 ; Oberdeck: 6 mm ; Unterdeck: 2 mm ; Gurtbreite: 1000 mm</t>
  </si>
  <si>
    <t>Fabric type: EP ; Tensile strength: 630 N/mm ; Number of plies: 3 ; Topcover: 6 mm ; Bottomcover: 2 mm ; Beltwidth: 1000 mm</t>
  </si>
  <si>
    <t>Carcasse: EP ; Résistance à la traction: 630 N/mm ; Nombre de plis: 3 ; Revêtement supérieur: 6 mm ; Revêtement inférieur: 2 mm ; Largeur de bande: 1000 mm</t>
  </si>
  <si>
    <t>EP1000XXX630/3-6+2KA</t>
  </si>
  <si>
    <t>EP1000XXX630/4-2+2-ELEVATORSA</t>
  </si>
  <si>
    <t>EP 630/4-2+2-BB1000 ELEVATOR</t>
  </si>
  <si>
    <t>25,899</t>
  </si>
  <si>
    <t>Elevator, Slijtvast, Standaard kwaliteit ; EP 630/4-2+2</t>
  </si>
  <si>
    <t>Elevator, Abriebfest, Standardqualität ; EP 630/4-2+2</t>
  </si>
  <si>
    <t>Elevator, Abrasion resistant, Standard Quality ; EP 630/4-2+2</t>
  </si>
  <si>
    <t>Élévatrice, Anti-abrasion, Qualité standard ; EP 630/4-2+2</t>
  </si>
  <si>
    <t>Bandweefseltype: EP ; Treksterkte: 630 N/mm ; Aantal inlagen: 4 ; Bovendek: 2 mm ; Onderdek: 2 mm ; Bandbreedte: 1000 mm ; Elevator</t>
  </si>
  <si>
    <t>Gewebetype: EP ; Zugfestigkeit: 630 N/mm ; Anzahl Einlagen: 4 ; Oberdeck: 2 mm ; Unterdeck: 2 mm ; Gurtbreite: 1000 mm ; Elevator</t>
  </si>
  <si>
    <t>Fabric type: EP ; Tensile strength: 630 N/mm ; Number of plies: 4 ; Topcover: 2 mm ; Bottomcover: 2 mm ; Beltwidth: 1000 mm ; Elevator</t>
  </si>
  <si>
    <t xml:space="preserve">Carcasse: EP ; Tension de service: 630 N/mm ; Nombre de plis: 4 ; Revêtement supérieur: 2 mm ; Revêtement inférieur: 2 mm ; Largeur de bande: 1000 mm ;  Sangle Elévatrice
</t>
  </si>
  <si>
    <t>Rubber quality: DIN-Y &amp; DIN-E ; Ozone resistant performance: No crack ; Antistatic ISO 284: &lt; 3x10⁸ Ω</t>
  </si>
  <si>
    <t>EP1000XXX630/4-4+2KA</t>
  </si>
  <si>
    <t>EP 630/4-4+2,BB1000</t>
  </si>
  <si>
    <t>23,100</t>
  </si>
  <si>
    <t>EP1000XXX630/4-6+2-16MPASH</t>
  </si>
  <si>
    <t>EP 630/4-6+2,BB1000-130 mm³ and 16 MPa</t>
  </si>
  <si>
    <t>20,980</t>
  </si>
  <si>
    <t>EP1000XXX630/4-6+2CC</t>
  </si>
  <si>
    <t>EP 630/4-6+2,BB1000</t>
  </si>
  <si>
    <t>12019, Anhui Depreux Rubber Belt Co. Ltd</t>
  </si>
  <si>
    <t>31,730</t>
  </si>
  <si>
    <t>Meerlaags, Slijtvast, Standaard kwaliteit ; EP 630/4-6+2</t>
  </si>
  <si>
    <t>Mehrlagig, Abriebfest, Standardqualität ; EP 630/4-6+2</t>
  </si>
  <si>
    <t>Multiply, Abrasion resistant, Standard Quality ; EP 630/4-6+2</t>
  </si>
  <si>
    <t>Multiplis, Anti-abrasion, Qualité standard ; EP 630/4-6+2</t>
  </si>
  <si>
    <t>Bandweefseltype: EP ; Treksterkte: 630N/mm ; Aantal inlagen: 4 ; Bovendek: 6 mm ; Onderdek: 2 mm ; Bandbreedte: 1000 mm</t>
  </si>
  <si>
    <t>Gewebetype: EP ; Zugfestigkeit: 630 N/mm ; Anzahl Einlagen: 4 ; Oberdeck: 6 mm ; Unterdeck: 2 mm ; Gurtbreite: 1000 mm</t>
  </si>
  <si>
    <t>Fabric type: EP ; Tensile strength: 630 N/mm ; Number of plies: 4 ; Topcover: 6 mm ; Bottomcover: 2 mm ; Beltwidth: 1000 mm</t>
  </si>
  <si>
    <t>Carcasse: EP ; Résistance à la traction: 630 N/mm ; Nombre de plis: 4 ; Revêtement supérieur: 6 mm ; Revêtement inférieur: 2 mm ; Largeur de bande: 1000 mm</t>
  </si>
  <si>
    <t>EP1000XXX630/4-6+2CO</t>
  </si>
  <si>
    <t>32,460</t>
  </si>
  <si>
    <t>EP1000XXX630/4-6+2CP</t>
  </si>
  <si>
    <t>27,880</t>
  </si>
  <si>
    <t>EP1000XXX630/4-6+2-DIN-WSH</t>
  </si>
  <si>
    <t>EP 630/4-6+2,BB1000-DIN-W</t>
  </si>
  <si>
    <t>29,600</t>
  </si>
  <si>
    <t>Meerlaags, Slijtvast, DIN-W kwaliteit ; EP 630/4-6+2</t>
  </si>
  <si>
    <t>Mehrlagig, Abriebfest, Din-W qualität ; EP 630/4-6+2</t>
  </si>
  <si>
    <t>Multiply, Abrasion resistant, DIN W Quality ; EP 630/4-6+2</t>
  </si>
  <si>
    <t>Multiplis, Anti-abrasion, Qualité DIN-W ; EP 630/4-6+2</t>
  </si>
  <si>
    <t>EP1000XXX630/4-6+2FF</t>
  </si>
  <si>
    <t>26,120</t>
  </si>
  <si>
    <t>EP1000XXX630/4-6+2KA</t>
  </si>
  <si>
    <t>30,440</t>
  </si>
  <si>
    <t>EP1000XXX630/4-6+2RP</t>
  </si>
  <si>
    <t>36,750</t>
  </si>
  <si>
    <t>EP1000XXX630/4-6+2SA</t>
  </si>
  <si>
    <t>29,690</t>
  </si>
  <si>
    <t>EP1000XXX630/4-6+2SH</t>
  </si>
  <si>
    <t>EP1000XXX630/4-6+2ZA</t>
  </si>
  <si>
    <t>32,060</t>
  </si>
  <si>
    <t>EP1000XXX630/4-8+3CP</t>
  </si>
  <si>
    <t>EP 630/4-8+3,BB1000</t>
  </si>
  <si>
    <t>Meerlaags, Slijtvast, Standaard kwaliteit ; EP 630/4-8+3</t>
  </si>
  <si>
    <t>Mehrlagig, Abriebfest, Standardqualität ; EP 630/4-8+3</t>
  </si>
  <si>
    <t>Multiply, Abrasion resistant, Standard Quality ; EP 630/4-8+3</t>
  </si>
  <si>
    <t>Multiplis, Anti-abrasion, Qualité standard ; EP 630/4-8+3</t>
  </si>
  <si>
    <t>Bandweefseltype: EP ; Treksterkte: 630N/mm ; Aantal inlagen: 4 ; Bovendek: 8 mm ; Onderdek: 3 mm ; Bandbreedte: 1000 mm</t>
  </si>
  <si>
    <t>Gewebetype: EP ; Zugfestigkeit: 630 N/mm ; Anzahl Einlagen: 4 ; Oberdeck: 8 mm ; Unterdeck: 3 mm ; Gurtbreite: 1000 mm</t>
  </si>
  <si>
    <t>Fabric type: EP ; Tensile strength: 630 N/mm ; Number of plies: 4 ; Topcover: 8 mm ; Bottomcover: 3 mm ; Beltwidth: 1000 mm</t>
  </si>
  <si>
    <t>Carcasse: EP ; Résistance à la traction: 630 N/mm ; Nombre de plis: 4 ; Revêtement supérieur: 8 mm ; Revêtement inférieur: 3 mm ; Largeur de bande: 1000 mm</t>
  </si>
  <si>
    <t>EP1000XXX630/4-8+3-DIN-WKA</t>
  </si>
  <si>
    <t>EP 630/4-8+3,BB1000-DIN-W</t>
  </si>
  <si>
    <t>34,510</t>
  </si>
  <si>
    <t>EP1000XXX630/4-8+3-DIN-XZZ</t>
  </si>
  <si>
    <t>EP 630/4-8+3,BB1000-DIN-X</t>
  </si>
  <si>
    <t>30,600</t>
  </si>
  <si>
    <t>EP1000XXX630/4-8+3KA</t>
  </si>
  <si>
    <t>36,040</t>
  </si>
  <si>
    <t>EP1000XXX630/4-8+3SA</t>
  </si>
  <si>
    <t>EP1000XXX630/4-8+3SH</t>
  </si>
  <si>
    <t>27,680</t>
  </si>
  <si>
    <t>EP1000XXX630/5-5+2SH</t>
  </si>
  <si>
    <t>EP 630/5-5+2,BB1000</t>
  </si>
  <si>
    <t>26,530</t>
  </si>
  <si>
    <t>EP1000XXX800/3-4+2KA</t>
  </si>
  <si>
    <t>EP 800/3-4+2-BB1000</t>
  </si>
  <si>
    <t>25,270</t>
  </si>
  <si>
    <t>EP1000XXX800/3-8+3KA</t>
  </si>
  <si>
    <t>EP 800/3-8+3,BB1000</t>
  </si>
  <si>
    <t>70,470</t>
  </si>
  <si>
    <t>32,290</t>
  </si>
  <si>
    <t>Meerlaags, Slijtvast, Standaard kwaliteit ; EP 800/3-8+3</t>
  </si>
  <si>
    <t>Mehrlagig, Abriebfest, Standardqualität ; EP 800/3-8+3</t>
  </si>
  <si>
    <t>Multiply, Abrasion resistant, Standard Quality ; EP 800/3-8+3</t>
  </si>
  <si>
    <t>Multiplis, Anti-abrasion, Qualité standard ; EP 800/3-8+3</t>
  </si>
  <si>
    <t>Bandweefseltype: EP ; Treksterkte: 800N/mm ; Aantal inlagen: 3 ; Bovendek: 8 mm ; Onderdek: 3 mm ; Bandbreedte: 1000 mm</t>
  </si>
  <si>
    <t>Gewebetype: EP ; Zugfestigkeit: 800 N/mm ; Anzahl Einlagen: 3 ; Oberdeck: 8 mm ; Unterdeck: 3 mm ; Gurtbreite: 1000 mm</t>
  </si>
  <si>
    <t>Fabric type: EP ; Tensile strength: 800 N/mm ; Number of plies: 3 ; Topcover: 8 mm ; Bottomcover: 3 mm ; Beltwidth: 1000 mm</t>
  </si>
  <si>
    <t>Carcasse: EP ; Résistance à la traction: 800 N/mm ; Nombre de plis: 3 ; Revêtement supérieur: 8 mm ; Revêtement inférieur: 3 mm ; Largeur de bande: 1000 mm</t>
  </si>
  <si>
    <t>EP1000XXX800/4-10+3-DIN-WKA</t>
  </si>
  <si>
    <t>EP 800/4-10+3,BB1000-DIN W</t>
  </si>
  <si>
    <t>41,750</t>
  </si>
  <si>
    <t>EP1000XXX800/4-15+5-20MPAKA</t>
  </si>
  <si>
    <t>EP 800/4-15+5,BB1000, 20 mpa</t>
  </si>
  <si>
    <t>55,890</t>
  </si>
  <si>
    <t>EP1000XXX800/4-2+2-ELEVATORSA</t>
  </si>
  <si>
    <t>EP 800/4-2+2-BB1000 ELEVATOR</t>
  </si>
  <si>
    <t>27,244</t>
  </si>
  <si>
    <t>Elevator, Slijtvast, Standaard kwaliteit ; EP 800/4-2+2</t>
  </si>
  <si>
    <t>Elevator, Abriebfest, Standardqualität ; EP 800/4-2+2</t>
  </si>
  <si>
    <t>Elevator, Abrasion resistant, Standard Quality ; EP 800/4-2+2</t>
  </si>
  <si>
    <t>Élévatrice, Anti-abrasion, Qualité standard ; EP 800/4-2+2</t>
  </si>
  <si>
    <t>Bandweefseltype: EP ; Treksterkte: 800 N/mm ; Aantal inlagen: 4 ; Bovendek: 2 mm ; Onderdek: 2 mm ; Bandbreedte: 1000 mm ; Elevator</t>
  </si>
  <si>
    <t>Gewebetype: EP ; Zugfestigkeit: 800 N/mm ; Anzahl Einlagen: 4 ; Oberdeck: 2 mm ; Unterdeck: 2 mm ; Gurtbreite: 1000 mm ; Elevator</t>
  </si>
  <si>
    <t>Fabric type: EP ; Tensile strength: 800 N/mm ; Number of plies: 4 ; Topcover: 2 mm ; Bottomcover: 2 mm ; Beltwidth: 1000 mm ; Elevator</t>
  </si>
  <si>
    <t xml:space="preserve">Carcasse: EP ; Tension de service: 800 N/mm ; Nombre de plis: 4 ; Revêtement supérieur: 2 mm ; Revêtement inférieur: 2 mm ; Largeur de bande: 1000 mm ;  Sangle Elévatrice
</t>
  </si>
  <si>
    <t>EP1000XXX800/4-4+2-DIN-WSH</t>
  </si>
  <si>
    <t>EP 800/4-4+2,BB1000</t>
  </si>
  <si>
    <t>23,894</t>
  </si>
  <si>
    <t>EP1000XXX800/4-4+2KA</t>
  </si>
  <si>
    <t>24,810</t>
  </si>
  <si>
    <t>EP1000XXX800/4-4+2SH</t>
  </si>
  <si>
    <t>EP1000XXX800/4-5+2KA</t>
  </si>
  <si>
    <t>EP 800/4-5+2,BB1000</t>
  </si>
  <si>
    <t>26,210</t>
  </si>
  <si>
    <t>EP1000XXX800/4-6+2KA</t>
  </si>
  <si>
    <t>EP 800/4-6+2,BB1000</t>
  </si>
  <si>
    <t>29,460</t>
  </si>
  <si>
    <t>EP1000XXX800/4-6+4KA</t>
  </si>
  <si>
    <t>EP 800/4-6+4,BB1000</t>
  </si>
  <si>
    <t>31,010</t>
  </si>
  <si>
    <t>EP1000XXX800/4-8+3CP</t>
  </si>
  <si>
    <t>EP 800/4-8+3,BB1000</t>
  </si>
  <si>
    <t>34,570</t>
  </si>
  <si>
    <t>Meerlaags, Slijtvast, Standaard kwaliteit ; EP 800/4-8+3</t>
  </si>
  <si>
    <t>Mehrlagig, Abriebfest, Standardqualität ; EP 800/4-8+3</t>
  </si>
  <si>
    <t>Multiply, Abrasion resistant, Standard Quality ; EP 800/4-8+3</t>
  </si>
  <si>
    <t>Multiplis, Anti-abrasion, Qualité standard ; EP 800/4-8+3</t>
  </si>
  <si>
    <t>Bandweefseltype: EP ; Treksterkte: 800N/mm ; Aantal inlagen: 4 ; Bovendek: 8 mm ; Onderdek: 3 mm ; Bandbreedte: 1000 mm</t>
  </si>
  <si>
    <t>Gewebetype: EP ; Zugfestigkeit: 800 N/mm ; Anzahl Einlagen: 4 ; Oberdeck: 8 mm ; Unterdeck: 3 mm ; Gurtbreite: 1000 mm</t>
  </si>
  <si>
    <t>Fabric type: EP ; Tensile strength: 800 N/mm ; Number of plies: 4 ; Topcover: 8 mm ; Bottomcover: 3 mm ; Beltwidth: 1000 mm</t>
  </si>
  <si>
    <t>Carcasse: EP ; Résistance à la traction: 800 N/mm ; Nombre de plis: 4 ; Revêtement supérieur: 8 mm ; Revêtement inférieur: 3 mm ; Largeur de bande: 1000 mm</t>
  </si>
  <si>
    <t>EP1000XXX800/4-8+3KA</t>
  </si>
  <si>
    <t>32,880</t>
  </si>
  <si>
    <t>EP1000XXX800/4-8+3-L1-2BSA</t>
  </si>
  <si>
    <t>EP 800/4-8+3,BB1000-L1 EN12882 2B STD</t>
  </si>
  <si>
    <t>49,290</t>
  </si>
  <si>
    <t>EP1000XXX800/4-8+3SH</t>
  </si>
  <si>
    <t>32,839</t>
  </si>
  <si>
    <t>EP100SGG250/2-3+0HY</t>
  </si>
  <si>
    <t>EP 250/2-3+0,BB100, Supergrip/glijband</t>
  </si>
  <si>
    <t>EP1020OVX1000/5-3+3-ELEVATORSA</t>
  </si>
  <si>
    <t>EP 1000/5-3+3-BB1020 ELEVATOR-OV</t>
  </si>
  <si>
    <t>47,388</t>
  </si>
  <si>
    <t>EP1020XXX630/4-2+2-ELEVATORSA</t>
  </si>
  <si>
    <t>EP 630/4-2+2-BB1020 ELEVATOR</t>
  </si>
  <si>
    <t>26,415</t>
  </si>
  <si>
    <t>EP1030XXX1000/5-3+3-ELEVATORSA</t>
  </si>
  <si>
    <t>EP 1030/5-3+3-BB1030 ELEVATOR</t>
  </si>
  <si>
    <t>32,300</t>
  </si>
  <si>
    <t>EP1040XXX630/4-2+2-ELEVATORSA</t>
  </si>
  <si>
    <t>EP 630/4-2+2-BB1040 ELEVATOR</t>
  </si>
  <si>
    <t>25,540</t>
  </si>
  <si>
    <t>EP1050OVX800/4-2+2-ELEVATORSA</t>
  </si>
  <si>
    <t>EP 800/4-2+2-BB1050 ELEVATOR-OV</t>
  </si>
  <si>
    <t>28,406</t>
  </si>
  <si>
    <t>EP1050XXX500/3-5+1½KA</t>
  </si>
  <si>
    <t>EP 500/3-5+1½,BB1050</t>
  </si>
  <si>
    <t>23,540</t>
  </si>
  <si>
    <t>Bandweefseltype: EP ; Treksterkte: 500N/mm ; Aantal inlagen: 3 ; Bovendek: 5 mm ; Onderdek: 1½ mm ; Bandbreedte: 1050 mm</t>
  </si>
  <si>
    <t>Gewebetype: EP ; Zugfestigkeit: 500 N/mm ; Anzahl Einlagen: 3 ; Oberdeck: 5 mm ; Unterdeck: 1½ mm ; Gurtbreite: 1050 mm</t>
  </si>
  <si>
    <t>Fabric type: EP ; Tensile strength: 500 N/mm ; Number of plies: 3 ; Topcover: 5 mm ; Bottomcover: 1½ mm ; Beltwidth: 1050 mm</t>
  </si>
  <si>
    <t>Carcasse: EP ; Résistance à la traction: 500 N/mm ; Nombre de plis: 3 ; Revêtement supérieur: 5 mm ; Revêtement inférieur: 1½ mm ; Largeur de bande: 1050 mm</t>
  </si>
  <si>
    <t>EP1050XXX630/4-2+2-ELEVATORSA</t>
  </si>
  <si>
    <t>EP 630/4-2+2-BB1050 ELEVATOR</t>
  </si>
  <si>
    <t>27,290</t>
  </si>
  <si>
    <t>EP1050XXX630/4-6+2KA</t>
  </si>
  <si>
    <t>EP 630/4-6+2,BB1050</t>
  </si>
  <si>
    <t>31,960</t>
  </si>
  <si>
    <t>EP1050XXX630/4-6+2ZZ</t>
  </si>
  <si>
    <t>EP 630/4-6+2, BB1050</t>
  </si>
  <si>
    <t>10,500</t>
  </si>
  <si>
    <t>EP1050XXX800/4-10+3ZZ</t>
  </si>
  <si>
    <t>EP 800/4-10+3, BB1050</t>
  </si>
  <si>
    <t>EP1050XXX800/4-2+2-ELEVATORSA</t>
  </si>
  <si>
    <t>EP 800/4-2+2-BB1050 ELEVATOR</t>
  </si>
  <si>
    <t>EP1050XXX800/5-10+3-DIN-WSH</t>
  </si>
  <si>
    <t>EP 800/5-10+3,BB1050-DIN W</t>
  </si>
  <si>
    <t>92,500</t>
  </si>
  <si>
    <t>43,982</t>
  </si>
  <si>
    <t>EP1050XXX800/5-10+3ZZ</t>
  </si>
  <si>
    <t>EP 800/5-10+3, BB1050</t>
  </si>
  <si>
    <t>EP1080XXX630/4-2+2-ELEVATORSA</t>
  </si>
  <si>
    <t>EP 630/4-2+2-BB1080 ELEVATOR</t>
  </si>
  <si>
    <t>31,180</t>
  </si>
  <si>
    <t>EP1080XXX800/4-2+2-ELEVATORSA</t>
  </si>
  <si>
    <t>EP 800/4-2+2-BB1080 ELEVATOR</t>
  </si>
  <si>
    <t>29,810</t>
  </si>
  <si>
    <t>EP1100HB400/3-4+2-150°+O&amp;VSA</t>
  </si>
  <si>
    <t>EP 400/3-4+2,BB1100,olie+vet-HB150°</t>
  </si>
  <si>
    <t>27,500</t>
  </si>
  <si>
    <t>39,930</t>
  </si>
  <si>
    <t>EP1100OVG500/4-0+0-SAWMILLHY</t>
  </si>
  <si>
    <t>EP 500/4-0+0,BB1100-O+V-Saw Mill</t>
  </si>
  <si>
    <t>38,761</t>
  </si>
  <si>
    <t>Bandweefseltype: EP ; Treksterkte: 500 N/mm ; Aantal inlagen: 4 ; Bovendek: 0 mm ; Onderdek: 0 mm ; Bandbreedte: 1100 mm ; Olie- en vetbestendige Kwaliteit</t>
  </si>
  <si>
    <t>Gewebetype: EP ; Zugfestigkeit: 500 N/mm ; Anzahl Einlagen: 4 ; Oberdeck: 0 mm ; Unterdeck: 0 mm ; Gurtbreite: 1100 mm ; Öl und Fettbeständige Qualität</t>
  </si>
  <si>
    <t>Fabric type: EP ; Tensile strength: 500 N/mm ; Number of plies: 4 ; Topcover: 0 mm ; Bottomcover: 0 mm ; Beltwidth: 1100 mm ; Oil and Grease Resistant Quality</t>
  </si>
  <si>
    <t>EP1100OVX630/4-2+2-ELEVATORSA</t>
  </si>
  <si>
    <t>EP 630/4-2+2-BB1100 ELEVATOR-OV</t>
  </si>
  <si>
    <t>33,620</t>
  </si>
  <si>
    <t>EP1100OVX800/4-2+2-ELEVATORSA</t>
  </si>
  <si>
    <t>EP 800/4-2+2-BB1100 ELEVATOR-OV</t>
  </si>
  <si>
    <t>27,171</t>
  </si>
  <si>
    <t>EP1100PRL400/3-3+2-MULTIVSH</t>
  </si>
  <si>
    <t>EP 400/3-3+2,BB1100-Multi V profiel 6 mm</t>
  </si>
  <si>
    <t>31,420</t>
  </si>
  <si>
    <t>Bandweefseltype: EP ; Treksterkte: 400 N/mm ; Aantal inlagen: 3 ; Bovendek: 3 mm ; Onderdek: 2 mm ; Bandbreedte: 1100 mm ; Profiel hoogte: 6 mm ; Profiel breedte: Volledige bandbreedte ; Type: V6</t>
  </si>
  <si>
    <t>Gewebetype: EP ; Zugfestigkeit: 400 N/mm ; Anzahl Einlagen: 3 ; Oberdeck: 3 mm ; Unterdeck: 2 mm ; Gurtbreite: 1100 mm ; Profilhöhe: 6 mm ; Profilbreite: Komplette Gurtbreite ; Profiltyp: V6</t>
  </si>
  <si>
    <t>Fabric type: EP ; Tensile strength: 400 N/mm ; Number of plies: 3 ; Topcover: 3 mm ; Bottomcover: 2 mm ; Beltwidth: 1100 mm ; Profile height: 6 mm ; Profile width: Full belt width ; Profile type: V6</t>
  </si>
  <si>
    <t>EP1100XXX1000/5-3+3-ELEVATORSA</t>
  </si>
  <si>
    <t>EP 1000/5-3+3-BB1100 ELEVATOR</t>
  </si>
  <si>
    <t>33,700</t>
  </si>
  <si>
    <t>EP1100XXX630/4-2+2-ELEVATORSA</t>
  </si>
  <si>
    <t>EP 630/4-2+2-BB1100 ELEVATOR</t>
  </si>
  <si>
    <t>28,489</t>
  </si>
  <si>
    <t>EP1100XXX800/4-2+2-ELEVATORSA</t>
  </si>
  <si>
    <t>EP 800/4-2+2-BB1100 ELEVATOR</t>
  </si>
  <si>
    <t>000007, T-Rex International</t>
  </si>
  <si>
    <t>30,370</t>
  </si>
  <si>
    <t>EP110SGG400/3-3+0HY</t>
  </si>
  <si>
    <t>EP 400/3-3+0,BB110, Supergrip/glijband</t>
  </si>
  <si>
    <t>2,480</t>
  </si>
  <si>
    <t>EP1120HB630/4-8+2-200°SA</t>
  </si>
  <si>
    <t>EP 630/4-8+2,BB1120,HB200º</t>
  </si>
  <si>
    <t>67,890</t>
  </si>
  <si>
    <t>EP1120OVX630/4-2+2-ELEVATORSA</t>
  </si>
  <si>
    <t>EP 630/4-2+2-BB1120 ELEVATOR-OV</t>
  </si>
  <si>
    <t>30,304</t>
  </si>
  <si>
    <t>EP1120XXX630/4-2+2-ELEVATORSA</t>
  </si>
  <si>
    <t>EP 630/4-2+2-BB1120 ELEVATOR</t>
  </si>
  <si>
    <t>29,788</t>
  </si>
  <si>
    <t>EP1150OVX630/4-2+2-ELEVATORSA</t>
  </si>
  <si>
    <t>EP 630/4-2+2-BB1150 ELEVATOR-OV</t>
  </si>
  <si>
    <t>35,150</t>
  </si>
  <si>
    <t>EP1150OVX800/4-2+2-ELEVATORSA</t>
  </si>
  <si>
    <t>EP 800/4-2+2-BB1150 ELEVATOR-OV</t>
  </si>
  <si>
    <t>EP1150PRG400/3-3+2-MULTIVHY</t>
  </si>
  <si>
    <t>EP 400/3-3+2,BB1150-Multi V profiel 6 mm O&amp;V</t>
  </si>
  <si>
    <t>54,460</t>
  </si>
  <si>
    <t>EP1150PRL250/2-3+2-MULTIVHY</t>
  </si>
  <si>
    <t>EP 250/2-3+2,BB1150-Multi V profiel 6 mm</t>
  </si>
  <si>
    <t>41,042</t>
  </si>
  <si>
    <t>EP1150PRL250/2-3+2-MULTIVSH</t>
  </si>
  <si>
    <t>26,430</t>
  </si>
  <si>
    <t>EP1150PRL400/3-3+2-MULTIVHY</t>
  </si>
  <si>
    <t>EP 400/3-3+2,BB1150-Multi V profiel 6 mm</t>
  </si>
  <si>
    <t>52,480</t>
  </si>
  <si>
    <t>EP1150XXX630/4-2+2-ELEVATORSA</t>
  </si>
  <si>
    <t>EP 630/4-2+2-BB1150 ELEVATOR</t>
  </si>
  <si>
    <t>EP1160OVX630/4-2+2-ELEVATORSA</t>
  </si>
  <si>
    <t>EP 630/4-2+2-BB1160 ELEVATOR-OV</t>
  </si>
  <si>
    <t>35,450</t>
  </si>
  <si>
    <t>EP1160OVX800/4-2+2-ELEVATORSA</t>
  </si>
  <si>
    <t>EP 800/4-2+2-BB1160 ELEVATOR-OV</t>
  </si>
  <si>
    <t>37,150</t>
  </si>
  <si>
    <t>EP1160XXX630/4-2+2-ELEVATORSA</t>
  </si>
  <si>
    <t>EP 630/4-2+2-BB1160 ELEVATOR</t>
  </si>
  <si>
    <t>33,190</t>
  </si>
  <si>
    <t>EP1160XXX800/4-2+2-ELEVATORSA</t>
  </si>
  <si>
    <t>EP 800/4-2+2-BB1160 ELEVATOR</t>
  </si>
  <si>
    <t>34,889</t>
  </si>
  <si>
    <t>EP1180OVX800/4-2+2-ELEVATORSA</t>
  </si>
  <si>
    <t>EP 800/4-2+2-BB1180 ELEVATOR-OV</t>
  </si>
  <si>
    <t>31,253</t>
  </si>
  <si>
    <t>EP1180SGR400/3-3+1HY</t>
  </si>
  <si>
    <t>EP 400/3-3+1,BB1180, Supergrip zwart</t>
  </si>
  <si>
    <t>27,966</t>
  </si>
  <si>
    <t>EP1190PRG400/3-3+2-MULTIVHY</t>
  </si>
  <si>
    <t>EP 400/3-3+2,BB1190-Multi V profiel 6 mm O&amp;V</t>
  </si>
  <si>
    <t>48,710</t>
  </si>
  <si>
    <t>EP1200GLY250/2-2+0FF</t>
  </si>
  <si>
    <t>EP 250/2-2+0,BB1200-GLY</t>
  </si>
  <si>
    <t>41,940</t>
  </si>
  <si>
    <t>20,460</t>
  </si>
  <si>
    <t>Bandweefseltype: EP ; Treksterkte: 250 N/mm ; Aantal inlagen: 2 ; Bovendek: 2 mm ; Onderdek: 0 mm ; Bandbreedte: 1200 mm</t>
  </si>
  <si>
    <t>Gewebetype: EP ; Zugfestigkeit: 250 N/mm ; Anzahl Einlagen: 2 ; Oberdeck: 2 mm ; Unterdeck: 0 mm ; Gurtbreite: 1200 mm</t>
  </si>
  <si>
    <t>Fabric type: EP ; Tensile strength: 250 N/mm ; Number of plies: 2 ; Topcover: 2 mm ; Bottomcover: 0 mm ; Beltwidth: 1200 mm</t>
  </si>
  <si>
    <t>Carcasse: EP ; Tension de service: 250 N/mm ; Nombre de plis: 2 ; Revêtement supérieur: 2 mm ; Revêtement inférieur: 0 mm ; Largeur de bande: 1200 mm</t>
  </si>
  <si>
    <t>EP1200GLY250/2-2+0HY</t>
  </si>
  <si>
    <t>20,750</t>
  </si>
  <si>
    <t>EP1200GLY250/2-2+0JO</t>
  </si>
  <si>
    <t>15,190</t>
  </si>
  <si>
    <t>EP1200GLY400/3-2+0FF</t>
  </si>
  <si>
    <t>EP 400/3-2+0,BB1200-GLY</t>
  </si>
  <si>
    <t>16,120</t>
  </si>
  <si>
    <t>Bandweefseltype: EP ; Treksterkte: 400 N/mm ; Aantal inlagen: 3 ; Bovendek: 2 mm ; Onderdek: 0 mm ; Bandbreedte: 1200 mm</t>
  </si>
  <si>
    <t>Gewebetype: EP ; Zugfestigkeit: 400 N/mm ; Anzahl Einlagen: 3 ; Oberdeck: 2 mm ; Unterdeck: 0 mm ; Gurtbreite: 1200 mm</t>
  </si>
  <si>
    <t>Fabric type: EP ; Tensile strength: 400 N/mm ; Number of plies: 3 ; Topcover: 2 mm ; Bottomcover: 0 mm ; Beltwidth: 1200 mm</t>
  </si>
  <si>
    <t>Carcasse: EP ; Tension de service: 400 N/mm ; Nombre de plis: 3 ; Revêtement supérieur: 2 mm ; Revêtement inférieur: 0 mm ; Largeur de bande: 1200 mm</t>
  </si>
  <si>
    <t>EP1200GLY400/3-2+0HU</t>
  </si>
  <si>
    <t>19,170</t>
  </si>
  <si>
    <t>EP1200GLY400/3-2+0HY</t>
  </si>
  <si>
    <t>26,280</t>
  </si>
  <si>
    <t>EP1200GLY400/3-2+0JO</t>
  </si>
  <si>
    <t>19,960</t>
  </si>
  <si>
    <t>EP1200GLY400/3-2+0QH</t>
  </si>
  <si>
    <t>16,110</t>
  </si>
  <si>
    <t>EP1200GLY400/3-3+0HY</t>
  </si>
  <si>
    <t>EP 400/3-3+0-BB1200 GLY</t>
  </si>
  <si>
    <t>29,050</t>
  </si>
  <si>
    <t>Bandweefseltype: EP ; Treksterkte: 400 N/mm ; Aantal inlagen: 3 ; Bovendek: 3 mm ; Onderdek: 0 mm ; Bandbreedte: 1200 mm</t>
  </si>
  <si>
    <t>Gewebetype: EP ; Zugfestigkeit: 400 N/mm ; Anzahl Einlagen: 3 ; Oberdeck: 3 mm ; Unterdeck: 0 mm ; Gurtbreite: 1200 mm</t>
  </si>
  <si>
    <t>Carcasse: EP ; Tension de service: 400 N/mm ; Nombre de plis: 3 ; Revêtement supérieur: 3 mm ; Revêtement inférieur: 0 mm ; Largeur de bande: 1200 mm</t>
  </si>
  <si>
    <t>EP1200GLY400/3-3+0JO</t>
  </si>
  <si>
    <t>22,960</t>
  </si>
  <si>
    <t>EP1200GLY500/4-6+0HY</t>
  </si>
  <si>
    <t>EP 500/4-6+0,BB1200-GLY</t>
  </si>
  <si>
    <t>49,890</t>
  </si>
  <si>
    <t>51,320</t>
  </si>
  <si>
    <t>Bandweefseltype: EP ; Treksterkte: 500 N/mm ; Aantal inlagen: 4 ; Bovendek: 6 mm ; Onderdek: 0 mm ; Bandbreedte: 1200 mm</t>
  </si>
  <si>
    <t>Gewebetype: EP ; Zugfestigkeit: 500 N/mm ; Anzahl Einlagen: 4 ; Oberdeck: 6 mm ; Unterdeck: 0 mm ; Gurtbreite: 1200 mm</t>
  </si>
  <si>
    <t>Fabric type: EP ; Tensile strength: 500 N/mm ; Number of plies: 4 ; Topcover: 6 mm ; Bottomcover: 0 mm ; Beltwidth: 1200 mm</t>
  </si>
  <si>
    <t>Carcasse: EP ; Tension de service: 500 N/mm ; Nombre de plis: 4 ; Revêtement supérieur: 6 mm ; Revêtement inférieur: 0 mm ; Largeur de bande: 1200 mm</t>
  </si>
  <si>
    <t>EP1200GLY500/4-6+0JO</t>
  </si>
  <si>
    <t>36,330</t>
  </si>
  <si>
    <t>EP1200HB400/3-5+2-150°JO</t>
  </si>
  <si>
    <t>EP 400/3-5+2,BB1200,HB</t>
  </si>
  <si>
    <t>30,490</t>
  </si>
  <si>
    <t>Bandweefseltype: EP ; Treksterkte: 400 N/mm ; Aantal inlagen: 3 ; Bovendek: 5 mm ; Onderdek: 2 mm ; Bandbreedte: 1200 mm ; Hittebestendig 150°-170°</t>
  </si>
  <si>
    <t>Gewebetype: EP ; Zugfestigkeit: 400 N/mm ; Anzahl Einlagen: 3 ; Oberdeck: 5 mm ; Unterdeck: 2 mm ; Gurtbreite: 1200 mm ; Hitzebeständig 150°-170°</t>
  </si>
  <si>
    <t>Fabric type: EP ; Tensile strength: 400 N/mm ; Number of plies: 3 ; Topcover: 5 mm ; Bottomcover: 2 mm ; Beltwidth: 1200 mm ; Heat resistant 150°-170°</t>
  </si>
  <si>
    <t>EP1200HB400/3-5+2-150°PH</t>
  </si>
  <si>
    <t>38,090</t>
  </si>
  <si>
    <t>EP1200HB400/3-5+2-150°SL</t>
  </si>
  <si>
    <t>31,160</t>
  </si>
  <si>
    <t>Gewebetype: EP ; Zugfestigkeit: 400 N/mm ; Anzahl Einlagen: 3 ; Oberdeck: 5 mm ; Unterdeck: 2 mm ; Gurtbreite: 1400 mm ; Hitzebeständig 150°-170°</t>
  </si>
  <si>
    <t>EP1200HB500/4-5+2-200°PH</t>
  </si>
  <si>
    <t>EP 500/4-5+2,BB1200,HB200º</t>
  </si>
  <si>
    <t>56,070</t>
  </si>
  <si>
    <t>Bandweefseltype: EP ; Treksterkte: 500 N/mm ; Aantal inlagen: 4 ; Bovendek: 5 mm ; Onderdek: 2 mm ; Bandbreedte: 1200 mm ; Hittebestendig 180°-200°</t>
  </si>
  <si>
    <t>Gewebetype: EP ; Zugfestigkeit: 500 N/mm ; Anzahl Einlagen: 4 ; Oberdeck: 5 mm ; Unterdeck: 2 mm ; Gurtbreite: 1200 mm ; Hitzebeständig 180°-200°</t>
  </si>
  <si>
    <t>Fabric type: EP ; Tensile strength: 500 N/mm ; Number of plies: 4 ; Topcover: 5 mm ; Bottomcover: 2 mm ; Beltwidth: 1200 mm ; Heat resistant 180°-200°</t>
  </si>
  <si>
    <t>EP1200HB500/4-5+2-200°SA</t>
  </si>
  <si>
    <t>53,143</t>
  </si>
  <si>
    <t>EP1200OVG250/2-2+0FF</t>
  </si>
  <si>
    <t>EP 250/2-2+0,BB1200-GLY-O+V</t>
  </si>
  <si>
    <t>24,550</t>
  </si>
  <si>
    <t>Bandweefseltype: EP ; Treksterkte: 250 N/mm ; Aantal inlagen: 2 ; Bovendek: 2 mm ; Onderdek: 0 mm ; Bandbreedte: 1200 mm ; Olie- en vetbestendige Kwaliteit</t>
  </si>
  <si>
    <t>Gewebetype: EP ; Zugfestigkeit: 250 N/mm ; Anzahl Einlagen: 2 ; Oberdeck: 2 mm ; Unterdeck: 0 mm ; Gurtbreite: 1200 mm ; Öl und Fettbeständige Qualität</t>
  </si>
  <si>
    <t>EP1200OVG250/2-2+0HY</t>
  </si>
  <si>
    <t>22,490</t>
  </si>
  <si>
    <t>Fabric type: EP ; Tensile strength: 250 N/mm ; Number of plies: 2 ; Topcover: 2 mm ; Bottomcover: 0 mm ; Beltwidth: 1200 mm ; Oil and Grease Resistant Quality</t>
  </si>
  <si>
    <t>EP1200OVG250/2-2+0JO</t>
  </si>
  <si>
    <t>18,150</t>
  </si>
  <si>
    <t>EP1200OVG400/3-2+0AR</t>
  </si>
  <si>
    <t>EP 400/3-2+0,BB1200-GLY-O+V</t>
  </si>
  <si>
    <t>Bandweefseltype: EP ; Treksterkte: 400 N/mm ; Aantal inlagen: 3 ; Bovendek: 2 mm ; Onderdek: 0 mm ; Bandbreedte: 1200 mm ; Olie- en vetbestendige Kwaliteit</t>
  </si>
  <si>
    <t>Gewebetype: EP ; Zugfestigkeit: 400 N/mm ; Anzahl Einlagen: 3 ; Oberdeck: 2 mm ; Unterdeck: 0 mm ; Gurtbreite: 1200 mm ; Öl und Fettbeständige Qualität</t>
  </si>
  <si>
    <t>Fabric type: EP ; Tensile strength: 400 N/mm ; Number of plies: 3 ; Topcover: 2 mm ; Bottomcover: 0 mm ; Beltwidth: 1200 mm ; Oil and Grease Resistant Quality</t>
  </si>
  <si>
    <t>EP1200OVG400/3-2+0HY</t>
  </si>
  <si>
    <t>36,090</t>
  </si>
  <si>
    <t>EP1200OVG400/3-2+0JO</t>
  </si>
  <si>
    <t>24,370</t>
  </si>
  <si>
    <t>EP1200OVG400/3-3+0HY</t>
  </si>
  <si>
    <t>EP 400/3-3+0,BB1200-GLY-O+V</t>
  </si>
  <si>
    <t>38,710</t>
  </si>
  <si>
    <t>Bandweefseltype: EP ; Treksterkte: 400 N/mm ; Aantal inlagen: 3 ; Bovendek: 3 mm ; Onderdek: 0 mm ; Bandbreedte: 1200 mm ; Olie- en vetbestendige Kwaliteit</t>
  </si>
  <si>
    <t>Gewebetype: EP ; Zugfestigkeit: 400 N/mm ; Anzahl Einlagen: 3 ; Oberdeck: 3 mm ; Unterdeck: 0 mm ; Gurtbreite: 1200 mm ; Öl und Fettbeständige Qualität</t>
  </si>
  <si>
    <t>Fabric type: EP ; Tensile strength: 400 N/mm ; Number of plies: 3 ; Topcover: 3 mm ; Bottomcover: 0 mm ; Beltwidth: 1200 mm ; Oil and Grease Resistant Quality</t>
  </si>
  <si>
    <t>EP1200OVG400/3-3+0JO</t>
  </si>
  <si>
    <t>EP1200OVG500/4-0+0-SAWMILLHY</t>
  </si>
  <si>
    <t>EP 500/4-0+0,BB1200-O+V-Saw Mill</t>
  </si>
  <si>
    <t>41,830</t>
  </si>
  <si>
    <t>Bande à sole de glisse, Qualité résistant aux huiles et graisses ; EP 500/4-0+0</t>
  </si>
  <si>
    <t>Bandweefseltype: EP ; Treksterkte: 500 N/mm ; Aantal inlagen: 4 ; Bovendek: 0 mm ; Onderdek: 0 mm ; Bandbreedte: 1200 mm ; Olie- en vetbestendige Kwaliteit</t>
  </si>
  <si>
    <t>Gewebetype: EP ; Zugfestigkeit: 500 N/mm ; Anzahl Einlagen: 4 ; Oberdeck: 0 mm ; Unterdeck: 0 mm ; Gurtbreite: 1200 mm ; Öl und Fettbeständige Qualität</t>
  </si>
  <si>
    <t>Fabric type: EP ; Tensile strength: 500 N/mm ; Number of plies: 4 ; Topcover: 0 mm ; Bottomcover: 0 mm ; Beltwidth: 1200 mm ; Oil and Grease Resistant Quality</t>
  </si>
  <si>
    <t>EP1200OVG500/4-3+0HY</t>
  </si>
  <si>
    <t>EP 500/4-3+0,BB1200-GLY-O+V</t>
  </si>
  <si>
    <t>54,490</t>
  </si>
  <si>
    <t>Bandweefseltype: EP ; Treksterkte: 500 N/mm ; Aantal inlagen: 4 ; Bovendek: 3 mm ; Onderdek: 0 mm ; Bandbreedte: 1200 mm ; Olie- en vetbestendige Kwaliteit</t>
  </si>
  <si>
    <t>Gewebetype: EP ; Zugfestigkeit: 500 N/mm ; Anzahl Einlagen: 4 ; Oberdeck: 3 mm ; Unterdeck: 0 mm ; Gurtbreite: 1200 mm ; Öl und Fettbeständige Qualität</t>
  </si>
  <si>
    <t>Fabric type: EP ; Tensile strength: 500 N/mm ; Number of plies: 4 ; Topcover: 3 mm ; Bottomcover: 0 mm ; Beltwidth: 1200 mm ; Oil and Grease Resistant Quality</t>
  </si>
  <si>
    <t>EP1200OVG500/4-3+0JO</t>
  </si>
  <si>
    <t>33,670</t>
  </si>
  <si>
    <t>EP1200OVX1000/4-2+2-ELEVATORSH</t>
  </si>
  <si>
    <t>EP 1000/4-2+2-BB1200 ELEVATOR-MOR</t>
  </si>
  <si>
    <t>23,860</t>
  </si>
  <si>
    <t>EP1200OVX250/2-3+1HY</t>
  </si>
  <si>
    <t>EP 250/2-3+1,BB1200-O+V</t>
  </si>
  <si>
    <t>34,130</t>
  </si>
  <si>
    <t>Bandweefseltype: EP ; Treksterkte: 250 N/mm ; Aantal inlagen: 2 ; Bovendek: 3 mm ; Onderdek: 1 mm ; Bandbreedte: 1200 mm ; Olie- en vetbestendige Kwaliteit</t>
  </si>
  <si>
    <t>Gewebetype: EP ; Zugfestigkeit: 250 N/mm ; Anzahl Einlagen: 2 ; Oberdeck: 3 mm ; Unterdeck: 1 mm ; Gurtbreite: 1200 mm ; Öl und Fettbeständige Qualität</t>
  </si>
  <si>
    <t>Fabric type: EP ; Tensile strength: 250 N/mm ; Number of plies: 2 ; Topcover: 3 mm ; Bottomcover: 1 mm ; Beltwidth: 1200 mm ; Oil and Grease Resistant Quality</t>
  </si>
  <si>
    <t>EP1200OVX250/2-3+1JO</t>
  </si>
  <si>
    <t>26,170</t>
  </si>
  <si>
    <t>EP1200OVX400/3-3+1½PH</t>
  </si>
  <si>
    <t>EP 400/3-3+1½,BB1200-O+V</t>
  </si>
  <si>
    <t>20,070</t>
  </si>
  <si>
    <t>EP1200OVX400/3-3+1JO</t>
  </si>
  <si>
    <t>EP 400/3-3+1,BB1200-O+V</t>
  </si>
  <si>
    <t>27,659</t>
  </si>
  <si>
    <t>Meerlaags, Olie- en vetbestendige Kwaliteit ; EP 400/3-3+1</t>
  </si>
  <si>
    <t>Mehrlagig, Öl und Fettbeständige Qualität ; EP 400/3-3+1</t>
  </si>
  <si>
    <t>Multiply, Oil and Grease Resistant Quality ; EP 400/3-3+1</t>
  </si>
  <si>
    <t>Multiplis, Qualité résistant aux huiles et graisses ; EP 400/3-3+1</t>
  </si>
  <si>
    <t>Bandweefseltype: EP ; Treksterkte: 400 N/mm ; Aantal inlagen: 3 ; Bovendek: 3 mm ; Onderdek: 1 mm ; Bandbreedte: 1200 mm ; Olie- en vetbestendige Kwaliteit</t>
  </si>
  <si>
    <t>Gewebetype: EP ; Zugfestigkeit: 400 N/mm ; Anzahl Einlagen: 3 ; Oberdeck: 3 mm ; Unterdeck: 1 mm ; Gurtbreite: 1200 mm ; Öl und Fettbeständige Qualität</t>
  </si>
  <si>
    <t>Fabric type: EP ; Tensile strength: 400 N/mm ; Number of plies: 3 ; Topcover: 3 mm ; Bottomcover: 1 mm ; Beltwidth: 1200 mm ; Oil and Grease Resistant Quality</t>
  </si>
  <si>
    <t>EP1200OVX400/3-4+2AR</t>
  </si>
  <si>
    <t>EP 400/3-4+2,BB1200-O+V</t>
  </si>
  <si>
    <t>41,620</t>
  </si>
  <si>
    <t>Bandweefseltype: EP ; Treksterkte: 400 N/mm ; Aantal inlagen: 3 ; Bovendek: 4 mm ; Onderdek: 2 mm ; Bandbreedte: 1200 mm ; Olie- en vetbestendige Kwaliteit</t>
  </si>
  <si>
    <t>Gewebetype: EP ; Zugfestigkeit: 400 N/mm ; Anzahl Einlagen: 3 ; Oberdeck: 4 mm ; Unterdeck: 2 mm ; Gurtbreite: 1200 mm ; Öl und Fettbeständige Qualität</t>
  </si>
  <si>
    <t>Fabric type: EP ; Tensile strength: 400 N/mm ; Number of plies: 3 ; Topcover: 4 mm ; Bottomcover: 2 mm ; Beltwidth: 1200 mm ; Oil and Grease Resistant Quality</t>
  </si>
  <si>
    <t>EP1200OVX400/3-4+2-ISO-KSA</t>
  </si>
  <si>
    <t>EP 400/3-4+2,BB1200-O+V-ISO-K</t>
  </si>
  <si>
    <t>45,280</t>
  </si>
  <si>
    <t>EP1200OVX400/3-4+2JO</t>
  </si>
  <si>
    <t>33,810</t>
  </si>
  <si>
    <t>EP1200OVX400/3-4+2PH</t>
  </si>
  <si>
    <t>29,560</t>
  </si>
  <si>
    <t>EP1200OVX400/3-4+2RP</t>
  </si>
  <si>
    <t>34,800</t>
  </si>
  <si>
    <t>EP1200OVX400/3-4+2SA</t>
  </si>
  <si>
    <t>36,310</t>
  </si>
  <si>
    <t>EP1200OVX400/3-4+2SL</t>
  </si>
  <si>
    <t>33,140</t>
  </si>
  <si>
    <t>EP1200OVX400/4-2+2-ELEVATORSH</t>
  </si>
  <si>
    <t>EP 400/4-2+2-BB1200 ELEVATOR-MOR</t>
  </si>
  <si>
    <t>25,560</t>
  </si>
  <si>
    <t>EP1200OVX500/3-4+2MORSPECSH</t>
  </si>
  <si>
    <t>EP 500/3-4+2,BB1200-O+V-MOR</t>
  </si>
  <si>
    <t>EP1200OVX500/3-6+2JO</t>
  </si>
  <si>
    <t>EP 500/3-6+2,BB1200-O+V</t>
  </si>
  <si>
    <t>41,613</t>
  </si>
  <si>
    <t>Bandweefseltype: EP ; Treksterkte: 500 N/mm ; Aantal inlagen: 3 ; Bovendek: 6 mm ; Onderdek: 2 mm ; Bandbreedte: 1200 mm ; Olie- en vetbestendige Kwaliteit</t>
  </si>
  <si>
    <t>Gewebetype: EP ; Zugfestigkeit: 500 N/mm ; Anzahl Einlagen: 3 ; Oberdeck: 6 mm ; Unterdeck: 2 mm ; Gurtbreite: 1200 mm ; Öl und Fettbeständige Qualität</t>
  </si>
  <si>
    <t>Fabric type: EP ; Tensile strength: 500 N/mm ; Number of plies: 3 ; Topcover: 6 mm ; Bottomcover: 2 mm ; Beltwidth: 1200 mm ; Oil and Grease Resistant Quality</t>
  </si>
  <si>
    <t>EP1200OVX500/3-6+2PH</t>
  </si>
  <si>
    <t>36,220</t>
  </si>
  <si>
    <t>EP1200OVX500/3-6+2RP</t>
  </si>
  <si>
    <t>EP1200OVX500/3-6+2SA</t>
  </si>
  <si>
    <t>45,910</t>
  </si>
  <si>
    <t>EP1200OVX630/4-2+2-ELEVATORSH</t>
  </si>
  <si>
    <t>EP 630/4-2+2-BB1200 ELEVATOR-MOR</t>
  </si>
  <si>
    <t>21,750</t>
  </si>
  <si>
    <t>EP1200OVX800/4-2+2-ELEVATORSA</t>
  </si>
  <si>
    <t>EP 800/4-2+2-BB1200 ELEVATOR-OV</t>
  </si>
  <si>
    <t>38,430</t>
  </si>
  <si>
    <t>Bandweefseltype: EP ; Treksterkte: 800 N/mm ; Aantal inlagen: 4 ; Bovendek: 2 mm ; Onderdek: 2 mm ; Bandbreedte: 1200 mm ; Olie- en vetbestendige Kwaliteit ; Elevator</t>
  </si>
  <si>
    <t>Gewebetype: EP ; Zugfestigkeit: 800 N/mm ; Anzahl Einlagen: 4 ; Oberdeck: 2 mm ; Unterdeck: 2 mm ; Gurtbreite: 1200 mm ; Öl und Fettbeständige Qualität ; Elevator</t>
  </si>
  <si>
    <t>Fabric type: EP ; Tensile strength: 800 N/mm ; Number of plies: 4 ; Topcover: 2 mm ; Bottomcover: 2 mm ; Beltwidth: 1200 mm ; Oil and Grease Resistant Quality ; Elevator</t>
  </si>
  <si>
    <t xml:space="preserve">Carcasse: EP ; Tension de service: 800 N/mm ; Nombre de plis: 4 ; Revêtement supérieur: 2 mm ; Revêtement inférieur: 2 mm ; Largeur de bande: 1200 mm ; Qualité résistante à l’huile et graisse ; Sangle Elévatrice
</t>
  </si>
  <si>
    <t>EP1200OVX800/4-2+2-ELEVATORSH</t>
  </si>
  <si>
    <t>EP 800/4-2+2-BB1200 ELEVATOR-MOR</t>
  </si>
  <si>
    <t>22,450</t>
  </si>
  <si>
    <t>EP1200PRG250/2-3+2-MULTIVHY</t>
  </si>
  <si>
    <t>EP 250/2-3+2,BB1200-Multi V profiel 6 mm O&amp;V</t>
  </si>
  <si>
    <t>41,662</t>
  </si>
  <si>
    <t>Bandweefseltype: EP ; Treksterkte: 250 N/mm ; Aantal inlagen: 2 ; Bovendek: 3 mm ; Onderdek: 2 mm ; Bandbreedte: 1200 mm ; Profiel hoogte: 6 mm ; Profiel breedte: Volledige bandbreedte ; Type: V6 ; Olie- en vetbestendige Kwaliteit</t>
  </si>
  <si>
    <t>Gewebetype: EP ; Zugfestigkeit: 250 N/mm ; Anzahl Einlagen: 2 ; Oberdeck: 3 mm ; Unterdeck: 2 mm ; Gurtbreite: 1200 mm ; Profilhöhe: 6 mm ; Profilbreite: Komplette Gurtbreite ; Profiltyp: V6 ; Öl und Fettbeständige Qualität</t>
  </si>
  <si>
    <t>Fabric type: EP ; Tensile strength: 250 N/mm ; Number of plies: 2 ; Topcover: 3 mm ; Bottomcover: 2 mm ; Beltwidth: 1200 mm ; Profile height: 6 mm ; Profile width: Full belt width ; Profile type: V6 ; Oil and Grease Resistant Quality</t>
  </si>
  <si>
    <t>Carcasse: EP ; Résistance à la traction: 250 N/mm ; Nombre de plis: 2 ; Revêtement supérieur: 3 mm ; Revêtement inférieur: 2 mm ; Largeur de bande: 1200 mm ; Hauteur du profil: 6 mm ; Largeur du profil: Sur toute la largeur ; Type de profil: V6 ; Qualité résistant aux huiles et graisses</t>
  </si>
  <si>
    <t>EP1200PRG400/3-3+1-C15P750HY</t>
  </si>
  <si>
    <t>EP 400/3-3+1½,BB1200-profiel C15P750 O&amp;V</t>
  </si>
  <si>
    <t>61,610</t>
  </si>
  <si>
    <t>Bandweefseltype: EP ; Treksterkte: 400 N/mm ; Aantal inlagen: 3 ; Bovendek: 3 mm ; Onderdek: 1 mm ; Bandbreedte: 1200 mm ; Profiel hoogte: 15 mm ; Profiel breedte: 750mm ; Type:C15P750 ; Olie- en vetbestendige Kwaliteit</t>
  </si>
  <si>
    <t>Gewebetype: EP ; Zugfestigkeit: 400 N/mm ; Anzahl Einlagen: 3 ; Oberdeck: 3 mm ; Unterdeck: 1 mm ; Gurtbreite: 1200 mm ; Profilhöhe: 15 mm ; Profilbreite: 750mm ; Profiltyp: C15P750 ; Öl und Fettbeständige Qualität</t>
  </si>
  <si>
    <t>Fabric type: EP ; Tensile strength: 400 N/mm ; Number of plies: 3 ; Topcover: 3 mm ; Bottomcover: 1 mm ; Beltwidth: 1200 mm ; Profile height: 15 mm ; Profile width: 750mm ; Profile type: C15P750 ; Oil and Grease Resistant Quality</t>
  </si>
  <si>
    <t>Carcasse: EP ; Résistance à la traction: 400 N/mm ; Nombre de plis: 3 ; Revêtement supérieur: 3 mm ; Revêtement inférieur: 1 mm ; Largeur de bande: 1200 mm ; Hauteur du profil: 15 mm ; Largeur du profil: 750mm ; Type de profil: C15P750 ; Qualité résistant aux huiles et graisses</t>
  </si>
  <si>
    <t>EP1200PRG400/3-3+1-C25P750HY</t>
  </si>
  <si>
    <t>EP 400/3-3+1,BB1200-profiel C25P750 O&amp;V</t>
  </si>
  <si>
    <t>84,620</t>
  </si>
  <si>
    <t>Chevron, Olie- en vetbestendige kwaliteit ; EP 400/3-3+1 met C25 profiel</t>
  </si>
  <si>
    <t>Chevron, Öl und Fettbeständige Qualität ; EP 400/3-3+1  mit C25 Profil</t>
  </si>
  <si>
    <t>Chevron, Oil and Grease Resistant Quality ; EP 400/3-3+1 with C25  profile</t>
  </si>
  <si>
    <t>Chevron, Qualité résistant aux huiles et graisses ; EP 400/3-3+1 avec C25  profil</t>
  </si>
  <si>
    <t>Bandweefseltype: EP ; Treksterkte: 400 N/mm ; Aantal inlagen: 3 ; Bovendek: 3 mm ; Onderdek: 1 mm ; Bandbreedte: 1200 mm ; Profiel hoogte: 25 mm ; Profiel breedte: 750mm ; Type:C25P750 ; Olie- en vetbestendige Kwaliteit</t>
  </si>
  <si>
    <t>Gewebetype: EP ; Zugfestigkeit: 400 N/mm ; Anzahl Einlagen: 3 ; Oberdeck: 3 mm ; Unterdeck: 1 mm ; Gurtbreite: 1200 mm ; Profilhöhe: 25 mm ; Profilbreite: 750mm ; Profiltyp: C25P750 ; Öl und Fettbeständige Qualität</t>
  </si>
  <si>
    <t>Fabric type: EP ; Tensile strength: 400 N/mm ; Number of plies: 3 ; Topcover: 3 mm ; Bottomcover: 1 mm ; Beltwidth: 1200 mm ; Profile height: 25 mm ; Profile width: 750mm ; Profile type: C25P750 ; Oil and Grease Resistant Quality</t>
  </si>
  <si>
    <t>Carcasse: EP ; Résistance à la traction: 400 N/mm ; Nombre de plis: 3 ; Revêtement supérieur: 3 mm ; Revêtement inférieur: 1 mm ; Largeur de bande: 1200 mm ; Hauteur du profil: 25 mm ; Largeur du profil: 750mm ; Type de profil: C25P750 ; Qualité résistant aux huiles et graisses</t>
  </si>
  <si>
    <t>EP1200PRG400/3-3+1-H75DA</t>
  </si>
  <si>
    <t>EP 400/3-3+1-BB1200-profiel H75 O&amp;V</t>
  </si>
  <si>
    <t>110,100</t>
  </si>
  <si>
    <t>74,210</t>
  </si>
  <si>
    <t>Bandweefseltype: EP ; Treksterkte: 400 N/mm ; Aantal inlagen: 3 ; Bovendek: 3 mm ; Onderdek: 1 mm ; Bandbreedte: 1200 mm ; Profiel hoogte: 32 mm ; Profiel breedte: 750mm ; Type: H75 ; Olie- en vetbestendige Kwaliteit</t>
  </si>
  <si>
    <t>Gewebetype: EP ; Zugfestigkeit: 400 N/mm ; Anzahl Einlagen: 3 ; Oberdeck: 3 mm ; Unterdeck: 1 mm ; Gurtbreite: 1200 mm ; Profilhöhe: 32 mm ; Profilbreite: 750mm ; Profiltyp: H75 ; Öl und Fettbeständige Qualität</t>
  </si>
  <si>
    <t>Fabric type: EP ; Tensile strength: 400 N/mm ; Number of plies: 3 ; Topcover: 3 mm ; Bottomcover: 1 mm ; Beltwidth: 1200 mm ; Profile height: 32 mm ; Profile width: 750mm ; Profile type: H75 ; Oil and Grease Resistant Quality</t>
  </si>
  <si>
    <t>Carcasse: EP ; Résistance à la traction: 400 N/mm ; Nombre de plis: 3 ; Revêtement supérieur: 3 mm ; Revêtement inférieur: 1 mm ; Largeur de bande: 1200 mm ; Hauteur du profil: 32 mm ; Largeur du profil: 750mm ; Type de profil: H75 ; Qualité résistant aux huiles et graisses</t>
  </si>
  <si>
    <t>EP1200PRG400/3-3+1-H75HY</t>
  </si>
  <si>
    <t>80,490</t>
  </si>
  <si>
    <t>EP1200PRG400/3-3+1-H75LB</t>
  </si>
  <si>
    <t>81,520</t>
  </si>
  <si>
    <t>EP1200PRG400/3-3+1-L95HY</t>
  </si>
  <si>
    <t>EP 400/3-3+1-BB1200-profiel L95 O&amp;V</t>
  </si>
  <si>
    <t>86,800</t>
  </si>
  <si>
    <t>68,520</t>
  </si>
  <si>
    <t>Bandweefseltype: EP ; Treksterkte: 400 N/mm ; Aantal inlagen: 3 ; Bovendek: 3 mm ; Onderdek: 1 mm ; Bandbreedte: 1200 mm ; Profiel hoogte: 17 mm ; Profiel breedte: 950mm ; Type: L95 ; Olie- en vetbestendige Kwaliteit</t>
  </si>
  <si>
    <t>Gewebetype: EP ; Zugfestigkeit: 400 N/mm ; Anzahl Einlagen: 3 ; Oberdeck: 3 mm ; Unterdeck: 1 mm ; Gurtbreite: 1200 mm ; Profilhöhe: 17 mm ; Profilbreite: 950mm ; Profiltyp: L95 ; Öl und Fettbeständige Qualität</t>
  </si>
  <si>
    <t>Fabric type: EP ; Tensile strength: 400 N/mm ; Number of plies: 3 ; Topcover: 3 mm ; Bottomcover: 1 mm ; Beltwidth: 1200 mm ; Profile height: 17 mm ; Profile width: 950mm ; Profile type: L95 ; Oil and Grease Resistant Quality</t>
  </si>
  <si>
    <t>Carcasse: EP ; Résistance à la traction: 400 N/mm ; Nombre de plis: 3 ; Revêtement supérieur: 3 mm ; Revêtement inférieur: 1 mm ; Largeur de bande: 1200 mm ; Hauteur du profil: 17 mm ; Largeur du profil: 950mm ; Type de profil: L95 ; Qualité résistant aux huiles et graisses</t>
  </si>
  <si>
    <t>EP1200PRG400/3-3+2-MULTIVHY</t>
  </si>
  <si>
    <t>EP 400/3-3+2,BB1200-Multi V profiel 6 mm O&amp;V</t>
  </si>
  <si>
    <t>49,140</t>
  </si>
  <si>
    <t>Bandweefseltype: EP ; Treksterkte: 400 N/mm ; Aantal inlagen: 3 ; Bovendek: 3 mm ; Onderdek: 2 mm ; Bandbreedte: 1200 mm ; Profiel hoogte: 6 mm ; Profiel breedte: Volledige bandbreedte ; Type: V6 ; Olie- en vetbestendige Kwaliteit</t>
  </si>
  <si>
    <t>Gewebetype: EP ; Zugfestigkeit: 400 N/mm ; Anzahl Einlagen: 3 ; Oberdeck: 3 mm ; Unterdeck: 2 mm ; Gurtbreite: 1200 mm ; Profilhöhe: 6 mm ; Profilbreite: Komplette Gurtbreite ; Profiltyp: V6 ; Öl und Fettbeständige Qualität</t>
  </si>
  <si>
    <t>Fabric type: EP ; Tensile strength: 400 N/mm ; Number of plies: 3 ; Topcover: 3 mm ; Bottomcover: 2 mm ; Beltwidth: 1200 mm ; Profile height: 6 mm ; Profile width: Full belt width ; Profile type: V6 ; Oil and Grease Resistant Quality</t>
  </si>
  <si>
    <t>Carcasse: EP ; Résistance à la traction: 400 N/mm ; Nombre de plis: 3 ; Revêtement supérieur: 3 mm ; Revêtement inférieur: 2 mm ; Largeur de bande: 1200 mm ; Hauteur du profil: 6 mm ; Largeur du profil: Sur toute la largeur ; Type de profil: V6 ; Qualité résistant aux huiles et graisses</t>
  </si>
  <si>
    <t>EP1200PRG400/3-3+2-MULTIVSH</t>
  </si>
  <si>
    <t>37,140</t>
  </si>
  <si>
    <t>EP1200PRG450/3-2+0-L75LB</t>
  </si>
  <si>
    <t>EP 450/3-2+0 BB1200-L75 MOR O&amp;V</t>
  </si>
  <si>
    <t>47,630</t>
  </si>
  <si>
    <t>EP1200PRG630/4-6+0-MULTIVHY</t>
  </si>
  <si>
    <t>EP 630/4-6+0,BB1200-Multi V profiel 6 mm MOR</t>
  </si>
  <si>
    <t>176,470</t>
  </si>
  <si>
    <t>EP1200PRH400/3-3+1½-H90LB</t>
  </si>
  <si>
    <t>EP 400/3-3+1½-BB1200-profiel H90</t>
  </si>
  <si>
    <t>68,090</t>
  </si>
  <si>
    <t>EP1200PRH400/3-3+1½-MORLB</t>
  </si>
  <si>
    <t>EP 400/3-3+1½ BB1200-H75 MOR O&amp;V</t>
  </si>
  <si>
    <t>75,000</t>
  </si>
  <si>
    <t>EP1200PRH400/3-3+1-H100HY</t>
  </si>
  <si>
    <t>EP 400/3-3+1,BB1200,profiel H100</t>
  </si>
  <si>
    <t>87,550</t>
  </si>
  <si>
    <t>Chevron, Standaard kwaliteit ; EP 400/3-3+1 met H100 profiel</t>
  </si>
  <si>
    <t>Chevron, Standardqualität ; EP 400/3-3+1 mit H100 Profil</t>
  </si>
  <si>
    <t>Chevron, Standard Quality ; EP 400/3-3+1 with H100 profile</t>
  </si>
  <si>
    <t>Chevron, Qualité standard ; EP 400/3-3+1 met H100 profil</t>
  </si>
  <si>
    <t>Bandweefseltype: EP ; Treksterkte: 400 N/mm ; Aantal inlagen: 3 ; Bovendek: 3 mm ; Onderdek:  mm 1 ; Bandbreedte: 1200 mm ; Profiel hoogte: 32 mm ; Profiel breedte: 1000 mm ; Profiel type: open</t>
  </si>
  <si>
    <t>Gewebetype: EP ; Zugfestigkeit: 400 N/mm ; Anzahl Einlagen: 3 ; Oberdeck: 3 mm ; Unterdeck: 1 mm ; Gurtbreite: 1200 mm ; Profilhöhe: 32 mm ; Profilbreite: 1000 mm ; Profiltyp: offen</t>
  </si>
  <si>
    <t>Fabric type: EP ; Tensile strength: 400 N/mm ; Number of plies: 3 ; Topcover: 3 mm ; Bottomcover: 1 mm ; Beltwidth: 1200 mm ; Profile height: 32 mm ; Profile width: 1000 mm ; Profile type: open</t>
  </si>
  <si>
    <t>Carcasse: EP ; Résistance à la traction: 400 N/mm ; Nombre de plis: 3 ; Revêtement supérieur: 3 mm ; Revêtement inférieur: 1 mm ; Largeur de bande: 1200 mm ; Hauteur du profil: 32 mm ; Largeur du profil: 1000 mm ; Type de profil: Ouvert</t>
  </si>
  <si>
    <t>EP1200PRH400/3-3+1-H100JO</t>
  </si>
  <si>
    <t>49,150</t>
  </si>
  <si>
    <t>EP1200PRH400/3-3+1-H100-TA</t>
  </si>
  <si>
    <t>53,420</t>
  </si>
  <si>
    <t>EP1200PRH400/3-3+1-H75DA</t>
  </si>
  <si>
    <t>EP 400/3-3+1-BB1200-profiel H75</t>
  </si>
  <si>
    <t>67,620</t>
  </si>
  <si>
    <t>Bandweefseltype: EP ; Treksterkte: 400 N/mm ; Aantal inlagen: 3 ; Bovendek: 3 mm ; Onderdek:  mm 1 ; Bandbreedte: 1200 mm ; Profiel hoogte: 32 mm ; Profiel breedte: 750 mm ; Profiel type: open</t>
  </si>
  <si>
    <t>Gewebetype: EP ; Zugfestigkeit: 400 N/mm ; Anzahl Einlagen: 3 ; Oberdeck: 3 mm ; Unterdeck: 1 mm ; Gurtbreite: 1200 mm ; Profilhöhe: 32 mm ; Profilbreite: 750 mm ; Profiltyp: offen</t>
  </si>
  <si>
    <t>Fabric type: EP ; Tensile strength: 400 N/mm ; Number of plies: 3 ; Topcover: 3 mm ; Bottomcover: 1 mm ; Beltwidth: 1200 mm ; Profile height: 32 mm ; Profile width: 750 mm ; Profile type: open</t>
  </si>
  <si>
    <t>Carcasse: EP ; Résistance à la traction: 400 N/mm ; Nombre de plis: 3 ; Revêtement supérieur: 3 mm ; Revêtement inférieur: 1 mm ; Largeur de bande: 1200 mm ; Hauteur du profil: 32 mm ; Largeur du profil: 750 mm ; Type de profil: Ouvert</t>
  </si>
  <si>
    <t>EP1200PRH400/3-3+1-H75HY</t>
  </si>
  <si>
    <t>EP1200PRH400/3-3+1-H75TA</t>
  </si>
  <si>
    <t>EP1200PRH400/3-3+2-Y32P800HY</t>
  </si>
  <si>
    <t>EP 400/3-3+2,BB1200-profiel Y32P800</t>
  </si>
  <si>
    <t>75,830</t>
  </si>
  <si>
    <t>Bandweefseltype: EP ; Treksterkte: 400 N/mm ; Aantal inlagen: 3 ; Bovendek: 3 mm ; Onderdek:  mm 2 ; Bandbreedte: 1200 mm ; Profiel hoogte: 32 mm ; Profiel breedte: 800 mm ; Profiel type: open Y</t>
  </si>
  <si>
    <t>Gewebetype: EP ; Zugfestigkeit: 400 N/mm ; Anzahl Einlagen: 3 ; Oberdeck: 3 mm ; Unterdeck: 2 mm ; Gurtbreite: 1200 mm ; Profilhöhe: 32 mm ; Profilbreite: 800 mm ; Profiltyp: offen Y</t>
  </si>
  <si>
    <t>Fabric type: EP ; Tensile strength: 400 N/mm ; Number of plies: 3 ; Topcover: 3 mm ; Bottomcover: 2 mm ; Beltwidth: 1200 mm ; Profile height: 32 mm ; Profile width: 800 mm ; Profile type: open Y</t>
  </si>
  <si>
    <t>Carcasse: EP ; Résistance à la traction: 400 N/mm ; Nombre de plis: 3 ; Revêtement supérieur: 3 mm ; Revêtement inférieur: 2 mm ; Largeur de bande: 1200 mm ; Hauteur du profil: 32 mm ; Largeur du profil: 800 mm ; Type de profil: Y Ouvert</t>
  </si>
  <si>
    <t>EP1200PRH500/3-3+2-Y32P800HY</t>
  </si>
  <si>
    <t>EP 500/3-3+2,BB1200-profiel Y32P800</t>
  </si>
  <si>
    <t>127,450</t>
  </si>
  <si>
    <t>78,220</t>
  </si>
  <si>
    <t>EP1200PRH500/3-3+2-Y32P800-TA</t>
  </si>
  <si>
    <t>61,050</t>
  </si>
  <si>
    <t>EP1200PRH500/4-3+2-H100HY</t>
  </si>
  <si>
    <t>EP 500/4-3+2,BB1200,profiel H100</t>
  </si>
  <si>
    <t>94,000</t>
  </si>
  <si>
    <t>Chevron, Standaard kwaliteit ; EP 500/4-3+2 met H100 profiel</t>
  </si>
  <si>
    <t>Chevron, Standardqualität ; EP 500/4-3+2 mit H100 Profil</t>
  </si>
  <si>
    <t>Chevron, Standard Quality ; EP 500/4-3+2 with H100 profile</t>
  </si>
  <si>
    <t>Chevron, Qualité standard ; EP 500/4-3+2 met H100 profil</t>
  </si>
  <si>
    <t>Bandweefseltype: EP ; Treksterkte: 500 N/mm ; Aantal inlagen: 4 ; Bovendek: 3 mm ; Onderdek:  mm 2 ; Bandbreedte: 1200 mm ; Profiel hoogte: 32 mm ; Profiel breedte: 1000 mm ; Profiel type: open</t>
  </si>
  <si>
    <t>Gewebetype: EP ; Zugfestigkeit: 500 N/mm ; Anzahl Einlagen: 4 ; Oberdeck: 3 mm ; Unterdeck: 2 mm ; Gurtbreite: 1200 mm ; Profilhöhe: 32 mm ; Profilbreite: 1000 mm ; Profiltyp: offen</t>
  </si>
  <si>
    <t>Fabric type: EP ; Tensile strength: 500 N/mm ; Number of plies: 4 ; Topcover: 3 mm ; Bottomcover: 2 mm ; Beltwidth: 1200 mm ; Profile height: 32 mm ; Profile width: 1000 mm ; Profile type: open</t>
  </si>
  <si>
    <t>Carcasse: EP ; Résistance à la traction: 500 N/mm ; Nombre de plis: 4 ; Revêtement supérieur: 3 mm ; Revêtement inférieur: 2 mm ; Largeur de bande: 1200 mm ; Hauteur du profil: 32 mm ; Largeur du profil: 1000 mm ; Type de profil: Ouvert</t>
  </si>
  <si>
    <t>EP1200PRH500/4-3+2-Y32P800HY</t>
  </si>
  <si>
    <t>EP 500/4-3+2,BB1200-profiel Y32P800</t>
  </si>
  <si>
    <t>151,300</t>
  </si>
  <si>
    <t>75,060</t>
  </si>
  <si>
    <t>Bandweefseltype: EP ; Treksterkte: 500 N/mm ; Aantal inlagen: 4 ; Bovendek: 3 mm ; Onderdek:  mm 2 ; Bandbreedte: 1200 mm ; Profiel hoogte: 32 mm ; Profiel breedte: 800 mm ; Profiel type: open Y</t>
  </si>
  <si>
    <t>Gewebetype: EP ; Zugfestigkeit: 500 N/mm ; Anzahl Einlagen: 4 ; Oberdeck: 3 mm ; Unterdeck: 2 mm ; Gurtbreite: 1200 mm ; Profilhöhe: 32 mm ; Profilbreite: 800 mm ; Profiltyp: offen Y</t>
  </si>
  <si>
    <t>Fabric type: EP ; Tensile strength: 500 N/mm ; Number of plies: 4 ; Topcover: 3 mm ; Bottomcover: 2 mm ; Beltwidth: 1200 mm ; Profile height: 32 mm ; Profile width: 800 mm ; Profile type: open Y</t>
  </si>
  <si>
    <t>Carcasse: EP ; Résistance à la traction: 500 N/mm ; Nombre de plis: 4 ; Revêtement supérieur: 3 mm ; Revêtement inférieur: 2 mm ; Largeur de bande: 1200 mm ; Hauteur du profil: 32 mm ; Largeur du profil: 800 mm ; Type de profil: Y Ouvert</t>
  </si>
  <si>
    <t>EP1200PRH500/4-3+2-Y32P800JO</t>
  </si>
  <si>
    <t>52,320</t>
  </si>
  <si>
    <t>EP1200PRL250/2-3+1-L95HY</t>
  </si>
  <si>
    <t>EP 250/2-3+1-BB1200-profiel L95</t>
  </si>
  <si>
    <t>37,370</t>
  </si>
  <si>
    <t>Bandweefseltype: EP ; Treksterkte: 250 N/mm ; Aantal inlagen: 2 ; Bovendek: 3 mm ; Onderdek:  mm 1 ; Bandbreedte: 1200 mm ; Profiel hoogte: 17 mm ; Profiel breedte: 950 mm ; Profiel type: open Y</t>
  </si>
  <si>
    <t>Gewebetype: EP ; Zugfestigkeit: 250 N/mm ; Anzahl Einlagen: 2 ; Oberdeck: 3 mm ; Unterdeck: 1 mm ; Gurtbreite: 1200 mm ; Profilhöhe: 17 mm ; Profilbreite: 950 mm ; Profiltyp: offen Y</t>
  </si>
  <si>
    <t>Fabric type: EP ; Tensile strength: 250 N/mm ; Number of plies: 2 ; Topcover: 3 mm ; Bottomcover: 1 mm ; Beltwidth: 1200 mm ; Profile height: 17 mm ; Profile width: 950 mm ; Profile type: open Y</t>
  </si>
  <si>
    <t>Carcasse: EP ; Résistance à la traction: 250 N/mm ; Nombre de plis: 2 ; Revêtement supérieur: 3 mm ; Revêtement inférieur: 1 mm ; Largeur de bande: 1200 mm ; Hauteur du profil: 17 mm ; Largeur du profil: 950 mm ; Type de profil: Y Ouvert</t>
  </si>
  <si>
    <t>EP1200PRL250/2-3+1-L95JO</t>
  </si>
  <si>
    <t>32,830</t>
  </si>
  <si>
    <t>EP1200PRL250/2-3+1-L95SA</t>
  </si>
  <si>
    <t>36,129</t>
  </si>
  <si>
    <t>EP1200PRL250/2-3+2-MULTIVHY</t>
  </si>
  <si>
    <t>EP 250/2-3+2,BB1200-Multi V profiel 6 mm</t>
  </si>
  <si>
    <t>42,827</t>
  </si>
  <si>
    <t>Bandweefseltype: EP ; Treksterkte: 250 N/mm ; Aantal inlagen: 2 ; Bovendek: 3 mm ; Onderdek: 2 mm ; Bandbreedte: 1200 mm ; Profiel hoogte: 6 mm ; Profiel breedte: Volledige bandbreedte ; Type: V6</t>
  </si>
  <si>
    <t>Gewebetype: EP ; Zugfestigkeit: 250 N/mm ; Anzahl Einlagen: 2 ; Oberdeck: 3 mm ; Unterdeck: 2 mm ; Gurtbreite: 1200 mm ; Profilhöhe: 6 mm ; Profilbreite: Komplette Gurtbreite ; Profiltyp: V6</t>
  </si>
  <si>
    <t>Fabric type: EP ; Tensile strength: 250 N/mm ; Number of plies: 2 ; Topcover: 3 mm ; Bottomcover: 2 mm ; Beltwidth: 1200 mm ; Profile height: 6 mm ; Profile width: Full belt width ; Profile type: V6</t>
  </si>
  <si>
    <t>Carcasse: EP ; Résistance à la traction: 250 N/mm ; Nombre de plis: 2 ; Revêtement supérieur: 3 mm ; Revêtement inférieur: 2 mm ; Largeur de bande: 1200 mm ; Hauteur du profil: 6 mm ; Largeur du profil: Sur toute la largeur ; Type de profil: V6</t>
  </si>
  <si>
    <t>EP1200PRL250/2-3+2-MULTIVSH</t>
  </si>
  <si>
    <t>Bandweefseltype: EP ; Treksterkte: 250 N/mm ; Aantal inlagen: 2 ; Bovendek: 3 mm ; Onderdek: 2 mm ; Bandbreedte: 1200 mm ; Profiel hoogte: 6 mm ; Profiel breedte: Volledige bandbreedte ; Type: V7</t>
  </si>
  <si>
    <t>Gewebetype: EP ; Zugfestigkeit: 250 N/mm ; Anzahl Einlagen: 2 ; Oberdeck: 3 mm ; Unterdeck: 2 mm ; Gurtbreite: 1200 mm ; Profilhöhe: 6 mm ; Profilbreite: Komplette Gurtbreite ; Profiltyp: V7</t>
  </si>
  <si>
    <t>Fabric type: EP ; Tensile strength: 250 N/mm ; Number of plies: 2 ; Topcover: 3 mm ; Bottomcover: 2 mm ; Beltwidth: 1200 mm ; Profile height: 6 mm ; Profile width: Full belt width ; Profile type: V7</t>
  </si>
  <si>
    <t>Carcasse: EP ; Résistance à la traction: 250 N/mm ; Nombre de plis: 2 ; Revêtement supérieur: 3 mm ; Revêtement inférieur: 2 mm ; Largeur de bande: 1200 mm ; Hauteur du profil: 6 mm ; Largeur du profil: Sur toute la largeur ; Type de profil: V7</t>
  </si>
  <si>
    <t>EP1200PRL400/3-3+1½-C15P750FF</t>
  </si>
  <si>
    <t>EP 400/3-3+1½,BB1200-profiel C15P750</t>
  </si>
  <si>
    <t>Bandweefseltype: EP ; Treksterkte: 400 N/mm ; Aantal inlagen: 3 ; Bovendek: 3 mm ; Onderdek:  mm 1½ ; Bandbreedte: 1200 mm ; Profiel hoogte: 15 mm ; Profiel breedte: 750 mm ; Profiel type: open V</t>
  </si>
  <si>
    <t>Gewebetype: EP ; Zugfestigkeit: 400 N/mm ; Anzahl Einlagen: 3 ; Oberdeck: 3 mm ; Unterdeck: 1½ mm ; Gurtbreite: 1200 mm ; Profilhöhe: 15 mm ; Profilbreite: 750 mm ; Profiltyp: offen V</t>
  </si>
  <si>
    <t>Fabric type: EP ; Tensile strength: 400 N/mm ; Number of plies: 3 ; Topcover: 3 mm ; Bottomcover: 1½ mm ; Beltwidth: 1200 mm ; Profile height: 15 mm ; Profile width: 750 mm ; Profile type: open V</t>
  </si>
  <si>
    <t>Carcasse: EP ; Résistance à la traction: 400 N/mm ; Nombre de plis: 3 ; Revêtement supérieur: 3 mm ; Revêtement inférieur: 1½ mm ; Largeur de bande: 1200 mm ; Hauteur du profil: 15 mm ; Largeur du profil: 750 mm ; Type de profil: V Ouvert</t>
  </si>
  <si>
    <t>EP1200PRL400/3-3+1½-C15P750HY</t>
  </si>
  <si>
    <t>42,660</t>
  </si>
  <si>
    <t>EP1200PRL400/3-3+1½-C15P750JO</t>
  </si>
  <si>
    <t>EP1200PRL400/3-3+1½-C15P750KA</t>
  </si>
  <si>
    <t>29,660</t>
  </si>
  <si>
    <t>EP1200PRL400/3-3+1-L75JO</t>
  </si>
  <si>
    <t>EP 400/3-3+1,BB1200-profiel L75</t>
  </si>
  <si>
    <t>39,346</t>
  </si>
  <si>
    <t>Bandweefseltype: EP ; Treksterkte: 400 N/mm ; Aantal inlagen: 3 ; Bovendek: 3 mm ; Onderdek:  mm 1 ; Bandbreedte: 1200 mm ; Profiel hoogte: 17 mm ; Profiel breedte: 750 mm ; Profiel type: open Y</t>
  </si>
  <si>
    <t>Gewebetype: EP ; Zugfestigkeit: 400 N/mm ; Anzahl Einlagen: 3 ; Oberdeck: 3 mm ; Unterdeck: 1 mm ; Gurtbreite: 1200 mm ; Profilhöhe: 17 mm ; Profilbreite: 750 mm ; Profiltyp: offen Y</t>
  </si>
  <si>
    <t>Fabric type: EP ; Tensile strength: 400 N/mm ; Number of plies: 3 ; Topcover: 3 mm ; Bottomcover: 1 mm ; Beltwidth: 1200 mm ; Profile height: 17 mm ; Profile width: 750 mm ; Profile type: open Y</t>
  </si>
  <si>
    <t>Carcasse: EP ; Résistance à la traction: 400 N/mm ; Nombre de plis: 3 ; Revêtement supérieur: 3 mm ; Revêtement inférieur: 1 mm ; Largeur de bande: 1200 mm ; Hauteur du profil: 17 mm ; Largeur du profil: 750 mm ; Type de profil: Y Ouvert</t>
  </si>
  <si>
    <t>EP1200PRL400/3-3+1-L95HY</t>
  </si>
  <si>
    <t>EP 400/3-3+1-BB1200-profiel L95</t>
  </si>
  <si>
    <t>45,310</t>
  </si>
  <si>
    <t>Bandweefseltype: EP ; Treksterkte: 400 N/mm ; Aantal inlagen: 3 ; Bovendek: 3 mm ; Onderdek:  mm 1 ; Bandbreedte: 1200 mm ; Profiel hoogte: 17 mm ; Profiel breedte: 950 mm ; Profiel type: open Y</t>
  </si>
  <si>
    <t>Gewebetype: EP ; Zugfestigkeit: 400 N/mm ; Anzahl Einlagen: 3 ; Oberdeck: 3 mm ; Unterdeck: 1 mm ; Gurtbreite: 1200 mm ; Profilhöhe: 17 mm ; Profilbreite: 950 mm ; Profiltyp: offen Y</t>
  </si>
  <si>
    <t>Fabric type: EP ; Tensile strength: 400 N/mm ; Number of plies: 3 ; Topcover: 3 mm ; Bottomcover: 1 mm ; Beltwidth: 1200 mm ; Profile height: 17 mm ; Profile width: 950 mm ; Profile type: open Y</t>
  </si>
  <si>
    <t>Carcasse: EP ; Résistance à la traction: 400 N/mm ; Nombre de plis: 3 ; Revêtement supérieur: 3 mm ; Revêtement inférieur: 1 mm ; Largeur de bande: 1200 mm ; Hauteur du profil: 17 mm ; Largeur du profil: 950 mm ; Type de profil: Y Ouvert</t>
  </si>
  <si>
    <t>EP1200PRL400/3-3+1-L95JO</t>
  </si>
  <si>
    <t>EP 400/3-3+1,BB1200-profiel L95</t>
  </si>
  <si>
    <t>37,930</t>
  </si>
  <si>
    <t>EP1200PRL400/3-3+1-L95-TA</t>
  </si>
  <si>
    <t>37,600</t>
  </si>
  <si>
    <t>EP1200PRL400/3-3+2-MULTIVHY</t>
  </si>
  <si>
    <t>EP 400/3-3+2,BB1200-Multi V profiel 6 mm</t>
  </si>
  <si>
    <t>54,760</t>
  </si>
  <si>
    <t>Bandweefseltype: EP ; Treksterkte: 400 N/mm ; Aantal inlagen: 3 ; Bovendek: 3 mm ; Onderdek: 2 mm ; Bandbreedte: 1200 mm ; Profiel hoogte: 6 mm ; Profiel breedte: Volledige bandbreedte ; Type: V6</t>
  </si>
  <si>
    <t>Gewebetype: EP ; Zugfestigkeit: 400 N/mm ; Anzahl Einlagen: 3 ; Oberdeck: 3 mm ; Unterdeck: 2 mm ; Gurtbreite: 1200 mm ; Profilhöhe: 6 mm ; Profilbreite: Komplette Gurtbreite ; Profiltyp: V6</t>
  </si>
  <si>
    <t>Fabric type: EP ; Tensile strength: 400 N/mm ; Number of plies: 3 ; Topcover: 3 mm ; Bottomcover: 2 mm ; Beltwidth: 1200 mm ; Profile height: 6 mm ; Profile width: Full belt width ; Profile type: V6</t>
  </si>
  <si>
    <t>Carcasse: EP ; Résistance à la traction: 400 N/mm ; Nombre de plis: 3 ; Revêtement supérieur: 3 mm ; Revêtement inférieur: 2 mm ; Largeur de bande: 1200 mm ; Hauteur du profil: 6 mm ; Largeur du profil: Sur toute la largeur ; Type de profil: V6</t>
  </si>
  <si>
    <t>EP1200PRL400/3-3+2-MULTIVSH</t>
  </si>
  <si>
    <t>35,320</t>
  </si>
  <si>
    <t>EP1200PRL500/3-3+1½C15P750SB</t>
  </si>
  <si>
    <t>EP 500/3-3+1½,BB1200-profiel C15P750-SB</t>
  </si>
  <si>
    <t>27,850</t>
  </si>
  <si>
    <t>EP1200PRM400/3-3+1½-C25P750HY</t>
  </si>
  <si>
    <t>EP 400/3-3+1½,BB1200-profiel C25P750</t>
  </si>
  <si>
    <t>60,200</t>
  </si>
  <si>
    <t>Bandweefseltype: EP ; Treksterkte: 400 N/mm ; Aantal inlagen: 3 ; Bovendek: 3 mm ; Onderdek:  1½ mm ; Bandbreedte: 1200 mm ; Profiel hoogte: 25 mm ; Profiel breedte: 750 mm ; Profiel type: open</t>
  </si>
  <si>
    <t>Gewebetype: EP ; Zugfestigkeit: 400 N/mm ; Anzahl Einlagen: 3 ; Oberdeck: 3 mm ; Unterdeck: 1½ mm ; Gurtbreite: 1200 mm ; Profilhöhe: 25 mm ; Profilbreite: 750 mm ; Profiltyp: offen</t>
  </si>
  <si>
    <t>Fabric type: EP ; Tensile strength: 400 N/mm ; Number of plies: 3 ; Topcover: 3 mm ; Bottomcover: 1½ mm ; Beltwidth: 1200 mm ; Profile height: 25 mm ; Profile width: 750 mm ; Profile type: open</t>
  </si>
  <si>
    <t>Carcasse: EP ; Résistance à la traction: 400 N/mm ; Nombre de plis: 3 ; Revêtement supérieur: 3 mm ; Revêtement inférieur: 1½ mm ; Largeur de bande: 1200 mm ; Hauteur du profil: 25 mm ; Largeur du profil: 750 mm ; Type de profil: Ouvert</t>
  </si>
  <si>
    <t>EP1200PRM400/3-3+1½-C25P750JO</t>
  </si>
  <si>
    <t>41,880</t>
  </si>
  <si>
    <t>EP1200PRM400/3-3+1½-C25P750SH</t>
  </si>
  <si>
    <t>39,106</t>
  </si>
  <si>
    <t>EP1200PRM500/4-3+2-C25P750HY</t>
  </si>
  <si>
    <t>EP 500/4-3+2,BB1200-profiel C25P750</t>
  </si>
  <si>
    <t>57,790</t>
  </si>
  <si>
    <t>Chevron, Standaard kwaliteit ; EP 500/4-3+2 met C25P750 profiel</t>
  </si>
  <si>
    <t>Chevron, Standardqualität ; EP 500/4-3+2 mit C25P750 Profil</t>
  </si>
  <si>
    <t>Chevron, Standard Quality ; EP 500/4-3+2 with C25P750  profile</t>
  </si>
  <si>
    <t>Chevron, Qualité standard ; EP 500/4-3+2 met C25P750  profil</t>
  </si>
  <si>
    <t>Bandweefseltype: EP ; Treksterkte: 500 N/mm ; Aantal inlagen: 4 ; Bovendek: 3 mm ; Onderdek:  2 mm ; Bandbreedte: 1200 mm ; Profiel hoogte: 25 mm ; Profiel breedte: 750 mm ; Profiel type: open</t>
  </si>
  <si>
    <t>Gewebetype: EP ; Zugfestigkeit: 500 N/mm ; Anzahl Einlagen: 4 ; Oberdeck: 3 mm ; Unterdeck: 2 mm ; Gurtbreite: 1200 mm ; Profilhöhe: 25 mm ; Profilbreite: 750 mm ; Profiltyp: offen</t>
  </si>
  <si>
    <t>Fabric type: EP ; Tensile strength: 500 N/mm ; Number of plies: 4 ; Topcover: 3 mm ; Bottomcover: 2 mm ; Beltwidth: 1200 mm ; Profile height: 25 mm ; Profile width: 750 mm ; Profile type: open</t>
  </si>
  <si>
    <t>Carcasse: EP ; Résistance à la traction: 500 N/mm ; Nombre de plis: 4 ; Revêtement supérieur: 3 mm ; Revêtement inférieur: 2 mm ; Largeur de bande: 1200 mm ; Hauteur du profil: 25 mm ; Largeur du profil: 750 mm ; Type de profil: Ouvert</t>
  </si>
  <si>
    <t>EP1200PRM500/4-3+2-C25P750JO</t>
  </si>
  <si>
    <t>54,920</t>
  </si>
  <si>
    <t>EP1200SGG250/2-3+0HY</t>
  </si>
  <si>
    <t>EP 250/2-3+0,BB1200, Supergrip/glijband</t>
  </si>
  <si>
    <t>20,010</t>
  </si>
  <si>
    <t>Bandweefseltype: EP ; Treksterkte: 250 N/mm ; Aantal inlagen: 2 ; Bovendek: 3 mm ; Onderdek: 0 mm ; Bandbreedte: 1200 mm ; Supergrip / Rough Top Zwart</t>
  </si>
  <si>
    <t>Gewebetype: EP ; Zugfestigkeit: 250 N/mm ; Anzahl Einlagen: 2 ; Oberdeck: 3 mm ; Unterdeck: 0 mm ; Gurtbreite: 1200 mm ; Supergrip / Rough Top Schwarz</t>
  </si>
  <si>
    <t>Fabric type: EP ; Tensile strength: 250 N/mm ; Number of plies: 2 ; Topcover: 3 mm ; Bottomcover: 0 mm ; Beltwidth: 1200 mm ; Supergrip / Rough Top Black</t>
  </si>
  <si>
    <t>Carcasse: EP ; Tension de service: 250 N/mm ; Nombre de plis: 2 ; Revêtement supérieur: 3 mm ; Revêtement inférieur: 0 mm ; Largeur de bande: 1200 mm ; Nid d'abeille Noir</t>
  </si>
  <si>
    <t>EP1200SGG400/3-3+0HY</t>
  </si>
  <si>
    <t>EP 400/3-3+0,BB1200, Supergrip/glijband</t>
  </si>
  <si>
    <t>29,520</t>
  </si>
  <si>
    <t>Bandweefseltype: EP ; Treksterkte: 400 N/mm ; Aantal inlagen: 3 ; Bovendek: 3 mm ; Onderdek: 0 mm ; Bandbreedte: 1200 mm ; Supergrip / Rough Top Zwart</t>
  </si>
  <si>
    <t>Gewebetype: EP ; Zugfestigkeit: 400 N/mm ; Anzahl Einlagen: 3 ; Oberdeck: 3 mm ; Unterdeck: 0 mm ; Gurtbreite: 1200 mm ; Supergrip / Rough Top Schwarz</t>
  </si>
  <si>
    <t>Fabric type: EP ; Tensile strength: 400 N/mm ; Number of plies: 3 ; Topcover: 3 mm ; Bottomcover: 0 mm ; Beltwidth: 1200 mm ; Supergrip / Rough Top Black</t>
  </si>
  <si>
    <t>Carcasse: EP ; Tension de service: 400 N/mm ; Nombre de plis: 3 ; Revêtement supérieur: 3 mm ; Revêtement inférieur: 0 mm ; Largeur de bande: 1200 mm ; Nid d'abeille Noir</t>
  </si>
  <si>
    <t>EP1200SGG630/4-3+0HY</t>
  </si>
  <si>
    <t>EP 630/4-3+0,BB1200, Supergrip/glijband</t>
  </si>
  <si>
    <t>EP1200SGR250/2-3+1HY</t>
  </si>
  <si>
    <t>EP 250/2-3+1,BB1200, Supergrip zwart</t>
  </si>
  <si>
    <t>23,360</t>
  </si>
  <si>
    <t>Bandweefseltype: EP ; Treksterkte: 250 N/mm ; Aantal inlagen: 2 ; Bovendek: 3 mm ; Onderdek: 1 mm ; Bandbreedte: 1200 mm ; Supergrip / Rough Top Zwart</t>
  </si>
  <si>
    <t>Gewebetype: EP ; Zugfestigkeit: 250 N/mm ; Anzahl Einlagen: 2 ; Oberdeck: 3 mm ; Unterdeck: 1 mm ; Gurtbreite: 1200 mm ; Supergrip / Rough Top Schwarz</t>
  </si>
  <si>
    <t>Fabric type: EP ; Tensile strength: 250 N/mm ; Number of plies: 2 ; Topcover: 3 mm ; Bottomcover: 1 mm ; Beltwidth: 1200 mm ; Supergrip / Rough Top Black</t>
  </si>
  <si>
    <t>Carcasse: EP ; Résistance à la traction: 250 N/mm ; Nombre de plis: 2 ; Revêtement supérieur: 3 mm ; Revêtement inférieur: 1 mm ; Largeur de bande: 1200 mm ; Nid d'abeille Noir</t>
  </si>
  <si>
    <t>EP1200SGR400/3-3+1HY</t>
  </si>
  <si>
    <t>EP 400/3-3+1,BB1200, Supergrip zwart</t>
  </si>
  <si>
    <t>28,440</t>
  </si>
  <si>
    <t>Bandweefseltype: EP ; Treksterkte: 400 N/mm ; Aantal inlagen: 3 ; Bovendek: 3 mm ; Onderdek: 1 mm ; Bandbreedte: 1200 mm ; Supergrip / Rough Top Zwart</t>
  </si>
  <si>
    <t>Gewebetype: EP ; Zugfestigkeit: 400 N/mm ; Anzahl Einlagen: 3 ; Oberdeck: 3 mm ; Unterdeck: 1 mm ; Gurtbreite: 1200 mm ; Supergrip / Rough Top Schwarz</t>
  </si>
  <si>
    <t>Fabric type: EP ; Tensile strength: 400 N/mm ; Number of plies: 3 ; Topcover: 3 mm ; Bottomcover: 1 mm ; Beltwidth: 1200 mm ; Supergrip / Rough Top Black</t>
  </si>
  <si>
    <t>Carcasse: EP ; Résistance à la traction: 400 N/mm ; Nombre de plis: 3 ; Revêtement supérieur: 3 mm ; Revêtement inférieur: 1 mm ; Largeur de bande: 1200 mm ; Nid d'abeille Noir</t>
  </si>
  <si>
    <t>EP1200XXX100/1-1+1HY</t>
  </si>
  <si>
    <t>EP 100/1-1+1,BB1200</t>
  </si>
  <si>
    <t>15,500</t>
  </si>
  <si>
    <t>Bandweefseltype: EP ; Treksterkte: 100 N/mm ; Aantal inlagen: 1 ; Bovendek: 1 mm ; Onderdek: 1 mm ; Bandbreedte: 1200 mm</t>
  </si>
  <si>
    <t>Gewebetype: EP ; Zugfestigkeit: 100 N/mm ; Anzahl Einlagen: 1 ; Oberdeck: 1 mm ; Unterdeck: 1 mm ; Gurtbreite: 1200 mm</t>
  </si>
  <si>
    <t>Fabric type: EP ; Tensile strength: 100 N/mm ; Number of plies: 1 ; Topcover: 1 mm ; Bottomcover: 1 mm ; Beltwidth: 1200 mm</t>
  </si>
  <si>
    <t>Carcasse: EP ; Résistance à la traction: 100 N/mm ; Nombre de plis: 1 ; Revêtement supérieur: 1 mm ; Revêtement inférieur: 1 mm ; Largeur de bande: 1200 mm</t>
  </si>
  <si>
    <t>EP1200XXX1000/3-6+3-DIN-WKA</t>
  </si>
  <si>
    <t>EP 1000/3-6+3,BB1200-DIN-W</t>
  </si>
  <si>
    <t>39,370</t>
  </si>
  <si>
    <t>EP1200XXX1000/3-6+3-DIN-WSH</t>
  </si>
  <si>
    <t>37,710</t>
  </si>
  <si>
    <t>EP1200XXX1000/4-6+2-DIN-WKA</t>
  </si>
  <si>
    <t>EP 1000/4-6+2,BB1200-DIN-W</t>
  </si>
  <si>
    <t>42,630</t>
  </si>
  <si>
    <t>EP1200XXX1000/4-8+3SH</t>
  </si>
  <si>
    <t>EP 1000/4-8+3,BB1200</t>
  </si>
  <si>
    <t>53,120</t>
  </si>
  <si>
    <t>Bandweefseltype: EP ; Treksterkte: 1000N/mm ; Aantal inlagen: 4 ; Bovendek: 8 mm ; Onderdek: 3 mm ; Bandbreedte: 1200 mm</t>
  </si>
  <si>
    <t>Gewebetype: EP ; Zugfestigkeit: 1000 N/mm ; Anzahl Einlagen: 4 ; Oberdeck: 8 mm ; Unterdeck: 3 mm ; Gurtbreite: 1200 mm</t>
  </si>
  <si>
    <t>Fabric type: EP ; Tensile strength: 1000 N/mm ; Number of plies: 4 ; Topcover: 8 mm ; Bottomcover: 3 mm ; Beltwidth: 1200 mm</t>
  </si>
  <si>
    <t>Carcasse: EP ; Résistance à la traction: 1000 N/mm ; Nombre de plis: 4 ; Revêtement supérieur: 8 mm ; Revêtement inférieur: 3 mm ; Largeur de bande: 1200 mm</t>
  </si>
  <si>
    <t>EP1200XXX1000/5-6+3SH</t>
  </si>
  <si>
    <t>EP 1000/5-6+3,BB1200</t>
  </si>
  <si>
    <t>43,120</t>
  </si>
  <si>
    <t>EP1200XXX1000/5-8+3-DIN-XSH</t>
  </si>
  <si>
    <t>EP 1000/5-8+3,BB1200-DIN-X</t>
  </si>
  <si>
    <t>35,635</t>
  </si>
  <si>
    <t>EP1200XXX1200/4-5+2KA</t>
  </si>
  <si>
    <t>EP 1200/4-5+2,BB1200</t>
  </si>
  <si>
    <t>36,070</t>
  </si>
  <si>
    <t>EP1200XXX1250/5-10+3FF</t>
  </si>
  <si>
    <t>EP 1250/5-10+3,BB1200</t>
  </si>
  <si>
    <t>69,770</t>
  </si>
  <si>
    <t>Meerlaags, Slijtvast, Standaard kwaliteit ; EP 1250/5-10+3</t>
  </si>
  <si>
    <t>Mehrlagig, Abriebfest, Standardqualität ; EP 1250/5-10+3</t>
  </si>
  <si>
    <t>Multiply, Abrasion resistant, Standard Quality ; EP 1250/5-10+3</t>
  </si>
  <si>
    <t>Multiplis, Anti-abrasion, Qualité standard ; EP 1250/5-10+3</t>
  </si>
  <si>
    <t>Bandweefseltype: EP ; Treksterkte: 1250N/mm ; Aantal inlagen: 5 ; Bovendek: 10 mm ; Onderdek: 3 mm ; Bandbreedte: 1200 mm</t>
  </si>
  <si>
    <t>Gewebetype: EP ; Zugfestigkeit: 1250 N/mm ; Anzahl Einlagen: 5 ; Oberdeck: 10 mm ; Unterdeck: 3 mm ; Gurtbreite: 1200 mm</t>
  </si>
  <si>
    <t>Fabric type: EP ; Tensile strength: 1250 N/mm ; Number of plies: 5 ; Topcover: 10 mm ; Bottomcover: 3 mm ; Beltwidth: 1200 mm</t>
  </si>
  <si>
    <t>Carcasse: EP ; Résistance à la traction: 1250 N/mm ; Nombre de plis: 5 ; Revêtement supérieur: 10 mm ; Revêtement inférieur: 3 mm ; Largeur de bande: 1200 mm</t>
  </si>
  <si>
    <t>EP1200XXX1250/5-10+3SH</t>
  </si>
  <si>
    <t>65,060</t>
  </si>
  <si>
    <t>EP1200XXX1250/5-6+2KA</t>
  </si>
  <si>
    <t>EP 1250/5-6+2,BB1200</t>
  </si>
  <si>
    <t>EP1200XXX1250/5-8+3ZZ</t>
  </si>
  <si>
    <t>EP 1200/5-8+3, BB1200</t>
  </si>
  <si>
    <t>EP1200XXX200/2-2+1HY</t>
  </si>
  <si>
    <t>EP 200/2-2+1,BB1200</t>
  </si>
  <si>
    <t>21,600</t>
  </si>
  <si>
    <t>18,550</t>
  </si>
  <si>
    <t>Bandweefseltype: EP ; Treksterkte: 200 N/mm ; Aantal inlagen: 2 ; Bovendek: 2 mm ; Onderdek: 1 mm ; Bandbreedte: 1200 mm</t>
  </si>
  <si>
    <t>Gewebetype: EP ; Zugfestigkeit: 200 N/mm ; Anzahl Einlagen: 2 ; Oberdeck: 2 mm ; Unterdeck: 1 mm ; Gurtbreite: 1200 mm</t>
  </si>
  <si>
    <t>Fabric type: EP ; Tensile strength: 200 N/mm ; Number of plies: 2 ; Topcover: 2 mm ; Bottomcover: 1 mm ; Beltwidth: 1200 mm</t>
  </si>
  <si>
    <t>Carcasse: EP ; Résistance à la traction: 200 N/mm ; Nombre de plis: 2 ; Revêtement supérieur: 2 mm ; Revêtement inférieur: 1 mm ; Largeur de bande: 1200 mm</t>
  </si>
  <si>
    <t>EP1200XXX200/2-2+1KA</t>
  </si>
  <si>
    <t>16,580</t>
  </si>
  <si>
    <t>EP1200XXX250/2-3+1½-7.5SH</t>
  </si>
  <si>
    <t>EP 250/2-3+1½,BB1200-7.5mm</t>
  </si>
  <si>
    <t>EP1200XXX250/2-3+1HY</t>
  </si>
  <si>
    <t>EP 250/2-3+1,BB1200</t>
  </si>
  <si>
    <t>38,100</t>
  </si>
  <si>
    <t>20,650</t>
  </si>
  <si>
    <t>Bandweefseltype: EP ; Treksterkte: 250 N/mm ; Aantal inlagen: 2 ; Bovendek: 3 mm ; Onderdek: 1 mm ; Bandbreedte: 1200 mm</t>
  </si>
  <si>
    <t>Gewebetype: EP ; Zugfestigkeit: 250 N/mm ; Anzahl Einlagen: 2 ; Oberdeck: 3 mm ; Unterdeck: 1 mm ; Gurtbreite: 1200 mm</t>
  </si>
  <si>
    <t>Fabric type: EP ; Tensile strength: 250 N/mm ; Number of plies: 2 ; Topcover: 3 mm ; Bottomcover: 1 mm ; Beltwidth: 1200 mm</t>
  </si>
  <si>
    <t>Carcasse: EP ; Résistance à la traction: 250 N/mm ; Nombre de plis: 2 ; Revêtement supérieur: 3 mm ; Revêtement inférieur: 1 mm ; Largeur de bande: 1200 mm</t>
  </si>
  <si>
    <t>EP1200XXX250/2-3+1JO</t>
  </si>
  <si>
    <t>22,710</t>
  </si>
  <si>
    <t>EP1200XXX250/2-3+1KA</t>
  </si>
  <si>
    <t>19,230</t>
  </si>
  <si>
    <t>EP1200XXX250/2-3+1RP</t>
  </si>
  <si>
    <t>EP1200XXX250/2-3+1SH</t>
  </si>
  <si>
    <t>15,290</t>
  </si>
  <si>
    <t>EP1200XXX300/2-3+1KA</t>
  </si>
  <si>
    <t>EP 300/2-3+1-BB1200</t>
  </si>
  <si>
    <t>18,660</t>
  </si>
  <si>
    <t>EP1200XXX315/2-4+2KA</t>
  </si>
  <si>
    <t>EP 315/2-4+2,BB1200</t>
  </si>
  <si>
    <t>20,780</t>
  </si>
  <si>
    <t>Bandweefseltype: EP ; Treksterkte: 315 N/mm ; Aantal inlagen: 2 ; Bovendek: 4 mm ; Onderdek: 2 mm ; Bandbreedte: 1200 mm</t>
  </si>
  <si>
    <t>Gewebetype: EP ; Zugfestigkeit: 315 N/mm ; Anzahl Einlagen: 2 ; Oberdeck: 4 mm ; Unterdeck: 2 mm ; Gurtbreite: 1200 mm</t>
  </si>
  <si>
    <t>Fabric type: EP ; Tensile strength: 315 N/mm ; Number of plies: 2 ; Topcover: 4 mm ; Bottomcover: 2 mm ; Beltwidth: 1200 mm</t>
  </si>
  <si>
    <t>Carcasse: EP ; Résistance à la traction: 315 N/mm ; Nombre de plis: 2 ; Revêtement supérieur: 4 mm ; Revêtement inférieur: 2 mm ; Largeur de bande: 1200 mm</t>
  </si>
  <si>
    <t>EP1200XXX315/2-4+2SH</t>
  </si>
  <si>
    <t>16,140</t>
  </si>
  <si>
    <t>EP1200XXX400/3-3+1½KA</t>
  </si>
  <si>
    <t>EP 400/3-3+1½,BB1200</t>
  </si>
  <si>
    <t>22,920</t>
  </si>
  <si>
    <t>Bandweefseltype: EP ; Treksterkte: 400N/mm ; Aantal inlagen: 3 ; Bovendek: 3 mm ; Onderdek: 1½ mm ; Bandbreedte: 1200 mm</t>
  </si>
  <si>
    <t>Gewebetype: EP ; Zugfestigkeit: 400 N/mm ; Anzahl Einlagen: 3 ; Oberdeck: 3 mm ; Unterdeck: 1½ mm ; Gurtbreite: 1200 mm</t>
  </si>
  <si>
    <t>Fabric type: EP ; Tensile strength: 400 N/mm ; Number of plies: 3 ; Topcover: 3 mm ; Bottomcover: 1½ mm ; Beltwidth: 1200 mm</t>
  </si>
  <si>
    <t>Carcasse: EP ; Résistance à la traction: 400 N/mm ; Nombre de plis: 3 ; Revêtement supérieur: 3 mm ; Revêtement inférieur: 1½ mm ; Largeur de bande: 1200 mm</t>
  </si>
  <si>
    <t>EP1200XXX400/3-4+2-16MPASH</t>
  </si>
  <si>
    <t>EP 400/3-4+2,BB1200-130 mm³ and 16 MPa</t>
  </si>
  <si>
    <t>20,030</t>
  </si>
  <si>
    <t>EP1200XXX400/3-4+2CO</t>
  </si>
  <si>
    <t>EP 400/3-4+2,BB1200</t>
  </si>
  <si>
    <t>26,080</t>
  </si>
  <si>
    <t>Bandweefseltype: EP ; Treksterkte: 400N/mm ; Aantal inlagen: 3 ; Bovendek: 4 mm ; Onderdek: 2 mm ; Bandbreedte: 1200 mm</t>
  </si>
  <si>
    <t>Gewebetype: EP ; Zugfestigkeit: 400 N/mm ; Anzahl Einlagen: 3 ; Oberdeck: 4 mm ; Unterdeck: 2 mm ; Gurtbreite: 1200 mm</t>
  </si>
  <si>
    <t>Fabric type: EP ; Tensile strength: 400 N/mm ; Number of plies: 3 ; Topcover: 4 mm ; Bottomcover: 2 mm ; Beltwidth: 1200 mm</t>
  </si>
  <si>
    <t>Carcasse: EP ; Résistance à la traction: 400 N/mm ; Nombre de plis: 3 ; Revêtement supérieur: 4 mm ; Revêtement inférieur: 2 mm ; Largeur de bande: 1200 mm</t>
  </si>
  <si>
    <t>EP1200XXX400/3-4+2-DIN-WKA</t>
  </si>
  <si>
    <t>EP 400/3-4+2,BB1200-DIN-W</t>
  </si>
  <si>
    <t>31,770</t>
  </si>
  <si>
    <t>EP1200XXX400/3-4+2-DIN-WSH</t>
  </si>
  <si>
    <t>25,330</t>
  </si>
  <si>
    <t>EP1200XXX400/3-4+2FF</t>
  </si>
  <si>
    <t>22,540</t>
  </si>
  <si>
    <t>EP1200XXX400/3-4+2KA</t>
  </si>
  <si>
    <t>EP1200XXX400/3-4+2QH</t>
  </si>
  <si>
    <t>EP1200XXX400/3-4+2RP</t>
  </si>
  <si>
    <t>30,000</t>
  </si>
  <si>
    <t>EP1200XXX400/3-4+2SA</t>
  </si>
  <si>
    <t>25,410</t>
  </si>
  <si>
    <t>EP1200XXX400/3-4+2SH</t>
  </si>
  <si>
    <t>22,570</t>
  </si>
  <si>
    <t>EP1200XXX400/3-4+2ZA</t>
  </si>
  <si>
    <t>EP1200XXX400/3-6+2-DIN-WSH</t>
  </si>
  <si>
    <t>EP 400/3-6+2,BB1200-DIN-W</t>
  </si>
  <si>
    <t>EP1200XXX400/3-6+2-DIN-XKA</t>
  </si>
  <si>
    <t>EP 400/3-6+2,BB1200-DIN-X</t>
  </si>
  <si>
    <t>38,300</t>
  </si>
  <si>
    <t>EP1200XXX400/3-6+2FF</t>
  </si>
  <si>
    <t>EP 400/3-6+2,BB1200</t>
  </si>
  <si>
    <t>26,840</t>
  </si>
  <si>
    <t>Bandweefseltype: EP ; Treksterkte: 400N/mm ; Aantal inlagen: 3 ; Bovendek: 6 mm ; Onderdek: 2 mm ; Bandbreedte: 1200 mm</t>
  </si>
  <si>
    <t>Gewebetype: EP ; Zugfestigkeit: 400 N/mm ; Anzahl Einlagen: 3 ; Oberdeck: 6 mm ; Unterdeck: 2 mm ; Gurtbreite: 1200 mm</t>
  </si>
  <si>
    <t>Fabric type: EP ; Tensile strength: 400 N/mm ; Number of plies: 3 ; Topcover: 6 mm ; Bottomcover: 2 mm ; Beltwidth: 1200 mm</t>
  </si>
  <si>
    <t>Carcasse: EP ; Résistance à la traction: 400 N/mm ; Nombre de plis: 3 ; Revêtement supérieur: 6 mm ; Revêtement inférieur: 2 mm ; Largeur de bande: 1200 mm</t>
  </si>
  <si>
    <t>EP1200XXX400/3-6+2KA</t>
  </si>
  <si>
    <t>26,030</t>
  </si>
  <si>
    <t>EP1200XXX400/3-6+2SA</t>
  </si>
  <si>
    <t>30,260</t>
  </si>
  <si>
    <t>EP1200XXX400/3-6+2SH</t>
  </si>
  <si>
    <t>28,180</t>
  </si>
  <si>
    <t>EP1200XXX400/4-6+4-DIN-WKA</t>
  </si>
  <si>
    <t>EP 400/4-6+4,BB1200-DIN-W</t>
  </si>
  <si>
    <t>43,060</t>
  </si>
  <si>
    <t>EP1200XXX500/3-4+2KA</t>
  </si>
  <si>
    <t>EP 500/3-4+2,BB1200</t>
  </si>
  <si>
    <t>23,430</t>
  </si>
  <si>
    <t>Meerlaags, Slijtvast, Standaard kwaliteit ; EP 500/3-4+2</t>
  </si>
  <si>
    <t>Mehrlagig, Abriebfest, Standardqualität ; EP 500/3-4+2</t>
  </si>
  <si>
    <t>Multiply, Abrasion resistant, Standard Quality ; EP 500/3-4+2</t>
  </si>
  <si>
    <t>Multiplis, Anti-abrasion, Qualité standard ; EP 500/3-4+2</t>
  </si>
  <si>
    <t>Bandweefseltype: EP ; Treksterkte: 500N/mm ; Aantal inlagen: 3 ; Bovendek: 4 mm ; Onderdek: 2 mm ; Bandbreedte: 1200 mm</t>
  </si>
  <si>
    <t>Gewebetype: EP ; Zugfestigkeit: 500 N/mm ; Anzahl Einlagen: 3 ; Oberdeck: 4 mm ; Unterdeck: 2 mm ; Gurtbreite: 1200 mm</t>
  </si>
  <si>
    <t>Fabric type: EP ; Tensile strength: 500 N/mm ; Number of plies: 3 ; Topcover: 4 mm ; Bottomcover: 2 mm ; Beltwidth: 1200 mm</t>
  </si>
  <si>
    <t>Carcasse: EP ; Résistance à la traction: 500 N/mm ; Nombre de plis: 3 ; Revêtement supérieur: 4 mm ; Revêtement inférieur: 2 mm ; Largeur de bande: 1200 mm</t>
  </si>
  <si>
    <t>EP1200XXX500/3-5+1½KA</t>
  </si>
  <si>
    <t>EP 500/3-5+1½,BB1200</t>
  </si>
  <si>
    <t>24,600</t>
  </si>
  <si>
    <t>Bandweefseltype: EP ; Treksterkte: 500N/mm ; Aantal inlagen: 3 ; Bovendek: 5 mm ; Onderdek: 1½ mm ; Bandbreedte: 1200 mm</t>
  </si>
  <si>
    <t>Gewebetype: EP ; Zugfestigkeit: 500 N/mm ; Anzahl Einlagen: 3 ; Oberdeck: 5 mm ; Unterdeck: 1½ mm ; Gurtbreite: 1200 mm</t>
  </si>
  <si>
    <t>Fabric type: EP ; Tensile strength: 500 N/mm ; Number of plies: 3 ; Topcover: 5 mm ; Bottomcover: 1½ mm ; Beltwidth: 1200 mm</t>
  </si>
  <si>
    <t>Carcasse: EP ; Résistance à la traction: 500 N/mm ; Nombre de plis: 3 ; Revêtement supérieur: 5 mm ; Revêtement inférieur: 1½ mm ; Largeur de bande: 1200 mm</t>
  </si>
  <si>
    <t>EP1200XXX500/3-6+2KA</t>
  </si>
  <si>
    <t>EP 500/3-6+2,BB1200</t>
  </si>
  <si>
    <t>27,260</t>
  </si>
  <si>
    <t>Bandweefseltype: EP ; Treksterkte: 500N/mm ; Aantal inlagen: 3 ; Bovendek: 6 mm ; Onderdek: 2 mm ; Bandbreedte: 1200 mm</t>
  </si>
  <si>
    <t>Gewebetype: EP ; Zugfestigkeit: 500 N/mm ; Anzahl Einlagen: 3 ; Oberdeck: 6 mm ; Unterdeck: 2 mm ; Gurtbreite: 1200 mm</t>
  </si>
  <si>
    <t>Fabric type: EP ; Tensile strength: 500 N/mm ; Number of plies: 3 ; Topcover: 6 mm ; Bottomcover: 2 mm ; Beltwidth: 1200 mm</t>
  </si>
  <si>
    <t>Carcasse: EP ; Résistance à la traction: 500 N/mm ; Nombre de plis: 3 ; Revêtement supérieur: 6 mm ; Revêtement inférieur: 2 mm ; Largeur de bande: 1200 mm</t>
  </si>
  <si>
    <t>EP1200XXX500/4-4+2KA</t>
  </si>
  <si>
    <t>EP 500/4-4+2,BB1200</t>
  </si>
  <si>
    <t>29,590</t>
  </si>
  <si>
    <t>Bandweefseltype: EP ; Treksterkte: 500N/mm ; Aantal inlagen: 4 ; Bovendek: 4 mm ; Onderdek: 2 mm ; Bandbreedte: 1200 mm</t>
  </si>
  <si>
    <t>Gewebetype: EP ; Zugfestigkeit: 500 N/mm ; Anzahl Einlagen: 4 ; Oberdeck: 4 mm ; Unterdeck: 2 mm ; Gurtbreite: 1200 mm</t>
  </si>
  <si>
    <t>Fabric type: EP ; Tensile strength: 500 N/mm ; Number of plies: 4 ; Topcover: 4 mm ; Bottomcover: 2 mm ; Beltwidth: 1200 mm</t>
  </si>
  <si>
    <t>Carcasse: EP ; Résistance à la traction: 500 N/mm ; Nombre de plis: 4 ; Revêtement supérieur: 4 mm ; Revêtement inférieur: 2 mm ; Largeur de bande: 1200 mm</t>
  </si>
  <si>
    <t>EP1200XXX500/4-4+2SH</t>
  </si>
  <si>
    <t>26,249</t>
  </si>
  <si>
    <t>EP1200XXX500/4-5+2CC</t>
  </si>
  <si>
    <t>EP 500/4-5+2,BB1200</t>
  </si>
  <si>
    <t>31,910</t>
  </si>
  <si>
    <t>Bandweefseltype: EP ; Treksterkte: 500N/mm ; Aantal inlagen: 4 ; Bovendek: 5 mm ; Onderdek: 2 mm ; Bandbreedte: 1200 mm</t>
  </si>
  <si>
    <t>Gewebetype: EP ; Zugfestigkeit: 500 N/mm ; Anzahl Einlagen: 4 ; Oberdeck: 5 mm ; Unterdeck: 2 mm ; Gurtbreite: 1200 mm</t>
  </si>
  <si>
    <t>Fabric type: EP ; Tensile strength: 500 N/mm ; Number of plies: 4 ; Topcover: 5 mm ; Bottomcover: 2 mm ; Beltwidth: 1200 mm</t>
  </si>
  <si>
    <t>Carcasse: EP ; Résistance à la traction: 500 N/mm ; Nombre de plis: 4 ; Revêtement supérieur: 5 mm ; Revêtement inférieur: 2 mm ; Largeur de bande: 1200 mm</t>
  </si>
  <si>
    <t>EP1200XXX500/4-5+2FF</t>
  </si>
  <si>
    <t>31,380</t>
  </si>
  <si>
    <t>EP1200XXX500/4-5+2KA</t>
  </si>
  <si>
    <t>31,530</t>
  </si>
  <si>
    <t>EP1200XXX500/4-5+2SH</t>
  </si>
  <si>
    <t>27,790</t>
  </si>
  <si>
    <t>EP1200XXX500/4-5+2ZZ</t>
  </si>
  <si>
    <t>29,250</t>
  </si>
  <si>
    <t>EP1200XXX630/3-3+2KA</t>
  </si>
  <si>
    <t>EP 630/3-3+2,BB1200</t>
  </si>
  <si>
    <t>24,430</t>
  </si>
  <si>
    <t>EP1200XXX630/3-3+2SH</t>
  </si>
  <si>
    <t>28,060</t>
  </si>
  <si>
    <t>EP1200XXX630/3-4+2-DIN-WKA</t>
  </si>
  <si>
    <t>EP 630/3-4+2,BB1200-DIN-W</t>
  </si>
  <si>
    <t>39,850</t>
  </si>
  <si>
    <t>EP1200XXX630/3-4+2KA</t>
  </si>
  <si>
    <t>EP 630/3-4+2,BB1200-DIN-Y</t>
  </si>
  <si>
    <t>47,850</t>
  </si>
  <si>
    <t>25,860</t>
  </si>
  <si>
    <t>EP1200XXX630/3-6+2FF</t>
  </si>
  <si>
    <t>EP 630/3-6+2-BB1200</t>
  </si>
  <si>
    <t>33,410</t>
  </si>
  <si>
    <t>Bandweefseltype: EP ; Treksterkte: 630N/mm ; Aantal inlagen: 3 ; Bovendek: 6 mm ; Onderdek: 2 mm ; Bandbreedte: 1200 mm</t>
  </si>
  <si>
    <t>Gewebetype: EP ; Zugfestigkeit: 630 N/mm ; Anzahl Einlagen: 3 ; Oberdeck: 6 mm ; Unterdeck: 2 mm ; Gurtbreite: 1200 mm</t>
  </si>
  <si>
    <t>Fabric type: EP ; Tensile strength: 630 N/mm ; Number of plies: 3 ; Topcover: 6 mm ; Bottomcover: 2 mm ; Beltwidth: 1200 mm</t>
  </si>
  <si>
    <t>Carcasse: EP ; Résistance à la traction: 630 N/mm ; Nombre de plis: 3 ; Revêtement supérieur: 6 mm ; Revêtement inférieur: 2 mm ; Largeur de bande: 1200 mm</t>
  </si>
  <si>
    <t>EP1200XXX630/3-6+2KA</t>
  </si>
  <si>
    <t>33,110</t>
  </si>
  <si>
    <t>EP1200XXX630/4-10+3-DIN-WKA</t>
  </si>
  <si>
    <t>EP 630/4-10+3,BB1200-DIN-W</t>
  </si>
  <si>
    <t>48,000</t>
  </si>
  <si>
    <t>EP1200XXX630/4-10+4-DIN-XSH</t>
  </si>
  <si>
    <t>EP 630/4-10+4,BB1200-DIN-X</t>
  </si>
  <si>
    <t>42,550</t>
  </si>
  <si>
    <t>EP1200XXX630/4-4+2KA</t>
  </si>
  <si>
    <t>EP 630/4-4+2,BB1200</t>
  </si>
  <si>
    <t>27,950</t>
  </si>
  <si>
    <t>EP1200XXX630/4-6+2-16MPASH</t>
  </si>
  <si>
    <t>EP 630/4-6+2,BB1200-130 mm³ and 16 MPa</t>
  </si>
  <si>
    <t>20,950</t>
  </si>
  <si>
    <t>EP1200XXX630/4-6+2CO</t>
  </si>
  <si>
    <t>EP 630/4-6+2,BB1200</t>
  </si>
  <si>
    <t>38,950</t>
  </si>
  <si>
    <t>Bandweefseltype: EP ; Treksterkte: 630N/mm ; Aantal inlagen: 4 ; Bovendek: 6 mm ; Onderdek: 2 mm ; Bandbreedte: 1200 mm</t>
  </si>
  <si>
    <t>Gewebetype: EP ; Zugfestigkeit: 630 N/mm ; Anzahl Einlagen: 4 ; Oberdeck: 6 mm ; Unterdeck: 2 mm ; Gurtbreite: 1200 mm</t>
  </si>
  <si>
    <t>Fabric type: EP ; Tensile strength: 630 N/mm ; Number of plies: 4 ; Topcover: 6 mm ; Bottomcover: 2 mm ; Beltwidth: 1200 mm</t>
  </si>
  <si>
    <t>Carcasse: EP ; Résistance à la traction: 630 N/mm ; Nombre de plis: 4 ; Revêtement supérieur: 6 mm ; Revêtement inférieur: 2 mm ; Largeur de bande: 1200 mm</t>
  </si>
  <si>
    <t>EP1200XXX630/4-6+2CP</t>
  </si>
  <si>
    <t>33,460</t>
  </si>
  <si>
    <t>EP1200XXX630/4-6+2-DIN-WKA</t>
  </si>
  <si>
    <t>EP 630/4-6+2,BB1200-DIN-W</t>
  </si>
  <si>
    <t>36,790</t>
  </si>
  <si>
    <t>EP1200XXX630/4-6+2FF</t>
  </si>
  <si>
    <t>32,810</t>
  </si>
  <si>
    <t>EP1200XXX630/4-6+2JO</t>
  </si>
  <si>
    <t>33,800</t>
  </si>
  <si>
    <t>34,180</t>
  </si>
  <si>
    <t>EP1200XXX630/4-6+2KA</t>
  </si>
  <si>
    <t>36,530</t>
  </si>
  <si>
    <t>EP1200XXX630/4-6+2QH</t>
  </si>
  <si>
    <t>41,730</t>
  </si>
  <si>
    <t>EP1200XXX630/4-6+2SA</t>
  </si>
  <si>
    <t>35,620</t>
  </si>
  <si>
    <t>EP1200XXX630/4-6+2SH</t>
  </si>
  <si>
    <t>31,340</t>
  </si>
  <si>
    <t>EP1200XXX630/4-6+2ZA</t>
  </si>
  <si>
    <t>38,480</t>
  </si>
  <si>
    <t>EP1200XXX630/4-8+3-DIN-WKA</t>
  </si>
  <si>
    <t>EP 630/4-8+3,BB1200-DIN-W</t>
  </si>
  <si>
    <t>41,410</t>
  </si>
  <si>
    <t>EP1200XXX630/4-8+3FF</t>
  </si>
  <si>
    <t>EP 630/4-8+3,BB1200</t>
  </si>
  <si>
    <t>42,450</t>
  </si>
  <si>
    <t>Bandweefseltype: EP ; Treksterkte: 630N/mm ; Aantal inlagen: 4 ; Bovendek: 8 mm ; Onderdek: 3 mm ; Bandbreedte: 1200 mm</t>
  </si>
  <si>
    <t>Gewebetype: EP ; Zugfestigkeit: 630 N/mm ; Anzahl Einlagen: 4 ; Oberdeck: 8 mm ; Unterdeck: 3 mm ; Gurtbreite: 1200 mm</t>
  </si>
  <si>
    <t>Fabric type: EP ; Tensile strength: 630 N/mm ; Number of plies: 4 ; Topcover: 8 mm ; Bottomcover: 3 mm ; Beltwidth: 1200 mm</t>
  </si>
  <si>
    <t>Carcasse: EP ; Résistance à la traction: 630 N/mm ; Nombre de plis: 4 ; Revêtement supérieur: 8 mm ; Revêtement inférieur: 3 mm ; Largeur de bande: 1200 mm</t>
  </si>
  <si>
    <t>EP1200XXX630/4-8+3KA</t>
  </si>
  <si>
    <t>43,240</t>
  </si>
  <si>
    <t>EP1200XXX630/4-8+3PH</t>
  </si>
  <si>
    <t>45,270</t>
  </si>
  <si>
    <t>EP1200XXX630/4-8+3QH</t>
  </si>
  <si>
    <t>48,930</t>
  </si>
  <si>
    <t>EP1200XXX630/4-8+3SA</t>
  </si>
  <si>
    <t>43,250</t>
  </si>
  <si>
    <t>EP1200XXX630/4-8+3SH</t>
  </si>
  <si>
    <t>42,440</t>
  </si>
  <si>
    <t>EP1200XXX630/5-8+3KA</t>
  </si>
  <si>
    <t>EP 630/5-8+3,BB1200</t>
  </si>
  <si>
    <t>43,520</t>
  </si>
  <si>
    <t>EP1200XXX800/3-8+3KA</t>
  </si>
  <si>
    <t>EP 800/3-8+3-BB1200</t>
  </si>
  <si>
    <t>38,210</t>
  </si>
  <si>
    <t>Bandweefseltype: EP ; Treksterkte: 800N/mm ; Aantal inlagen: 3 ; Bovendek: 8 mm ; Onderdek: 3 mm ; Bandbreedte: 1200 mm</t>
  </si>
  <si>
    <t>Gewebetype: EP ; Zugfestigkeit: 800 N/mm ; Anzahl Einlagen: 3 ; Oberdeck: 8 mm ; Unterdeck: 3 mm ; Gurtbreite: 1200 mm</t>
  </si>
  <si>
    <t>Fabric type: EP ; Tensile strength: 800 N/mm ; Number of plies: 3 ; Topcover: 8 mm ; Bottomcover: 3 mm ; Beltwidth: 1200 mm</t>
  </si>
  <si>
    <t>Carcasse: EP ; Résistance à la traction: 800 N/mm ; Nombre de plis: 3 ; Revêtement supérieur: 8 mm ; Revêtement inférieur: 3 mm ; Largeur de bande: 1200 mm</t>
  </si>
  <si>
    <t>EP1200XXX800/3-8+3SH</t>
  </si>
  <si>
    <t>38,600</t>
  </si>
  <si>
    <t>EP1200XXX800/4-10+3KA</t>
  </si>
  <si>
    <t>EP 800/4-10+3,BB1200</t>
  </si>
  <si>
    <t>45,550</t>
  </si>
  <si>
    <t>EP1200XXX800/4-12+3-DIN-WKA</t>
  </si>
  <si>
    <t>EP 800/4-12+3,BB1200-DIN-W</t>
  </si>
  <si>
    <t>57,130</t>
  </si>
  <si>
    <t>EP1200XXX800/4-12+3-DIN-WSH</t>
  </si>
  <si>
    <t>53,710</t>
  </si>
  <si>
    <t>EP1200XXX800/4-2+2-ELEVATORSA</t>
  </si>
  <si>
    <t>EP 800/4-2+2-BB1200 ELEVATOR</t>
  </si>
  <si>
    <t>Bandweefseltype: EP ; Treksterkte: 800 N/mm ; Aantal inlagen: 4 ; Bovendek: 2 mm ; Onderdek: 2 mm ; Bandbreedte: 1200 mm ; Elevator</t>
  </si>
  <si>
    <t>Gewebetype: EP ; Zugfestigkeit: 800 N/mm ; Anzahl Einlagen: 4 ; Oberdeck: 2 mm ; Unterdeck: 2 mm ; Gurtbreite: 1200 mm ; Elevator</t>
  </si>
  <si>
    <t>Fabric type: EP ; Tensile strength: 800 N/mm ; Number of plies: 4 ; Topcover: 2 mm ; Bottomcover: 2 mm ; Beltwidth: 1200 mm ; Elevator</t>
  </si>
  <si>
    <t xml:space="preserve">Carcasse: EP ; Tension de service: 800 N/mm ; Nombre de plis: 4 ; Revêtement supérieur: 2 mm ; Revêtement inférieur: 2 mm ; Largeur de bande: 1200 mm ;  Sangle Elévatrice
</t>
  </si>
  <si>
    <t>EP1200XXX800/4-4+2DIN-WSH</t>
  </si>
  <si>
    <t>EP 800/4-4+2,BB1200</t>
  </si>
  <si>
    <t>28,675</t>
  </si>
  <si>
    <t>EP1200XXX800/4-4+2KA</t>
  </si>
  <si>
    <t>29,770</t>
  </si>
  <si>
    <t>EP1200XXX800/4-4+2SH</t>
  </si>
  <si>
    <t>33,200</t>
  </si>
  <si>
    <t>EP1200XXX800/4-5+2KA</t>
  </si>
  <si>
    <t>EP 800/4-5+2,BB1200</t>
  </si>
  <si>
    <t>31,450</t>
  </si>
  <si>
    <t>EP1200XXX800/4-6+2KA</t>
  </si>
  <si>
    <t>EP 800/4-6+2,BB1200</t>
  </si>
  <si>
    <t>35,360</t>
  </si>
  <si>
    <t>EP1200XXX800/4-6+2SH</t>
  </si>
  <si>
    <t>34,990</t>
  </si>
  <si>
    <t>EP1200XXX800/4-8+3CC</t>
  </si>
  <si>
    <t>EP 800/4-8+3,BB1200</t>
  </si>
  <si>
    <t>47,550</t>
  </si>
  <si>
    <t>Bandweefseltype: EP ; Treksterkte: 800N/mm ; Aantal inlagen: 4 ; Bovendek: 8 mm ; Onderdek: 3 mm ; Bandbreedte: 1200 mm</t>
  </si>
  <si>
    <t>Gewebetype: EP ; Zugfestigkeit: 800 N/mm ; Anzahl Einlagen: 4 ; Oberdeck: 8 mm ; Unterdeck: 3 mm ; Gurtbreite: 1200 mm</t>
  </si>
  <si>
    <t>Fabric type: EP ; Tensile strength: 800 N/mm ; Number of plies: 4 ; Topcover: 8 mm ; Bottomcover: 3 mm ; Beltwidth: 1200 mm</t>
  </si>
  <si>
    <t>Carcasse: EP ; Résistance à la traction: 800 N/mm ; Nombre de plis: 4 ; Revêtement supérieur: 8 mm ; Revêtement inférieur: 3 mm ; Largeur de bande: 1200 mm</t>
  </si>
  <si>
    <t>EP1200XXX800/4-8+3CP</t>
  </si>
  <si>
    <t>41,480</t>
  </si>
  <si>
    <t>EP1200XXX800/4-8+3KA</t>
  </si>
  <si>
    <t>EP1200XXX800/4-8+3RP</t>
  </si>
  <si>
    <t>46,750</t>
  </si>
  <si>
    <t>EP1200XXX800/4-8+3SH</t>
  </si>
  <si>
    <t>34,270</t>
  </si>
  <si>
    <t>EP1200XXX800/5-12+4KA</t>
  </si>
  <si>
    <t>EP 800/5-12+4,BB1200</t>
  </si>
  <si>
    <t>51,480</t>
  </si>
  <si>
    <t>EP1200XXX800/5-8+3KA</t>
  </si>
  <si>
    <t>EP 800/5-8+3,BB1200</t>
  </si>
  <si>
    <t>36,270</t>
  </si>
  <si>
    <t>EP1200XXX945/3-10+3ZZ</t>
  </si>
  <si>
    <t>EP 945/3-10+3, BB1200</t>
  </si>
  <si>
    <t>EP120XXX630/4-2+2-ELEVATORSA</t>
  </si>
  <si>
    <t>EP 630/4-2+2-BB120 ELEVATOR</t>
  </si>
  <si>
    <t>3,430</t>
  </si>
  <si>
    <t>EP1220OVX630/4-2+2-ELEVATORSA</t>
  </si>
  <si>
    <t>EP 630/4-2+2-BB1220 ELEVATOR-OV</t>
  </si>
  <si>
    <t>37,290</t>
  </si>
  <si>
    <t>EP1240XXX630/4-2+2-ELEVATORSA</t>
  </si>
  <si>
    <t>EP 630/4-2+2-BB1240 ELEVATOR</t>
  </si>
  <si>
    <t>34,850</t>
  </si>
  <si>
    <t>EP1250PRG400/3-3+2-MULTIVHY</t>
  </si>
  <si>
    <t>EP 400/3-3+2,BB1250-Multi V profiel 6 mm O&amp;V</t>
  </si>
  <si>
    <t>43,050</t>
  </si>
  <si>
    <t>EP1250PRG400/3-3+2-MULTIVSH</t>
  </si>
  <si>
    <t>40,205</t>
  </si>
  <si>
    <t>EP1250SGR250/2-3+1HY</t>
  </si>
  <si>
    <t>EP 250/2-3+1,BB1250, Supergrip zwart</t>
  </si>
  <si>
    <t>27,040</t>
  </si>
  <si>
    <t>EP1250XXX630/4-2+2-ELEVATORSA</t>
  </si>
  <si>
    <t>EP 630/4-2+2-BB1250 ELEVATOR</t>
  </si>
  <si>
    <t>35,760</t>
  </si>
  <si>
    <t>EP1300PRG400/3-3+2-MULTIVHY</t>
  </si>
  <si>
    <t>EP 400/3-3+2,BB1300-Multi V profiel 6 mm O&amp;V</t>
  </si>
  <si>
    <t>EP1300PRG400/3-3+2-MULTIVSH</t>
  </si>
  <si>
    <t>40,240</t>
  </si>
  <si>
    <t>EP1300PRL250/2-3+2-MULTIVSH</t>
  </si>
  <si>
    <t>EP 250/2-3+2,BB1300-Multi V profiel 6 mm</t>
  </si>
  <si>
    <t>28,640</t>
  </si>
  <si>
    <t>Bandweefseltype: EP ; Treksterkte: 250 N/mm ; Aantal inlagen: 2 ; Bovendek: 3 mm ; Onderdek: 2 mm ; Bandbreedte: 1300 mm ; Profiel hoogte: 6 mm ; Profiel breedte: Volledige bandbreedte ; Type: V6</t>
  </si>
  <si>
    <t>Gewebetype: EP ; Zugfestigkeit: 250 N/mm ; Anzahl Einlagen: 2 ; Oberdeck: 3 mm ; Unterdeck: 2 mm ; Gurtbreite: 1300 mm ; Profilhöhe: 6 mm ; Profilbreite: Komplette Gurtbreite ; Profiltyp: V6</t>
  </si>
  <si>
    <t>Fabric type: EP ; Tensile strength: 250 N/mm ; Number of plies: 2 ; Topcover: 3 mm ; Bottomcover: 2 mm ; Beltwidth: 1300 mm ; Profile height: 6 mm ; Profile width: Full belt width ; Profile type: V6</t>
  </si>
  <si>
    <t>Carcasse: EP ; Résistance à la traction: 250 N/mm ; Nombre de plis: 2 ; Revêtement supérieur: 3 mm ; Revêtement inférieur: 2 mm ; Largeur de bande: 1300 mm ; Hauteur du profil: 6 mm ; Largeur du profil: Sur toute la largeur ; Type de profil: V6</t>
  </si>
  <si>
    <t>EP1300PRL400/3-3+2-MULTIVSH</t>
  </si>
  <si>
    <t>EP 400/3-3+2,BB1300-Multi V profiel 6 mm</t>
  </si>
  <si>
    <t>EP1300XXX100/1-1+1HY</t>
  </si>
  <si>
    <t>EP 100/1-1+1,BB1300</t>
  </si>
  <si>
    <t>Bandweefseltype: EP ; Treksterkte: 100 N/mm ; Aantal inlagen: 1 ; Bovendek: 1 mm ; Onderdek: 1 mm ; Bandbreedte: 1300 mm</t>
  </si>
  <si>
    <t>Gewebetype: EP ; Zugfestigkeit: 100 N/mm ; Anzahl Einlagen: 1 ; Oberdeck: 1 mm ; Unterdeck: 1 mm ; Gurtbreite: 1300 mm</t>
  </si>
  <si>
    <t>Fabric type: EP ; Tensile strength: 100 N/mm ; Number of plies: 1 ; Topcover: 1 mm ; Bottomcover: 1 mm ; Beltwidth: 1300 mm</t>
  </si>
  <si>
    <t>Carcasse: EP ; Résistance à la traction: 100 N/mm ; Nombre de plis: 1 ; Revêtement supérieur: 1 mm ; Revêtement inférieur: 1 mm ; Largeur de bande: 1300 mm</t>
  </si>
  <si>
    <t>EP1350GLY400/3-2+0JO</t>
  </si>
  <si>
    <t>EP 400/3-2+0-BB1350 GLY</t>
  </si>
  <si>
    <t>22,790</t>
  </si>
  <si>
    <t>EP1350PRL250/2-3+2-MULTIVSH</t>
  </si>
  <si>
    <t>EP 250/2-3+2,BB1350-Multi V profiel 6 mm</t>
  </si>
  <si>
    <t>28,070</t>
  </si>
  <si>
    <t>EP1350PRL400/3-3+2-MULTIVSH</t>
  </si>
  <si>
    <t>EP 400/3-3+2,BB1350-Multi V profiel 6 mm</t>
  </si>
  <si>
    <t>27,149</t>
  </si>
  <si>
    <t>EP1350XXX200/2-2+1HY</t>
  </si>
  <si>
    <t>EP 200/2-2+1,BB1350</t>
  </si>
  <si>
    <t>19,500</t>
  </si>
  <si>
    <t>Bandweefseltype: EP ; Treksterkte: 200 N/mm ; Aantal inlagen: 2 ; Bovendek: 2 mm ; Onderdek: 1 mm ; Bandbreedte: 1350 mm</t>
  </si>
  <si>
    <t>Gewebetype: EP ; Zugfestigkeit: 200 N/mm ; Anzahl Einlagen: 2 ; Oberdeck: 2 mm ; Unterdeck: 1 mm ; Gurtbreite: 1350 mm</t>
  </si>
  <si>
    <t>Fabric type: EP ; Tensile strength: 200 N/mm ; Number of plies: 2 ; Topcover: 2 mm ; Bottomcover: 1 mm ; Beltwidth: 1350 mm</t>
  </si>
  <si>
    <t>Carcasse: EP ; Résistance à la traction: 200 N/mm ; Nombre de plis: 2 ; Revêtement supérieur: 2 mm ; Revêtement inférieur: 1 mm ; Largeur de bande: 1350 mm</t>
  </si>
  <si>
    <t>EP1350XXX250/2-3+1HY</t>
  </si>
  <si>
    <t>EP 250/2-3+1,BB1350</t>
  </si>
  <si>
    <t>23,240</t>
  </si>
  <si>
    <t>Bandweefseltype: EP ; Treksterkte: 250 N/mm ; Aantal inlagen: 2 ; Bovendek: 3 mm ; Onderdek: 1 mm ; Bandbreedte: 1350 mm</t>
  </si>
  <si>
    <t>Gewebetype: EP ; Zugfestigkeit: 250 N/mm ; Anzahl Einlagen: 2 ; Oberdeck: 3 mm ; Unterdeck: 1 mm ; Gurtbreite: 1350 mm</t>
  </si>
  <si>
    <t>Fabric type: EP ; Tensile strength: 250 N/mm ; Number of plies: 2 ; Topcover: 3 mm ; Bottomcover: 1 mm ; Beltwidth: 1350 mm</t>
  </si>
  <si>
    <t>Carcasse: EP ; Résistance à la traction: 250 N/mm ; Nombre de plis: 2 ; Revêtement supérieur: 3 mm ; Revêtement inférieur: 1 mm ; Largeur de bande: 1350 mm</t>
  </si>
  <si>
    <t>EP1400GLY250/2-2+0HY</t>
  </si>
  <si>
    <t>EP 250/2-2+0,BB1400-GLY</t>
  </si>
  <si>
    <t>24,200</t>
  </si>
  <si>
    <t>Bandweefseltype: EP ; Treksterkte: 250 N/mm ; Aantal inlagen: 2 ; Bovendek: 2 mm ; Onderdek: 0 mm ; Bandbreedte: 1400 mm</t>
  </si>
  <si>
    <t>Gewebetype: EP ; Zugfestigkeit: 250 N/mm ; Anzahl Einlagen: 2 ; Oberdeck: 2 mm ; Unterdeck: 0 mm ; Gurtbreite: 1400 mm</t>
  </si>
  <si>
    <t>Fabric type: EP ; Tensile strength: 250 N/mm ; Number of plies: 2 ; Topcover: 2 mm ; Bottomcover: 0 mm ; Beltwidth: 1400 mm</t>
  </si>
  <si>
    <t>Carcasse: EP ; Tension de service: 250 N/mm ; Nombre de plis: 2 ; Revêtement supérieur: 2 mm ; Revêtement inférieur: 0 mm ; Largeur de bande: 1400 mm</t>
  </si>
  <si>
    <t>EP1400GLY250/2-2+0JO</t>
  </si>
  <si>
    <t>17,660</t>
  </si>
  <si>
    <t>Gewebetype: EP ; Zugfestigkeit: 250 N/mm ; Anzahl Einlagen: 2 ; Oberdeck: 2 mm ; Unterdeck: 0 mm ; Gurtbreite: 1600 mm</t>
  </si>
  <si>
    <t>EP1400GLY400/3-2+0FF</t>
  </si>
  <si>
    <t>EP 400/3-2+0,BB1400-GLY</t>
  </si>
  <si>
    <t>12100, Ningbo Yoyang Rubber and Plastic Products Co.,Ltd</t>
  </si>
  <si>
    <t>20,480</t>
  </si>
  <si>
    <t>Bandweefseltype: EP ; Treksterkte: 400 N/mm ; Aantal inlagen: 3 ; Bovendek: 2 mm ; Onderdek: 0 mm ; Bandbreedte: 1400 mm</t>
  </si>
  <si>
    <t>Gewebetype: EP ; Zugfestigkeit: 400 N/mm ; Anzahl Einlagen: 3 ; Oberdeck: 2 mm ; Unterdeck: 0 mm ; Gurtbreite: 1400 mm</t>
  </si>
  <si>
    <t>Fabric type: EP ; Tensile strength: 400 N/mm ; Number of plies: 3 ; Topcover: 2 mm ; Bottomcover: 0 mm ; Beltwidth: 1400 mm</t>
  </si>
  <si>
    <t>Carcasse: EP ; Tension de service: 400 N/mm ; Nombre de plis: 3 ; Revêtement supérieur: 2 mm ; Revêtement inférieur: 0 mm ; Largeur de bande: 1400 mm</t>
  </si>
  <si>
    <t>EP1400GLY400/3-2+0HY</t>
  </si>
  <si>
    <t>30,650</t>
  </si>
  <si>
    <t>EP1400GLY400/3-2+0JO</t>
  </si>
  <si>
    <t>22,970</t>
  </si>
  <si>
    <t>Carcasse: EP ; Tension de service: 400 N/mm ; Nombre de plis: 3 ; Revêtement supérieur: 2 mm ; Revêtement inférieur: 0 mm ; Largeur de bande: 1600 mm</t>
  </si>
  <si>
    <t>EP1400GLY400/3-3+0HY</t>
  </si>
  <si>
    <t>EP 400/3-3+0,BB1400-GLY</t>
  </si>
  <si>
    <t>34,580</t>
  </si>
  <si>
    <t>Bandweefseltype: EP ; Treksterkte: 400 N/mm ; Aantal inlagen: 3 ; Bovendek: 3 mm ; Onderdek: 0 mm ; Bandbreedte: 1400 mm</t>
  </si>
  <si>
    <t>Gewebetype: EP ; Zugfestigkeit: 400 N/mm ; Anzahl Einlagen: 3 ; Oberdeck: 3 mm ; Unterdeck: 0 mm ; Gurtbreite: 1400 mm</t>
  </si>
  <si>
    <t>Fabric type: EP ; Tensile strength: 400 N/mm ; Number of plies: 3 ; Topcover: 3 mm ; Bottomcover: 0 mm ; Beltwidth: 1400 mm</t>
  </si>
  <si>
    <t>Carcasse: EP ; Tension de service: 400 N/mm ; Nombre de plis: 3 ; Revêtement supérieur: 3 mm ; Revêtement inférieur: 0 mm ; Largeur de bande: 1400 mm</t>
  </si>
  <si>
    <t>EP1400GLY400/3-3+0JO</t>
  </si>
  <si>
    <t>EP 400/3-3+0-BB1400 GLY</t>
  </si>
  <si>
    <t>26,770</t>
  </si>
  <si>
    <t>EP1400GLY500/4-6+0HY</t>
  </si>
  <si>
    <t>EP 500/4-6+0,BB1400-GLY</t>
  </si>
  <si>
    <t>59,870</t>
  </si>
  <si>
    <t>Bandweefseltype: EP ; Treksterkte: 500 N/mm ; Aantal inlagen: 4 ; Bovendek: 6 mm ; Onderdek: 0 mm ; Bandbreedte: 1400 mm</t>
  </si>
  <si>
    <t>Gewebetype: EP ; Zugfestigkeit: 500 N/mm ; Anzahl Einlagen: 4 ; Oberdeck: 6 mm ; Unterdeck: 0 mm ; Gurtbreite: 1400 mm</t>
  </si>
  <si>
    <t>Fabric type: EP ; Tensile strength: 500 N/mm ; Number of plies: 4 ; Topcover: 6 mm ; Bottomcover: 0 mm ; Beltwidth: 1400 mm</t>
  </si>
  <si>
    <t>Carcasse: EP ; Tension de service: 500 N/mm ; Nombre de plis: 4 ; Revêtement supérieur: 6 mm ; Revêtement inférieur: 0 mm ; Largeur de bande: 1400 mm</t>
  </si>
  <si>
    <t>EP1400GLY500/4-6+0JO</t>
  </si>
  <si>
    <t>41,190</t>
  </si>
  <si>
    <t>EP1400GLY500/4-6+0SH</t>
  </si>
  <si>
    <t>35,990</t>
  </si>
  <si>
    <t>EP1400HB400/3-5+2-150°FF</t>
  </si>
  <si>
    <t>EP 400/3-5+2,BB1400,HB</t>
  </si>
  <si>
    <t>40,710</t>
  </si>
  <si>
    <t>Bandweefseltype: EP ; Treksterkte: 400 N/mm ; Aantal inlagen: 3 ; Bovendek: 5 mm ; Onderdek: 2 mm ; Bandbreedte: 1400 mm ; Hittebestendig 150°-170°</t>
  </si>
  <si>
    <t>Fabric type: EP ; Tensile strength: 400 N/mm ; Number of plies: 3 ; Topcover: 5 mm ; Bottomcover: 2 mm ; Beltwidth: 1400 mm ; Heat resistant 150°-170°</t>
  </si>
  <si>
    <t>EP1400HB400/3-5+2-150°PH</t>
  </si>
  <si>
    <t>39,880</t>
  </si>
  <si>
    <t>EP1400HB400/3-5+2-150°SL</t>
  </si>
  <si>
    <t>36,350</t>
  </si>
  <si>
    <t>Gewebetype: EP ; Zugfestigkeit: 400 N/mm ; Anzahl Einlagen: 3 ; Oberdeck: 5 mm ; Unterdeck: 2 mm ; Gurtbreite: 1600 mm ; Hitzebeständig 150°-170°</t>
  </si>
  <si>
    <t>EP1400HB500/4-5+2-200°JO</t>
  </si>
  <si>
    <t>EP 500/4-5+2,BB1400,HB200º</t>
  </si>
  <si>
    <t>48,461</t>
  </si>
  <si>
    <t>Bandweefseltype: EP ; Treksterkte: 500 N/mm ; Aantal inlagen: 4 ; Bovendek: 5 mm ; Onderdek: 2 mm ; Bandbreedte: 1400 mm ; Hittebestendig 180°-200°</t>
  </si>
  <si>
    <t>Gewebetype: EP ; Zugfestigkeit: 500 N/mm ; Anzahl Einlagen: 4 ; Oberdeck: 5 mm ; Unterdeck: 2 mm ; Gurtbreite: 1400 mm ; Hitzebeständig 180°-200°</t>
  </si>
  <si>
    <t>Fabric type: EP ; Tensile strength: 500 N/mm ; Number of plies: 4 ; Topcover: 5 mm ; Bottomcover: 2 mm ; Beltwidth: 1400 mm ; Heat resistant 180°-200°</t>
  </si>
  <si>
    <t>EP1400HB500/4-5+2-200°PH</t>
  </si>
  <si>
    <t>50,990</t>
  </si>
  <si>
    <t>EP1400HB500/4-5+2-200°SA</t>
  </si>
  <si>
    <t>67,180</t>
  </si>
  <si>
    <t>EP1400OVG1600/4-2+0SA</t>
  </si>
  <si>
    <t>EP1600/4-2+0,BB1400-GLY-O+V</t>
  </si>
  <si>
    <t>42,860</t>
  </si>
  <si>
    <t>EP1400OVG250/2-2+0HY</t>
  </si>
  <si>
    <t>EP 250/2-2+0,BB1400-GLY-O+V</t>
  </si>
  <si>
    <t>26,240</t>
  </si>
  <si>
    <t>Bandweefseltype: EP ; Treksterkte: 250 N/mm ; Aantal inlagen: 2 ; Bovendek: 2 mm ; Onderdek: 0 mm ; Bandbreedte: 1400 mm ; Olie- en vetbestendige Kwaliteit</t>
  </si>
  <si>
    <t>Gewebetype: EP ; Zugfestigkeit: 250 N/mm ; Anzahl Einlagen: 2 ; Oberdeck: 2 mm ; Unterdeck: 0 mm ; Gurtbreite: 1400 mm ; Öl und Fettbeständige Qualität</t>
  </si>
  <si>
    <t>Fabric type: EP ; Tensile strength: 250 N/mm ; Number of plies: 2 ; Topcover: 2 mm ; Bottomcover: 0 mm ; Beltwidth: 1400 mm ; Oil and Grease Resistant Quality</t>
  </si>
  <si>
    <t>EP1400OVG250/2-2+0JO</t>
  </si>
  <si>
    <t>21,170</t>
  </si>
  <si>
    <t>EP1400OVG250/2-2+0-MORHY</t>
  </si>
  <si>
    <t>EP 250/2-2+0,BB1400-GLY-O+V-MOR QUALITY</t>
  </si>
  <si>
    <t>21,362</t>
  </si>
  <si>
    <t>EP1400OVG400/3-2+0AR</t>
  </si>
  <si>
    <t>EP 400/3-2+0,BB1400-GLY-O+V</t>
  </si>
  <si>
    <t>35,850</t>
  </si>
  <si>
    <t>Bandweefseltype: EP ; Treksterkte: 400 N/mm ; Aantal inlagen: 3 ; Bovendek: 2 mm ; Onderdek: 0 mm ; Bandbreedte: 1400 mm ; Olie- en vetbestendige Kwaliteit</t>
  </si>
  <si>
    <t>Gewebetype: EP ; Zugfestigkeit: 400 N/mm ; Anzahl Einlagen: 3 ; Oberdeck: 2 mm ; Unterdeck: 0 mm ; Gurtbreite: 1400 mm ; Öl und Fettbeständige Qualität</t>
  </si>
  <si>
    <t>Fabric type: EP ; Tensile strength: 400 N/mm ; Number of plies: 3 ; Topcover: 2 mm ; Bottomcover: 0 mm ; Beltwidth: 1400 mm ; Oil and Grease Resistant Quality</t>
  </si>
  <si>
    <t>EP1400OVG400/3-2+0HY</t>
  </si>
  <si>
    <t>38,580</t>
  </si>
  <si>
    <t>EP1400OVG400/3-2+0JO</t>
  </si>
  <si>
    <t>28,340</t>
  </si>
  <si>
    <t>EP1400OVG400/3-3+0-25/06-970CT</t>
  </si>
  <si>
    <t>EP 400/3-3+0,BB1400-GLY-O+V-Profiel 25/06-970mm</t>
  </si>
  <si>
    <t>86,340</t>
  </si>
  <si>
    <t>EP1400OVG400/3-3+0FF</t>
  </si>
  <si>
    <t>EP 400/3-3+0,BB1400-GLY-O+V</t>
  </si>
  <si>
    <t>42,990</t>
  </si>
  <si>
    <t>Bandweefseltype: EP ; Treksterkte: 400 N/mm ; Aantal inlagen: 3 ; Bovendek: 3 mm ; Onderdek: 0 mm ; Bandbreedte: 1400 mm ; Olie- en vetbestendige Kwaliteit</t>
  </si>
  <si>
    <t>Gewebetype: EP ; Zugfestigkeit: 400 N/mm ; Anzahl Einlagen: 3 ; Oberdeck: 3 mm ; Unterdeck: 0 mm ; Gurtbreite: 1400 mm ; Öl und Fettbeständige Qualität</t>
  </si>
  <si>
    <t>Fabric type: EP ; Tensile strength: 400 N/mm ; Number of plies: 3 ; Topcover: 3 mm ; Bottomcover: 0 mm ; Beltwidth: 1400 mm ; Oil and Grease Resistant Quality</t>
  </si>
  <si>
    <t>EP1400OVG400/3-3+0HY</t>
  </si>
  <si>
    <t>45,170</t>
  </si>
  <si>
    <t>EP1400OVG400/3-3+0JO</t>
  </si>
  <si>
    <t>34,880</t>
  </si>
  <si>
    <t>EP1400OVG400/3-3+0-MORJO</t>
  </si>
  <si>
    <t>EP 400/3-3+0,BB1400-GLY-O+V-MOR</t>
  </si>
  <si>
    <t>26,890</t>
  </si>
  <si>
    <t>EP1400OVG400/3-3+0-MORSH</t>
  </si>
  <si>
    <t>23,120</t>
  </si>
  <si>
    <t>EP1400OVG500/4-0+0-SAWMILLHY</t>
  </si>
  <si>
    <t>EP 500/4-0+0,BB1400-O+V-Saw Mill</t>
  </si>
  <si>
    <t>44,366</t>
  </si>
  <si>
    <t>Bandweefseltype: EP ; Treksterkte: 500 N/mm ; Aantal inlagen: 4 ; Bovendek: 0 mm ; Onderdek: 0 mm ; Bandbreedte: 1400 mm ; Olie- en vetbestendige Kwaliteit</t>
  </si>
  <si>
    <t>Gewebetype: EP ; Zugfestigkeit: 500 N/mm ; Anzahl Einlagen: 4 ; Oberdeck: 0 mm ; Unterdeck: 0 mm ; Gurtbreite: 1400 mm ; Öl und Fettbeständige Qualität</t>
  </si>
  <si>
    <t>Fabric type: EP ; Tensile strength: 500 N/mm ; Number of plies: 4 ; Topcover: 0 mm ; Bottomcover: 0 mm ; Beltwidth: 1400 mm ; Oil and Grease Resistant Quality</t>
  </si>
  <si>
    <t>EP1400OVG500/4-3+0HY</t>
  </si>
  <si>
    <t>EP 500/4-3+0,BB1400-GLY-O+V</t>
  </si>
  <si>
    <t>56,450</t>
  </si>
  <si>
    <t>Bandweefseltype: EP ; Treksterkte: 500 N/mm ; Aantal inlagen: 4 ; Bovendek: 3 mm ; Onderdek: 0 mm ; Bandbreedte: 1400 mm ; Olie- en vetbestendige Kwaliteit</t>
  </si>
  <si>
    <t>Gewebetype: EP ; Zugfestigkeit: 500 N/mm ; Anzahl Einlagen: 4 ; Oberdeck: 3 mm ; Unterdeck: 0 mm ; Gurtbreite: 1400 mm ; Öl und Fettbeständige Qualität</t>
  </si>
  <si>
    <t>Fabric type: EP ; Tensile strength: 500 N/mm ; Number of plies: 4 ; Topcover: 3 mm ; Bottomcover: 0 mm ; Beltwidth: 1400 mm ; Oil and Grease Resistant Quality</t>
  </si>
  <si>
    <t>EP1400OVG500/4-6+0HY</t>
  </si>
  <si>
    <t>EP 500/4-6+0,BB1400-GLY-O+V</t>
  </si>
  <si>
    <t>79,630</t>
  </si>
  <si>
    <t>Glijband, Olie- en vetbestendige Kwaliteit ; EP 500/4-6+0</t>
  </si>
  <si>
    <t>Gleitgurt, Öl und Fettbeständige Qualität ; EP EP 500/4-6+0</t>
  </si>
  <si>
    <t>Bareback, Oil and Grease Resistant Quality ; EP 500/4-6+0</t>
  </si>
  <si>
    <t>Bande à sole de glisse, Qualité résistant aux huiles et graisses ; EP 500/4-6+0</t>
  </si>
  <si>
    <t>Bandweefseltype: EP ; Treksterkte: 500 N/mm ; Aantal inlagen: 4 ; Bovendek: 6 mm ; Onderdek: 0 mm ; Bandbreedte: 1400 mm ; Olie- en vetbestendige Kwaliteit</t>
  </si>
  <si>
    <t>Gewebetype: EP ; Zugfestigkeit: 500 N/mm ; Anzahl Einlagen: 4 ; Oberdeck: 6 mm ; Unterdeck: 0 mm ; Gurtbreite: 1400 mm ; Öl und Fettbeständige Qualität</t>
  </si>
  <si>
    <t>Fabric type: EP ; Tensile strength: 500 N/mm ; Number of plies: 4 ; Topcover: 6 mm ; Bottomcover: 0 mm ; Beltwidth: 1400 mm ; Oil and Grease Resistant Quality</t>
  </si>
  <si>
    <t>EP1400OVG500/4-6+0JO</t>
  </si>
  <si>
    <t>52,850</t>
  </si>
  <si>
    <t>EP1400OVX1000/5-3+3-ELEVATORSA</t>
  </si>
  <si>
    <t>EP 1000/5-3+3-BB1400 ELEVATOR-OV</t>
  </si>
  <si>
    <t>65,030</t>
  </si>
  <si>
    <t>Elevator, Olie- en vetbestendige Kwaliteit ; EP 1000/5-3+3</t>
  </si>
  <si>
    <t>Elevator, Öl und Fettbeständige Qualität ; EP 1000/5-3+3</t>
  </si>
  <si>
    <t>Elevator, Oil and Grease Resistant Quality ; EP 1000/5-3+3</t>
  </si>
  <si>
    <t>Élévatrice, Qualité résistant aux huiles et graisses ; EP 1000/5-3+3</t>
  </si>
  <si>
    <t>Bandweefseltype: EP ; Treksterkte: 1000 N/mm ; Aantal inlagen: 5 ; Bovendek: 3 mm ; Onderdek: 3 mm ; Bandbreedte: 1400 mm ; Olie- en vetbestendige Kwaliteit ; Elevator</t>
  </si>
  <si>
    <t>Gewebetype: EP ; Zugfestigkeit: 1000 N/mm ; Anzahl Einlagen: 5 ; Oberdeck: 3 mm ; Unterdeck: 3 mm ; Gurtbreite: 1400 mm ; Öl und Fettbeständige Qualität ; Elevator</t>
  </si>
  <si>
    <t>Fabric type: EP ; Tensile strength: 1000 N/mm ; Number of plies: 5 ; Topcover: 3 mm ; Bottomcover: 3 mm ; Beltwidth: 1400 mm ; Oil and Grease Resistant Quality ; Elevator</t>
  </si>
  <si>
    <t xml:space="preserve">Carcasse: EP ; Tension de service: 1000 N/mm ; Nombre de plis: 5 ; Revêtement supérieur: 3 mm ; Revêtement inférieur: 3 mm ; Largeur de bande: 1400 mm ; Qualité résistante à l’huile et graisse ; Sangle Elévatrice
</t>
  </si>
  <si>
    <t>EP1400OVX1600/4-2+2PH</t>
  </si>
  <si>
    <t>EP 1600/4-2+2-BB1400-O+V</t>
  </si>
  <si>
    <t>48,610</t>
  </si>
  <si>
    <t>EP1400OVX250/2-3+1HY</t>
  </si>
  <si>
    <t>EP 250/2-3+1,BB1400-O+V</t>
  </si>
  <si>
    <t>41,070</t>
  </si>
  <si>
    <t>Bandweefseltype: EP ; Treksterkte: 250 N/mm ; Aantal inlagen: 2 ; Bovendek: 3 mm ; Onderdek: 1 mm ; Bandbreedte: 1400 mm ; Olie- en vetbestendige Kwaliteit</t>
  </si>
  <si>
    <t>Gewebetype: EP ; Zugfestigkeit: 250 N/mm ; Anzahl Einlagen: 2 ; Oberdeck: 3 mm ; Unterdeck: 1 mm ; Gurtbreite: 1400 mm ; Öl und Fettbeständige Qualität</t>
  </si>
  <si>
    <t>Fabric type: EP ; Tensile strength: 250 N/mm ; Number of plies: 2 ; Topcover: 3 mm ; Bottomcover: 1 mm ; Beltwidth: 1400 mm ; Oil and Grease Resistant Quality</t>
  </si>
  <si>
    <t>EP1400OVX250/2-3+1JO</t>
  </si>
  <si>
    <t>30,510</t>
  </si>
  <si>
    <t>EP1400OVX400/3-3+1JO</t>
  </si>
  <si>
    <t>EP 400/3-3+1,BB1400-O+V</t>
  </si>
  <si>
    <t>32,267</t>
  </si>
  <si>
    <t>Bandweefseltype: EP ; Treksterkte: 400 N/mm ; Aantal inlagen: 3 ; Bovendek: 3 mm ; Onderdek: 1 mm ; Bandbreedte: 1400 mm ; Olie- en vetbestendige Kwaliteit</t>
  </si>
  <si>
    <t>Gewebetype: EP ; Zugfestigkeit: 400 N/mm ; Anzahl Einlagen: 3 ; Oberdeck: 3 mm ; Unterdeck: 1 mm ; Gurtbreite: 1400 mm ; Öl und Fettbeständige Qualität</t>
  </si>
  <si>
    <t>Fabric type: EP ; Tensile strength: 400 N/mm ; Number of plies: 3 ; Topcover: 3 mm ; Bottomcover: 1 mm ; Beltwidth: 1400 mm ; Oil and Grease Resistant Quality</t>
  </si>
  <si>
    <t>EP1400OVX400/3-4+2JO</t>
  </si>
  <si>
    <t>EP 400/3-4+2,BB1400-O+V</t>
  </si>
  <si>
    <t>39,440</t>
  </si>
  <si>
    <t>Bandweefseltype: EP ; Treksterkte: 400 N/mm ; Aantal inlagen: 3 ; Bovendek: 4 mm ; Onderdek: 2 mm ; Bandbreedte: 1400 mm ; Olie- en vetbestendige Kwaliteit</t>
  </si>
  <si>
    <t>Gewebetype: EP ; Zugfestigkeit: 400 N/mm ; Anzahl Einlagen: 3 ; Oberdeck: 4 mm ; Unterdeck: 2 mm ; Gurtbreite: 1400 mm ; Öl und Fettbeständige Qualität</t>
  </si>
  <si>
    <t>Fabric type: EP ; Tensile strength: 400 N/mm ; Number of plies: 3 ; Topcover: 4 mm ; Bottomcover: 2 mm ; Beltwidth: 1400 mm ; Oil and Grease Resistant Quality</t>
  </si>
  <si>
    <t>EP1400OVX400/3-4+2PH</t>
  </si>
  <si>
    <t>34,440</t>
  </si>
  <si>
    <t>EP1400OVX400/3-4+2SA</t>
  </si>
  <si>
    <t>41,270</t>
  </si>
  <si>
    <t>EP1400OVX400/3-4+2SL</t>
  </si>
  <si>
    <t>EP1400OVX500/3-6+2PH</t>
  </si>
  <si>
    <t>EP 500/3-6+2,BB1400-O+V</t>
  </si>
  <si>
    <t>42,300</t>
  </si>
  <si>
    <t>Bandweefseltype: EP ; Treksterkte: 500 N/mm ; Aantal inlagen: 3 ; Bovendek: 6 mm ; Onderdek: 2 mm ; Bandbreedte: 1400 mm ; Olie- en vetbestendige Kwaliteit</t>
  </si>
  <si>
    <t>Gewebetype: EP ; Zugfestigkeit: 500 N/mm ; Anzahl Einlagen: 3 ; Oberdeck: 6 mm ; Unterdeck: 2 mm ; Gurtbreite: 1400 mm ; Öl und Fettbeständige Qualität</t>
  </si>
  <si>
    <t>Fabric type: EP ; Tensile strength: 500 N/mm ; Number of plies: 3 ; Topcover: 6 mm ; Bottomcover: 2 mm ; Beltwidth: 1400 mm ; Oil and Grease Resistant Quality</t>
  </si>
  <si>
    <t>EP1400OVX500/3-6+2SA</t>
  </si>
  <si>
    <t>53,560</t>
  </si>
  <si>
    <t>EP1400OVX630/4-2+2-ELEVATORSA</t>
  </si>
  <si>
    <t>EP 630/4-2+2-BB1400 ELEVATOR-OV</t>
  </si>
  <si>
    <t>Bandweefseltype: EP ; Treksterkte: 630 N/mm ; Aantal inlagen: 4 ; Bovendek: 2 mm ; Onderdek: 2 mm ; Bandbreedte: 1400 mm ; Olie- en vetbestendige Kwaliteit ; Elevator</t>
  </si>
  <si>
    <t>Gewebetype: EP ; Zugfestigkeit: 630 N/mm ; Anzahl Einlagen: 4 ; Oberdeck: 2 mm ; Unterdeck: 2 mm ; Gurtbreite: 1400 mm ; Öl und Fettbeständige Qualität ; Elevator</t>
  </si>
  <si>
    <t>Fabric type: EP ; Tensile strength: 630 N/mm ; Number of plies: 4 ; Topcover: 2 mm ; Bottomcover: 2 mm ; Beltwidth: 1400 mm ; Oil and Grease Resistant Quality ; Elevator</t>
  </si>
  <si>
    <t xml:space="preserve">Carcasse: EP ; Tension de service: 630 N/mm ; Nombre de plis: 4 ; Revêtement supérieur: 2 mm ; Revêtement inférieur: 2 mm ; Largeur de bande: 1400 mm ; Qualité résistante à l’huile et graisse ; Sangle Elévatrice
</t>
  </si>
  <si>
    <t>EP1400OVX630/4-8+3SA</t>
  </si>
  <si>
    <t>EP 630/4-8+3-BB1400-OV</t>
  </si>
  <si>
    <t>128,500</t>
  </si>
  <si>
    <t>72,747</t>
  </si>
  <si>
    <t>Meerlaags, Olie- en vetbestendige Kwaliteit ; EP 630/4-8+3</t>
  </si>
  <si>
    <t>Mehrlagig, Öl und Fettbeständige Qualität ; EP 630/4-8+3</t>
  </si>
  <si>
    <t>Multiply, Oil and Grease Resistant Quality ; EP 630/4-8+3</t>
  </si>
  <si>
    <t>Multiplis, Qualité résistant aux huiles et graisses ; EP 630/4-8+3</t>
  </si>
  <si>
    <t>Bandweefseltype: EP ; Treksterkte: 630 N/mm ; Aantal inlagen: 4 ; Bovendek: 8 mm ; Onderdek: 3 mm ; Bandbreedte: 1400 mm ; Olie- en vetbestendige Kwaliteit</t>
  </si>
  <si>
    <t>Gewebetype: EP ; Zugfestigkeit: 630 N/mm ; Anzahl Einlagen: 4 ; Oberdeck: 8 mm ; Unterdeck: 3 mm ; Gurtbreite: 1400 mm ; Öl und Fettbeständige Qualität</t>
  </si>
  <si>
    <t>Fabric type: EP ; Tensile strength: 630 N/mm ; Number of plies: 4 ; Topcover: 8 mm ; Bottomcover: 3 mm ; Beltwidth: 1400 mm ; Oil and Grease Resistant Quality</t>
  </si>
  <si>
    <t>EP1400OVX800/4-2+2-ELEVATORSA</t>
  </si>
  <si>
    <t>EP 800/4-2+2-BB1400 ELEVATOR-OV</t>
  </si>
  <si>
    <t>Bandweefseltype: EP ; Treksterkte: 800 N/mm ; Aantal inlagen: 4 ; Bovendek: 2 mm ; Onderdek: 2 mm ; Bandbreedte: 1400 mm ; Olie- en vetbestendige Kwaliteit ; Elevator</t>
  </si>
  <si>
    <t>Gewebetype: EP ; Zugfestigkeit: 800 N/mm ; Anzahl Einlagen: 4 ; Oberdeck: 2 mm ; Unterdeck: 2 mm ; Gurtbreite: 1400 mm ; Öl und Fettbeständige Qualität ; Elevator</t>
  </si>
  <si>
    <t>Fabric type: EP ; Tensile strength: 800 N/mm ; Number of plies: 4 ; Topcover: 2 mm ; Bottomcover: 2 mm ; Beltwidth: 1400 mm ; Oil and Grease Resistant Quality ; Elevator</t>
  </si>
  <si>
    <t xml:space="preserve">Carcasse: EP ; Tension de service: 800 N/mm ; Nombre de plis: 4 ; Revêtement supérieur: 2 mm ; Revêtement inférieur: 2 mm ; Largeur de bande: 1400 mm ; Qualité résistante à l’huile et graisse ; Sangle Elévatrice
</t>
  </si>
  <si>
    <t>EP1400PRG250/2-3+2-MULTIVHY</t>
  </si>
  <si>
    <t>EP 250/2-3+2,BB1400-Multi V profiel 6 mm O&amp;V</t>
  </si>
  <si>
    <t>66,563</t>
  </si>
  <si>
    <t>Bandweefseltype: EP ; Treksterkte: 250 N/mm ; Aantal inlagen: 2 ; Bovendek: 3 mm ; Onderdek: 2 mm ; Bandbreedte: 1400 mm ; Profiel hoogte: 6 mm ; Profiel breedte: Volledige bandbreedte ; Type: V6 ; Olie- en vetbestendige Kwaliteit</t>
  </si>
  <si>
    <t>Gewebetype: EP ; Zugfestigkeit: 250 N/mm ; Anzahl Einlagen: 2 ; Oberdeck: 3 mm ; Unterdeck: 2 mm ; Gurtbreite: 1400 mm ; Profilhöhe: 6 mm ; Profilbreite: Komplette Gurtbreite ; Profiltyp: V6 ; Öl und Fettbeständige Qualität</t>
  </si>
  <si>
    <t>Fabric type: EP ; Tensile strength: 250 N/mm ; Number of plies: 2 ; Topcover: 3 mm ; Bottomcover: 2 mm ; Beltwidth: 1400 mm ; Profile height: 6 mm ; Profile width: Full belt width ; Profile type: V6 ; Oil and Grease Resistant Quality</t>
  </si>
  <si>
    <t>Carcasse: EP ; Résistance à la traction: 250 N/mm ; Nombre de plis: 2 ; Revêtement supérieur: 3 mm ; Revêtement inférieur: 2 mm ; Largeur de bande: 1400 mm ; Hauteur du profil: 6 mm ; Largeur du profil: Sur toute la largeur ; Type de profil: V6 ; Qualité résistant aux huiles et graisses</t>
  </si>
  <si>
    <t>EP1400PRG400/3-3+1-H100HY</t>
  </si>
  <si>
    <t>EP 400/3-3+1,BB1400-profiel H100 O&amp;V</t>
  </si>
  <si>
    <t>137,610</t>
  </si>
  <si>
    <t>Chevron, Olie- en vetbestendige kwaliteit ; EP 400/3-3+1 met H100 profiel</t>
  </si>
  <si>
    <t>Chevron, Öl und Fettbeständige Qualität ; EP 400/3-3+1  mit H100 Profil</t>
  </si>
  <si>
    <t>Chevron, Oil and Grease Resistant Quality ; EP 400/3-3+1 with H100  profile</t>
  </si>
  <si>
    <t>Chevron, Qualité résistant aux huiles et graisses ; EP 400/3-3+1 avec H100  profil</t>
  </si>
  <si>
    <t>Bandweefseltype: EP ; Treksterkte: 400 N/mm ; Aantal inlagen: 3 ; Bovendek: 3 mm ; Onderdek: 1 mm ; Bandbreedte: 1400 mm ; Profiel hoogte: 32 mm ; Profiel breedte: 1000mm ; Type: H100 ; Olie- en vetbestendige Kwaliteit</t>
  </si>
  <si>
    <t>Gewebetype: EP ; Zugfestigkeit: 400 N/mm ; Anzahl Einlagen: 3 ; Oberdeck: 3 mm ; Unterdeck: 1 mm ; Gurtbreite: 1400 mm ; Profilhöhe: 32 mm ; Profilbreite: 1000mm ; Profiltyp: H100 ; Öl und Fettbeständige Qualität</t>
  </si>
  <si>
    <t>Fabric type: EP ; Tensile strength: 400 N/mm ; Number of plies: 3 ; Topcover: 3 mm ; Bottomcover: 1 mm ; Beltwidth: 1400 mm ; Profile height: 32 mm ; Profile width: 1000mm ; Profile type: H100 ; Oil and Grease Resistant Quality</t>
  </si>
  <si>
    <t>Carcasse: EP ; Résistance à la traction: 400 N/mm ; Nombre de plis: 3 ; Revêtement supérieur: 3 mm ; Revêtement inférieur: 1 mm ; Largeur de bande: 1400 mm ; Hauteur du profil: 32 mm ; Largeur du profil: 1000mm ; Type de profil: H100 ; Qualité résistant aux huiles et graisses</t>
  </si>
  <si>
    <t>EP1400PRG400/3-3+1-H130HY</t>
  </si>
  <si>
    <t>EP 400/3-3+1,BB1400-profiel H130 O&amp;V</t>
  </si>
  <si>
    <t>120,460</t>
  </si>
  <si>
    <t>Chevron, Olie- en vetbestendige kwaliteit ; EP 400/3-3+1 met H130 profiel</t>
  </si>
  <si>
    <t>Chevron, Öl und Fettbeständige Qualität ; EP 400/3-3+1  mit H130 Profil</t>
  </si>
  <si>
    <t>Chevron, Oil and Grease Resistant Quality ; EP 400/3-3+1 with H130  profile</t>
  </si>
  <si>
    <t>Chevron, Qualité résistant aux huiles et graisses ; EP 400/3-3+1 avec H130  profil</t>
  </si>
  <si>
    <t>Bandweefseltype: EP ; Treksterkte: 400 N/mm ; Aantal inlagen: 3 ; Bovendek: 3 mm ; Onderdek: 1 mm ; Bandbreedte: 1400 mm ; Profiel hoogte: 32 mm ; Profiel breedte: 1300mm ; Type: H130 ; Olie- en vetbestendige Kwaliteit</t>
  </si>
  <si>
    <t>Gewebetype: EP ; Zugfestigkeit: 400 N/mm ; Anzahl Einlagen: 3 ; Oberdeck: 3 mm ; Unterdeck: 1 mm ; Gurtbreite: 1400 mm ; Profilhöhe: 32 mm ; Profilbreite: 1300mm ; Profiltyp: H130 ; Öl und Fettbeständige Qualität</t>
  </si>
  <si>
    <t>Fabric type: EP ; Tensile strength: 400 N/mm ; Number of plies: 3 ; Topcover: 3 mm ; Bottomcover: 1 mm ; Beltwidth: 1400 mm ; Profile height: 32 mm ; Profile width: 1300mm ; Profile type: H130 ; Oil and Grease Resistant Quality</t>
  </si>
  <si>
    <t>Carcasse: EP ; Résistance à la traction: 400 N/mm ; Nombre de plis: 3 ; Revêtement supérieur: 3 mm ; Revêtement inférieur: 1 mm ; Largeur de bande: 1400 mm ; Hauteur du profil: 32 mm ; Largeur du profil: 1300mm ; Type de profil: H130 ; Qualité résistant aux huiles et graisses</t>
  </si>
  <si>
    <t>EP1400PRG400/3-3+1-H130-TA</t>
  </si>
  <si>
    <t>68,720</t>
  </si>
  <si>
    <t>EP1400PRG400/3-3+1-L129HY</t>
  </si>
  <si>
    <t>EP 400/3-3+1-BB1400-profiel L129 O&amp;V</t>
  </si>
  <si>
    <t>139,200</t>
  </si>
  <si>
    <t>77,670</t>
  </si>
  <si>
    <t>Chevron, Olie- en vetbestendige kwaliteit ; EP 400/3-3+1 met L129 profiel</t>
  </si>
  <si>
    <t>Chevron, Öl und Fettbeständige Qualität ; EP 400/3-3+1  mit L129 Profil</t>
  </si>
  <si>
    <t>Chevron, Oil and Grease Resistant Quality ; EP 400/3-3+1 with L129  profile</t>
  </si>
  <si>
    <t>Chevron, Qualité résistant aux huiles et graisses ; EP 400/3-3+1 avec L129  profil</t>
  </si>
  <si>
    <t>Bandweefseltype: EP ; Treksterkte: 400 N/mm ; Aantal inlagen: 3 ; Bovendek: 3 mm ; Onderdek: 1 mm ; Bandbreedte: 1400 mm ; Profiel hoogte: 17 mm ; Profiel breedte: 1290mm ; Type: L129 ; Olie- en vetbestendige Kwaliteit</t>
  </si>
  <si>
    <t>Gewebetype: EP ; Zugfestigkeit: 400 N/mm ; Anzahl Einlagen: 3 ; Oberdeck: 3 mm ; Unterdeck: 1 mm ; Gurtbreite: 1400 mm ; Profilhöhe: 17 mm ; Profilbreite: 1290mm ; Profiltyp: L129 ; Öl und Fettbeständige Qualität</t>
  </si>
  <si>
    <t>Fabric type: EP ; Tensile strength: 400 N/mm ; Number of plies: 3 ; Topcover: 3 mm ; Bottomcover: 1 mm ; Beltwidth: 1400 mm ; Profile height: 17 mm ; Profile width: 1290mm ; Profile type: L1290 ; Oil and Grease Resistant Quality</t>
  </si>
  <si>
    <t>Carcasse: EP ; Résistance à la traction: 400 N/mm ; Nombre de plis: 3 ; Revêtement supérieur: 3 mm ; Revêtement inférieur: 1 mm ; Largeur de bande: 1400 mm ; Hauteur du profil: 17 mm ; Largeur du profil: 1290mm ; Type de profil: L129 ; Qualité résistant aux huiles et graisses</t>
  </si>
  <si>
    <t>EP1400PRG400/3-3+2-C25P1335HY</t>
  </si>
  <si>
    <t>EP 400/3-3+2-BB1400-profiel C25P1335 O&amp;V</t>
  </si>
  <si>
    <t>124,580</t>
  </si>
  <si>
    <t>Chevron, Olie- en vetbestendige kwaliteit ; EP 400/3-3+2 met C25 profiel</t>
  </si>
  <si>
    <t>Chevron, Öl und Fettbeständige Qualität ; EP 400/3-3+2  mit C25 Profil</t>
  </si>
  <si>
    <t>Chevron, Oil and Grease Resistant Quality ; EP 400/3-3+2 with C25  profile</t>
  </si>
  <si>
    <t>Chevron, Qualité résistant aux huiles et graisses ; EP 400/3-3+2 avec C25  profil</t>
  </si>
  <si>
    <t>Bandweefseltype: EP ; Treksterkte: 400 N/mm ; Aantal inlagen: 3 ; Bovendek: 3 mm ; Onderdek: 2 mm ; Bandbreedte: 1400 mm ; Profiel hoogte: 25 mm ; Profiel breedte: 1335mm ; Type:C25P1335 ; Olie- en vetbestendige Kwaliteit</t>
  </si>
  <si>
    <t>Gewebetype: EP ; Zugfestigkeit: 400 N/mm ; Anzahl Einlagen: 3 ; Oberdeck: 3 mm ; Unterdeck: 2 mm ; Gurtbreite: 1400 mm ; Profilhöhe: 25 mm ; Profilbreite: 1335mm ; Profiltyp: C25P1335 ; Öl und Fettbeständige Qualität</t>
  </si>
  <si>
    <t>Fabric type: EP ; Tensile strength: 400 N/mm ; Number of plies: 3 ; Topcover: 3 mm ; Bottomcover: 2 mm ; Beltwidth: 1400 mm ; Profile height: 25 mm ; Profile width: 1335mm ; Profile type: C25P1335 ; Oil and Grease Resistant Quality</t>
  </si>
  <si>
    <t>Carcasse: EP ; Résistance à la traction: 400 N/mm ; Nombre de plis: 3 ; Revêtement supérieur: 3 mm ; Revêtement inférieur: 2 mm ; Largeur de bande: 1400 mm ; Hauteur du profil: 25 mm ; Largeur du profil: 1335mm ; Type de profil: C25P1335 ; Qualité résistant aux huiles et graisses</t>
  </si>
  <si>
    <t>EP1400PRG400/3-3+2-MULTIVHY</t>
  </si>
  <si>
    <t>EP 400/3-3+2,BB1400-Multi V profiel 6 mm O&amp;V</t>
  </si>
  <si>
    <t>57,344</t>
  </si>
  <si>
    <t>Bandweefseltype: EP ; Treksterkte: 400 N/mm ; Aantal inlagen: 3 ; Bovendek: 3 mm ; Onderdek: 2 mm ; Bandbreedte: 1400 mm ; Profiel hoogte: 6 mm ; Profiel breedte: Volledige bandbreedte ; Type: V6 ; Olie- en vetbestendige Kwaliteit</t>
  </si>
  <si>
    <t>Gewebetype: EP ; Zugfestigkeit: 400 N/mm ; Anzahl Einlagen: 3 ; Oberdeck: 3 mm ; Unterdeck: 2 mm ; Gurtbreite: 1400 mm ; Profilhöhe: 6 mm ; Profilbreite: Komplette Gurtbreite ; Profiltyp: V6 ; Öl und Fettbeständige Qualität</t>
  </si>
  <si>
    <t>Fabric type: EP ; Tensile strength: 400 N/mm ; Number of plies: 3 ; Topcover: 3 mm ; Bottomcover: 2 mm ; Beltwidth: 1400 mm ; Profile height: 6 mm ; Profile width: Full belt width ; Profile type: V6 ; Oil and Grease Resistant Quality</t>
  </si>
  <si>
    <t>Carcasse: EP ; Résistance à la traction: 400 N/mm ; Nombre de plis: 3 ; Revêtement supérieur: 3 mm ; Revêtement inférieur: 2 mm ; Largeur de bande: 1400 mm ; Hauteur du profil: 6 mm ; Largeur du profil: Sur toute la largeur ; Type de profil: V6 ; Qualité résistant aux huiles et graisses</t>
  </si>
  <si>
    <t>EP1400PRH400/3-3+1-H100HY</t>
  </si>
  <si>
    <t>EP 400/3-3+1,BB1400-profiel H100</t>
  </si>
  <si>
    <t>102,740</t>
  </si>
  <si>
    <t>Chevron, Standaard kwaliteit ; EP 400/3-3+1 met H130 profiel</t>
  </si>
  <si>
    <t>Chevron, Standardqualität ; EP 400/3-3+1 mit H130 Profil</t>
  </si>
  <si>
    <t>Chevron, Standard Quality ; EP 400/3-3+1 with H130 profile</t>
  </si>
  <si>
    <t>Chevron, Qualité standard ; EP 400/3-3+1 met H130 profil</t>
  </si>
  <si>
    <t>Bandweefseltype: EP ; Treksterkte: 400 N/mm ; Aantal inlagen: 3 ; Bovendek: 3 mm ; Onderdek:  mm 1 ; Bandbreedte: 1400 mm ; Profiel hoogte: 32 mm ; Profiel breedte: 1300 mm ; Profiel type: open</t>
  </si>
  <si>
    <t>Gewebetype: EP ; Zugfestigkeit: 400 N/mm ; Anzahl Einlagen: 3 ; Oberdeck: 3 mm ; Unterdeck: 1 mm ; Gurtbreite: 1400 mm ; Profilhöhe: 32 mm ; Profilbreite: 1300 mm ; Profiltyp: offen</t>
  </si>
  <si>
    <t>Fabric type: EP ; Tensile strength: 400 N/mm ; Number of plies: 3 ; Topcover: 3 mm ; Bottomcover: 1 mm ; Beltwidth: 1400 mm ; Profile height: 32 mm ; Profile width: 1300 mm ; Profile type: open</t>
  </si>
  <si>
    <t>Carcasse: EP ; Résistance à la traction: 400 N/mm ; Nombre de plis: 3 ; Revêtement supérieur: 3 mm ; Revêtement inférieur: 1 mm ; Largeur de bande: 1400 mm ; Hauteur du profil: 32 mm ; Largeur du profil: 1300 mm ; Type de profil: Ouvert</t>
  </si>
  <si>
    <t>EP1400PRH400/3-3+1-H130HY</t>
  </si>
  <si>
    <t>EP 400/3-3+1,BB1400-profiel H130</t>
  </si>
  <si>
    <t>112,130</t>
  </si>
  <si>
    <t>EP1400PRH400/3-3+1-H130-TA</t>
  </si>
  <si>
    <t>62,250</t>
  </si>
  <si>
    <t>Bandweefseltype: EP ; Treksterkte: 400 N/mm ; Aantal inlagen: 3 ; Bovendek: 3 mm ; Onderdek:  mm 1 ; Bandbreedte: 1600 mm ; Profiel hoogte: 32 mm ; Profiel breedte: 1300 mm ; Profiel type: open</t>
  </si>
  <si>
    <t>Gewebetype: EP ; Zugfestigkeit: 400 N/mm ; Anzahl Einlagen: 3 ; Oberdeck: 3 mm ; Unterdeck: 1 mm ; Gurtbreite: 1600 mm ; Profilhöhe: 32 mm ; Profilbreite: 1300 mm ; Profiltyp: offen</t>
  </si>
  <si>
    <t>Fabric type: EP ; Tensile strength: 400 N/mm ; Number of plies: 3 ; Topcover: 3 mm ; Bottomcover: 1 mm ; Beltwidth: 1600 mm ; Profile height: 32 mm ; Profile width: 1300 mm ; Profile type: open</t>
  </si>
  <si>
    <t>Carcasse: EP ; Résistance à la traction: 400 N/mm ; Nombre de plis: 3 ; Revêtement supérieur: 3 mm ; Revêtement inférieur: 1 mm ; Largeur de bande: 1600 mm ; Hauteur du profil: 32 mm ; Largeur du profil: 1300 mm ; Type de profil: Ouvert</t>
  </si>
  <si>
    <t>EP1400PRL250/2-3+2-MULTIVSH</t>
  </si>
  <si>
    <t>EP 250/2-3+2,BB1400-Multi V profiel 6 mm</t>
  </si>
  <si>
    <t>25,800</t>
  </si>
  <si>
    <t>Bandweefseltype: EP ; Treksterkte: 250 N/mm ; Aantal inlagen: 2 ; Bovendek: 3 mm ; Onderdek: 2 mm ; Bandbreedte: 1400 mm ; Profiel hoogte: 6 mm ; Profiel breedte: Volledige bandbreedte ; Type: V6</t>
  </si>
  <si>
    <t>Gewebetype: EP ; Zugfestigkeit: 250 N/mm ; Anzahl Einlagen: 2 ; Oberdeck: 3 mm ; Unterdeck: 2 mm ; Gurtbreite: 1400 mm ; Profilhöhe: 6 mm ; Profilbreite: Komplette Gurtbreite ; Profiltyp: V6</t>
  </si>
  <si>
    <t>Fabric type: EP ; Tensile strength: 250 N/mm ; Number of plies: 2 ; Topcover: 3 mm ; Bottomcover: 2 mm ; Beltwidth: 1400 mm ; Profile height: 6 mm ; Profile width: Full belt width ; Profile type: V6</t>
  </si>
  <si>
    <t>Carcasse: EP ; Résistance à la traction: 250 N/mm ; Nombre de plis: 2 ; Revêtement supérieur: 3 mm ; Revêtement inférieur: 2 mm ; Largeur de bande: 1400 mm ; Hauteur du profil: 6 mm ; Largeur du profil: Sur toute la largeur ; Type de profil: V6</t>
  </si>
  <si>
    <t>EP1400PRL400/3-3+1½-L129HY</t>
  </si>
  <si>
    <t>EP 400/3-3+1-BB1400-profiel L129</t>
  </si>
  <si>
    <t>59,330</t>
  </si>
  <si>
    <t>Chevron, Standaard kwaliteit ; EP 400/3-3+1 met L129 profiel</t>
  </si>
  <si>
    <t>Chevron, Standardqualität ; EP 400/3-3+1 mit L129 Profil</t>
  </si>
  <si>
    <t>Chevron, Standard Quality ; EP 400/3-3+1 with L129 profile</t>
  </si>
  <si>
    <t>Chevron, Qualité standard ; EP 400/3-3+1 met L129 profil</t>
  </si>
  <si>
    <t>Bandweefseltype: EP ; Treksterkte: 400 N/mm ; Aantal inlagen: 3 ; Bovendek: 3 mm ; Onderdek:  mm 1 ; Bandbreedte: 1400 mm ; Profiel hoogte: 15 mm ; Profiel breedte: 1290 mm ; Profiel type: open Y</t>
  </si>
  <si>
    <t>Gewebetype: EP ; Zugfestigkeit: 400 N/mm ; Anzahl Einlagen: 3 ; Oberdeck: 3 mm ; Unterdeck: 1 mm ; Gurtbreite: 1400 mm ; Profilhöhe: 15 mm ; Profilbreite: 1290 mm ; Profiltyp: offen Y</t>
  </si>
  <si>
    <t>Fabric type: EP ; Tensile strength: 400 N/mm ; Number of plies: 3 ; Topcover: 3 mm ; Bottomcover: 1 mm ; Beltwidth: 1400 mm ; Profile height: 15 mm ; Profile width: 1290 mm ; Profile type: open Y</t>
  </si>
  <si>
    <t>Carcasse: EP ; Résistance à la traction: 400 N/mm ; Nombre de plis: 3 ; Revêtement supérieur: 3 mm ; Revêtement inférieur: 1 mm ; Largeur de bande: 1400 mm ; Hauteur du profil: 15 mm ; Largeur du profil: 1290 mm ; Type de profil: Y Ouvert</t>
  </si>
  <si>
    <t>EP1400PRL400/3-3+2-MULTIVHY</t>
  </si>
  <si>
    <t>EP 400/3-3+2,BB1400-Multi V profiel 6 mm</t>
  </si>
  <si>
    <t>63,890</t>
  </si>
  <si>
    <t>Bandweefseltype: EP ; Treksterkte: 400 N/mm ; Aantal inlagen: 3 ; Bovendek: 3 mm ; Onderdek: 2 mm ; Bandbreedte: 1400 mm ; Profiel hoogte: 6 mm ; Profiel breedte: Volledige bandbreedte ; Type: V6</t>
  </si>
  <si>
    <t>Gewebetype: EP ; Zugfestigkeit: 400 N/mm ; Anzahl Einlagen: 3 ; Oberdeck: 3 mm ; Unterdeck: 2 mm ; Gurtbreite: 1400 mm ; Profilhöhe: 6 mm ; Profilbreite: Komplette Gurtbreite ; Profiltyp: V6</t>
  </si>
  <si>
    <t>Fabric type: EP ; Tensile strength: 400 N/mm ; Number of plies: 3 ; Topcover: 3 mm ; Bottomcover: 2 mm ; Beltwidth: 1400 mm ; Profile height: 6 mm ; Profile width: Full belt width ; Profile type: V6</t>
  </si>
  <si>
    <t>Carcasse: EP ; Résistance à la traction: 400 N/mm ; Nombre de plis: 3 ; Revêtement supérieur: 3 mm ; Revêtement inférieur: 2 mm ; Largeur de bande: 1400 mm ; Hauteur du profil: 6 mm ; Largeur du profil: Sur toute la largeur ; Type de profil: V6</t>
  </si>
  <si>
    <t>EP1400PRL400/3-3+2-MULTIVSH</t>
  </si>
  <si>
    <t>28,160</t>
  </si>
  <si>
    <t>EP1400PRM400/3-3+2-C25P1000HY</t>
  </si>
  <si>
    <t>EP 400/3-3+2-BB1400-profiel C25P1000</t>
  </si>
  <si>
    <t>68,450</t>
  </si>
  <si>
    <t>Chevron, Standaard kwaliteit ; EP 400/3-3+2 met C25P1000 profiel</t>
  </si>
  <si>
    <t>Chevron, Standardqualität ; EP 400/3-3+2 mit C25P1000 Profil</t>
  </si>
  <si>
    <t>Chevron, Standard Quality ; EP 400/3-3+2  with C25P1000  profile</t>
  </si>
  <si>
    <t>Chevron, Qualité standard ; EP 400/3-3+2 met C25P1000  profil</t>
  </si>
  <si>
    <t>Bandweefseltype: EP ; Treksterkte: 400 N/mm ; Aantal inlagen: 3 ; Bovendek: 3 mm ; Onderdek:  2 mm ; Bandbreedte: 1400 mm ; Profiel hoogte: 25 mm ; Profiel breedte: 1000 mm ; Profiel type: open</t>
  </si>
  <si>
    <t>Gewebetype: EP ; Zugfestigkeit: 400 N/mm ; Anzahl Einlagen: 3 ; Oberdeck: 3 mm ; Unterdeck: 2 mm ; Gurtbreite: 1400 mm ; Profilhöhe: 25 mm ; Profilbreite: 1000 mm ; Profiltyp: offen</t>
  </si>
  <si>
    <t>Fabric type: EP ; Tensile strength: 400 N/mm ; Number of plies: 3 ; Topcover: 3 mm ; Bottomcover: 2 mm ; Beltwidth: 1400 mm ; Profile height: 25 mm ; Profile width: 1000 mm ; Profile type: open</t>
  </si>
  <si>
    <t>Carcasse: EP ; Résistance à la traction: 400 N/mm ; Nombre de plis: 3 ; Revêtement supérieur: 3 mm ; Revêtement inférieur: 2 mm ; Largeur de bande: 1400 mm ; Hauteur du profil: 25 mm ; Largeur du profil: 1000 mm ; Type de profil: Ouvert</t>
  </si>
  <si>
    <t>EP1400PRM400/3-3+2-C25P1000JO</t>
  </si>
  <si>
    <t>48,880</t>
  </si>
  <si>
    <t>EP1400PRM400/3-3+2-C25P1335HY</t>
  </si>
  <si>
    <t>EP 400/3-3+2-BB1400-profiel C25P1335</t>
  </si>
  <si>
    <t>94,040</t>
  </si>
  <si>
    <t>Chevron, Standaard kwaliteit ; EP 400/3-3+2 met C25P1335 profiel</t>
  </si>
  <si>
    <t>Chevron, Standardqualität ; EP 400/3-3+2 mit C25P1335 Profil</t>
  </si>
  <si>
    <t>Chevron, Standard Quality ; EP 400/3-3+2  with C25P1335  profile</t>
  </si>
  <si>
    <t>Chevron, Qualité standard ; EP 400/3-3+2 met C25P1335  profil</t>
  </si>
  <si>
    <t>Bandweefseltype: EP ; Treksterkte: 400 N/mm ; Aantal inlagen: 3 ; Bovendek: 3 mm ; Onderdek:  2 mm ; Bandbreedte: 1400 mm ; Profiel hoogte: 25 mm ; Profiel breedte: 1335 mm ; Profiel type: open</t>
  </si>
  <si>
    <t>Gewebetype: EP ; Zugfestigkeit: 400 N/mm ; Anzahl Einlagen: 3 ; Oberdeck: 3 mm ; Unterdeck: 2 mm ; Gurtbreite: 1400 mm ; Profilhöhe: 25 mm ; Profilbreite: 1335 mm ; Profiltyp: offen</t>
  </si>
  <si>
    <t>Fabric type: EP ; Tensile strength: 400 N/mm ; Number of plies: 3 ; Topcover: 3 mm ; Bottomcover: 2 mm ; Beltwidth: 1400 mm ; Profile height: 25 mm ; Profile width: 1335 mm ; Profile type: open</t>
  </si>
  <si>
    <t>Carcasse: EP ; Résistance à la traction: 400 N/mm ; Nombre de plis: 3 ; Revêtement supérieur: 3 mm ; Revêtement inférieur: 2 mm ; Largeur de bande: 1400 mm ; Hauteur du profil: 25 mm ; Largeur du profil: 1335 mm ; Type de profil: Ouvert</t>
  </si>
  <si>
    <t>EP1400PRM400/3-3+2-C25P1335JO</t>
  </si>
  <si>
    <t>60,610</t>
  </si>
  <si>
    <t>EP1400PRM500/4-3+2-C25P1000HY</t>
  </si>
  <si>
    <t>EP 500/4-3+2-BB1400-profiel C25P1000</t>
  </si>
  <si>
    <t>89,470</t>
  </si>
  <si>
    <t>Chevron, Standaard kwaliteit ; EP 500/4-3+2 met C25P1000 profiel</t>
  </si>
  <si>
    <t>Chevron, Standardqualität ; EP 500/4-3+2 mit C25P1000 Profil</t>
  </si>
  <si>
    <t>Chevron, Standard Quality ; EP 500/4-3+2  with C25P1000  profile</t>
  </si>
  <si>
    <t>Chevron, Qualité standard ; EP 500/4-3+2 met C25P1000  profil</t>
  </si>
  <si>
    <t>Bandweefseltype: EP ; Treksterkte: 500 N/mm ; Aantal inlagen: 4 ; Bovendek: 3 mm ; Onderdek:  2 mm ; Bandbreedte: 1400 mm ; Profiel hoogte: 25 mm ; Profiel breedte: 1000 mm ; Profiel type: open</t>
  </si>
  <si>
    <t>Gewebetype: EP ; Zugfestigkeit: 500 N/mm ; Anzahl Einlagen: 4 ; Oberdeck: 3 mm ; Unterdeck: 2 mm ; Gurtbreite: 1400 mm ; Profilhöhe: 25 mm ; Profilbreite: 750 mm ; Profiltyp: offen</t>
  </si>
  <si>
    <t>Fabric type: EP ; Tensile strength: 500 N/mm ; Number of plies: 4 ; Topcover: 3 mm ; Bottomcover: 2 mm ; Beltwidth: 1400 mm ; Profile height: 25 mm ; Profile width: 750 mm ; Profile type: open</t>
  </si>
  <si>
    <t>Carcasse: EP ; Résistance à la traction: 500 N/mm ; Nombre de plis: 4 ; Revêtement supérieur: 3 mm ; Revêtement inférieur: 2 mm ; Largeur de bande: 1400 mm ; Hauteur du profil: 25 mm ; Largeur du profil: 750 mm ; Type de profil: Ouvert</t>
  </si>
  <si>
    <t>EP1400PRM500/4-3+2-C25P1335HY</t>
  </si>
  <si>
    <t>EP 500/4-3+2-BB1400-profiel C25P1335</t>
  </si>
  <si>
    <t>91,760</t>
  </si>
  <si>
    <t>Chevron, Standaard kwaliteit ; EP 500/4-3+2 met C25P1335 profiel</t>
  </si>
  <si>
    <t>Chevron, Standardqualität ; EP 500/4-3+2  mit C25P1335 Profil</t>
  </si>
  <si>
    <t>Chevron, Standard Quality ; EP 500/4-3+2   with C25P1335  profile</t>
  </si>
  <si>
    <t>Chevron, Qualité standard ; EP 500/4-3+2 met C25P1335  profil</t>
  </si>
  <si>
    <t>Bandweefseltype: EP ; Treksterkte: 500 N/mm ; Aantal inlagen: 4 ; Bovendek: 3 mm ; Onderdek:  2 mm ; Bandbreedte: 1400 mm ; Profiel hoogte: 25 mm ; Profiel breedte: 1335 mm ; Profiel type: open</t>
  </si>
  <si>
    <t>Gewebetype: EP ; Zugfestigkeit: 500 N/mm ; Anzahl Einlagen: 4 ; Oberdeck: 3 mm ; Unterdeck: 2 mm ; Gurtbreite: 1400 mm ; Profilhöhe: 25 mm ; Profilbreite: 1335 mm ; Profiltyp: offen</t>
  </si>
  <si>
    <t>Fabric type: EP ; Tensile strength: 500 N/mm ; Number of plies: 4 ; Topcover: 3 mm ; Bottomcover: 2 mm ; Beltwidth: 1400 mm ; Profile height: 25 mm ; Profile width: 1335 mm ; Profile type: open</t>
  </si>
  <si>
    <t>Carcasse: EP ; Résistance à la traction: 500 N/mm ; Nombre de plis: 4 ; Revêtement supérieur: 3 mm ; Revêtement inférieur: 2 mm ; Largeur de bande: 1400 mm ; Hauteur du profil: 25 mm ; Largeur du profil: 1335 mm ; Type de profil: Ouvert</t>
  </si>
  <si>
    <t>EP1400PRM800/4-6+2-C25P1335JO</t>
  </si>
  <si>
    <t>EP 800/4-6+2-BB1400-profiel C25P1335</t>
  </si>
  <si>
    <t>88,740</t>
  </si>
  <si>
    <t>Chevron, Standaard kwaliteit ; EP 800/4-6+2 met C25P1335 profiel</t>
  </si>
  <si>
    <t>Chevron, Standardqualität ; EP 800/4-6+2mit C25P1335 Profil</t>
  </si>
  <si>
    <t>Chevron, Standard Quality ; EP 800/4-6+2  with C25P1335  profile</t>
  </si>
  <si>
    <t>Chevron, Qualité standard ; EP 800/4-6+2 met C25P1335  profil</t>
  </si>
  <si>
    <t>Bandweefseltype: EP ; Treksterkte: 800 N/mm ; Aantal inlagen: 4 ; Bovendek: 6 mm ; Onderdek:  2 mm ; Bandbreedte: 1400 mm ; Profiel hoogte: 25 mm ; Profiel breedte: 1335 mm ; Profiel type: open</t>
  </si>
  <si>
    <t>Gewebetype: EP ; Zugfestigkeit: 800 N/mm ; Anzahl Einlagen: 4 ; Oberdeck: 6 mm ; Unterdeck: 2 mm ; Gurtbreite: 1400 mm ; Profilhöhe: 25 mm ; Profilbreite: 1335 mm ; Profiltyp: offen</t>
  </si>
  <si>
    <t>Fabric type: EP ; Tensile strength: 800 N/mm ; Number of plies: 4 ; Topcover: 6 mm ; Bottomcover: 2 mm ; Beltwidth: 1400 mm ; Profile height: 25 mm ; Profile width: 1335 mm ; Profile type: open</t>
  </si>
  <si>
    <t>Carcasse: EP ; Résistance à la traction: 800 N/mm ; Nombre de plis: 4 ; Revêtement supérieur: 6 mm ; Revêtement inférieur: 2 mm ; Largeur de bande: 1400 mm ; Hauteur du profil: 25 mm ; Largeur du profil: 1335 mm ; Type de profil: Ouvert</t>
  </si>
  <si>
    <t>EP1400SGG250/2-3+0HY</t>
  </si>
  <si>
    <t>EP 250/2-3+0,BB1400, Supergrip/glijband</t>
  </si>
  <si>
    <t>23,340</t>
  </si>
  <si>
    <t>Bandweefseltype: EP ; Treksterkte: 250 N/mm ; Aantal inlagen: 2 ; Bovendek: 3 mm ; Onderdek: 0 mm ; Bandbreedte: 1400 mm ; Supergrip / Rough Top Zwart</t>
  </si>
  <si>
    <t>Gewebetype: EP ; Zugfestigkeit: 250 N/mm ; Anzahl Einlagen: 2 ; Oberdeck: 3 mm ; Unterdeck: 0 mm ; Gurtbreite: 1400 mm ; Supergrip / Rough Top Schwarz</t>
  </si>
  <si>
    <t>Fabric type: EP ; Tensile strength: 250 N/mm ; Number of plies: 2 ; Topcover: 3 mm ; Bottomcover: 0 mm ; Beltwidth: 1400 mm ; Supergrip / Rough Top Black</t>
  </si>
  <si>
    <t>Carcasse: EP ; Tension de service: 250 N/mm ; Nombre de plis: 2 ; Revêtement supérieur: 3 mm ; Revêtement inférieur: 0 mm ; Largeur de bande: 1400 mm ; Nid d'abeille Noir</t>
  </si>
  <si>
    <t>EP1400SGG400/3-3+0HY</t>
  </si>
  <si>
    <t>EP 400/3-3+0,BB1400, Supergrip/glijband</t>
  </si>
  <si>
    <t>Bandweefseltype: EP ; Treksterkte: 400 N/mm ; Aantal inlagen: 3 ; Bovendek: 3 mm ; Onderdek: 0 mm ; Bandbreedte: 1400 mm ; Supergrip / Rough Top Zwart</t>
  </si>
  <si>
    <t>Gewebetype: EP ; Zugfestigkeit: 400 N/mm ; Anzahl Einlagen: 3 ; Oberdeck: 3 mm ; Unterdeck: 0 mm ; Gurtbreite: 1400 mm ; Supergrip / Rough Top Schwarz</t>
  </si>
  <si>
    <t>Fabric type: EP ; Tensile strength: 400 N/mm ; Number of plies: 3 ; Topcover: 3 mm ; Bottomcover: 0 mm ; Beltwidth: 1400 mm ; Supergrip / Rough Top Black</t>
  </si>
  <si>
    <t>Carcasse: EP ; Tension de service: 400 N/mm ; Nombre de plis: 3 ; Revêtement supérieur: 3 mm ; Revêtement inférieur: 0 mm ; Largeur de bande: 1400 mm ; Nid d'abeille Noir</t>
  </si>
  <si>
    <t>EP1400SGR250/2-3+1HY</t>
  </si>
  <si>
    <t>EP 250/2-3+1,BB1400, Supergrip zwart</t>
  </si>
  <si>
    <t>27,250</t>
  </si>
  <si>
    <t>Bandweefseltype: EP ; Treksterkte: 250 N/mm ; Aantal inlagen: 2 ; Bovendek: 3 mm ; Onderdek: 1 mm ; Bandbreedte: 1400 mm ; Supergrip / Rough Top Zwart</t>
  </si>
  <si>
    <t>Gewebetype: EP ; Zugfestigkeit: 250 N/mm ; Anzahl Einlagen: 2 ; Oberdeck: 3 mm ; Unterdeck: 1 mm ; Gurtbreite: 1400 mm ; Supergrip / Rough Top Schwarz</t>
  </si>
  <si>
    <t>Fabric type: EP ; Tensile strength: 250 N/mm ; Number of plies: 2 ; Topcover: 3 mm ; Bottomcover: 1 mm ; Beltwidth: 1400 mm ; Supergrip / Rough Top Black</t>
  </si>
  <si>
    <t>Carcasse: EP ; Résistance à la traction: 250 N/mm ; Nombre de plis: 2 ; Revêtement supérieur: 3 mm ; Revêtement inférieur: 1 mm ; Largeur de bande: 1400 mm ; Nid d'abeille Noir</t>
  </si>
  <si>
    <t>EP1400SGR400/3-3+1HY</t>
  </si>
  <si>
    <t>EP 400/3-3+1,BB1400, Supergrip zwart</t>
  </si>
  <si>
    <t>33,170</t>
  </si>
  <si>
    <t>Bandweefseltype: EP ; Treksterkte: 400 N/mm ; Aantal inlagen: 3 ; Bovendek: 3 mm ; Onderdek: 1 mm ; Bandbreedte: 1400 mm ; Supergrip / Rough Top Zwart</t>
  </si>
  <si>
    <t>Gewebetype: EP ; Zugfestigkeit: 400 N/mm ; Anzahl Einlagen: 3 ; Oberdeck: 3 mm ; Unterdeck: 1 mm ; Gurtbreite: 1400 mm ; Supergrip / Rough Top Schwarz</t>
  </si>
  <si>
    <t>Fabric type: EP ; Tensile strength: 400 N/mm ; Number of plies: 3 ; Topcover: 3 mm ; Bottomcover: 1 mm ; Beltwidth: 1400 mm ; Supergrip / Rough Top Black</t>
  </si>
  <si>
    <t>Carcasse: EP ; Résistance à la traction: 400 N/mm ; Nombre de plis: 3 ; Revêtement supérieur: 3 mm ; Revêtement inférieur: 1 mm ; Largeur de bande: 1400 mm ; Nid d'abeille Noir</t>
  </si>
  <si>
    <t>EP1400XXX100/1-1+1HY</t>
  </si>
  <si>
    <t>EP 100/1-1+1,BB1400</t>
  </si>
  <si>
    <t>18,090</t>
  </si>
  <si>
    <t>Bandweefseltype: EP ; Treksterkte: 100 N/mm ; Aantal inlagen: 1 ; Bovendek: 1 mm ; Onderdek: 1 mm ; Bandbreedte: 1400 mm</t>
  </si>
  <si>
    <t>Gewebetype: EP ; Zugfestigkeit: 100 N/mm ; Anzahl Einlagen: 1 ; Oberdeck: 1 mm ; Unterdeck: 1 mm ; Gurtbreite: 1400 mm</t>
  </si>
  <si>
    <t>Fabric type: EP ; Tensile strength: 100 N/mm ; Number of plies: 1 ; Topcover: 1 mm ; Bottomcover: 1 mm ; Beltwidth: 1400 mm</t>
  </si>
  <si>
    <t>Carcasse: EP ; Résistance à la traction: 100 N/mm ; Nombre de plis: 1 ; Revêtement supérieur: 1 mm ; Revêtement inférieur: 1 mm ; Largeur de bande: 1400 mm</t>
  </si>
  <si>
    <t>EP1400XXX1000/5-3+3-ELEVATORSA</t>
  </si>
  <si>
    <t>EP 1000/5-3+3-BB1400 ELEVATOR</t>
  </si>
  <si>
    <t>42,900</t>
  </si>
  <si>
    <t>EP1400XXX1000/5-5+1½SH</t>
  </si>
  <si>
    <t>EP 1000/5-5+1½,BB1400</t>
  </si>
  <si>
    <t>39,130</t>
  </si>
  <si>
    <t>EP1400XXX1250/4-6+4-DIN-WKA</t>
  </si>
  <si>
    <t>EP 1250/4-6+4,BB1400-DIN-W</t>
  </si>
  <si>
    <t>56,880</t>
  </si>
  <si>
    <t>EP1400XXX1250/5-10+3SA</t>
  </si>
  <si>
    <t>EP 1250/5-10+3,BB1400</t>
  </si>
  <si>
    <t>71,120</t>
  </si>
  <si>
    <t>Bandweefseltype: EP ; Treksterkte: 1250N/mm ; Aantal inlagen: 5 ; Bovendek: 10 mm ; Onderdek: 3 mm ; Bandbreedte: 1400 mm</t>
  </si>
  <si>
    <t>Gewebetype: EP ; Zugfestigkeit: 1250 N/mm ; Anzahl Einlagen: 5 ; Oberdeck: 10 mm ; Unterdeck: 3 mm ; Gurtbreite: 1400 mm</t>
  </si>
  <si>
    <t>Fabric type: EP ; Tensile strength: 1250 N/mm ; Number of plies: 5 ; Topcover: 10 mm ; Bottomcover: 3 mm ; Beltwidth: 1400 mm</t>
  </si>
  <si>
    <t>Carcasse: EP ; Résistance à la traction: 1250 N/mm ; Nombre de plis: 5 ; Revêtement supérieur: 10 mm ; Revêtement inférieur: 3 mm ; Largeur de bande: 1400 mm</t>
  </si>
  <si>
    <t>EP1400XXX1250/5-10+3SH</t>
  </si>
  <si>
    <t>49,800</t>
  </si>
  <si>
    <t>EP1400XXX1600/4-2+2KA</t>
  </si>
  <si>
    <t>EP 1600/4-2+2,BB1400</t>
  </si>
  <si>
    <t>91,200</t>
  </si>
  <si>
    <t>39,960</t>
  </si>
  <si>
    <t>EP1400XXX200/2-2+1HY</t>
  </si>
  <si>
    <t>EP 200/2-2+1,BB1400</t>
  </si>
  <si>
    <t>19,840</t>
  </si>
  <si>
    <t>Bandweefseltype: EP ; Treksterkte: 200 N/mm ; Aantal inlagen: 2 ; Bovendek: 2 mm ; Onderdek: 1 mm ; Bandbreedte: 1400 mm</t>
  </si>
  <si>
    <t>Gewebetype: EP ; Zugfestigkeit: 200 N/mm ; Anzahl Einlagen: 2 ; Oberdeck: 2 mm ; Unterdeck: 1 mm ; Gurtbreite: 1400 mm</t>
  </si>
  <si>
    <t>Fabric type: EP ; Tensile strength: 200 N/mm ; Number of plies: 2 ; Topcover: 2 mm ; Bottomcover: 1 mm ; Beltwidth: 1400 mm</t>
  </si>
  <si>
    <t>Carcasse: EP ; Résistance à la traction: 200 N/mm ; Nombre de plis: 2 ; Revêtement supérieur: 2 mm ; Revêtement inférieur: 1 mm ; Largeur de bande: 1400 mm</t>
  </si>
  <si>
    <t>EP1400XXX200/2-2+1KA</t>
  </si>
  <si>
    <t>21,320</t>
  </si>
  <si>
    <t>EP1400XXX250/2-3+1½-7.5SH</t>
  </si>
  <si>
    <t>EP 250/2-3+1½,BB1400-7.5mm</t>
  </si>
  <si>
    <t>17,490</t>
  </si>
  <si>
    <t>EP1400XXX250/2-3+1HY</t>
  </si>
  <si>
    <t>EP 250/2-3+1,BB1400</t>
  </si>
  <si>
    <t>Bandweefseltype: EP ; Treksterkte: 250 N/mm ; Aantal inlagen: 2 ; Bovendek: 3 mm ; Onderdek: 1 mm ; Bandbreedte: 1400 mm</t>
  </si>
  <si>
    <t>Gewebetype: EP ; Zugfestigkeit: 250 N/mm ; Anzahl Einlagen: 2 ; Oberdeck: 3 mm ; Unterdeck: 1 mm ; Gurtbreite: 1400 mm</t>
  </si>
  <si>
    <t>Fabric type: EP ; Tensile strength: 250 N/mm ; Number of plies: 2 ; Topcover: 3 mm ; Bottomcover: 1 mm ; Beltwidth: 1400 mm</t>
  </si>
  <si>
    <t>Carcasse: EP ; Résistance à la traction: 250 N/mm ; Nombre de plis: 2 ; Revêtement supérieur: 3 mm ; Revêtement inférieur: 1 mm ; Largeur de bande: 1400 mm</t>
  </si>
  <si>
    <t>EP1400XXX250/2-3+1JO</t>
  </si>
  <si>
    <t>26,500</t>
  </si>
  <si>
    <t>EP1400XXX250/2-3+1KA</t>
  </si>
  <si>
    <t>22,430</t>
  </si>
  <si>
    <t>EP1400XXX315/2-4+2KA</t>
  </si>
  <si>
    <t>EP 315/2-4+2,BB1400</t>
  </si>
  <si>
    <t>24,240</t>
  </si>
  <si>
    <t>Bandweefseltype: EP ; Treksterkte: 315 N/mm ; Aantal inlagen: 2 ; Bovendek: 4 mm ; Onderdek: 2 mm ; Bandbreedte: 1400 mm</t>
  </si>
  <si>
    <t>Gewebetype: EP ; Zugfestigkeit: 315 N/mm ; Anzahl Einlagen: 2 ; Oberdeck: 4 mm ; Unterdeck: 2 mm ; Gurtbreite: 1400 mm</t>
  </si>
  <si>
    <t>Fabric type: EP ; Tensile strength: 315 N/mm ; Number of plies: 2 ; Topcover: 4 mm ; Bottomcover: 2 mm ; Beltwidth: 1400 mm</t>
  </si>
  <si>
    <t>Carcasse: EP ; Résistance à la traction: 315 N/mm ; Nombre de plis: 2 ; Revêtement supérieur: 4 mm ; Revêtement inférieur: 2 mm ; Largeur de bande: 1400 mm</t>
  </si>
  <si>
    <t>EP1400XXX315/2-4+2SH</t>
  </si>
  <si>
    <t>18,820</t>
  </si>
  <si>
    <t>EP1400XXX400/3-3+1HY</t>
  </si>
  <si>
    <t>EP 400/3-3+1,BB1400</t>
  </si>
  <si>
    <t>34,610</t>
  </si>
  <si>
    <t>Bandweefseltype: EP ; Treksterkte: 400N/mm ; Aantal inlagen: 3 ; Bovendek: 3 mm ; Onderdek: 1½ mm ; Bandbreedte: 1400 mm</t>
  </si>
  <si>
    <t>Gewebetype: EP ; Zugfestigkeit: 400 N/mm ; Anzahl Einlagen: 3 ; Oberdeck: 3 mm ; Unterdeck: 1½ mm ; Gurtbreite: 1400 mm</t>
  </si>
  <si>
    <t>Fabric type: EP ; Tensile strength: 400 N/mm ; Number of plies: 3 ; Topcover: 3 mm ; Bottomcover: 1½ mm ; Beltwidth: 1400 mm</t>
  </si>
  <si>
    <t>Carcasse: EP ; Résistance à la traction: 400 N/mm ; Nombre de plis: 3 ; Revêtement supérieur: 3 mm ; Revêtement inférieur: 1½ mm ; Largeur de bande: 1400 mm</t>
  </si>
  <si>
    <t>EP1400XXX400/3-4+2-DIN-WKA</t>
  </si>
  <si>
    <t>EP 400/3-4+2,BB1400-DIN-W</t>
  </si>
  <si>
    <t>29,880</t>
  </si>
  <si>
    <t>EP1400XXX400/3-4+2FF</t>
  </si>
  <si>
    <t>EP 400/3-4+2,BB1400</t>
  </si>
  <si>
    <t>26,290</t>
  </si>
  <si>
    <t>Bandweefseltype: EP ; Treksterkte: 400N/mm ; Aantal inlagen: 3 ; Bovendek: 4 mm ; Onderdek: 2 mm ; Bandbreedte: 1400 mm</t>
  </si>
  <si>
    <t>Gewebetype: EP ; Zugfestigkeit: 400 N/mm ; Anzahl Einlagen: 3 ; Oberdeck: 4 mm ; Unterdeck: 2 mm ; Gurtbreite: 1400 mm</t>
  </si>
  <si>
    <t>Fabric type: EP ; Tensile strength: 400 N/mm ; Number of plies: 3 ; Topcover: 4 mm ; Bottomcover: 2 mm ; Beltwidth: 1400 mm</t>
  </si>
  <si>
    <t>Carcasse: EP ; Résistance à la traction: 400 N/mm ; Nombre de plis: 3 ; Revêtement supérieur: 4 mm ; Revêtement inférieur: 2 mm ; Largeur de bande: 1400 mm</t>
  </si>
  <si>
    <t>EP1400XXX400/3-4+2KA</t>
  </si>
  <si>
    <t>29,190</t>
  </si>
  <si>
    <t>EP1400XXX400/3-4+2QH</t>
  </si>
  <si>
    <t>31,850</t>
  </si>
  <si>
    <t>EP1400XXX400/3-4+2RP</t>
  </si>
  <si>
    <t>EP1400XXX400/3-4+2SH</t>
  </si>
  <si>
    <t>26,320</t>
  </si>
  <si>
    <t>EP1400XXX400/3-6+2FF</t>
  </si>
  <si>
    <t>EP 400/3-6+2,BB1400</t>
  </si>
  <si>
    <t>34,940</t>
  </si>
  <si>
    <t>Bandweefseltype: EP ; Treksterkte: 400N/mm ; Aantal inlagen: 3 ; Bovendek: 6 mm ; Onderdek: 2 mm ; Bandbreedte: 1400 mm</t>
  </si>
  <si>
    <t>Gewebetype: EP ; Zugfestigkeit: 400 N/mm ; Anzahl Einlagen: 3 ; Oberdeck: 6 mm ; Unterdeck: 2 mm ; Gurtbreite: 1400 mm</t>
  </si>
  <si>
    <t>Fabric type: EP ; Tensile strength: 400 N/mm ; Number of plies: 3 ; Topcover: 6 mm ; Bottomcover: 2 mm ; Beltwidth: 1400 mm</t>
  </si>
  <si>
    <t>Carcasse: EP ; Résistance à la traction: 400 N/mm ; Nombre de plis: 3 ; Revêtement supérieur: 6 mm ; Revêtement inférieur: 2 mm ; Largeur de bande: 1400 mm</t>
  </si>
  <si>
    <t>EP1400XXX400/3-6+2KA</t>
  </si>
  <si>
    <t>34,120</t>
  </si>
  <si>
    <t>EP1400XXX500/3-5+1½KA</t>
  </si>
  <si>
    <t>EP 500/3-5+1½,BB1400</t>
  </si>
  <si>
    <t>28,470</t>
  </si>
  <si>
    <t>Bandweefseltype: EP ; Treksterkte: 500N/mm ; Aantal inlagen: 3 ; Bovendek: 5 mm ; Onderdek: 1½ mm ; Bandbreedte: 1400 mm</t>
  </si>
  <si>
    <t>Gewebetype: EP ; Zugfestigkeit: 500 N/mm ; Anzahl Einlagen: 3 ; Oberdeck: 5 mm ; Unterdeck: 1½ mm ; Gurtbreite: 1400 mm</t>
  </si>
  <si>
    <t>Fabric type: EP ; Tensile strength: 500 N/mm ; Number of plies: 3 ; Topcover: 5 mm ; Bottomcover: 1½ mm ; Beltwidth: 1400 mm</t>
  </si>
  <si>
    <t>Carcasse: EP ; Résistance à la traction: 500 N/mm ; Nombre de plis: 3 ; Revêtement supérieur: 5 mm ; Revêtement inférieur: 1½ mm ; Largeur de bande: 1400 mm</t>
  </si>
  <si>
    <t>EP1400XXX500/3-6+2KA</t>
  </si>
  <si>
    <t>EP 500/3-6+2-BB1400</t>
  </si>
  <si>
    <t>Bandweefseltype: EP ; Treksterkte: 500N/mm ; Aantal inlagen: 3 ; Bovendek: 6 mm ; Onderdek: 2 mm ; Bandbreedte: 1400 mm</t>
  </si>
  <si>
    <t>Gewebetype: EP ; Zugfestigkeit: 500 N/mm ; Anzahl Einlagen: 3 ; Oberdeck: 6 mm ; Unterdeck: 2 mm ; Gurtbreite: 1400 mm</t>
  </si>
  <si>
    <t>Fabric type: EP ; Tensile strength: 500 N/mm ; Number of plies: 3 ; Topcover: 6 mm ; Bottomcover: 2 mm ; Beltwidth: 1400 mm</t>
  </si>
  <si>
    <t>Carcasse: EP ; Résistance à la traction: 500 N/mm ; Nombre de plis: 3 ; Revêtement supérieur: 6 mm ; Revêtement inférieur: 2 mm ; Largeur de bande: 1400 mm</t>
  </si>
  <si>
    <t>EP1400XXX500/4-5+2KA</t>
  </si>
  <si>
    <t>EP 500/4-5+2,BB1400</t>
  </si>
  <si>
    <t>64,770</t>
  </si>
  <si>
    <t>33,050</t>
  </si>
  <si>
    <t>Bandweefseltype: EP ; Treksterkte: 500N/mm ; Aantal inlagen: 4 ; Bovendek: 5 mm ; Onderdek: 2 mm ; Bandbreedte: 1400 mm</t>
  </si>
  <si>
    <t>Gewebetype: EP ; Zugfestigkeit: 500 N/mm ; Anzahl Einlagen: 4 ; Oberdeck: 5 mm ; Unterdeck: 2 mm ; Gurtbreite: 1400 mm</t>
  </si>
  <si>
    <t>Fabric type: EP ; Tensile strength: 500 N/mm ; Number of plies: 4 ; Topcover: 5 mm ; Bottomcover: 2 mm ; Beltwidth: 1400 mm</t>
  </si>
  <si>
    <t>Carcasse: EP ; Résistance à la traction: 500 N/mm ; Nombre de plis: 4 ; Revêtement supérieur: 5 mm ; Revêtement inférieur: 2 mm ; Largeur de bande: 1400 mm</t>
  </si>
  <si>
    <t>EP1400XXX500/4-5+2SH</t>
  </si>
  <si>
    <t>27,440</t>
  </si>
  <si>
    <t>EP1400XXX630/4-2+2-ELEVATORSA</t>
  </si>
  <si>
    <t>EP 630/4-2+2-BB1400 ELEVATOR</t>
  </si>
  <si>
    <t>36,390</t>
  </si>
  <si>
    <t>Bandweefseltype: EP ; Treksterkte: 630 N/mm ; Aantal inlagen: 4 ; Bovendek: 2 mm ; Onderdek: 2 mm ; Bandbreedte: 1400 mm ; Elevator</t>
  </si>
  <si>
    <t>Gewebetype: EP ; Zugfestigkeit: 630 N/mm ; Anzahl Einlagen: 4 ; Oberdeck: 2 mm ; Unterdeck: 2 mm ; Gurtbreite: 1400 mm ; Elevator</t>
  </si>
  <si>
    <t>Fabric type: EP ; Tensile strength: 630 N/mm ; Number of plies: 4 ; Topcover: 2 mm ; Bottomcover: 2 mm ; Beltwidth: 1400 mm ; Elevator</t>
  </si>
  <si>
    <t xml:space="preserve">Carcasse: EP ; Tension de service: 630 N/mm ; Nombre de plis: 4 ; Revêtement supérieur: 2 mm ; Revêtement inférieur: 2 mm ; Largeur de bande: 1400 mm ;  Sangle Elévatrice
</t>
  </si>
  <si>
    <t>EP1400XXX630/4-6+2CC</t>
  </si>
  <si>
    <t>EP 630/4-6+2,BB1400</t>
  </si>
  <si>
    <t>44,420</t>
  </si>
  <si>
    <t>Bandweefseltype: EP ; Treksterkte: 630N/mm ; Aantal inlagen: 4 ; Bovendek: 6 mm ; Onderdek: 2 mm ; Bandbreedte: 1400 mm</t>
  </si>
  <si>
    <t>Gewebetype: EP ; Zugfestigkeit: 630 N/mm ; Anzahl Einlagen: 4 ; Oberdeck: 6 mm ; Unterdeck: 2 mm ; Gurtbreite: 1400 mm</t>
  </si>
  <si>
    <t>Fabric type: EP ; Tensile strength: 630 N/mm ; Number of plies: 4 ; Topcover: 6 mm ; Bottomcover: 2 mm ; Beltwidth: 1400 mm</t>
  </si>
  <si>
    <t>Carcasse: EP ; Résistance à la traction: 630 N/mm ; Nombre de plis: 4 ; Revêtement supérieur: 6 mm ; Revêtement inférieur: 2 mm ; Largeur de bande: 1400 mm</t>
  </si>
  <si>
    <t>EP1400XXX630/4-6+2-DIN-WKA</t>
  </si>
  <si>
    <t>EP 630/4-6+2,BB1400-DIN-W</t>
  </si>
  <si>
    <t>42,930</t>
  </si>
  <si>
    <t>EP1400XXX630/4-6+2-DIN-WSH</t>
  </si>
  <si>
    <t>42,110</t>
  </si>
  <si>
    <t>EP1400XXX630/4-6+2KA</t>
  </si>
  <si>
    <t>72,000</t>
  </si>
  <si>
    <t>42,620</t>
  </si>
  <si>
    <t>EP1400XXX630/4-6+2SH</t>
  </si>
  <si>
    <t>36,570</t>
  </si>
  <si>
    <t>EP1400XXX630/4-8+3CC</t>
  </si>
  <si>
    <t>EP 630/4-8+3,BB1400</t>
  </si>
  <si>
    <t>71,870</t>
  </si>
  <si>
    <t>44,544</t>
  </si>
  <si>
    <t>Bandweefseltype: EP ; Treksterkte: 630N/mm ; Aantal inlagen: 4 ; Bovendek: 8 mm ; Onderdek: 3 mm ; Bandbreedte: 1400 mm</t>
  </si>
  <si>
    <t>Gewebetype: EP ; Zugfestigkeit: 630 N/mm ; Anzahl Einlagen: 4 ; Oberdeck: 8 mm ; Unterdeck: 3 mm ; Gurtbreite: 1400 mm</t>
  </si>
  <si>
    <t>Fabric type: EP ; Tensile strength: 630 N/mm ; Number of plies: 4 ; Topcover: 8 mm ; Bottomcover: 3 mm ; Beltwidth: 1400 mm</t>
  </si>
  <si>
    <t>Carcasse: EP ; Résistance à la traction: 630 N/mm ; Nombre de plis: 4 ; Revêtement supérieur: 8 mm ; Revêtement inférieur: 3 mm ; Largeur de bande: 1400 mm</t>
  </si>
  <si>
    <t>EP1400XXX630/4-8+3-DIN-WKA</t>
  </si>
  <si>
    <t>EP 630/4-8+3,BB1400-DIN-W</t>
  </si>
  <si>
    <t>50,770</t>
  </si>
  <si>
    <t>EP1400XXX630/4-8+3KA</t>
  </si>
  <si>
    <t>50,450</t>
  </si>
  <si>
    <t>EP1400XXX630/4-8+3PH</t>
  </si>
  <si>
    <t>52,800</t>
  </si>
  <si>
    <t>EP1400XXX630/4-8+3SA</t>
  </si>
  <si>
    <t>50,460</t>
  </si>
  <si>
    <t>EP1400XXX630/4-8+3SH</t>
  </si>
  <si>
    <t>44,530</t>
  </si>
  <si>
    <t>EP1400XXX80/4-4+4SH</t>
  </si>
  <si>
    <t>EP 80/4-4+4,BB1400</t>
  </si>
  <si>
    <t>28,500</t>
  </si>
  <si>
    <t>EP1400XXX800/4-2+2-ELEVATORSA</t>
  </si>
  <si>
    <t>EP 800/4-2+2-BB1400 ELEVATOR</t>
  </si>
  <si>
    <t>38,650</t>
  </si>
  <si>
    <t>Bandweefseltype: EP ; Treksterkte: 800 N/mm ; Aantal inlagen: 4 ; Bovendek: 2 mm ; Onderdek: 2 mm ; Bandbreedte: 1400 mm ; Elevator</t>
  </si>
  <si>
    <t>Gewebetype: EP ; Zugfestigkeit: 800 N/mm ; Anzahl Einlagen: 4 ; Oberdeck: 2 mm ; Unterdeck: 2 mm ; Gurtbreite: 1400 mm ; Elevator</t>
  </si>
  <si>
    <t>Fabric type: EP ; Tensile strength: 800 N/mm ; Number of plies: 4 ; Topcover: 2 mm ; Bottomcover: 2 mm ; Beltwidth: 1400 mm ; Elevator</t>
  </si>
  <si>
    <t xml:space="preserve">Carcasse: EP ; Tension de service: 800 N/mm ; Nombre de plis: 4 ; Revêtement supérieur: 2 mm ; Revêtement inférieur: 2 mm ; Largeur de bande: 1400 mm ;  Sangle Elévatrice
</t>
  </si>
  <si>
    <t>EP1400XXX800/4-5+2KA</t>
  </si>
  <si>
    <t>EP 800/4-5+2,BB1400</t>
  </si>
  <si>
    <t>38,870</t>
  </si>
  <si>
    <t>EP1400XXX800/4-8+3CC</t>
  </si>
  <si>
    <t>EP 800/4-8+3,BB1400</t>
  </si>
  <si>
    <t>55,480</t>
  </si>
  <si>
    <t>Bandweefseltype: EP ; Treksterkte: 800N/mm ; Aantal inlagen: 4 ; Bovendek: 8 mm ; Onderdek: 3 mm ; Bandbreedte: 1400 mm</t>
  </si>
  <si>
    <t>Gewebetype: EP ; Zugfestigkeit: 800 N/mm ; Anzahl Einlagen: 4 ; Oberdeck: 8 mm ; Unterdeck: 3 mm ; Gurtbreite: 1400 mm</t>
  </si>
  <si>
    <t>Fabric type: EP ; Tensile strength: 800 N/mm ; Number of plies: 4 ; Topcover: 8 mm ; Bottomcover: 3 mm ; Beltwidth: 1400 mm</t>
  </si>
  <si>
    <t>Carcasse: EP ; Résistance à la traction: 800 N/mm ; Nombre de plis: 4 ; Revêtement supérieur: 8 mm ; Revêtement inférieur: 3 mm ; Largeur de bande: 1400 mm</t>
  </si>
  <si>
    <t>EP1400XXX800/4-8+3KA</t>
  </si>
  <si>
    <t>EP1400XXX800/4-8+3SH</t>
  </si>
  <si>
    <t>EP140SGR400/3-3+1HY</t>
  </si>
  <si>
    <t>EP 400/3-3+1,BB140, Supergrip zwart</t>
  </si>
  <si>
    <t>3,690</t>
  </si>
  <si>
    <t>EP1430XXX250/2-3+1CT</t>
  </si>
  <si>
    <t>EP 250/2-3+1,BB1430 met profiel T30 CTP</t>
  </si>
  <si>
    <t>5.208,960</t>
  </si>
  <si>
    <t>EP1450XXX630/4-6+2KA</t>
  </si>
  <si>
    <t>EP 630/4-6+2,BB1450</t>
  </si>
  <si>
    <t>39,020</t>
  </si>
  <si>
    <t>Bandweefseltype: EP ; Treksterkte: 630N/mm ; Aantal inlagen: 4 ; Bovendek: 6 mm ; Onderdek: 2 mm ; Bandbreedte: 1450 mm</t>
  </si>
  <si>
    <t>Gewebetype: EP ; Zugfestigkeit: 630 N/mm ; Anzahl Einlagen: 4 ; Oberdeck: 6 mm ; Unterdeck: 2 mm ; Gurtbreite: 1450 mm</t>
  </si>
  <si>
    <t>Fabric type: EP ; Tensile strength: 630 N/mm ; Number of plies: 4 ; Topcover: 6 mm ; Bottomcover: 2 mm ; Beltwidth: 1450 mm</t>
  </si>
  <si>
    <t>Carcasse: EP ; Résistance à la traction: 630 N/mm ; Nombre de plis: 4 ; Revêtement supérieur: 6 mm ; Revêtement inférieur: 2 mm ; Largeur de bande: 1450 mm</t>
  </si>
  <si>
    <t>EP1500GLY400/3-2+0JO</t>
  </si>
  <si>
    <t>EP 400/3-2+0,BB1500-GLY</t>
  </si>
  <si>
    <t>25,320</t>
  </si>
  <si>
    <t>EP1500OVG250/2-2+0HY</t>
  </si>
  <si>
    <t>EP 250/2-2+0,BB1500-GLY-O+V</t>
  </si>
  <si>
    <t>28,977</t>
  </si>
  <si>
    <t>Bandweefseltype: EP ; Treksterkte: 250 N/mm ; Aantal inlagen: 2 ; Bovendek: 2 mm ; Onderdek: 0 mm ; Bandbreedte: 1500 mm ; Olie- en vetbestendige Kwaliteit</t>
  </si>
  <si>
    <t>Gewebetype: EP ; Zugfestigkeit: 250 N/mm ; Anzahl Einlagen: 2 ; Oberdeck: 2 mm ; Unterdeck: 0 mm ; Gurtbreite: 1500 mm ; Öl und Fettbeständige Qualität</t>
  </si>
  <si>
    <t>Fabric type: EP ; Tensile strength: 250 N/mm ; Number of plies: 2 ; Topcover: 2 mm ; Bottomcover: 0 mm ; Beltwidth: 1500 mm ; Oil and Grease Resistant Quality</t>
  </si>
  <si>
    <t>EP1500OVG400/3-3+0HY</t>
  </si>
  <si>
    <t>EP 400/3-3+0,BB1500-GLY-O+V</t>
  </si>
  <si>
    <t>44,440</t>
  </si>
  <si>
    <t>Bandweefseltype: EP ; Treksterkte: 400 N/mm ; Aantal inlagen: 3 ; Bovendek: 3 mm ; Onderdek: 0 mm ; Bandbreedte: 1500 mm ; Olie- en vetbestendige Kwaliteit</t>
  </si>
  <si>
    <t>Gewebetype: EP ; Zugfestigkeit: 400 N/mm ; Anzahl Einlagen: 3 ; Oberdeck: 3 mm ; Unterdeck: 0 mm ; Gurtbreite: 1500 mm ; Öl und Fettbeständige Qualität</t>
  </si>
  <si>
    <t>Fabric type: EP ; Tensile strength: 400 N/mm ; Number of plies: 3 ; Topcover: 3 mm ; Bottomcover: 0 mm ; Beltwidth: 1500 mm ; Oil and Grease Resistant Quality</t>
  </si>
  <si>
    <t>EP1500OVX400/3-4+2JO</t>
  </si>
  <si>
    <t>EP 400/3-4+2-BB1500-O+V</t>
  </si>
  <si>
    <t>42,260</t>
  </si>
  <si>
    <t>Bandweefseltype: EP ; Treksterkte: 400 N/mm ; Aantal inlagen: 3 ; Bovendek: 4 mm ; Onderdek: 2 mm ; Bandbreedte: 1500 mm ; Olie- en vetbestendige Kwaliteit</t>
  </si>
  <si>
    <t>Gewebetype: EP ; Zugfestigkeit: 400 N/mm ; Anzahl Einlagen: 3 ; Oberdeck: 4 mm ; Unterdeck: 2 mm ; Gurtbreite: 1500 mm ; Öl und Fettbeständige Qualität</t>
  </si>
  <si>
    <t>Fabric type: EP ; Tensile strength: 400 N/mm ; Number of plies: 3 ; Topcover: 4 mm ; Bottomcover: 2 mm ; Beltwidth: 1500 mm ; Oil and Grease Resistant Quality</t>
  </si>
  <si>
    <t>EP1500OVX400/3-4+2SA</t>
  </si>
  <si>
    <t>45,400</t>
  </si>
  <si>
    <t>EP1500PRG400/3-3+2-MULTIVHY</t>
  </si>
  <si>
    <t>EP 400/3-3+2,BB1500-Multi V profiel 6 mm O&amp;V</t>
  </si>
  <si>
    <t>61,440</t>
  </si>
  <si>
    <t>Bandweefseltype: EP ; Treksterkte: 400 N/mm ; Aantal inlagen: 3 ; Bovendek: 3 mm ; Onderdek: 2 mm ; Bandbreedte: 1500 mm ; Profiel hoogte: 6 mm ; Profiel breedte: Volledige bandbreedte ; Type: V6 ; Olie- en vetbestendige Kwaliteit</t>
  </si>
  <si>
    <t>Gewebetype: EP ; Zugfestigkeit: 400 N/mm ; Anzahl Einlagen: 3 ; Oberdeck: 3 mm ; Unterdeck: 2 mm ; Gurtbreite: 1500 mm ; Profilhöhe: 6 mm ; Profilbreite: Komplette Gurtbreite ; Profiltyp: V6 ; Öl und Fettbeständige Qualität</t>
  </si>
  <si>
    <t>Fabric type: EP ; Tensile strength: 400 N/mm ; Number of plies: 3 ; Topcover: 3 mm ; Bottomcover: 2 mm ; Beltwidth: 1500 mm ; Profile height: 6 mm ; Profile width: Full belt width ; Profile type: V6 ; Oil and Grease Resistant Quality</t>
  </si>
  <si>
    <t>Carcasse: EP ; Résistance à la traction: 400 N/mm ; Nombre de plis: 3 ; Revêtement supérieur: 3 mm ; Revêtement inférieur: 2 mm ; Largeur de bande: 1500 mm ; Hauteur du profil: 6 mm ; Largeur du profil: Sur toute la largeur ; Type de profil: V6 ; Qualité résistant aux huiles et graisses</t>
  </si>
  <si>
    <t>EP1500PRL250/2-3+2-MULTIVSH</t>
  </si>
  <si>
    <t>EP 250/2-3+2,BB1500-Multi V profiel 6 mm</t>
  </si>
  <si>
    <t>31,190</t>
  </si>
  <si>
    <t>Bandweefseltype: EP ; Treksterkte: 250 N/mm ; Aantal inlagen: 2 ; Bovendek: 3 mm ; Onderdek: 2 mm ; Bandbreedte: 1500 mm ; Profiel hoogte: 6 mm ; Profiel breedte: Volledige bandbreedte ; Type: V6</t>
  </si>
  <si>
    <t>Gewebetype: EP ; Zugfestigkeit: 250 N/mm ; Anzahl Einlagen: 2 ; Oberdeck: 3 mm ; Unterdeck: 2 mm ; Gurtbreite: 1500 mm ; Profilhöhe: 6 mm ; Profilbreite: Komplette Gurtbreite ; Profiltyp: V6</t>
  </si>
  <si>
    <t>Fabric type: EP ; Tensile strength: 250 N/mm ; Number of plies: 2 ; Topcover: 3 mm ; Bottomcover: 2 mm ; Beltwidth: 1500 mm ; Profile height: 6 mm ; Profile width: Full belt width ; Profile type: V6</t>
  </si>
  <si>
    <t>Carcasse: EP ; Résistance à la traction: 250 N/mm ; Nombre de plis: 2 ; Revêtement supérieur: 3 mm ; Revêtement inférieur: 2 mm ; Largeur de bande: 1500 mm ; Hauteur du profil: 6 mm ; Largeur du profil: Sur toute la largeur ; Type de profil: V6</t>
  </si>
  <si>
    <t>EP1500PRL400/3-3+2-MULTIVSH</t>
  </si>
  <si>
    <t>EP 400/3-3+2,BB1500-Multi V profiel 6 mm</t>
  </si>
  <si>
    <t>34,590</t>
  </si>
  <si>
    <t>Bandweefseltype: EP ; Treksterkte: 400 N/mm ; Aantal inlagen: 3 ; Bovendek: 3 mm ; Onderdek: 2 mm ; Bandbreedte: 1500 mm ; Profiel hoogte: 6 mm ; Profiel breedte: Volledige bandbreedte ; Type: V6</t>
  </si>
  <si>
    <t>Gewebetype: EP ; Zugfestigkeit: 400 N/mm ; Anzahl Einlagen: 3 ; Oberdeck: 3 mm ; Unterdeck: 2 mm ; Gurtbreite: 1500 mm ; Profilhöhe: 6 mm ; Profilbreite: Komplette Gurtbreite ; Profiltyp: V6</t>
  </si>
  <si>
    <t>Fabric type: EP ; Tensile strength: 400 N/mm ; Number of plies: 3 ; Topcover: 3 mm ; Bottomcover: 2 mm ; Beltwidth: 1500 mm ; Profile height: 6 mm ; Profile width: Full belt width ; Profile type: V6</t>
  </si>
  <si>
    <t>Carcasse: EP ; Résistance à la traction: 400 N/mm ; Nombre de plis: 3 ; Revêtement supérieur: 3 mm ; Revêtement inférieur: 2 mm ; Largeur de bande: 1500 mm ; Hauteur du profil: 6 mm ; Largeur du profil: Sur toute la largeur ; Type de profil: V6</t>
  </si>
  <si>
    <t>EP1500SGG250/2-3+0HY</t>
  </si>
  <si>
    <t>EP 250/2-3+0,BB1500, Supergrip/glijband</t>
  </si>
  <si>
    <t>25,520</t>
  </si>
  <si>
    <t>Bandweefseltype: EP ; Treksterkte: 250 N/mm ; Aantal inlagen: 2 ; Bovendek: 3 mm ; Onderdek: 0 mm ; Bandbreedte: 1500 mm ; Supergrip / Rough Top Zwart</t>
  </si>
  <si>
    <t>Gewebetype: EP ; Zugfestigkeit: 250 N/mm ; Anzahl Einlagen: 2 ; Oberdeck: 3 mm ; Unterdeck: 0 mm ; Gurtbreite: 1500 mm ; Supergrip / Rough Top Schwarz</t>
  </si>
  <si>
    <t>Fabric type: EP ; Tensile strength: 250 N/mm ; Number of plies: 2 ; Topcover: 3 mm ; Bottomcover: 0 mm ; Beltwidth: 1500 mm ; Supergrip / Rough Top Black</t>
  </si>
  <si>
    <t>Carcasse: EP ; Tension de service: 250 N/mm ; Nombre de plis: 2 ; Revêtement supérieur: 3 mm ; Revêtement inférieur: 0 mm ; Largeur de bande: 1500 mm ; Nid d'abeille Noir</t>
  </si>
  <si>
    <t>EP1500XXX1250/4-7+2-DIN-YKA</t>
  </si>
  <si>
    <t>EP 1250/4-7+2,BB1500-DIN-Y</t>
  </si>
  <si>
    <t>58,160</t>
  </si>
  <si>
    <t>EP1500XXX250/2-3+1HY</t>
  </si>
  <si>
    <t>EP 250/2-3+1,BB1500</t>
  </si>
  <si>
    <t>25,650</t>
  </si>
  <si>
    <t>Bandweefseltype: EP ; Treksterkte: 250 N/mm ; Aantal inlagen: 2 ; Bovendek: 3 mm ; Onderdek: 1 mm ; Bandbreedte: 1500 mm</t>
  </si>
  <si>
    <t>Gewebetype: EP ; Zugfestigkeit: 250 N/mm ; Anzahl Einlagen: 2 ; Oberdeck: 3 mm ; Unterdeck: 1 mm ; Gurtbreite: 1500 mm</t>
  </si>
  <si>
    <t>Fabric type: EP ; Tensile strength: 250 N/mm ; Number of plies: 2 ; Topcover: 3 mm ; Bottomcover: 1 mm ; Beltwidth: 1500 mm</t>
  </si>
  <si>
    <t>Carcasse: EP ; Résistance à la traction: 250 N/mm ; Nombre de plis: 2 ; Revêtement supérieur: 3 mm ; Revêtement inférieur: 1 mm ; Largeur de bande: 1500 mm</t>
  </si>
  <si>
    <t>EP150GLY250/2-2+0HY</t>
  </si>
  <si>
    <t>EP 250/2-2+0,BB150-GLY</t>
  </si>
  <si>
    <t>3,990</t>
  </si>
  <si>
    <t>2,670</t>
  </si>
  <si>
    <t>EP150OVG250/2-2+0HY</t>
  </si>
  <si>
    <t>EP 250/2-2+0,BB150-glijband-O+V</t>
  </si>
  <si>
    <t>2,900</t>
  </si>
  <si>
    <t>EP150XXX200/2-2+1KA</t>
  </si>
  <si>
    <t>EP 200/2-2+1,BB150</t>
  </si>
  <si>
    <t>2,080</t>
  </si>
  <si>
    <t>Bandweefseltype: EP ; Treksterkte: 200 N/mm ; Aantal inlagen: 2 ; Bovendek: 2 mm ; Onderdek: 1 mm ; Bandbreedte: 150 mm</t>
  </si>
  <si>
    <t>Gewebetype: EP ; Zugfestigkeit: 200 N/mm ; Anzahl Einlagen: 2 ; Oberdeck: 2 mm ; Unterdeck: 1 mm ; Gurtbreite: 150 mm</t>
  </si>
  <si>
    <t>Fabric type: EP ; Tensile strength: 200 N/mm ; Number of plies: 2 ; Topcover: 2 mm ; Bottomcover: 1 mm ; Beltwidth: 150 mm</t>
  </si>
  <si>
    <t>Carcasse: EP ; Résistance à la traction: 200 N/mm ; Nombre de plis: 2 ; Revêtement supérieur: 2 mm ; Revêtement inférieur: 1 mm ; Largeur de bande: 150 mm</t>
  </si>
  <si>
    <t>EP150XXX400/3-4+2HY</t>
  </si>
  <si>
    <t>EP 400/3-4+2,BB150</t>
  </si>
  <si>
    <t>3,410</t>
  </si>
  <si>
    <t>EP150XXX630/4-2+2-ELEVATORSA</t>
  </si>
  <si>
    <t>EP 630/4-2+2-BB150 ELEVATOR</t>
  </si>
  <si>
    <t>4,290</t>
  </si>
  <si>
    <t>EP150XXX800/4-2+2-ELEVATORSA</t>
  </si>
  <si>
    <t>EP 800/4-2+2-BB150 ELEVATOR</t>
  </si>
  <si>
    <t>4,430</t>
  </si>
  <si>
    <t>EP1520PRG250/2-3+2-MULTIVSH</t>
  </si>
  <si>
    <t>EP 250/2-3+2,BB1520-Multi V profiel 6 mm O&amp;V</t>
  </si>
  <si>
    <t>43,770</t>
  </si>
  <si>
    <t>EP1520PRL400/3-3+2-MULTIVSH</t>
  </si>
  <si>
    <t>EP 400/3-3+2,BB1520-Multi V profiel 6 mm</t>
  </si>
  <si>
    <t>57,170</t>
  </si>
  <si>
    <t>EP1520PRL500/4-3+2-MULTIVSH</t>
  </si>
  <si>
    <t>EP 500/4-3+2,BB1520-Multi V profiel 6 mm</t>
  </si>
  <si>
    <t>40,470</t>
  </si>
  <si>
    <t>EP1524GLY250/2-2+0-MINIBITEHY</t>
  </si>
  <si>
    <t>EP 250/2-2+0,BB1524-GLY- Mini Bite Profiel</t>
  </si>
  <si>
    <t>48,990</t>
  </si>
  <si>
    <t>EP1524PRL400/3-3+1½-MULTIVLB</t>
  </si>
  <si>
    <t>EP 400/3-3+1½,BB1524-Multi V profiel 6 mm</t>
  </si>
  <si>
    <t>EP1600GLY250/2-2+0HY</t>
  </si>
  <si>
    <t>EP 250/2-2+0,BB1600-GLY</t>
  </si>
  <si>
    <t>27,660</t>
  </si>
  <si>
    <t>Bandweefseltype: EP ; Treksterkte: 250 N/mm ; Aantal inlagen: 2 ; Bovendek: 2 mm ; Onderdek: 0 mm ; Bandbreedte: 1600 mm</t>
  </si>
  <si>
    <t>Fabric type: EP ; Tensile strength: 250 N/mm ; Number of plies: 2 ; Topcover: 2 mm ; Bottomcover: 0 mm ; Beltwidth: 1600 mm</t>
  </si>
  <si>
    <t>Carcasse: EP ; Tension de service: 250 N/mm ; Nombre de plis: 2 ; Revêtement supérieur: 2 mm ; Revêtement inférieur: 0 mm ; Largeur de bande: 1600 mm</t>
  </si>
  <si>
    <t>EP1600GLY250/2-2+0JO</t>
  </si>
  <si>
    <t>EP1600GLY400/3-2+0FF</t>
  </si>
  <si>
    <t>EP 400/3-2+0,BB1600-GLY</t>
  </si>
  <si>
    <t>Bandweefseltype: EP ; Treksterkte: 400 N/mm ; Aantal inlagen: 3 ; Bovendek: 2 mm ; Onderdek: 0 mm ; Bandbreedte: 1600 mm</t>
  </si>
  <si>
    <t>Gewebetype: EP ; Zugfestigkeit: 400 N/mm ; Anzahl Einlagen: 3 ; Oberdeck: 2 mm ; Unterdeck: 0 mm ; Gurtbreite: 1600 mm</t>
  </si>
  <si>
    <t>Fabric type: EP ; Tensile strength: 400 N/mm ; Number of plies: 3 ; Topcover: 2 mm ; Bottomcover: 0 mm ; Beltwidth: 1600 mm</t>
  </si>
  <si>
    <t>EP1600GLY400/3-2+0HU</t>
  </si>
  <si>
    <t>EP1600GLY400/3-2+0HY</t>
  </si>
  <si>
    <t>36,100</t>
  </si>
  <si>
    <t>EP1600GLY400/3-2+0JO</t>
  </si>
  <si>
    <t>24,070</t>
  </si>
  <si>
    <t>EP1600GLY400/3-3+0HY</t>
  </si>
  <si>
    <t>EP 400/3-3+0,BB1600-GLY</t>
  </si>
  <si>
    <t>45,710</t>
  </si>
  <si>
    <t>38,730</t>
  </si>
  <si>
    <t>Bandweefseltype: EP ; Treksterkte: 400 N/mm ; Aantal inlagen: 3 ; Bovendek: 3 mm ; Onderdek: 0 mm ; Bandbreedte: 1600 mm</t>
  </si>
  <si>
    <t>Gewebetype: EP ; Zugfestigkeit: 400 N/mm ; Anzahl Einlagen: 3 ; Oberdeck: 3 mm ; Unterdeck: 0 mm ; Gurtbreite: 1600 mm</t>
  </si>
  <si>
    <t>Fabric type: EP ; Tensile strength: 400 N/mm ; Number of plies: 3 ; Topcover: 3 mm ; Bottomcover: 0 mm ; Beltwidth: 1600 mm</t>
  </si>
  <si>
    <t>Carcasse: EP ; Tension de service: 400 N/mm ; Nombre de plis: 3 ; Revêtement supérieur: 3 mm ; Revêtement inférieur: 0 mm ; Largeur de bande: 1600 mm</t>
  </si>
  <si>
    <t>EP1600GLY400/3-3+0JO</t>
  </si>
  <si>
    <t>30,280</t>
  </si>
  <si>
    <t>Glijband, Slijtvast, Standaard kwaliteit ; EP 400/3-3+1</t>
  </si>
  <si>
    <t>Gleitgurt, Abriebfest, Standardqualität ; EP 400/3-3+1</t>
  </si>
  <si>
    <t>Bareback, Abrasion resistant, Standard Quality ; EP 400/3-3+1</t>
  </si>
  <si>
    <t>Bande à sole de glisse, Anti-abrasion, qualité standard ; EP 400/3-3+1</t>
  </si>
  <si>
    <t>EP1600GLY500/4-6+0HY</t>
  </si>
  <si>
    <t>EP 500/4-6+0,BB1600-GLY</t>
  </si>
  <si>
    <t>75,270</t>
  </si>
  <si>
    <t>Bandweefseltype: EP ; Treksterkte: 500 N/mm ; Aantal inlagen: 4 ; Bovendek: 6 mm ; Onderdek: 0 mm ; Bandbreedte: 1600 mm</t>
  </si>
  <si>
    <t>Gewebetype: EP ; Zugfestigkeit: 500 N/mm ; Anzahl Einlagen: 4 ; Oberdeck: 6 mm ; Unterdeck: 0 mm ; Gurtbreite: 1600 mm</t>
  </si>
  <si>
    <t>Fabric type: EP ; Tensile strength: 500 N/mm ; Number of plies: 4 ; Topcover: 6 mm ; Bottomcover: 0 mm ; Beltwidth: 1600 mm</t>
  </si>
  <si>
    <t>Carcasse: EP ; Tension de service: 500 N/mm ; Nombre de plis: 4 ; Revêtement supérieur: 6 mm ; Revêtement inférieur: 0 mm ; Largeur de bande: 1600 mm</t>
  </si>
  <si>
    <t>EP1600GLY500/4-6+0JO</t>
  </si>
  <si>
    <t>51,390</t>
  </si>
  <si>
    <t>EP1600HB400/3-4+2-150°+O&amp;VSA</t>
  </si>
  <si>
    <t>EP 400/3-4+2,BB1600,olie+vet-HB150°</t>
  </si>
  <si>
    <t>58,070</t>
  </si>
  <si>
    <t>EP1600HB400/3-5+2-150°PH</t>
  </si>
  <si>
    <t>EP 400/3-5+2,BB1600,HB</t>
  </si>
  <si>
    <t>48,960</t>
  </si>
  <si>
    <t>Bandweefseltype: EP ; Treksterkte: 400 N/mm ; Aantal inlagen: 3 ; Bovendek: 5 mm ; Onderdek: 2 mm ; Bandbreedte: 1600 mm ; Hittebestendig 150°-170°</t>
  </si>
  <si>
    <t>Fabric type: EP ; Tensile strength: 400 N/mm ; Number of plies: 3 ; Topcover: 5 mm ; Bottomcover: 2 mm ; Beltwidth: 1600 mm ; Heat resistant 150°-170°</t>
  </si>
  <si>
    <t>EP1600HB400/3-5+2-150°SA</t>
  </si>
  <si>
    <t>50,030</t>
  </si>
  <si>
    <t>Gewebetype: EP ; Zugfestigkeit: 400 N/mm ; Anzahl Einlagen: 3 ; Oberdeck: 5 mm ; Unterdeck: 2 mm ; Gurtbreite: 400 mm ; Hitzebeständig 150°-170°</t>
  </si>
  <si>
    <t>EP1600HB500/4-5+2-200°SA</t>
  </si>
  <si>
    <t>EP 500/4-5+2,BB1600,HB200°</t>
  </si>
  <si>
    <t>73,198</t>
  </si>
  <si>
    <t>Bandweefseltype: EP ; Treksterkte: 500 N/mm ; Aantal inlagen: 4 ; Bovendek: 5 mm ; Onderdek: 2 mm ; Bandbreedte: 1600 mm ; Hittebestendig 180°-200°</t>
  </si>
  <si>
    <t>Gewebetype: EP ; Zugfestigkeit: 500 N/mm ; Anzahl Einlagen: 4 ; Oberdeck: 5 mm ; Unterdeck: 2 mm ; Gurtbreite: 1600 mm ; Hitzebeständig 180°-200°</t>
  </si>
  <si>
    <t>Fabric type: EP ; Tensile strength: 500 N/mm ; Number of plies: 4 ; Topcover: 5 mm ; Bottomcover: 2 mm ; Beltwidth: 1600 mm ; Heat resistant 180°-200°</t>
  </si>
  <si>
    <t>EP1600OVG250/2-2+0HY</t>
  </si>
  <si>
    <t>EP 250/2-2+0,BB1600-GLY-O+V</t>
  </si>
  <si>
    <t>30,911</t>
  </si>
  <si>
    <t>Bandweefseltype: EP ; Treksterkte: 250 N/mm ; Aantal inlagen: 2 ; Bovendek: 2 mm ; Onderdek: 0 mm ; Bandbreedte: 1600 mm ; Olie- en vetbestendige Kwaliteit</t>
  </si>
  <si>
    <t>Gewebetype: EP ; Zugfestigkeit: 250 N/mm ; Anzahl Einlagen: 2 ; Oberdeck: 2 mm ; Unterdeck: 0 mm ; Gurtbreite: 1600 mm ; Öl und Fettbeständige Qualität</t>
  </si>
  <si>
    <t>Fabric type: EP ; Tensile strength: 250 N/mm ; Number of plies: 2 ; Topcover: 2 mm ; Bottomcover: 0 mm ; Beltwidth: 1600 mm ; Oil and Grease Resistant Quality</t>
  </si>
  <si>
    <t>EP1600OVG250/2-2+0JO</t>
  </si>
  <si>
    <t>EP1600OVG400/3-2+0AR</t>
  </si>
  <si>
    <t>EP 400/3-2+0,BB1600-GLY-O+V</t>
  </si>
  <si>
    <t>40,970</t>
  </si>
  <si>
    <t>Bandweefseltype: EP ; Treksterkte: 400 N/mm ; Aantal inlagen: 3 ; Bovendek: 2 mm ; Onderdek: 0 mm ; Bandbreedte: 1600 mm ; Olie- en vetbestendige Kwaliteit</t>
  </si>
  <si>
    <t>Gewebetype: EP ; Zugfestigkeit: 400 N/mm ; Anzahl Einlagen: 3 ; Oberdeck: 2 mm ; Unterdeck: 0 mm ; Gurtbreite: 1600 mm ; Öl und Fettbeständige Qualität</t>
  </si>
  <si>
    <t>Fabric type: EP ; Tensile strength: 400 N/mm ; Number of plies: 3 ; Topcover: 2 mm ; Bottomcover: 0 mm ; Beltwidth: 1600 mm ; Oil and Grease Resistant Quality</t>
  </si>
  <si>
    <t>EP1600OVG400/3-2+0HY</t>
  </si>
  <si>
    <t>48,120</t>
  </si>
  <si>
    <t>EP1600OVG400/3-2+0JO</t>
  </si>
  <si>
    <t>32,720</t>
  </si>
  <si>
    <t>EP1600OVG400/3-2+0ZZ</t>
  </si>
  <si>
    <t>38,890</t>
  </si>
  <si>
    <t>EP1600OVG400/3-3+0HY</t>
  </si>
  <si>
    <t>EP 400/3-3+0,BB1600-GLY-O+V</t>
  </si>
  <si>
    <t>47,400</t>
  </si>
  <si>
    <t>Bandweefseltype: EP ; Treksterkte: 400 N/mm ; Aantal inlagen: 3 ; Bovendek: 3 mm ; Onderdek: 0 mm ; Bandbreedte: 1600 mm ; Olie- en vetbestendige Kwaliteit</t>
  </si>
  <si>
    <t>Gewebetype: EP ; Zugfestigkeit: 400 N/mm ; Anzahl Einlagen: 3 ; Oberdeck: 3 mm ; Unterdeck: 0 mm ; Gurtbreite: 1600 mm ; Öl und Fettbeständige Qualität</t>
  </si>
  <si>
    <t>Fabric type: EP ; Tensile strength: 400 N/mm ; Number of plies: 3 ; Topcover: 3 mm ; Bottomcover: 0 mm ; Beltwidth: 1600 mm ; Oil and Grease Resistant Quality</t>
  </si>
  <si>
    <t>EP1600OVG400/3-3+0JO</t>
  </si>
  <si>
    <t>39,860</t>
  </si>
  <si>
    <t>EP1600OVG400/3-3+0RP</t>
  </si>
  <si>
    <t>51,800</t>
  </si>
  <si>
    <t>EP1600OVG500/4-3+0FF</t>
  </si>
  <si>
    <t>EP 500/4-3+0,BB1600-GLY-O+V</t>
  </si>
  <si>
    <t>Bandweefseltype: EP ; Treksterkte: 500 N/mm ; Aantal inlagen: 4 ; Bovendek: 3 mm ; Onderdek: 0 mm ; Bandbreedte: 1600 mm ; Olie- en vetbestendige Kwaliteit</t>
  </si>
  <si>
    <t>Gewebetype: EP ; Zugfestigkeit: 500 N/mm ; Anzahl Einlagen: 4 ; Oberdeck: 3 mm ; Unterdeck: 0 mm ; Gurtbreite: 1600 mm ; Öl und Fettbeständige Qualität</t>
  </si>
  <si>
    <t>Fabric type: EP ; Tensile strength: 500 N/mm ; Number of plies: 4 ; Topcover: 3 mm ; Bottomcover: 0 mm ; Beltwidth: 1600 mm ; Oil and Grease Resistant Quality</t>
  </si>
  <si>
    <t>EP1600OVG500/4-3+0HY</t>
  </si>
  <si>
    <t>72,640</t>
  </si>
  <si>
    <t>EP1600OVX250/2-3+1HY</t>
  </si>
  <si>
    <t>EP 250/2-3+1,BB1600-O+V</t>
  </si>
  <si>
    <t>46,920</t>
  </si>
  <si>
    <t>Bandweefseltype: EP ; Treksterkte: 250 N/mm ; Aantal inlagen: 2 ; Bovendek: 3 mm ; Onderdek: 1 mm ; Bandbreedte: 1600 mm ; Olie- en vetbestendige Kwaliteit</t>
  </si>
  <si>
    <t>Gewebetype: EP ; Zugfestigkeit: 250 N/mm ; Anzahl Einlagen: 2 ; Oberdeck: 3 mm ; Unterdeck: 1 mm ; Gurtbreite: 1600 mm ; Öl und Fettbeständige Qualität</t>
  </si>
  <si>
    <t>Fabric type: EP ; Tensile strength: 250 N/mm ; Number of plies: 2 ; Topcover: 3 mm ; Bottomcover: 1 mm ; Beltwidth: 1600 mm ; Oil and Grease Resistant Quality</t>
  </si>
  <si>
    <t>EP1600OVX250/2-3+1JO</t>
  </si>
  <si>
    <t>31,970</t>
  </si>
  <si>
    <t>EP1600OVX400/3-4+2JO</t>
  </si>
  <si>
    <t>EP 400/3-4+2,BB1600-O+V</t>
  </si>
  <si>
    <t>45,080</t>
  </si>
  <si>
    <t>Bandweefseltype: EP ; Treksterkte: 400 N/mm ; Aantal inlagen: 3 ; Bovendek: 4 mm ; Onderdek: 2 mm ; Bandbreedte: 1600 mm ; Olie- en vetbestendige Kwaliteit</t>
  </si>
  <si>
    <t>Gewebetype: EP ; Zugfestigkeit: 400 N/mm ; Anzahl Einlagen: 3 ; Oberdeck: 4 mm ; Unterdeck: 2 mm ; Gurtbreite: 1600 mm ; Öl und Fettbeständige Qualität</t>
  </si>
  <si>
    <t>Fabric type: EP ; Tensile strength: 400 N/mm ; Number of plies: 3 ; Topcover: 4 mm ; Bottomcover: 2 mm ; Beltwidth: 1600 mm ; Oil and Grease Resistant Quality</t>
  </si>
  <si>
    <t>EP1600OVX400/3-4+2PH</t>
  </si>
  <si>
    <t>39,360</t>
  </si>
  <si>
    <t>EP1600OVX400/3-4+2RP</t>
  </si>
  <si>
    <t>54,750</t>
  </si>
  <si>
    <t>EP1600OVX400/3-4+2SA</t>
  </si>
  <si>
    <t>EP1600OVX500/3-6+2PH</t>
  </si>
  <si>
    <t>EP 500/3-6+2,BB1600-O+V</t>
  </si>
  <si>
    <t>48,350</t>
  </si>
  <si>
    <t>Bandweefseltype: EP ; Treksterkte: 500 N/mm ; Aantal inlagen: 3 ; Bovendek: 6 mm ; Onderdek: 2 mm ; Bandbreedte: 1600 mm ; Olie- en vetbestendige Kwaliteit</t>
  </si>
  <si>
    <t>Gewebetype: EP ; Zugfestigkeit: 500 N/mm ; Anzahl Einlagen: 3 ; Oberdeck: 6 mm ; Unterdeck: 2 mm ; Gurtbreite: 1600 mm ; Öl und Fettbeständige Qualität</t>
  </si>
  <si>
    <t>Fabric type: EP ; Tensile strength: 500 N/mm ; Number of plies: 3 ; Topcover: 6 mm ; Bottomcover: 2 mm ; Beltwidth: 1600 mm ; Oil and Grease Resistant Quality</t>
  </si>
  <si>
    <t>EP1600OVX500/4-5+2PH</t>
  </si>
  <si>
    <t>EP 500/4-5+2,BB1600-O+V</t>
  </si>
  <si>
    <t>44,320</t>
  </si>
  <si>
    <t>EP1600PRG400/3-3+1-C25P1335HY</t>
  </si>
  <si>
    <t>EP 400/3-3+1-BB1600-profiel C25P1335 O&amp;V</t>
  </si>
  <si>
    <t>141,070</t>
  </si>
  <si>
    <t>Bandweefseltype: EP ; Treksterkte: 400 N/mm ; Aantal inlagen: 3 ; Bovendek: 3 mm ; Onderdek: 1 mm ; Bandbreedte: 1600 mm ; Profiel hoogte: 25 mm ; Profiel breedte: 1335mm ; Type:C25P1335 ; Olie- en vetbestendige Kwaliteit</t>
  </si>
  <si>
    <t>Gewebetype: EP ; Zugfestigkeit: 400 N/mm ; Anzahl Einlagen: 3 ; Oberdeck: 3 mm ; Unterdeck: 1 mm ; Gurtbreite: 1600 mm ; Profilhöhe: 25 mm ; Profilbreite: 1335mm ; Profiltyp: C25P1335 ; Öl und Fettbeständige Qualität</t>
  </si>
  <si>
    <t>Fabric type: EP ; Tensile strength: 400 N/mm ; Number of plies: 3 ; Topcover: 3 mm ; Bottomcover: 1 mm ; Beltwidth: 1600 mm ; Profile height: 25 mm ; Profile width: 1335mm ; Profile type: C25P1335 ; Oil and Grease Resistant Quality</t>
  </si>
  <si>
    <t>Carcasse: EP ; Résistance à la traction: 400 N/mm ; Nombre de plis: 3 ; Revêtement supérieur: 3 mm ; Revêtement inférieur: 1 mm ; Largeur de bande: 1600 mm ; Hauteur du profil: 25 mm ; Largeur du profil: 1335mm ; Type de profil: C25P1335 ; Qualité résistant aux huiles et graisses</t>
  </si>
  <si>
    <t>EP1600PRG400/3-3+2-MULTIVHY</t>
  </si>
  <si>
    <t>EP 400/3-3+2,BB1600-Multi V profiel 6 mm O&amp;V</t>
  </si>
  <si>
    <t>65,540</t>
  </si>
  <si>
    <t>Bandweefseltype: EP ; Treksterkte: 400 N/mm ; Aantal inlagen: 3 ; Bovendek: 3 mm ; Onderdek: 2 mm ; Bandbreedte: 1600 mm ; Profiel hoogte: 6 mm ; Profiel breedte: Volledige bandbreedte ; Type: V6 ; Olie- en vetbestendige Kwaliteit</t>
  </si>
  <si>
    <t>Gewebetype: EP ; Zugfestigkeit: 400 N/mm ; Anzahl Einlagen: 3 ; Oberdeck: 3 mm ; Unterdeck: 2 mm ; Gurtbreite: 1600 mm ; Profilhöhe: 6 mm ; Profilbreite: Komplette Gurtbreite ; Profiltyp: V6 ; Öl und Fettbeständige Qualität</t>
  </si>
  <si>
    <t>Fabric type: EP ; Tensile strength: 400 N/mm ; Number of plies: 3 ; Topcover: 3 mm ; Bottomcover: 2 mm ; Beltwidth: 1600 mm ; Profile height: 6 mm ; Profile width: Full belt width ; Profile type: V6 ; Oil and Grease Resistant Quality</t>
  </si>
  <si>
    <t>Carcasse: EP ; Résistance à la traction: 400 N/mm ; Nombre de plis: 3 ; Revêtement supérieur: 3 mm ; Revêtement inférieur: 2 mm ; Largeur de bande: 1600 mm ; Hauteur du profil: 6 mm ; Largeur du profil: Sur toute la largeur ; Type de profil: V6 ; Qualité résistant aux huiles et graisses</t>
  </si>
  <si>
    <t>EP1600PRH400/3-3+1-H130HY</t>
  </si>
  <si>
    <t>EP 400/3-3+1,BB1600-profiel H130</t>
  </si>
  <si>
    <t>115,720</t>
  </si>
  <si>
    <t>Chevron, Standaard kwaliteit ; EP 500/4-3+2 met H130 profiel</t>
  </si>
  <si>
    <t>Chevron, Standardqualität ; EP 500/4-3+2 mit H130 Profil</t>
  </si>
  <si>
    <t>Chevron, Standard Quality ; EP 500/4-3+2 with H130 profile</t>
  </si>
  <si>
    <t>Chevron, Qualité standard ; EP 500/4-3+2 met H130 profil</t>
  </si>
  <si>
    <t>Bandweefseltype: EP ; Treksterkte: 500 N/mm ; Aantal inlagen: 4 ; Bovendek: 3 mm ; Onderdek:  mm 2 ; Bandbreedte: 1600 mm ; Profiel hoogte: 32 mm ; Profiel breedte: 1300 mm ; Profiel type: open</t>
  </si>
  <si>
    <t>Gewebetype: EP ; Zugfestigkeit: 500 N/mm ; Anzahl Einlagen: 4 ; Oberdeck: 3 mm ; Unterdeck: 2 mm ; Gurtbreite: 1600 mm ; Profilhöhe: 32 mm ; Profilbreite: 1300 mm ; Profiltyp: offen</t>
  </si>
  <si>
    <t>Fabric type: EP ; Tensile strength: 500 N/mm ; Number of plies: 4 ; Topcover: 3 mm ; Bottomcover: 2 mm ; Beltwidth: 1600 mm ; Profile height: 32 mm ; Profile width: 1300 mm ; Profile type: open</t>
  </si>
  <si>
    <t>Carcasse: EP ; Résistance à la traction: 500 N/mm ; Nombre de plis: 4 ; Revêtement supérieur: 3 mm ; Revêtement inférieur: 2 mm ; Largeur de bande: 1600 mm ; Hauteur du profil: 32 mm ; Largeur du profil: 1300 mm ; Type de profil: Ouvert</t>
  </si>
  <si>
    <t>EP1600PRH500/4-3+2-H130HY</t>
  </si>
  <si>
    <t>EP 500/4-3+2,BB1600-profiel H130</t>
  </si>
  <si>
    <t>135,830</t>
  </si>
  <si>
    <t>Chevron, Standaard kwaliteit ; EP 250/2-3+1 met H46 profiel</t>
  </si>
  <si>
    <t>Chevron, Standardqualität ; EP 250/2-3+1 mit H46 Profil</t>
  </si>
  <si>
    <t>Chevron, Standard Quality ; EP 250/2-3+1 with H46 profile</t>
  </si>
  <si>
    <t>Chevron, Qualité standard ; EP 250/2-3+1 met H46 profil</t>
  </si>
  <si>
    <t>Bandweefseltype: EP ; Treksterkte: 250 N/mm ; Aantal inlagen: 2 ; Bovendek: 3 mm ; Onderdek:  mm 1 ; Bandbreedte: 500 mm ; Profiel hoogte: 32 mm ; Profiel breedte: 460 mm ; Profiel type: open</t>
  </si>
  <si>
    <t>Gewebetype: EP ; Zugfestigkeit: 250 N/mm ; Anzahl Einlagen: 2 ; Oberdeck: 3 mm ; Unterdeck: 1 mm ; Gurtbreite: 500 mm ; Profilhöhe: 32 mm ; Profilbreite: 460 mm ; Profiltyp: offen</t>
  </si>
  <si>
    <t>Fabric type: EP ; Tensile strength: 250 N/mm ; Number of plies: 2 ; Topcover: 3 mm ; Bottomcover: 1 mm ; Beltwidth: 500 mm ; Profile height: 32 mm ; Profile width: 460 mm ; Profile type: open</t>
  </si>
  <si>
    <t>Carcasse: EP ; Résistance à la traction: 250 N/mm ; Nombre de plis: 2 ; Revêtement supérieur: 3 mm ; Revêtement inférieur: 1 mm ; Largeur de bande: 500 mm ; Hauteur du profil: 32 mm ; Largeur du profil: 460 mm ; Type de profil: Ouvert</t>
  </si>
  <si>
    <t>EP1600PRL400/3-3+2-MULTIVSH</t>
  </si>
  <si>
    <t>EP 400/3-3+2,BB1600-Multi V profiel 6 mm</t>
  </si>
  <si>
    <t>32,180</t>
  </si>
  <si>
    <t>Bandweefseltype: EP ; Treksterkte: 400 N/mm ; Aantal inlagen: 3 ; Bovendek: 3 mm ; Onderdek: 2 mm ; Bandbreedte: 1600 mm ; Profiel hoogte: 6 mm ; Profiel breedte: Volledige bandbreedte ; Type: V6</t>
  </si>
  <si>
    <t>Gewebetype: EP ; Zugfestigkeit: 400 N/mm ; Anzahl Einlagen: 3 ; Oberdeck: 3 mm ; Unterdeck: 2 mm ; Gurtbreite: 100 mm ; Profilhöhe: 6 mm ; Profilbreite: Komplette Gurtbreite ; Profiltyp: V6</t>
  </si>
  <si>
    <t>Fabric type: EP ; Tensile strength: 400 N/mm ; Number of plies: 3 ; Topcover: 3 mm ; Bottomcover: 2 mm ; Beltwidth: 1600 mm ; Profile height: 6 mm ; Profile width: Full belt width ; Profile type: V6</t>
  </si>
  <si>
    <t>Carcasse: EP ; Résistance à la traction: 400 N/mm ; Nombre de plis: 3 ; Revêtement supérieur: 3 mm ; Revêtement inférieur: 2 mm ; Largeur de bande: 1600 mm ; Hauteur du profil: 6 mm ; Largeur du profil: Sur toute la largeur ; Type de profil: V6</t>
  </si>
  <si>
    <t>EP1600PRM400/3-3+2-C25P1000HY</t>
  </si>
  <si>
    <t>EP 400/3-3+2-BB1600-profiel C25P1000</t>
  </si>
  <si>
    <t>92,810</t>
  </si>
  <si>
    <t>Bandweefseltype: EP ; Treksterkte: 400 N/mm ; Aantal inlagen: 3 ; Bovendek: 3 mm ; Onderdek:  2 mm ; Bandbreedte: 1600 mm ; Profiel hoogte: 25 mm ; Profiel breedte: 1000 mm ; Profiel type: open</t>
  </si>
  <si>
    <t>Gewebetype: EP ; Zugfestigkeit: 400 N/mm ; Anzahl Einlagen: 3 ; Oberdeck: 3 mm ; Unterdeck: 2 mm ; Gurtbreite: 1600 mm ; Profilhöhe: 25 mm ; Profilbreite: 1000 mm ; Profiltyp: offen</t>
  </si>
  <si>
    <t>Fabric type: EP ; Tensile strength: 400 N/mm ; Number of plies: 3 ; Topcover: 3 mm ; Bottomcover: 2 mm ; Beltwidth: 1600 mm ; Profile height: 25 mm ; Profile width: 1000 mm ; Profile type: open</t>
  </si>
  <si>
    <t>Carcasse: EP ; Résistance à la traction: 400 N/mm ; Nombre de plis: 3 ; Revêtement supérieur: 3 mm ; Revêtement inférieur: 2 mm ; Largeur de bande: 1600 mm ; Hauteur du profil: 25 mm ; Largeur du profil: 1000 mm ; Type de profil: Ouvert</t>
  </si>
  <si>
    <t>EP1600PRM400/3-3+2-C25P1335HY</t>
  </si>
  <si>
    <t>EP 400/3-3+2-BB1600-profiel C25P1335</t>
  </si>
  <si>
    <t>119,020</t>
  </si>
  <si>
    <t>Bandweefseltype: EP ; Treksterkte: 400 N/mm ; Aantal inlagen: 3 ; Bovendek: 3 mm ; Onderdek:  2 mm ; Bandbreedte: 1600 mm ; Profiel hoogte: 25 mm ; Profiel breedte: 1335 mm ; Profiel type: open</t>
  </si>
  <si>
    <t>Gewebetype: EP ; Zugfestigkeit: 400 N/mm ; Anzahl Einlagen: 3 ; Oberdeck: 3 mm ; Unterdeck: 2 mm ; Gurtbreite: 1600 mm ; Profilhöhe: 25 mm ; Profilbreite: 1335 mm ; Profiltyp: offen</t>
  </si>
  <si>
    <t>Fabric type: EP ; Tensile strength: 400 N/mm ; Number of plies: 3 ; Topcover: 3 mm ; Bottomcover: 2 mm ; Beltwidth: 1600 mm ; Profile height: 25 mm ; Profile width: 1335 mm ; Profile type: open</t>
  </si>
  <si>
    <t>Carcasse: EP ; Résistance à la traction: 400 N/mm ; Nombre de plis: 3 ; Revêtement supérieur: 3 mm ; Revêtement inférieur: 2 mm ; Largeur de bande: 1600 mm ; Hauteur du profil: 25 mm ; Largeur du profil: 1335 mm ; Type de profil: Ouvert</t>
  </si>
  <si>
    <t>EP1600PRM500/3-3+2-C25P1000HY</t>
  </si>
  <si>
    <t>EP 500/3-3+2-BB1600-profiel C25P1000</t>
  </si>
  <si>
    <t>83,070</t>
  </si>
  <si>
    <t>Chevron, Standaard kwaliteit ; EP 500/3-3+2 met C25P1000 profiel</t>
  </si>
  <si>
    <t>Chevron, Standardqualität ; EP 500/3-3+2 mit C25P1000 Profil</t>
  </si>
  <si>
    <t>Chevron, Standard Quality ; EP 500/3-3+2  with C25P1000  profile</t>
  </si>
  <si>
    <t>Chevron, Qualité standard ; EP 500/3-3+2 met C25P1000  profil</t>
  </si>
  <si>
    <t>Bandweefseltype: EP ; Treksterkte: 500 N/mm ; Aantal inlagen: 4 ; Bovendek: 3 mm ; Onderdek:  2 mm ; Bandbreedte: 1200 mm ; Profiel hoogte: 25 mm ; Profiel breedte: 1000 mm ; Profiel type: open</t>
  </si>
  <si>
    <t>Gewebetype: EP ; Zugfestigkeit: 500 N/mm ; Anzahl Einlagen: 3 ; Oberdeck: 3 mm ; Unterdeck: 2 mm ; Gurtbreite: 1600 mm ; Profilhöhe: 25 mm ; Profilbreite: 1000 mm ; Profiltyp: offen</t>
  </si>
  <si>
    <t>Fabric type: EP ; Tensile strength: 500 N/mm ; Number of plies: 3 ; Topcover: 3 mm ; Bottomcover: 2 mm ; Beltwidth: 1600 mm ; Profile height: 25 mm ; Profile width: 1000 mm ; Profile type: open</t>
  </si>
  <si>
    <t>Carcasse: EP ; Résistance à la traction: 500 N/mm ; Nombre de plis: 3 ; Revêtement supérieur: 3 mm ; Revêtement inférieur: 2 mm ; Largeur de bande: 1600 mm ; Hauteur du profil: 25 mm ; Largeur du profil: 1000 mm ; Type de profil: Ouvert</t>
  </si>
  <si>
    <t>EP1600PRM500/4-3+2-C25P1000HY</t>
  </si>
  <si>
    <t>EP 500/4-3+2-BB1600-profiel C25P1000</t>
  </si>
  <si>
    <t>113,920</t>
  </si>
  <si>
    <t>Bandweefseltype: EP ; Treksterkte: 500 N/mm ; Aantal inlagen: 4 ; Bovendek: 3 mm ; Onderdek:  2 mm ; Bandbreedte: 1600 mm ; Profiel hoogte: 25 mm ; Profiel breedte: 1000 mm ; Profiel type: open</t>
  </si>
  <si>
    <t>Gewebetype: EP ; Zugfestigkeit: 500 N/mm ; Anzahl Einlagen: 4 ; Oberdeck: 3 mm ; Unterdeck: 2 mm ; Gurtbreite: 1600 mm ; Profilhöhe: 25 mm ; Profilbreite: 1000 mm ; Profiltyp: offen</t>
  </si>
  <si>
    <t>Fabric type: EP ; Tensile strength: 500 N/mm ; Number of plies: 4 ; Topcover: 3 mm ; Bottomcover: 2 mm ; Beltwidth: 1600 mm ; Profile height: 25 mm ; Profile width: 1000 mm ; Profile type: open</t>
  </si>
  <si>
    <t>Carcasse: EP ; Résistance à la traction: 500 N/mm ; Nombre de plis: 4 ; Revêtement supérieur: 3 mm ; Revêtement inférieur: 2 mm ; Largeur de bande: 1600 mm ; Hauteur du profil: 25 mm ; Largeur du profil: 1000 mm ; Type de profil: Ouvert</t>
  </si>
  <si>
    <t>EP1600SGG250/2-3+0HY</t>
  </si>
  <si>
    <t>EP 250/2-3+0,BB1600, Supergrip/glijband</t>
  </si>
  <si>
    <t>30,740</t>
  </si>
  <si>
    <t>Bandweefseltype: EP ; Treksterkte: 250 N/mm ; Aantal inlagen: 2 ; Bovendek: 3 mm ; Onderdek: 0 mm ; Bandbreedte: 1600 mm ; Supergrip / Rough Top Zwart</t>
  </si>
  <si>
    <t>Gewebetype: EP ; Zugfestigkeit: 250 N/mm ; Anzahl Einlagen: 2 ; Oberdeck: 3 mm ; Unterdeck: 0 mm ; Gurtbreite: 1600 mm ; Supergrip / Rough Top Schwarz</t>
  </si>
  <si>
    <t>Fabric type: EP ; Tensile strength: 250 N/mm ; Number of plies: 2 ; Topcover: 3 mm ; Bottomcover: 0 mm ; Beltwidth: 1600 mm ; Supergrip / Rough Top Black</t>
  </si>
  <si>
    <t>Carcasse: EP ; Tension de service: 250 N/mm ; Nombre de plis: 2 ; Revêtement supérieur: 3 mm ; Revêtement inférieur: 0 mm ; Largeur de bande: 1600 mm ; Nid d'abeille Noir</t>
  </si>
  <si>
    <t>EP1600SGG400/3-3+0HY</t>
  </si>
  <si>
    <t>EP 400/3-3+0,BB1600, Supergrip/glijband</t>
  </si>
  <si>
    <t>42,590</t>
  </si>
  <si>
    <t>40,690</t>
  </si>
  <si>
    <t>Bandweefseltype: EP ; Treksterkte: 400 N/mm ; Aantal inlagen: 3 ; Bovendek: 3 mm ; Onderdek: 0 mm ; Bandbreedte: 1600 mm ; Supergrip / Rough Top Zwart</t>
  </si>
  <si>
    <t>Gewebetype: EP ; Zugfestigkeit: 400 N/mm ; Anzahl Einlagen: 3 ; Oberdeck: 3 mm ; Unterdeck: 0 mm ; Gurtbreite: 1600 mm ; Supergrip / Rough Top Schwarz</t>
  </si>
  <si>
    <t>Fabric type: EP ; Tensile strength: 400 N/mm ; Number of plies: 3 ; Topcover: 3 mm ; Bottomcover: 0 mm ; Beltwidth: 1600 mm ; Supergrip / Rough Top Black</t>
  </si>
  <si>
    <t>Carcasse: EP ; Tension de service: 400 N/mm ; Nombre de plis: 3 ; Revêtement supérieur: 3 mm ; Revêtement inférieur: 0 mm ; Largeur de bande: 1600 mm ; Nid d'abeille Noir</t>
  </si>
  <si>
    <t>EP1600SGR250/2-3+1HY</t>
  </si>
  <si>
    <t>EP 250/2-3+1,BB1600, Supergrip zwart</t>
  </si>
  <si>
    <t>31,150</t>
  </si>
  <si>
    <t>Bandweefseltype: EP ; Treksterkte: 250 N/mm ; Aantal inlagen: 2 ; Bovendek: 3 mm ; Onderdek: 1 mm ; Bandbreedte: 1600 mm ; Supergrip / Rough Top Zwart</t>
  </si>
  <si>
    <t>Gewebetype: EP ; Zugfestigkeit: 250 N/mm ; Anzahl Einlagen: 2 ; Oberdeck: 3 mm ; Unterdeck: 1 mm ; Gurtbreite: 1600 mm ; Supergrip / Rough Top Schwarz</t>
  </si>
  <si>
    <t>Fabric type: EP ; Tensile strength: 250 N/mm ; Number of plies: 2 ; Topcover: 3 mm ; Bottomcover: 1 mm ; Beltwidth: 1600 mm ; Supergrip / Rough Top Black</t>
  </si>
  <si>
    <t>Carcasse: EP ; Résistance à la traction: 250 N/mm ; Nombre de plis: 2 ; Revêtement supérieur: 3 mm ; Revêtement inférieur: 1 mm ; Largeur de bande: 1600 mm ; Nid d'abeille Noir</t>
  </si>
  <si>
    <t>EP1600SGR400/3-3+1HY</t>
  </si>
  <si>
    <t>EP 400/3-3+1,BB1600, Supergrip zwart</t>
  </si>
  <si>
    <t>58,064</t>
  </si>
  <si>
    <t>37,910</t>
  </si>
  <si>
    <t>Bandweefseltype: EP ; Treksterkte: 400 N/mm ; Aantal inlagen: 3 ; Bovendek: 3 mm ; Onderdek: 1 mm ; Bandbreedte: 1600 mm ; Supergrip / Rough Top Zwart</t>
  </si>
  <si>
    <t>Gewebetype: EP ; Zugfestigkeit: 400 N/mm ; Anzahl Einlagen: 3 ; Oberdeck: 3 mm ; Unterdeck: 1 mm ; Gurtbreite: 1600 mm ; Supergrip / Rough Top Schwarz</t>
  </si>
  <si>
    <t>Fabric type: EP ; Tensile strength: 400 N/mm ; Number of plies: 3 ; Topcover: 3 mm ; Bottomcover: 1 mm ; Beltwidth: 1600 mm ; Supergrip / Rough Top Black</t>
  </si>
  <si>
    <t>Carcasse: EP ; Résistance à la traction: 400 N/mm ; Nombre de plis: 3 ; Revêtement supérieur: 3 mm ; Revêtement inférieur: 1 mm ; Largeur de bande: 1600 mm ; Nid d'abeille Noir</t>
  </si>
  <si>
    <t>EP1600XXX100/1-1+1HY</t>
  </si>
  <si>
    <t>EP 100/1-1+1,BB1600</t>
  </si>
  <si>
    <t>25,870</t>
  </si>
  <si>
    <t>Bandweefseltype: EP ; Treksterkte: 100 N/mm ; Aantal inlagen: 1 ; Bovendek: 1 mm ; Onderdek: 1 mm ; Bandbreedte: 1600 mm</t>
  </si>
  <si>
    <t>Gewebetype: EP ; Zugfestigkeit: 100 N/mm ; Anzahl Einlagen: 1 ; Oberdeck: 1 mm ; Unterdeck: 1 mm ; Gurtbreite: 1600 mm</t>
  </si>
  <si>
    <t>Fabric type: EP ; Tensile strength: 100 N/mm ; Number of plies: 1 ; Topcover: 1 mm ; Bottomcover: 1 mm ; Beltwidth: 1600 mm</t>
  </si>
  <si>
    <t>Carcasse: EP ; Résistance à la traction: 100 N/mm ; Nombre de plis: 1 ; Revêtement supérieur: 1 mm ; Revêtement inférieur: 1 mm ; Largeur de bande: 1600 mm</t>
  </si>
  <si>
    <t>EP1600XXX1250/6-11+5-DIN-YSH</t>
  </si>
  <si>
    <t>EP 1250/6-11+5,BB1600 DIN-Y</t>
  </si>
  <si>
    <t>215,000</t>
  </si>
  <si>
    <t>91,070</t>
  </si>
  <si>
    <t>EP1600XXX200/2-2+1HY</t>
  </si>
  <si>
    <t>EP 200/2-2+1,BB1600</t>
  </si>
  <si>
    <t>Bandweefseltype: EP ; Treksterkte: 200 N/mm ; Aantal inlagen: 2 ; Bovendek: 2 mm ; Onderdek: 1 mm ; Bandbreedte: 1600 mm</t>
  </si>
  <si>
    <t>Gewebetype: EP ; Zugfestigkeit: 200 N/mm ; Anzahl Einlagen: 2 ; Oberdeck: 2 mm ; Unterdeck: 1 mm ; Gurtbreite: 1600 mm</t>
  </si>
  <si>
    <t>Fabric type: EP ; Tensile strength: 200 N/mm ; Number of plies: 2 ; Topcover: 2 mm ; Bottomcover: 1 mm ; Beltwidth: 1600 mm</t>
  </si>
  <si>
    <t>Carcasse: EP ; Résistance à la traction: 200 N/mm ; Nombre de plis: 2 ; Revêtement supérieur: 2 mm ; Revêtement inférieur: 1 mm ; Largeur de bande: 1600 mm</t>
  </si>
  <si>
    <t>EP1600XXX200/2-2+1JO</t>
  </si>
  <si>
    <t>26,390</t>
  </si>
  <si>
    <t>EP1600XXX250/2-3+1HY</t>
  </si>
  <si>
    <t>EP 250/2-3+1,BB1600</t>
  </si>
  <si>
    <t>27,540</t>
  </si>
  <si>
    <t>Bandweefseltype: EP ; Treksterkte: 250 N/mm ; Aantal inlagen: 2 ; Bovendek: 3 mm ; Onderdek: 1 mm ; Bandbreedte: 1600 mm</t>
  </si>
  <si>
    <t>Gewebetype: EP ; Zugfestigkeit: 250 N/mm ; Anzahl Einlagen: 2 ; Oberdeck: 3 mm ; Unterdeck: 1 mm ; Gurtbreite: 1600 mm</t>
  </si>
  <si>
    <t>Fabric type: EP ; Tensile strength: 250 N/mm ; Number of plies: 2 ; Topcover: 3 mm ; Bottomcover: 1 mm ; Beltwidth: 1600 mm</t>
  </si>
  <si>
    <t>Carcasse: EP ; Résistance à la traction: 250 N/mm ; Nombre de plis: 2 ; Revêtement supérieur: 3 mm ; Revêtement inférieur: 1 mm ; Largeur de bande: 1600 mm</t>
  </si>
  <si>
    <t>EP1600XXX250/2-3+1JO</t>
  </si>
  <si>
    <t>30,270</t>
  </si>
  <si>
    <t>EP1600XXX250/2-3+1KA</t>
  </si>
  <si>
    <t>25,640</t>
  </si>
  <si>
    <t>EP1600XXX315/2-4+2KA</t>
  </si>
  <si>
    <t>EP 315/2-4+2,BB1600</t>
  </si>
  <si>
    <t>27,710</t>
  </si>
  <si>
    <t>Bandweefseltype: EP ; Treksterkte: 315 N/mm ; Aantal inlagen: 2 ; Bovendek: 4 mm ; Onderdek: 2 mm ; Bandbreedte: 1600 mm</t>
  </si>
  <si>
    <t>Gewebetype: EP ; Zugfestigkeit: 315 N/mm ; Anzahl Einlagen: 2 ; Oberdeck: 4 mm ; Unterdeck: 2 mm ; Gurtbreite: 1600 mm</t>
  </si>
  <si>
    <t>Fabric type: EP ; Tensile strength: 315 N/mm ; Number of plies: 2 ; Topcover: 4 mm ; Bottomcover: 2 mm ; Beltwidth: 1600 mm</t>
  </si>
  <si>
    <t>Carcasse: EP ; Résistance à la traction: 315 N/mm ; Nombre de plis: 2 ; Revêtement supérieur: 4 mm ; Revêtement inférieur: 2 mm ; Largeur de bande: 1600 mm</t>
  </si>
  <si>
    <t>EP1600XXX315/2-4+2RP</t>
  </si>
  <si>
    <t>EP1600XXX315/2-4+2SH</t>
  </si>
  <si>
    <t>26,800</t>
  </si>
  <si>
    <t>EP1600XXX400/3-4+2CO</t>
  </si>
  <si>
    <t>EP 400/3-4+2,BB1600</t>
  </si>
  <si>
    <t>Bandweefseltype: EP ; Treksterkte: 400N/mm ; Aantal inlagen: 3 ; Bovendek: 4 mm ; Onderdek: 2 mm ; Bandbreedte: 1600 mm</t>
  </si>
  <si>
    <t>Gewebetype: EP ; Zugfestigkeit: 400 N/mm ; Anzahl Einlagen: 3 ; Oberdeck: 4 mm ; Unterdeck: 2 mm ; Gurtbreite: 1600 mm</t>
  </si>
  <si>
    <t>Fabric type: EP ; Tensile strength: 400 N/mm ; Number of plies: 3 ; Topcover: 4 mm ; Bottomcover: 2 mm ; Beltwidth: 1600 mm</t>
  </si>
  <si>
    <t>Carcasse: EP ; Résistance à la traction: 400 N/mm ; Nombre de plis: 3 ; Revêtement supérieur: 4 mm ; Revêtement inférieur: 2 mm ; Largeur de bande: 1600 mm</t>
  </si>
  <si>
    <t>EP1600XXX400/3-4+2-DIN-XKA</t>
  </si>
  <si>
    <t>EP 400/3-4+2,BB1600-DIN-X</t>
  </si>
  <si>
    <t>38,640</t>
  </si>
  <si>
    <t>EP1600XXX400/3-4+2FF</t>
  </si>
  <si>
    <t>EP1600XXX400/3-4+2KA</t>
  </si>
  <si>
    <t>33,360</t>
  </si>
  <si>
    <t>EP1600XXX400/3-4+2RP</t>
  </si>
  <si>
    <t>36,800</t>
  </si>
  <si>
    <t>EP1600XXX400/3-4+2SH</t>
  </si>
  <si>
    <t>30,090</t>
  </si>
  <si>
    <t>EP1600XXX400/3-4+2YO</t>
  </si>
  <si>
    <t>16,490</t>
  </si>
  <si>
    <t>EP1600XXX400/3-4+2ZA</t>
  </si>
  <si>
    <t>32,760</t>
  </si>
  <si>
    <t>EP1600XXX400/3-4+2ZZ</t>
  </si>
  <si>
    <t>31,470</t>
  </si>
  <si>
    <t>EP1600XXX400/3-6+2FF</t>
  </si>
  <si>
    <t>EP 400/3-6+2,BB1600</t>
  </si>
  <si>
    <t>49,500</t>
  </si>
  <si>
    <t>Bandweefseltype: EP ; Treksterkte: 400N/mm ; Aantal inlagen: 3 ; Bovendek: 6 mm ; Onderdek: 2 mm ; Bandbreedte: 1600 mm</t>
  </si>
  <si>
    <t>Gewebetype: EP ; Zugfestigkeit: 400 N/mm ; Anzahl Einlagen: 3 ; Oberdeck: 6 mm ; Unterdeck: 2 mm ; Gurtbreite: 1600 mm</t>
  </si>
  <si>
    <t>Fabric type: EP ; Tensile strength: 400 N/mm ; Number of plies: 3 ; Topcover: 6 mm ; Bottomcover: 2 mm ; Beltwidth: 1600 mm</t>
  </si>
  <si>
    <t>Carcasse: EP ; Résistance à la traction: 400 N/mm ; Nombre de plis: 3 ; Revêtement supérieur: 6 mm ; Revêtement inférieur: 2 mm ; Largeur de bande: 1600 mm</t>
  </si>
  <si>
    <t>EP1600XXX400/3-6+2KA</t>
  </si>
  <si>
    <t>38,990</t>
  </si>
  <si>
    <t>EP1600XXX400/3-6+2SH</t>
  </si>
  <si>
    <t>36,650</t>
  </si>
  <si>
    <t>EP1600XXX500/3-5+1½KA</t>
  </si>
  <si>
    <t>EP 500/3-5+1½,BB1600</t>
  </si>
  <si>
    <t>32,540</t>
  </si>
  <si>
    <t>Bandweefseltype: EP ; Treksterkte: 500N/mm ; Aantal inlagen: 3 ; Bovendek: 5 mm ; Onderdek: 1½ mm ; Bandbreedte: 1600 mm</t>
  </si>
  <si>
    <t>Gewebetype: EP ; Zugfestigkeit: 500 N/mm ; Anzahl Einlagen: 3 ; Oberdeck: 5 mm ; Unterdeck: 1½ mm ; Gurtbreite: 1600 mm</t>
  </si>
  <si>
    <t>Fabric type: EP ; Tensile strength: 500 N/mm ; Number of plies: 3 ; Topcover: 5 mm ; Bottomcover: 1½ mm ; Beltwidth: 1600 mm</t>
  </si>
  <si>
    <t>Carcasse: EP ; Résistance à la traction: 500 N/mm ; Nombre de plis: 3 ; Revêtement supérieur: 5 mm ; Revêtement inférieur: 1½ mm ; Largeur de bande: 1600 mm</t>
  </si>
  <si>
    <t>EP1600XXX500/3-6+2KA</t>
  </si>
  <si>
    <t>EP 500/3-6+2-BB1600</t>
  </si>
  <si>
    <t>Bandweefseltype: EP ; Treksterkte: 500N/mm ; Aantal inlagen: 3 ; Bovendek: 6 mm ; Onderdek: 2 mm ; Bandbreedte: 1600 mm</t>
  </si>
  <si>
    <t>Gewebetype: EP ; Zugfestigkeit: 500 N/mm ; Anzahl Einlagen: 3 ; Oberdeck: 6 mm ; Unterdeck: 2 mm ; Gurtbreite: 1600 mm</t>
  </si>
  <si>
    <t>Fabric type: EP ; Tensile strength: 500 N/mm ; Number of plies: 3 ; Topcover: 6 mm ; Bottomcover: 2 mm ; Beltwidth: 1600 mm</t>
  </si>
  <si>
    <t>Carcasse: EP ; Résistance à la traction: 500 N/mm ; Nombre de plis: 3 ; Revêtement supérieur: 6 mm ; Revêtement inférieur: 2 mm ; Largeur de bande: 1600 mm</t>
  </si>
  <si>
    <t>EP1600XXX500/3-6+2SH</t>
  </si>
  <si>
    <t>38,037</t>
  </si>
  <si>
    <t>EP1600XXX500/4-5+2CC</t>
  </si>
  <si>
    <t>EP 500/4-5+2,BB1600</t>
  </si>
  <si>
    <t>42,540</t>
  </si>
  <si>
    <t>Bandweefseltype: EP ; Treksterkte: 500N/mm ; Aantal inlagen: 4 ; Bovendek: 5 mm ; Onderdek: 2 mm ; Bandbreedte: 1600 mm</t>
  </si>
  <si>
    <t>Gewebetype: EP ; Zugfestigkeit: 500 N/mm ; Anzahl Einlagen: 4 ; Oberdeck: 5 mm ; Unterdeck: 2 mm ; Gurtbreite: 1600 mm</t>
  </si>
  <si>
    <t>Fabric type: EP ; Tensile strength: 500 N/mm ; Number of plies: 4 ; Topcover: 5 mm ; Bottomcover: 2 mm ; Beltwidth: 1600 mm</t>
  </si>
  <si>
    <t>Carcasse: EP ; Résistance à la traction: 500 N/mm ; Nombre de plis: 4 ; Revêtement supérieur: 5 mm ; Revêtement inférieur: 2 mm ; Largeur de bande: 1600 mm</t>
  </si>
  <si>
    <t>EP1600XXX500/4-5+2KA</t>
  </si>
  <si>
    <t>100,420</t>
  </si>
  <si>
    <t>37,670</t>
  </si>
  <si>
    <t>EP1600XXX500/4-5+2SH</t>
  </si>
  <si>
    <t>31,360</t>
  </si>
  <si>
    <t>EP1600XXX630/3-4+2-DIN-WKA</t>
  </si>
  <si>
    <t>EP 630/3-4+2,BB1600-DIN-W</t>
  </si>
  <si>
    <t>50,610</t>
  </si>
  <si>
    <t>EP1600XXX630/3-4+2KA</t>
  </si>
  <si>
    <t>EP 630/3-4+2,BB1600</t>
  </si>
  <si>
    <t>Meerlaags, Slijtvast, Standaard kwaliteit ; EP 630/3-4+2</t>
  </si>
  <si>
    <t>Mehrlagig, Abriebfest, Standardqualität ; EP 630/3-4+2</t>
  </si>
  <si>
    <t>Multiply, Abrasion resistant, Standard Quality ; EP 630/3-4+2</t>
  </si>
  <si>
    <t>Multiplis, Anti-abrasion, Qualité standard ; EP 630/3-4+2</t>
  </si>
  <si>
    <t>Bandweefseltype: EP ; Treksterkte: 630N/mm ; Aantal inlagen: 3 ; Bovendek: 4 mm ; Onderdek: 2 mm ; Bandbreedte: 1600 mm</t>
  </si>
  <si>
    <t>Gewebetype: EP ; Zugfestigkeit: 630 N/mm ; Anzahl Einlagen: 3 ; Oberdeck: 4 mm ; Unterdeck: 2 mm ; Gurtbreite: 1600 mm</t>
  </si>
  <si>
    <t>Fabric type: EP ; Tensile strength: 630 N/mm ; Number of plies: 3 ; Topcover: 4 mm ; Bottomcover: 2 mm ; Beltwidth: 1600 mm</t>
  </si>
  <si>
    <t>Carcasse: EP ; Résistance à la traction: 630 N/mm ; Nombre de plis: 3 ; Revêtement supérieur: 4 mm ; Revêtement inférieur: 2 mm ; Largeur de bande: 1600 mm</t>
  </si>
  <si>
    <t>EP1600XXX630/4-6+2FF</t>
  </si>
  <si>
    <t>EP 630/4-6+2,BB1600</t>
  </si>
  <si>
    <t>43,750</t>
  </si>
  <si>
    <t>Bandweefseltype: EP ; Treksterkte: 630N/mm ; Aantal inlagen: 4 ; Bovendek: 6 mm ; Onderdek: 2 mm ; Bandbreedte: 1600 mm</t>
  </si>
  <si>
    <t>Gewebetype: EP ; Zugfestigkeit: 630 N/mm ; Anzahl Einlagen: 4 ; Oberdeck: 6 mm ; Unterdeck: 2 mm ; Gurtbreite: 1600 mm</t>
  </si>
  <si>
    <t>Fabric type: EP ; Tensile strength: 630 N/mm ; Number of plies: 4 ; Topcover: 6 mm ; Bottomcover: 2 mm ; Beltwidth: 1600 mm</t>
  </si>
  <si>
    <t>Carcasse: EP ; Résistance à la traction: 630 N/mm ; Nombre de plis: 4 ; Revêtement supérieur: 6 mm ; Revêtement inférieur: 2 mm ; Largeur de bande: 1600 mm</t>
  </si>
  <si>
    <t>EP1600XXX630/4-6+2KA</t>
  </si>
  <si>
    <t>48,700</t>
  </si>
  <si>
    <t>EP1600XXX630/4-6+2SH</t>
  </si>
  <si>
    <t>39,760</t>
  </si>
  <si>
    <t>EP1600XXX630/4-8+3-DIN-WCO</t>
  </si>
  <si>
    <t>EP 630/4-8+3,BB1600 DIN W</t>
  </si>
  <si>
    <t>61,810</t>
  </si>
  <si>
    <t>EP1600XXX630/4-8+3-DIN-WKA</t>
  </si>
  <si>
    <t>58,020</t>
  </si>
  <si>
    <t>EP1600XXX630/4-8+3KA</t>
  </si>
  <si>
    <t>EP 630/4-8+3,BB1600</t>
  </si>
  <si>
    <t>50,430</t>
  </si>
  <si>
    <t>Bandweefseltype: EP ; Treksterkte: 630N/mm ; Aantal inlagen: 4 ; Bovendek: 8 mm ; Onderdek: 3 mm ; Bandbreedte: 1600 mm</t>
  </si>
  <si>
    <t>Gewebetype: EP ; Zugfestigkeit: 630 N/mm ; Anzahl Einlagen: 4 ; Oberdeck: 8 mm ; Unterdeck: 3 mm ; Gurtbreite: 1600 mm</t>
  </si>
  <si>
    <t>Fabric type: EP ; Tensile strength: 630 N/mm ; Number of plies: 4 ; Topcover: 8 mm ; Bottomcover: 3 mm ; Beltwidth: 1600 mm</t>
  </si>
  <si>
    <t>Carcasse: EP ; Résistance à la traction: 630 N/mm ; Nombre de plis: 4 ; Revêtement supérieur: 8 mm ; Revêtement inférieur: 3 mm ; Largeur de bande: 1600 mm</t>
  </si>
  <si>
    <t>EP1600XXX630/4-8+3PH</t>
  </si>
  <si>
    <t>60,340</t>
  </si>
  <si>
    <t>EP1600XXX630/4-8+3SA</t>
  </si>
  <si>
    <t>57,670</t>
  </si>
  <si>
    <t>EP1600XXX630/4-8+3SH</t>
  </si>
  <si>
    <t>44,280</t>
  </si>
  <si>
    <t>EP1600XXX800/4-8+3FF</t>
  </si>
  <si>
    <t>EP 800/4-8+3,BB1600</t>
  </si>
  <si>
    <t>55,170</t>
  </si>
  <si>
    <t>Bandweefseltype: EP ; Treksterkte: 800N/mm ; Aantal inlagen: 4 ; Bovendek: 8 mm ; Onderdek: 3 mm ; Bandbreedte: 1600 mm</t>
  </si>
  <si>
    <t>Gewebetype: EP ; Zugfestigkeit: 800 N/mm ; Anzahl Einlagen: 4 ; Oberdeck: 8 mm ; Unterdeck: 3 mm ; Gurtbreite: 1600 mm</t>
  </si>
  <si>
    <t>Fabric type: EP ; Tensile strength: 800 N/mm ; Number of plies: 4 ; Topcover: 8 mm ; Bottomcover: 3 mm ; Beltwidth: 1600 mm</t>
  </si>
  <si>
    <t>Carcasse: EP ; Résistance à la traction: 800 N/mm ; Nombre de plis: 4 ; Revêtement supérieur: 8 mm ; Revêtement inférieur: 3 mm ; Largeur de bande: 1600 mm</t>
  </si>
  <si>
    <t>EP1600XXX800/4-8+3KA</t>
  </si>
  <si>
    <t>55,290</t>
  </si>
  <si>
    <t>EP1600XXX800/4-8+3SA</t>
  </si>
  <si>
    <t>71,220</t>
  </si>
  <si>
    <t>EP1600XXX800/4-8+3SH</t>
  </si>
  <si>
    <t>EP1600XXX800/5-12+5KA</t>
  </si>
  <si>
    <t>EP 800/5-12+5, BB1600</t>
  </si>
  <si>
    <t>71,210</t>
  </si>
  <si>
    <t>EP1600XXX800/5-8+3-DIN-WKA</t>
  </si>
  <si>
    <t>EP 800/5-8+3,BB1600</t>
  </si>
  <si>
    <t>98,500</t>
  </si>
  <si>
    <t>61,410</t>
  </si>
  <si>
    <t>EP160XXX630/4-2+2-ELEVATORSA</t>
  </si>
  <si>
    <t>EP 630/4-2+2-BB160 ELEVATOR</t>
  </si>
  <si>
    <t>4,580</t>
  </si>
  <si>
    <t>EP1700GLY250/2-2+0HY</t>
  </si>
  <si>
    <t>EP 250/2-2+0,BB1700-GLY</t>
  </si>
  <si>
    <t>30,290</t>
  </si>
  <si>
    <t>EP1700OVX250/2-3+1JO</t>
  </si>
  <si>
    <t>EP 250/2-3+1,BB1700-O+V</t>
  </si>
  <si>
    <t>Bandweefseltype: EP ; Treksterkte: 250 N/mm ; Aantal inlagen: 2 ; Bovendek: 3 mm ; Onderdek: 1 mm ; Bandbreedte: 1700 mm ; Olie- en vetbestendige Kwaliteit</t>
  </si>
  <si>
    <t>Gewebetype: EP ; Zugfestigkeit: 250 N/mm ; Anzahl Einlagen: 2 ; Oberdeck: 3 mm ; Unterdeck: 1 mm ; Gurtbreite: 1700 mm ; Öl und Fettbeständige Qualität</t>
  </si>
  <si>
    <t>Fabric type: EP ; Tensile strength: 250 N/mm ; Number of plies: 2 ; Topcover: 3 mm ; Bottomcover: 1 mm ; Beltwidth: 1700 mm ; Oil and Grease Resistant Quality</t>
  </si>
  <si>
    <t>EP1700XXX400/3-4+2-DIN-SSA</t>
  </si>
  <si>
    <t>EP 400/3-4+2,BB1700-DIN-S</t>
  </si>
  <si>
    <t>60,890</t>
  </si>
  <si>
    <t>EP1700XXX400/3-4+2SH</t>
  </si>
  <si>
    <t>EP 400/3-4+2,BB1700</t>
  </si>
  <si>
    <t>Bandweefseltype: EP ; Treksterkte: 400N/mm ; Aantal inlagen: 3 ; Bovendek: 4 mm ; Onderdek: 2 mm ; Bandbreedte: 1700 mm</t>
  </si>
  <si>
    <t>Gewebetype: EP ; Zugfestigkeit: 400 N/mm ; Anzahl Einlagen: 3 ; Oberdeck: 4 mm ; Unterdeck: 2 mm ; Gurtbreite: 1700 mm</t>
  </si>
  <si>
    <t>Fabric type: EP ; Tensile strength: 400 N/mm ; Number of plies: 3 ; Topcover: 4 mm ; Bottomcover: 2 mm ; Beltwidth: 1700 mm</t>
  </si>
  <si>
    <t>Carcasse: EP ; Résistance à la traction: 400 N/mm ; Nombre de plis: 3 ; Revêtement supérieur: 4 mm ; Revêtement inférieur: 2 mm ; Largeur de bande: 1700 mm</t>
  </si>
  <si>
    <t>EP170OVX800/4-2+2-ELEVATORSA</t>
  </si>
  <si>
    <t>EP 800/4-2+2-BB170 ELEVATOR-OV</t>
  </si>
  <si>
    <t>4,240</t>
  </si>
  <si>
    <t>EP170XXX630/4-2+2-ELEVATORSA</t>
  </si>
  <si>
    <t>EP 630/4-2+2-BB170 ELEVATOR</t>
  </si>
  <si>
    <t>EP1730PRL500/3-2+0-MULTIVHY</t>
  </si>
  <si>
    <t>EP 500/3-2+0,BB1730, Multi V profiel 6 mm - Glij</t>
  </si>
  <si>
    <t>69,970</t>
  </si>
  <si>
    <t>EP1750XXX400/3-4+2-EINDLB</t>
  </si>
  <si>
    <t>EP 400/3-4+2-BB1750-Eindloos</t>
  </si>
  <si>
    <t>492,420</t>
  </si>
  <si>
    <t>EP178PRL450/1+2-DM+1HY</t>
  </si>
  <si>
    <t>EP 450/1+2-DM+1-BB178- Diamond profiel</t>
  </si>
  <si>
    <t>10,630</t>
  </si>
  <si>
    <t>01-13_Round Baler</t>
  </si>
  <si>
    <t>Round baler ; EP 400/1+2-3+1</t>
  </si>
  <si>
    <t>Rundbalpressen ; EP 400/1+2-3+1</t>
  </si>
  <si>
    <t>Bandweefseltype: EP ; Treksterkte: 450 N/mm ; Aantal inlagen: 2 buitenlagen nylon, 1 middenlaag polyester ; Bovendek: 3 mm ruitenprofiel ; Onderdek: 1 mm ; Bandbreedte: 178 mm</t>
  </si>
  <si>
    <t>Gewebetype: EP ; Zugfestigkeit: 450 N/mm ; Anzahl Einlagen: 2 Außenlagen Nylon, 1 Mittellage Polyester ; Oberdeck: 3 mm Rautenprofile ; Unterdeck: 1 mm ; Gurtbreite: 178 mm</t>
  </si>
  <si>
    <t>Fabric type: EP ; Tensile strength: 450 N/mm ; Number of plies: 2 Outer plies Nylon, 1 Center ply Polyester ; Topcover: 3 mm diamond profile ; Bottomcover: 1 mm ; Beltwidth: 178 mm</t>
  </si>
  <si>
    <t>Carcasse: EP ; Résistance à la traction: 450 N/mm ; Nombre de plis: 2 plis extérieurs Nylon, 1 pli central Polyester ; Revêtement supérieur: 3 mm profil de diamant ; Revêtement inférieur: 1 mm ; Largeur de bande: 178 mm</t>
  </si>
  <si>
    <t>Voor hooibaalmachines in de landbouw ; Het profiel zorgt voor een uitstekende grip en het zeer efficiënt persen van elk soort gewas ; De twee buitenlagen van textiel op nylonbasis en een binnenlaag op polyesterbasis zorgen voor hoge stabiliteit en geringe rek voor de banden in de hooibaalmachines</t>
  </si>
  <si>
    <t>Für Rundballenpressen in landwirtschaft ; Das Profil bietet hervorragenden Halt und hocheffizientes Pressen jeder Art von Ernte ; Die beiden Gewebeaußenlagen auf Nylonbasis und eine Gewebeinnenlage auf Polyesterbasis sorgen für hohe Stabilität und geringe Dehnung bei Rundballenpressenbändern</t>
  </si>
  <si>
    <t>For round baler agricultural machines ; The profile provide excellent grip and highly efficient baling of any kind of crop ; The two nylon-based fabric outer layers and a polyester-based fabric inner layer provides high stability and low elongation for round baler belts</t>
  </si>
  <si>
    <t>Pour machines agricoles presse à balles rondes ; Le profil offre une excellente adhérence et un pressage très efficace de tout type de récolte ; Les deux couches extérieures en tissu à base de nylon et une couche intérieure en tissu à base de polyester offrent une grande stabilité et un faible allongement pour les bandes de presse à balles rondes</t>
  </si>
  <si>
    <t>EP1800GLY400/3-2+0JO</t>
  </si>
  <si>
    <t>EP 400/3-2+0,BB1800 GLY</t>
  </si>
  <si>
    <t>30,390</t>
  </si>
  <si>
    <t>Bandweefseltype: EP ; Treksterkte: 400 N/mm ; Aantal inlagen: 3 ; Bovendek: 2 mm ; Onderdek: 0 mm ; Bandbreedte: 1800 mm</t>
  </si>
  <si>
    <t>Gewebetype: EP ; Zugfestigkeit: 400 N/mm ; Anzahl Einlagen: 3 ; Oberdeck: 2 mm ; Unterdeck: 0 mm ; Gurtbreite: 1800 mm</t>
  </si>
  <si>
    <t>Fabric type: EP ; Tensile strength: 400 N/mm ; Number of plies: 3 ; Topcover: 2 mm ; Bottomcover: 0 mm ; Beltwidth: 1800 mm</t>
  </si>
  <si>
    <t>Carcasse: EP ; Tension de service: 400 N/mm ; Nombre de plis: 3 ; Revêtement supérieur: 2 mm ; Revêtement inférieur: 0 mm ; Largeur de bande: 1800 mm</t>
  </si>
  <si>
    <t>EP1800GLY400/3-3+0HY</t>
  </si>
  <si>
    <t>EP 400/3-3+0,BB1800-GLY</t>
  </si>
  <si>
    <t>44,460</t>
  </si>
  <si>
    <t>Bandweefseltype: EP ; Treksterkte: 400 N/mm ; Aantal inlagen: 3 ; Bovendek: 3 mm ; Onderdek: 0 mm ; Bandbreedte: 1800 mm</t>
  </si>
  <si>
    <t>Gewebetype: EP ; Zugfestigkeit: 400 N/mm ; Anzahl Einlagen: 3 ; Oberdeck: 3 mm ; Unterdeck: 0 mm ; Gurtbreite: 1800 mm</t>
  </si>
  <si>
    <t>Fabric type: EP ; Tensile strength: 400 N/mm ; Number of plies: 3 ; Topcover: 3 mm ; Bottomcover: 0 mm ; Beltwidth: 1800 mm</t>
  </si>
  <si>
    <t>Carcasse: EP ; Tension de service: 400 N/mm ; Nombre de plis: 3 ; Revêtement supérieur: 3 mm ; Revêtement inférieur: 0 mm ; Largeur de bande: 1800 mm</t>
  </si>
  <si>
    <t>EP1800OVG500/4-3+0HY</t>
  </si>
  <si>
    <t>EP 500/4-3+0,BB1800-GLY-O+V</t>
  </si>
  <si>
    <t>74,282</t>
  </si>
  <si>
    <t>Bandweefseltype: EP ; Treksterkte: 500 N/mm ; Aantal inlagen: 4 ; Bovendek: 3 mm ; Onderdek: 0 mm ; Bandbreedte: 1800 mm ; Olie- en vetbestendige Kwaliteit</t>
  </si>
  <si>
    <t>Gewebetype: EP ; Zugfestigkeit: 500 N/mm ; Anzahl Einlagen: 4 ; Oberdeck: 3 mm ; Unterdeck: 0 mm ; Gurtbreite: 1800 mm ; Öl und Fettbeständige Qualität</t>
  </si>
  <si>
    <t>Fabric type: EP ; Tensile strength: 500 N/mm ; Number of plies: 4 ; Topcover: 3 mm ; Bottomcover: 0 mm ; Beltwidth: 1800 mm ; Oil and Grease Resistant Quality</t>
  </si>
  <si>
    <t>EP1800OVX250/2-3+1ZZ</t>
  </si>
  <si>
    <t>EP 250/2-3+1,BB1800-O+V</t>
  </si>
  <si>
    <t>62,000</t>
  </si>
  <si>
    <t>35,970</t>
  </si>
  <si>
    <t>Bandweefseltype: EP ; Treksterkte: 250 N/mm ; Aantal inlagen: 2 ; Bovendek: 3 mm ; Onderdek: 1 mm ; Bandbreedte: 1800 mm ; Olie- en vetbestendige Kwaliteit</t>
  </si>
  <si>
    <t>Gewebetype: EP ; Zugfestigkeit: 250 N/mm ; Anzahl Einlagen: 2 ; Oberdeck: 3 mm ; Unterdeck: 1 mm ; Gurtbreite: 1800 mm ; Öl und Fettbeständige Qualität</t>
  </si>
  <si>
    <t>Fabric type: EP ; Tensile strength: 250 N/mm ; Number of plies: 2 ; Topcover: 3 mm ; Bottomcover: 1 mm ; Beltwidth: 1800 mm ; Oil and Grease Resistant Quality</t>
  </si>
  <si>
    <t>EP1800OVX400/3-4+2PH</t>
  </si>
  <si>
    <t>EP 400/3-4+2,BB1800-O+V</t>
  </si>
  <si>
    <t>44,330</t>
  </si>
  <si>
    <t>Bandweefseltype: EP ; Treksterkte: 400 N/mm ; Aantal inlagen: 3 ; Bovendek: 4 mm ; Onderdek: 2 mm ; Bandbreedte: 1800 mm ; Olie- en vetbestendige Kwaliteit</t>
  </si>
  <si>
    <t>Gewebetype: EP ; Zugfestigkeit: 400 N/mm ; Anzahl Einlagen: 3 ; Oberdeck: 4 mm ; Unterdeck: 2 mm ; Gurtbreite: 1800 mm ; Öl und Fettbeständige Qualität</t>
  </si>
  <si>
    <t>Fabric type: EP ; Tensile strength: 400 N/mm ; Number of plies: 3 ; Topcover: 4 mm ; Bottomcover: 2 mm ; Beltwidth: 1800 mm ; Oil and Grease Resistant Quality</t>
  </si>
  <si>
    <t>EP1800PRG250/2-3+2-MULTIVHY</t>
  </si>
  <si>
    <t>EP 250/2-3+2,BB1800-Multi V profiel 6 mm O&amp;V</t>
  </si>
  <si>
    <t>Bandweefseltype: EP ; Treksterkte: 250 N/mm ; Aantal inlagen: 2 ; Bovendek: 3 mm ; Onderdek: 2 mm ; Bandbreedte: 1800 mm ; Profiel hoogte: 6 mm ; Profiel breedte: Volledige bandbreedte ; Type: V6 ; Olie- en vetbestendige Kwaliteit</t>
  </si>
  <si>
    <t>Gewebetype: EP ; Zugfestigkeit: 250 N/mm ; Anzahl Einlagen: 2 ; Oberdeck: 3 mm ; Unterdeck: 2 mm ; Gurtbreite: 1800 mm ; Profilhöhe: 6 mm ; Profilbreite: Komplette Gurtbreite ; Profiltyp: V6 ; Öl und Fettbeständige Qualität</t>
  </si>
  <si>
    <t>Fabric type: EP ; Tensile strength: 250 N/mm ; Number of plies: 2 ; Topcover: 3 mm ; Bottomcover: 2 mm ; Beltwidth: 1800 mm ; Profile height: 6 mm ; Profile width: Full belt width ; Profile type: V6 ; Oil and Grease Resistant Quality</t>
  </si>
  <si>
    <t>Carcasse: EP ; Résistance à la traction: 250 N/mm ; Nombre de plis: 2 ; Revêtement supérieur: 3 mm ; Revêtement inférieur: 2 mm ; Largeur de bande: 1800 mm ; Hauteur du profil: 6 mm ; Largeur du profil: Sur toute la largeur ; Type de profil: V6 ; Qualité résistant aux huiles et graisses</t>
  </si>
  <si>
    <t>EP1800PRG250/2-3+2-MULTIVSH</t>
  </si>
  <si>
    <t>53,000</t>
  </si>
  <si>
    <t>EP1800PRG400/3-3+2-MULTIVHY</t>
  </si>
  <si>
    <t>EP 400/3-3+2,BB1800-Multi V profiel 6 mm O&amp;V</t>
  </si>
  <si>
    <t>73,730</t>
  </si>
  <si>
    <t>Bandweefseltype: EP ; Treksterkte: 400 N/mm ; Aantal inlagen: 3 ; Bovendek: 3 mm ; Onderdek: 2 mm ; Bandbreedte: 1800 mm ; Profiel hoogte: 6 mm ; Profiel breedte: Volledige bandbreedte ; Type: V6 ; Olie- en vetbestendige Kwaliteit</t>
  </si>
  <si>
    <t>Gewebetype: EP ; Zugfestigkeit: 400 N/mm ; Anzahl Einlagen: 3 ; Oberdeck: 3 mm ; Unterdeck: 2 mm ; Gurtbreite: 1800 mm ; Profilhöhe: 6 mm ; Profilbreite: Komplette Gurtbreite ; Profiltyp: V6 ; Öl und Fettbeständige Qualität</t>
  </si>
  <si>
    <t>Fabric type: EP ; Tensile strength: 400 N/mm ; Number of plies: 3 ; Topcover: 3 mm ; Bottomcover: 2 mm ; Beltwidth: 1800 mm ; Profile height: 6 mm ; Profile width: Full belt width ; Profile type: V6 ; Oil and Grease Resistant Quality</t>
  </si>
  <si>
    <t>Carcasse: EP ; Résistance à la traction: 400 N/mm ; Nombre de plis: 3 ; Revêtement supérieur: 3 mm ; Revêtement inférieur: 2 mm ; Largeur de bande: 1800 mm ; Hauteur du profil: 6 mm ; Largeur du profil: Sur toute la largeur ; Type de profil: V6 ; Qualité résistant aux huiles et graisses</t>
  </si>
  <si>
    <t>EP1800PRG400/3-3+2-MULTIVSH</t>
  </si>
  <si>
    <t>47,790</t>
  </si>
  <si>
    <t>EP1800PRL250/2-3+2-MULTIVHY</t>
  </si>
  <si>
    <t>EP 250/2-3+2,BB1800-Multi V profiel 6 mm</t>
  </si>
  <si>
    <t>68,420</t>
  </si>
  <si>
    <t>Bandweefseltype: EP ; Treksterkte: 250 N/mm ; Aantal inlagen: 2 ; Bovendek: 3 mm ; Onderdek: 2 mm ; Bandbreedte: 1800 mm ; Profiel hoogte: 6 mm ; Profiel breedte: Volledige bandbreedte ; Type: V6</t>
  </si>
  <si>
    <t>Gewebetype: EP ; Zugfestigkeit: 250 N/mm ; Anzahl Einlagen: 2 ; Oberdeck: 3 mm ; Unterdeck: 2 mm ; Gurtbreite: 1800 mm ; Profilhöhe: 6 mm ; Profilbreite: Komplette Gurtbreite ; Profiltyp: V6</t>
  </si>
  <si>
    <t>Fabric type: EP ; Tensile strength: 250 N/mm ; Number of plies: 2 ; Topcover: 3 mm ; Bottomcover: 2 mm ; Beltwidth: 1800 mm ; Profile height: 6 mm ; Profile width: Full belt width ; Profile type: V6</t>
  </si>
  <si>
    <t>Carcasse: EP ; Résistance à la traction: 250 N/mm ; Nombre de plis: 2 ; Revêtement supérieur: 3 mm ; Revêtement inférieur: 2 mm ; Largeur de bande: 1800 mm ; Hauteur du profil: 6 mm ; Largeur du profil: Sur toute la largeur ; Type de profil: V6</t>
  </si>
  <si>
    <t>EP1800PRL250/2-3+2-MULTIVSH</t>
  </si>
  <si>
    <t>41,580</t>
  </si>
  <si>
    <t>Bandweefseltype: EP ; Treksterkte: 250 N/mm ; Aantal inlagen: 2 ; Bovendek: 3 mm ; Onderdek: 2 mm ; Bandbreedte: 1800 mm ; Profiel hoogte: 6 mm ; Profiel breedte: Volledige bandbreedte ; Type: V7</t>
  </si>
  <si>
    <t>Gewebetype: EP ; Zugfestigkeit: 250 N/mm ; Anzahl Einlagen: 2 ; Oberdeck: 3 mm ; Unterdeck: 2 mm ; Gurtbreite: 1800 mm ; Profilhöhe: 6 mm ; Profilbreite: Komplette Gurtbreite ; Profiltyp: V7</t>
  </si>
  <si>
    <t>Fabric type: EP ; Tensile strength: 250 N/mm ; Number of plies: 2 ; Topcover: 3 mm ; Bottomcover: 2 mm ; Beltwidth: 1800 mm ; Profile height: 6 mm ; Profile width: Full belt width ; Profile type: V7</t>
  </si>
  <si>
    <t>Carcasse: EP ; Résistance à la traction: 250 N/mm ; Nombre de plis: 2 ; Revêtement supérieur: 3 mm ; Revêtement inférieur: 2 mm ; Largeur de bande: 1800 mm ; Hauteur du profil: 6 mm ; Largeur du profil: Sur toute la largeur ; Type de profil: V7</t>
  </si>
  <si>
    <t>EP1800PRL400/3-3+2-MULTIVHY</t>
  </si>
  <si>
    <t>EP 400/3-3+2,BB1800-Multi V profiel 6 mm</t>
  </si>
  <si>
    <t>82,140</t>
  </si>
  <si>
    <t>Bandweefseltype: EP ; Treksterkte: 400 N/mm ; Aantal inlagen: 3 ; Bovendek: 3 mm ; Onderdek: 2 mm ; Bandbreedte: 1800 mm ; Profiel hoogte: 6 mm ; Profiel breedte: Volledige bandbreedte ; Type: V6</t>
  </si>
  <si>
    <t>Gewebetype: EP ; Zugfestigkeit: 400 N/mm ; Anzahl Einlagen: 3 ; Oberdeck: 3 mm ; Unterdeck: 2 mm ; Gurtbreite: 1800 mm ; Profilhöhe: 6 mm ; Profilbreite: Komplette Gurtbreite ; Profiltyp: V6</t>
  </si>
  <si>
    <t>Fabric type: EP ; Tensile strength: 400 N/mm ; Number of plies: 3 ; Topcover: 3 mm ; Bottomcover: 2 mm ; Beltwidth: 1800 mm ; Profile height: 6 mm ; Profile width: Full belt width ; Profile type: V6</t>
  </si>
  <si>
    <t>Carcasse: EP ; Résistance à la traction: 400 N/mm ; Nombre de plis: 3 ; Revêtement supérieur: 3 mm ; Revêtement inférieur: 2 mm ; Largeur de bande: 1800 mm ; Hauteur du profil: 6 mm ; Largeur du profil: Sur toute la largeur ; Type de profil: V6</t>
  </si>
  <si>
    <t>EP1800PRL400/3-3+2-MULTIVSH</t>
  </si>
  <si>
    <t>45,820</t>
  </si>
  <si>
    <t>Bandweefseltype: EP ; Treksterkte: 400 N/mm ; Aantal inlagen: 3 ; Bovendek: 3 mm ; Onderdek: 2 mm ; Bandbreedte: 1800 mm ; Profiel hoogte: 6 mm ; Profiel breedte: Volledige bandbreedte ; Type: V7</t>
  </si>
  <si>
    <t>Gewebetype: EP ; Zugfestigkeit: 400 N/mm ; Anzahl Einlagen: 3 ; Oberdeck: 3 mm ; Unterdeck: 2 mm ; Gurtbreite: 1800 mm ; Profilhöhe: 6 mm ; Profilbreite: Komplette Gurtbreite ; Profiltyp: V7</t>
  </si>
  <si>
    <t>Fabric type: EP ; Tensile strength: 400 N/mm ; Number of plies: 3 ; Topcover: 3 mm ; Bottomcover: 2 mm ; Beltwidth: 1800 mm ; Profile height: 6 mm ; Profile width: Full belt width ; Profile type: V7</t>
  </si>
  <si>
    <t>Carcasse: EP ; Résistance à la traction: 400 N/mm ; Nombre de plis: 3 ; Revêtement supérieur: 3 mm ; Revêtement inférieur: 2 mm ; Largeur de bande: 1800 mm ; Hauteur du profil: 6 mm ; Largeur du profil: Sur toute la largeur ; Type de profil: V7</t>
  </si>
  <si>
    <t>EP1800PRL400/3-4+2MA</t>
  </si>
  <si>
    <t>EP 400/3-4+2,BB1800 met profiel</t>
  </si>
  <si>
    <t>12163, Conveyor Systems Equipment Miroslaw Mazur</t>
  </si>
  <si>
    <t>88,050</t>
  </si>
  <si>
    <t>EP1800SGB250/2-3+0HY</t>
  </si>
  <si>
    <t>EP 250/2-3+0,BB1800-Supergrip Beige</t>
  </si>
  <si>
    <t>61,380</t>
  </si>
  <si>
    <t>01-07_Supergrip  Beige</t>
  </si>
  <si>
    <t>Bandweefseltype: EP ; Treksterkte: 250 N/mm ; Aantal inlagen: 2 ; Bovendek: 3 mm ; Onderdek: 0 mm ; Bandbreedte: 1800 mm ; Supergrip / Rough Top Beige</t>
  </si>
  <si>
    <t>Gewebetype: EP ; Zugfestigkeit: 250 N/mm ; Anzahl Einlagen: 2 ; Oberdeck: 3 mm ; Unterdeck: 0 mm ; Gurtbreite: 1800 mm ; Supergrip / Rough Top Beige</t>
  </si>
  <si>
    <t>Fabric type: EP ; Tensile strength: 250 N/mm ; Number of plies: 2 ; Topcover: 3 mm ; Bottomcover: 0 mm ; Beltwidth: 1800 mm ; Supergrip / Rough Top Beige</t>
  </si>
  <si>
    <t>Carcasse: EP ; Tension de service: 250 N/mm ; Nombre de plis: 2 ; Revêtement supérieur: 3 mm ; Revêtement inférieur: 0 mm ; Largeur de bande: 1800 mm ; Nid d'abeille Beige</t>
  </si>
  <si>
    <t>EP1800SGB400/3-3+0HY</t>
  </si>
  <si>
    <t>EP 400/3-3+0,BB1800-Supergrip Beige</t>
  </si>
  <si>
    <t>66,250</t>
  </si>
  <si>
    <t>Bandweefseltype: EP ; Treksterkte: 400 N/mm ; Aantal inlagen: 3 ; Bovendek: 3 mm ; Onderdek: 0 mm ; Bandbreedte: 1800 mm ; Supergrip / Rough Top Beige</t>
  </si>
  <si>
    <t>Fabric type: EP ; Tensile strength: 400 N/mm ; Number of plies: 3 ; Topcover: 3 mm ; Bottomcover: 0 mm ; Beltwidth: 1800 mm ; Supergrip / Rough Top Beige</t>
  </si>
  <si>
    <t>Carcasse: EP ; Tension de service: 400 N/mm ; Nombre de plis: 3 ; Revêtement supérieur: 3 mm ; Revêtement inférieur: 0 mm ; Largeur de bande: 1800 mm ; Nid d'abeille Beige</t>
  </si>
  <si>
    <t>EP1800SGG250/2-3+0HY</t>
  </si>
  <si>
    <t>EP 250/2-3+0,BB1800, Supergrip/glijband</t>
  </si>
  <si>
    <t>22,500</t>
  </si>
  <si>
    <t>30,020</t>
  </si>
  <si>
    <t>Bandweefseltype: EP ; Treksterkte: 250 N/mm ; Aantal inlagen: 2 ; Bovendek: 3 mm ; Onderdek: 0 mm ; Bandbreedte: 1800 mm ; Supergrip / Rough Top Zwart</t>
  </si>
  <si>
    <t>Gewebetype: EP ; Zugfestigkeit: 250 N/mm ; Anzahl Einlagen: 2 ; Oberdeck: 3 mm ; Unterdeck: 0 mm ; Gurtbreite: 1800 mm ; Supergrip / Rough Top Schwarz</t>
  </si>
  <si>
    <t>Fabric type: EP ; Tensile strength: 250 N/mm ; Number of plies: 2 ; Topcover: 3 mm ; Bottomcover: 0 mm ; Beltwidth: 1800 mm ; Supergrip / Rough Top Black</t>
  </si>
  <si>
    <t>Carcasse: EP ; Tension de service: 250 N/mm ; Nombre de plis: 2 ; Revêtement supérieur: 3 mm ; Revêtement inférieur: 0 mm ; Largeur de bande: 1800 mm ; Nid d'abeille Noir</t>
  </si>
  <si>
    <t>EP1800SGG400/3-3+0HY</t>
  </si>
  <si>
    <t>EP 400/3-3+0,BB1800, Supergrip/glijband</t>
  </si>
  <si>
    <t>39,740</t>
  </si>
  <si>
    <t>Bandweefseltype: EP ; Treksterkte: 400 N/mm ; Aantal inlagen: 3 ; Bovendek: 3 mm ; Onderdek: 0 mm ; Bandbreedte: 1800 mm ; Supergrip / Rough Top Zwart</t>
  </si>
  <si>
    <t>Gewebetype: EP ; Zugfestigkeit: 400 N/mm ; Anzahl Einlagen: 3 ; Oberdeck: 3 mm ; Unterdeck: 0 mm ; Gurtbreite: 1800 mm ; Supergrip / Rough Top Schwarz</t>
  </si>
  <si>
    <t>Fabric type: EP ; Tensile strength: 400 N/mm ; Number of plies: 3 ; Topcover: 3 mm ; Bottomcover: 0 mm ; Beltwidth: 1800 mm ; Supergrip / Rough Top Black</t>
  </si>
  <si>
    <t>Carcasse: EP ; Tension de service: 400 N/mm ; Nombre de plis: 3 ; Revêtement supérieur: 3 mm ; Revêtement inférieur: 0 mm ; Largeur de bande: 1800 mm ; Nid d'abeille Noir</t>
  </si>
  <si>
    <t>EP1800SGR250/2-3+1HY</t>
  </si>
  <si>
    <t>EP 250/2-3+1,BB1800, Supergrip zwart</t>
  </si>
  <si>
    <t>38,992</t>
  </si>
  <si>
    <t>Bandweefseltype: EP ; Treksterkte: 250 N/mm ; Aantal inlagen: 2 ; Bovendek: 3 mm ; Onderdek: 1 mm ; Bandbreedte: 1800 mm ; Supergrip / Rough Top Zwart</t>
  </si>
  <si>
    <t>Gewebetype: EP ; Zugfestigkeit: 250 N/mm ; Anzahl Einlagen: 2 ; Oberdeck: 3 mm ; Unterdeck: 1 mm ; Gurtbreite: 1800 mm ; Supergrip / Rough Top Schwarz</t>
  </si>
  <si>
    <t>Fabric type: EP ; Tensile strength: 250 N/mm ; Number of plies: 2 ; Topcover: 3 mm ; Bottomcover: 1 mm ; Beltwidth: 1800 mm ; Supergrip / Rough Top Black</t>
  </si>
  <si>
    <t>Carcasse: EP ; Résistance à la traction: 250 N/mm ; Nombre de plis: 2 ; Revêtement supérieur: 3 mm ; Revêtement inférieur: 1 mm ; Largeur de bande: 1800 mm ; Nid d'abeille Noir</t>
  </si>
  <si>
    <t>EP1800SGR400/3-3+1HY</t>
  </si>
  <si>
    <t>EP 400/3-3+1,BB1800, Supergrip zwart</t>
  </si>
  <si>
    <t>42,650</t>
  </si>
  <si>
    <t>Bandweefseltype: EP ; Treksterkte: 400 N/mm ; Aantal inlagen: 3 ; Bovendek: 3 mm ; Onderdek: 1 mm ; Bandbreedte: 1800 mm ; Supergrip / Rough Top Zwart</t>
  </si>
  <si>
    <t>Gewebetype: EP ; Zugfestigkeit: 400 N/mm ; Anzahl Einlagen: 3 ; Oberdeck: 3 mm ; Unterdeck: 1 mm ; Gurtbreite: 1800 mm ; Supergrip / Rough Top Schwarz</t>
  </si>
  <si>
    <t>Fabric type: EP ; Tensile strength: 400 N/mm ; Number of plies: 3 ; Topcover: 3 mm ; Bottomcover: 1 mm ; Beltwidth: 1800 mm ; Supergrip / Rough Top Black</t>
  </si>
  <si>
    <t>Carcasse: EP ; Résistance à la traction: 400 N/mm ; Nombre de plis: 3 ; Revêtement supérieur: 3 mm ; Revêtement inférieur: 1 mm ; Largeur de bande: 1800 mm ; Nid d'abeille Noir</t>
  </si>
  <si>
    <t>EP1800XXX100/1-1+1HY</t>
  </si>
  <si>
    <t>EP 100/1-1+1,BB1800</t>
  </si>
  <si>
    <t>23,250</t>
  </si>
  <si>
    <t>Bandweefseltype: EP ; Treksterkte: 100 N/mm ; Aantal inlagen: 1 ; Bovendek: 1 mm ; Onderdek: 1 mm ; Bandbreedte: 1800 mm</t>
  </si>
  <si>
    <t>Gewebetype: EP ; Zugfestigkeit: 100 N/mm ; Anzahl Einlagen: 1 ; Oberdeck: 1 mm ; Unterdeck: 1 mm ; Gurtbreite: 1800 mm</t>
  </si>
  <si>
    <t>Fabric type: EP ; Tensile strength: 100 N/mm ; Number of plies: 1 ; Topcover: 1 mm ; Bottomcover: 1 mm ; Beltwidth: 1800 mm</t>
  </si>
  <si>
    <t>Carcasse: EP ; Résistance à la traction: 100 N/mm ; Nombre de plis: 1 ; Revêtement supérieur: 1 mm ; Revêtement inférieur: 1 mm ; Largeur de bande: 1800 mm</t>
  </si>
  <si>
    <t>EP1800XXX200/2-2+1HY</t>
  </si>
  <si>
    <t>EP 200/2-2+1,BB1800</t>
  </si>
  <si>
    <t>Bandweefseltype: EP ; Treksterkte: 200 N/mm ; Aantal inlagen: 2 ; Bovendek: 2 mm ; Onderdek: 1 mm ; Bandbreedte: 1800 mm</t>
  </si>
  <si>
    <t>Gewebetype: EP ; Zugfestigkeit: 200 N/mm ; Anzahl Einlagen: 2 ; Oberdeck: 2 mm ; Unterdeck: 1 mm ; Gurtbreite: 1800 mm</t>
  </si>
  <si>
    <t>Fabric type: EP ; Tensile strength: 200 N/mm ; Number of plies: 2 ; Topcover: 2 mm ; Bottomcover: 1 mm ; Beltwidth: 1800 mm</t>
  </si>
  <si>
    <t>Carcasse: EP ; Résistance à la traction: 200 N/mm ; Nombre de plis: 2 ; Revêtement supérieur: 2 mm ; Revêtement inférieur: 1 mm ; Largeur de bande: 1800 mm</t>
  </si>
  <si>
    <t>EP1800XXX315/2-4+2SH</t>
  </si>
  <si>
    <t>EP 315/2-4+2,BB1800</t>
  </si>
  <si>
    <t>24,730</t>
  </si>
  <si>
    <t>Bandweefseltype: EP ; Treksterkte: 315 N/mm ; Aantal inlagen: 2 ; Bovendek: 4 mm ; Onderdek: 2 mm ; Bandbreedte: 1800 mm</t>
  </si>
  <si>
    <t>Gewebetype: EP ; Zugfestigkeit: 315 N/mm ; Anzahl Einlagen: 2 ; Oberdeck: 4 mm ; Unterdeck: 2 mm ; Gurtbreite: 1800 mm</t>
  </si>
  <si>
    <t>Fabric type: EP ; Tensile strength: 315 N/mm ; Number of plies: 2 ; Topcover: 4 mm ; Bottomcover: 2 mm ; Beltwidth: 1800 mm</t>
  </si>
  <si>
    <t>Carcasse: EP ; Résistance à la traction: 315 N/mm ; Nombre de plis: 2 ; Revêtement supérieur: 4 mm ; Revêtement inférieur: 2 mm ; Largeur de bande: 1800 mm</t>
  </si>
  <si>
    <t>EP1800XXX400/3-3+1½KA</t>
  </si>
  <si>
    <t>EP 400/3-3+1½,BB1800</t>
  </si>
  <si>
    <t>32,490</t>
  </si>
  <si>
    <t>Bandweefseltype: EP ; Treksterkte: 400N/mm ; Aantal inlagen: 3 ; Bovendek: 3 mm ; Onderdek: 1½ mm ; Bandbreedte: 1800 mm</t>
  </si>
  <si>
    <t>Gewebetype: EP ; Zugfestigkeit: 400 N/mm ; Anzahl Einlagen: 3 ; Oberdeck: 3 mm ; Unterdeck: 1½ mm ; Gurtbreite: 1800 mm</t>
  </si>
  <si>
    <t>Fabric type: EP ; Tensile strength: 400 N/mm ; Number of plies: 3 ; Topcover: 3 mm ; Bottomcover: 1½ mm ; Beltwidth: 1800 mm</t>
  </si>
  <si>
    <t>Carcasse: EP ; Résistance à la traction: 400 N/mm ; Nombre de plis: 3 ; Revêtement supérieur: 3 mm ; Revêtement inférieur: 1½ mm ; Largeur de bande: 1800 mm</t>
  </si>
  <si>
    <t>EP1800XXX400/3-4+2KA</t>
  </si>
  <si>
    <t>EP 400/3-4+2,BB1800</t>
  </si>
  <si>
    <t>37,520</t>
  </si>
  <si>
    <t>Bandweefseltype: EP ; Treksterkte: 400N/mm ; Aantal inlagen: 3 ; Bovendek: 4 mm ; Onderdek: 2 mm ; Bandbreedte: 1800 mm</t>
  </si>
  <si>
    <t>Gewebetype: EP ; Zugfestigkeit: 400 N/mm ; Anzahl Einlagen: 3 ; Oberdeck: 4 mm ; Unterdeck: 2 mm ; Gurtbreite: 1800 mm</t>
  </si>
  <si>
    <t>Fabric type: EP ; Tensile strength: 400 N/mm ; Number of plies: 3 ; Topcover: 4 mm ; Bottomcover: 2 mm ; Beltwidth: 1800 mm</t>
  </si>
  <si>
    <t>Carcasse: EP ; Résistance à la traction: 400 N/mm ; Nombre de plis: 3 ; Revêtement supérieur: 4 mm ; Revêtement inférieur: 2 mm ; Largeur de bande: 1800 mm</t>
  </si>
  <si>
    <t>EP1800XXX400/3-4+2SA</t>
  </si>
  <si>
    <t>38,130</t>
  </si>
  <si>
    <t>EP1800XXX400/3-4+2SH</t>
  </si>
  <si>
    <t>32,860</t>
  </si>
  <si>
    <t>EP1800XXX500/4-8+3KA</t>
  </si>
  <si>
    <t>EP 500/4-8+3,BB1800</t>
  </si>
  <si>
    <t>EP1800XXX630/4-4+2KA</t>
  </si>
  <si>
    <t>EP 630/4-4+2,BB1800</t>
  </si>
  <si>
    <t>EP180OVX630/4-2+2-ELEVATORSA</t>
  </si>
  <si>
    <t>EP 630/4-2+2-BB180 ELEVATOR-OV</t>
  </si>
  <si>
    <t>5,500</t>
  </si>
  <si>
    <t>EP180XXX800/4-2+2-ELEVATORSA</t>
  </si>
  <si>
    <t>EP 800/4-2+2-BB180 ELEVATOR</t>
  </si>
  <si>
    <t>5,410</t>
  </si>
  <si>
    <t>EP190SGG250/2-3+0HY</t>
  </si>
  <si>
    <t>EP 250/2-3+0,BB190, Supergrip/glijband</t>
  </si>
  <si>
    <t>3,230</t>
  </si>
  <si>
    <t>EP190XXX250/2-3+1HY</t>
  </si>
  <si>
    <t>EP 250/2-3+1,BB190</t>
  </si>
  <si>
    <t>10,600</t>
  </si>
  <si>
    <t>3,270</t>
  </si>
  <si>
    <t>Bandweefseltype: EP ; Treksterkte: 250 N/mm ; Aantal inlagen: 2 ; Bovendek: 3 mm ; Onderdek: 1 mm ; Bandbreedte: 190 mm</t>
  </si>
  <si>
    <t>Gewebetype: EP ; Zugfestigkeit: 250 N/mm ; Anzahl Einlagen: 2 ; Oberdeck: 3 mm ; Unterdeck: 1 mm ; Gurtbreite: 190 mm</t>
  </si>
  <si>
    <t>Fabric type: EP ; Tensile strength: 250 N/mm ; Number of plies: 2 ; Topcover: 3 mm ; Bottomcover: 1 mm ; Beltwidth: 190 mm</t>
  </si>
  <si>
    <t>Carcasse: EP ; Résistance à la traction: 250 N/mm ; Nombre de plis: 2 ; Revêtement supérieur: 3 mm ; Revêtement inférieur: 1 mm ; Largeur de bande: 190 mm</t>
  </si>
  <si>
    <t>EP190XXX630/4-2+2-ELEVATORSA</t>
  </si>
  <si>
    <t>EP 630/4-2+2-BB190 ELEVATOR</t>
  </si>
  <si>
    <t>5,600</t>
  </si>
  <si>
    <t>EP2000GLY250/2-2+0HY</t>
  </si>
  <si>
    <t>EP 250/2-2+0,BB2000-GLY</t>
  </si>
  <si>
    <t>46,500</t>
  </si>
  <si>
    <t>Bandweefseltype: EP ; Treksterkte: 250 N/mm ; Aantal inlagen: 2 ; Bovendek: 2 mm ; Onderdek: 0 mm ; Bandbreedte: 2000 mm</t>
  </si>
  <si>
    <t>Gewebetype: EP ; Zugfestigkeit: 250 N/mm ; Anzahl Einlagen: 2 ; Oberdeck: 2 mm ; Unterdeck: 0 mm ; Gurtbreite: 2000 mm</t>
  </si>
  <si>
    <t>Fabric type: EP ; Tensile strength: 250 N/mm ; Number of plies: 2 ; Topcover: 2 mm ; Bottomcover: 0 mm ; Beltwidth: 2000 mm</t>
  </si>
  <si>
    <t>Carcasse: EP ; Tension de service: 250 N/mm ; Nombre de plis: 2 ; Revêtement supérieur: 2 mm ; Revêtement inférieur: 0 mm ; Largeur de bande: 2000 mm</t>
  </si>
  <si>
    <t>EP2000GLY250/2-2+0JO</t>
  </si>
  <si>
    <t>EP2000GLY400/3-2+0HY</t>
  </si>
  <si>
    <t>EP 400/3-2+0,BB2000-GLY</t>
  </si>
  <si>
    <t>Bandweefseltype: EP ; Treksterkte: 400 N/mm ; Aantal inlagen: 3 ; Bovendek: 2 mm ; Onderdek: 0 mm ; Bandbreedte: 2000 mm</t>
  </si>
  <si>
    <t>Gewebetype: EP ; Zugfestigkeit: 400 N/mm ; Anzahl Einlagen: 3 ; Oberdeck: 2 mm ; Unterdeck: 0 mm ; Gurtbreite: 2000 mm</t>
  </si>
  <si>
    <t>Fabric type: EP ; Tensile strength: 400 N/mm ; Number of plies: 3 ; Topcover: 2 mm ; Bottomcover: 0 mm ; Beltwidth: 2000 mm</t>
  </si>
  <si>
    <t>Carcasse: EP ; Tension de service: 400 N/mm ; Nombre de plis: 3 ; Revêtement supérieur: 2 mm ; Revêtement inférieur: 0 mm ; Largeur de bande: 2000 mm</t>
  </si>
  <si>
    <t>EP2000GLY400/3-2+0JO</t>
  </si>
  <si>
    <t>32,800</t>
  </si>
  <si>
    <t>EP2000GLY400/3-2+0SH</t>
  </si>
  <si>
    <t>EP2000GLY400/3-3+0HY</t>
  </si>
  <si>
    <t>EP 400/3-3+0,BB2000-GLY</t>
  </si>
  <si>
    <t>52,760</t>
  </si>
  <si>
    <t>Bandweefseltype: EP ; Treksterkte: 400 N/mm ; Aantal inlagen: 3 ; Bovendek: 3 mm ; Onderdek: 0 mm ; Bandbreedte: 2000 mm</t>
  </si>
  <si>
    <t>Gewebetype: EP ; Zugfestigkeit: 400 N/mm ; Anzahl Einlagen: 3 ; Oberdeck: 3 mm ; Unterdeck: 0 mm ; Gurtbreite: 2000 mm</t>
  </si>
  <si>
    <t>Fabric type: EP ; Tensile strength: 400 N/mm ; Number of plies: 3 ; Topcover: 3 mm ; Bottomcover: 0 mm ; Beltwidth: 2000 mm</t>
  </si>
  <si>
    <t>Carcasse: EP ; Tension de service: 400 N/mm ; Nombre de plis: 3 ; Revêtement supérieur: 3 mm ; Revêtement inférieur: 0 mm ; Largeur de bande: 2000 mm</t>
  </si>
  <si>
    <t>EP2000GLY400/3-3+0JO</t>
  </si>
  <si>
    <t>EP 400/3-3+0,BB2000 GLY</t>
  </si>
  <si>
    <t>37,840</t>
  </si>
  <si>
    <t>EP2000GLY400/3-5+0-DIN-WSH</t>
  </si>
  <si>
    <t>EP 400/3-5+0,BB2000-GLY-DIN-W-Extra tussenrubber</t>
  </si>
  <si>
    <t>46,300</t>
  </si>
  <si>
    <t>EP2000OVG250/2-2+0HY</t>
  </si>
  <si>
    <t>EP 250/2-2+0,BB2000-GLY-O+V</t>
  </si>
  <si>
    <t>Bandweefseltype: EP ; Treksterkte: 250 N/mm ; Aantal inlagen: 2 ; Bovendek: 2 mm ; Onderdek: 0 mm ; Bandbreedte: 2000 mm ; Olie- en vetbestendige Kwaliteit</t>
  </si>
  <si>
    <t>Gewebetype: EP ; Zugfestigkeit: 250 N/mm ; Anzahl Einlagen: 2 ; Oberdeck: 2 mm ; Unterdeck: 0 mm ; Gurtbreite: 2000 mm ; Öl und Fettbeständige Qualität</t>
  </si>
  <si>
    <t>Fabric type: EP ; Tensile strength: 250 N/mm ; Number of plies: 2 ; Topcover: 2 mm ; Bottomcover: 0 mm ; Beltwidth: 2000 mm ; Oil and Grease Resistant Quality</t>
  </si>
  <si>
    <t>EP2000OVG250/2-2+0JO</t>
  </si>
  <si>
    <t>33,780</t>
  </si>
  <si>
    <t>EP2000OVG400/3-2+0HY</t>
  </si>
  <si>
    <t>EP 400/3-2+0,BB2000-GLY-O+V</t>
  </si>
  <si>
    <t>55,120</t>
  </si>
  <si>
    <t>Bandweefseltype: EP ; Treksterkte: 400 N/mm ; Aantal inlagen: 3 ; Bovendek: 2 mm ; Onderdek: 0 mm ; Bandbreedte: 2000 mm ; Olie- en vetbestendige Kwaliteit</t>
  </si>
  <si>
    <t>Gewebetype: EP ; Zugfestigkeit: 400 N/mm ; Anzahl Einlagen: 3 ; Oberdeck: 2 mm ; Unterdeck: 0 mm ; Gurtbreite: 2000 mm ; Öl und Fettbeständige Qualität</t>
  </si>
  <si>
    <t>Fabric type: EP ; Tensile strength: 400 N/mm ; Number of plies: 3 ; Topcover: 2 mm ; Bottomcover: 0 mm ; Beltwidth: 2000 mm ; Oil and Grease Resistant Quality</t>
  </si>
  <si>
    <t>EP2000OVG400/3-2+0JO</t>
  </si>
  <si>
    <t>EP2000OVG400/3-3+0HY</t>
  </si>
  <si>
    <t>EP 400/3-3+0,BB2000-GLY-O+V</t>
  </si>
  <si>
    <t>64,520</t>
  </si>
  <si>
    <t>Bandweefseltype: EP ; Treksterkte: 400 N/mm ; Aantal inlagen: 3 ; Bovendek: 3 mm ; Onderdek: 0 mm ; Bandbreedte: 2000 mm ; Olie- en vetbestendige Kwaliteit</t>
  </si>
  <si>
    <t>Gewebetype: EP ; Zugfestigkeit: 400 N/mm ; Anzahl Einlagen: 3 ; Oberdeck: 3 mm ; Unterdeck: 0 mm ; Gurtbreite: 2000 mm ; Öl und Fettbeständige Qualität</t>
  </si>
  <si>
    <t>Fabric type: EP ; Tensile strength: 400 N/mm ; Number of plies: 3 ; Topcover: 3 mm ; Bottomcover: 0 mm ; Beltwidth: 2000 mm ; Oil and Grease Resistant Quality</t>
  </si>
  <si>
    <t>EP2000OVG400/3-3+0JO</t>
  </si>
  <si>
    <t>45,680</t>
  </si>
  <si>
    <t>EP2000OVG400/3-3+0SH</t>
  </si>
  <si>
    <t>34,480</t>
  </si>
  <si>
    <t>EP2000OVG500/4-3+0HY</t>
  </si>
  <si>
    <t>EP 500/4-3+0,BB2000-GLY-O+V</t>
  </si>
  <si>
    <t>82,540</t>
  </si>
  <si>
    <t>Bandweefseltype: EP ; Treksterkte: 500 N/mm ; Aantal inlagen: 4 ; Bovendek: 3 mm ; Onderdek: 0 mm ; Bandbreedte: 2000 mm ; Olie- en vetbestendige Kwaliteit</t>
  </si>
  <si>
    <t>Gewebetype: EP ; Zugfestigkeit: 500 N/mm ; Anzahl Einlagen: 4 ; Oberdeck: 3 mm ; Unterdeck: 0 mm ; Gurtbreite: 2000 mm ; Öl und Fettbeständige Qualität</t>
  </si>
  <si>
    <t>Fabric type: EP ; Tensile strength: 500 N/mm ; Number of plies: 4 ; Topcover: 3 mm ; Bottomcover: 0 mm ; Beltwidth: 2000 mm ; Oil and Grease Resistant Quality</t>
  </si>
  <si>
    <t>EP2000OVX1000/5-3+3-ELEVATORSA</t>
  </si>
  <si>
    <t>EP 1000/5-3+3-BB2000 ELEVATOR-OV</t>
  </si>
  <si>
    <t>92,920</t>
  </si>
  <si>
    <t>EP2000OVX250/2-3+1½SH</t>
  </si>
  <si>
    <t>EP 250/2-3+1½,BB2000-O+V</t>
  </si>
  <si>
    <t>EP2000OVX250/2-3+1HY</t>
  </si>
  <si>
    <t>EP 250/2-3+1,BB2000-O+V</t>
  </si>
  <si>
    <t>56,890</t>
  </si>
  <si>
    <t>Bandweefseltype: EP ; Treksterkte: 250 N/mm ; Aantal inlagen: 2 ; Bovendek: 3 mm ; Onderdek: 1 mm ; Bandbreedte: 2000 mm ; Olie- en vetbestendige Kwaliteit</t>
  </si>
  <si>
    <t>Gewebetype: EP ; Zugfestigkeit: 250 N/mm ; Anzahl Einlagen: 2 ; Oberdeck: 3 mm ; Unterdeck: 1 mm ; Gurtbreite: 2000 mm ; Öl und Fettbeständige Qualität</t>
  </si>
  <si>
    <t>Fabric type: EP ; Tensile strength: 250 N/mm ; Number of plies: 2 ; Topcover: 3 mm ; Bottomcover: 1 mm ; Beltwidth: 2000 mm ; Oil and Grease Resistant Quality</t>
  </si>
  <si>
    <t>EP2000OVX250/2-3+1JO</t>
  </si>
  <si>
    <t>45,570</t>
  </si>
  <si>
    <t>Gewebetype: EP ; Zugfestigkeit: 250 N/mm ; Anzahl Einlagen: 2 ; Oberdeck: 3 mm ; Unterdeck: 1 mm ; Gurtbreite:2000 mm ; Öl und Fettbeständige Qualität</t>
  </si>
  <si>
    <t>EP2000OVX400/3-4+2HY</t>
  </si>
  <si>
    <t>EP 400/3-4+2,BB2000-O+V</t>
  </si>
  <si>
    <t>59,610</t>
  </si>
  <si>
    <t>91,455</t>
  </si>
  <si>
    <t>Bandweefseltype: EP ; Treksterkte: 400 N/mm ; Aantal inlagen: 3 ; Bovendek: 4 mm ; Onderdek: 2 mm ; Bandbreedte: 2000 mm ; Olie- en vetbestendige Kwaliteit</t>
  </si>
  <si>
    <t>Gewebetype: EP ; Zugfestigkeit: 400 N/mm ; Anzahl Einlagen: 3 ; Oberdeck: 4 mm ; Unterdeck: 2 mm ; Gurtbreite: 2000 mm ; Öl und Fettbeständige Qualität</t>
  </si>
  <si>
    <t>Fabric type: EP ; Tensile strength: 400 N/mm ; Number of plies: 3 ; Topcover: 4 mm ; Bottomcover: 2 mm ; Beltwidth: 2000 mm ; Oil and Grease Resistant Quality</t>
  </si>
  <si>
    <t>EP2000OVX400/3-4+2PH</t>
  </si>
  <si>
    <t>53,190</t>
  </si>
  <si>
    <t>EP2000OVX400/3-4+2SA</t>
  </si>
  <si>
    <t>58,960</t>
  </si>
  <si>
    <t>EP2000OVX400/3-4+2SH</t>
  </si>
  <si>
    <t>54,420</t>
  </si>
  <si>
    <t>EP2000OVX500/4-6+2SH</t>
  </si>
  <si>
    <t>EP 500/4-6+2,BB2000-O+V</t>
  </si>
  <si>
    <t>60,940</t>
  </si>
  <si>
    <t>EP2000PRG250/2-3+2-MULTIVSH</t>
  </si>
  <si>
    <t>EP 250/2-3+2,BB2000-Multi V profiel 6 mm O&amp;V</t>
  </si>
  <si>
    <t>62,040</t>
  </si>
  <si>
    <t>Bandweefseltype: EP ; Treksterkte: 250 N/mm ; Aantal inlagen: 2 ; Bovendek: 3 mm ; Onderdek: 2 mm ; Bandbreedte: 2000 mm ; Profiel hoogte: 6 mm ; Profiel breedte: Volledige bandbreedte ; Type: V6 ; Olie- en vetbestendige Kwaliteit</t>
  </si>
  <si>
    <t>Gewebetype: EP ; Zugfestigkeit: 250 N/mm ; Anzahl Einlagen: 2 ; Oberdeck: 3 mm ; Unterdeck: 2 mm ; Gurtbreite: 2000 mm ; Profilhöhe: 6 mm ; Profilbreite: Komplette Gurtbreite ; Profiltyp: V6 ; Öl und Fettbeständige Qualität</t>
  </si>
  <si>
    <t>Fabric type: EP ; Tensile strength: 250 N/mm ; Number of plies: 2 ; Topcover: 3 mm ; Bottomcover: 2 mm ; Beltwidth: 2000 mm ; Profile height: 6 mm ; Profile width: Full belt width ; Profile type: V6 ; Oil and Grease Resistant Quality</t>
  </si>
  <si>
    <t>Carcasse: EP ; Résistance à la traction: 250 N/mm ; Nombre de plis: 2 ; Revêtement supérieur: 3 mm ; Revêtement inférieur: 2 mm ; Largeur de bande: 2000 mm ; Hauteur du profil: 6 mm ; Largeur du profil: Sur toute la largeur ; Type de profil: V6 ; Qualité résistant aux huiles et graisses</t>
  </si>
  <si>
    <t>EP2000PRG400/3-3+2-MULTIVHY</t>
  </si>
  <si>
    <t>EP 400/3-3+2,BB2000-Multi V profiel 6 mm O&amp;V</t>
  </si>
  <si>
    <t>81,920</t>
  </si>
  <si>
    <t>Bandweefseltype: EP ; Treksterkte: 400 N/mm ; Aantal inlagen: 3 ; Bovendek: 3 mm ; Onderdek: 2 mm ; Bandbreedte: 2000 mm ; Profiel hoogte: 6 mm ; Profiel breedte: Volledige bandbreedte ; Type: V6 ; Olie- en vetbestendige Kwaliteit</t>
  </si>
  <si>
    <t>Gewebetype: EP ; Zugfestigkeit: 400 N/mm ; Anzahl Einlagen: 3 ; Oberdeck: 3 mm ; Unterdeck: 2 mm ; Gurtbreite: 2000 mm ; Profilhöhe: 6 mm ; Profilbreite: Komplette Gurtbreite ; Profiltyp: V6 ; Öl und Fettbeständige Qualität</t>
  </si>
  <si>
    <t>Fabric type: EP ; Tensile strength: 400 N/mm ; Number of plies: 3 ; Topcover: 3 mm ; Bottomcover: 2 mm ; Beltwidth: 2000 mm ; Profile height: 6 mm ; Profile width: Full belt width ; Profile type: V6 ; Oil and Grease Resistant Quality</t>
  </si>
  <si>
    <t>Carcasse: EP ; Résistance à la traction: 400 N/mm ; Nombre de plis: 3 ; Revêtement supérieur: 3 mm ; Revêtement inférieur: 2 mm ; Largeur de bande: 2000 mm ; Hauteur du profil: 6 mm ; Largeur du profil: Sur toute la largeur ; Type de profil: V6 ; Qualité résistant aux huiles et graisses</t>
  </si>
  <si>
    <t>EP2000PRG400/3-3+2-MULTIVSH</t>
  </si>
  <si>
    <t>63,100</t>
  </si>
  <si>
    <t>EP2000PRL250/2-3+2-MULTIVSH</t>
  </si>
  <si>
    <t>EP 250/2-3+2,BB2000-Multi V profiel 6 mm</t>
  </si>
  <si>
    <t>57,350</t>
  </si>
  <si>
    <t>Bandweefseltype: EP ; Treksterkte: 250 N/mm ; Aantal inlagen: 2 ; Bovendek: 3 mm ; Onderdek: 2 mm ; Bandbreedte: 2000 mm ; Profiel hoogte: 6 mm ; Profiel breedte: Volledige bandbreedte ; Type: V6</t>
  </si>
  <si>
    <t>Gewebetype: EP ; Zugfestigkeit: 250 N/mm ; Anzahl Einlagen: 2 ; Oberdeck: 3 mm ; Unterdeck: 2 mm ; Gurtbreite: 2000 mm ; Profilhöhe: 6 mm ; Profilbreite: Komplette Gurtbreite ; Profiltyp: V6</t>
  </si>
  <si>
    <t>Fabric type: EP ; Tensile strength: 250 N/mm ; Number of plies: 2 ; Topcover: 3 mm ; Bottomcover: 2 mm ; Beltwidth: 2000 mm ; Profile height: 6 mm ; Profile width: Full belt width ; Profile type: V6</t>
  </si>
  <si>
    <t>Carcasse: EP ; Résistance à la traction: 250 N/mm ; Nombre de plis: 2 ; Revêtement supérieur: 3 mm ; Revêtement inférieur: 2 mm ; Largeur de bande: 2000 mm ; Hauteur du profil: 6 mm ; Largeur du profil: Sur toute la largeur ; Type de profil: V6</t>
  </si>
  <si>
    <t>EP2000PRL400/3-3+2-MULTIVSH</t>
  </si>
  <si>
    <t>EP 400/3-3+2,BB2000-Multi V profiel 6 mm</t>
  </si>
  <si>
    <t>64,430</t>
  </si>
  <si>
    <t>Bandweefseltype: EP ; Treksterkte: 400 N/mm ; Aantal inlagen: 3 ; Bovendek: 3 mm ; Onderdek: 2 mm ; Bandbreedte: 2000 mm ; Profiel hoogte: 6 mm ; Profiel breedte: Volledige bandbreedte ; Type: V6</t>
  </si>
  <si>
    <t>Gewebetype: EP ; Zugfestigkeit: 400 N/mm ; Anzahl Einlagen: 3 ; Oberdeck: 3 mm ; Unterdeck: 2 mm ; Gurtbreite: 2000 mm ; Profilhöhe: 6 mm ; Profilbreite: Komplette Gurtbreite ; Profiltyp: V6</t>
  </si>
  <si>
    <t>Fabric type: EP ; Tensile strength: 400 N/mm ; Number of plies: 3 ; Topcover: 3 mm ; Bottomcover: 2 mm ; Beltwidth: 2000 mm ; Profile height: 6 mm ; Profile width: Full belt width ; Profile type: V6</t>
  </si>
  <si>
    <t>Carcasse: EP ; Résistance à la traction: 400 N/mm ; Nombre de plis: 3 ; Revêtement supérieur: 3 mm ; Revêtement inférieur: 2 mm ; Largeur de bande: 2000 mm ; Hauteur du profil: 6 mm ; Largeur du profil: Sur toute la largeur ; Type de profil: V6</t>
  </si>
  <si>
    <t>EP2000SGG250/2-3+0HY</t>
  </si>
  <si>
    <t>EP 250/2-3+0,BB2000, Supergrip/glijband</t>
  </si>
  <si>
    <t>Bandweefseltype: EP ; Treksterkte: 250 N/mm ; Aantal inlagen: 2 ; Bovendek: 3 mm ; Onderdek: 0 mm ; Bandbreedte: 2000 mm ; Supergrip / Rough Top Zwart</t>
  </si>
  <si>
    <t>Gewebetype: EP ; Zugfestigkeit: 250 N/mm ; Anzahl Einlagen: 2 ; Oberdeck: 3 mm ; Unterdeck: 0 mm ; Gurtbreite: 2000 mm ; Supergrip / Rough Top Schwarz</t>
  </si>
  <si>
    <t>Fabric type: EP ; Tensile strength: 250 N/mm ; Number of plies: 2 ; Topcover: 3 mm ; Bottomcover: 0 mm ; Beltwidth: 2000 mm ; Supergrip / Rough Top Black</t>
  </si>
  <si>
    <t>Carcasse: EP ; Tension de service: 250 N/mm ; Nombre de plis: 2 ; Revêtement supérieur: 3 mm ; Revêtement inférieur: 0 mm ; Largeur de bande: 2000 mm ; Nid d'abeille Noir</t>
  </si>
  <si>
    <t>EP2000SGG400/3-3+0HY</t>
  </si>
  <si>
    <t>EP 400/3-3+0,BB2000, Supergrip/glijband</t>
  </si>
  <si>
    <t>50,850</t>
  </si>
  <si>
    <t>Bandweefseltype: EP ; Treksterkte: 400 N/mm ; Aantal inlagen: 3 ; Bovendek: 3 mm ; Onderdek: 0 mm ; Bandbreedte: 2000 mm ; Supergrip / Rough Top Zwart</t>
  </si>
  <si>
    <t>Gewebetype: EP ; Zugfestigkeit: 400 N/mm ; Anzahl Einlagen: 3 ; Oberdeck: 3 mm ; Unterdeck: 0 mm ; Gurtbreite: 2000 mm ; Supergrip / Rough Top Schwarz</t>
  </si>
  <si>
    <t>Fabric type: EP ; Tensile strength: 400 N/mm ; Number of plies: 3 ; Topcover: 3 mm ; Bottomcover: 0 mm ; Beltwidth: 2000 mm ; Supergrip / Rough Top Black</t>
  </si>
  <si>
    <t>Carcasse: EP ; Tension de service: 400 N/mm ; Nombre de plis: 3 ; Revêtement supérieur: 3 mm ; Revêtement inférieur: 0 mm ; Largeur de bande: 2000 mm ; Nid d'abeille Noir</t>
  </si>
  <si>
    <t>EP2000SGG630/4-3+0HY</t>
  </si>
  <si>
    <t>EP 630/4-3+0-BB2000, Supergrip/glijband</t>
  </si>
  <si>
    <t>56,038</t>
  </si>
  <si>
    <t>EP2000SGR250/2-3+1HY</t>
  </si>
  <si>
    <t>EP 250/2-3+1,BB2000, Supergrip zwart</t>
  </si>
  <si>
    <t>43,258</t>
  </si>
  <si>
    <t>Bandweefseltype: EP ; Treksterkte: 250 N/mm ; Aantal inlagen: 2 ; Bovendek: 3 mm ; Onderdek: 1 mm ; Bandbreedte: 2000 mm ; Supergrip / Rough Top Zwart</t>
  </si>
  <si>
    <t>Gewebetype: EP ; Zugfestigkeit: 250 N/mm ; Anzahl Einlagen: 2 ; Oberdeck: 3 mm ; Unterdeck: 1 mm ; Gurtbreite: 2000 mm ; Supergrip / Rough Top Schwarz</t>
  </si>
  <si>
    <t>Fabric type: EP ; Tensile strength: 250 N/mm ; Number of plies: 2 ; Topcover: 3 mm ; Bottomcover: 1 mm ; Beltwidth: 2000 mm ; Supergrip / Rough Top Black</t>
  </si>
  <si>
    <t>Carcasse: EP ; Résistance à la traction: 250 N/mm ; Nombre de plis: 2 ; Revêtement supérieur: 3 mm ; Revêtement inférieur: 1 mm ; Largeur de bande: 2000 mm ; Nid d'abeille Noir</t>
  </si>
  <si>
    <t>EP2000SGR400/3-3+1HY</t>
  </si>
  <si>
    <t>EP 400/3-3+1,BB2000, Supergrip zwart</t>
  </si>
  <si>
    <t>52,650</t>
  </si>
  <si>
    <t>Bandweefseltype: EP ; Treksterkte: 400 N/mm ; Aantal inlagen: 3 ; Bovendek: 3 mm ; Onderdek: 1 mm ; Bandbreedte: 2000 mm ; Supergrip / Rough Top Zwart</t>
  </si>
  <si>
    <t>Gewebetype: EP ; Zugfestigkeit: 400 N/mm ; Anzahl Einlagen: 3 ; Oberdeck: 3 mm ; Unterdeck: 1 mm ; Gurtbreite: 2000 mm ; Supergrip / Rough Top Schwarz</t>
  </si>
  <si>
    <t>Fabric type: EP ; Tensile strength: 400 N/mm ; Number of plies: 3 ; Topcover: 3 mm ; Bottomcover: 1 mm ; Beltwidth: 2000 mm ; Supergrip / Rough Top Black</t>
  </si>
  <si>
    <t>Carcasse: EP ; Résistance à la traction: 400 N/mm ; Nombre de plis: 3 ; Revêtement supérieur: 3 mm ; Revêtement inférieur: 1 mm ; Largeur de bande: 2000 mm ; Nid d'abeille Noir</t>
  </si>
  <si>
    <t>EP2000XXX100/1-1+1HY</t>
  </si>
  <si>
    <t>EP 100/1-1+1,BB2000</t>
  </si>
  <si>
    <t>Bandweefseltype: EP ; Treksterkte: 100 N/mm ; Aantal inlagen: 1 ; Bovendek: 1 mm ; Onderdek: 1 mm ; Bandbreedte: 2000 mm</t>
  </si>
  <si>
    <t>Gewebetype: EP ; Zugfestigkeit: 100 N/mm ; Anzahl Einlagen: 1 ; Oberdeck: 1 mm ; Unterdeck: 1 mm ; Gurtbreite: 2000 mm</t>
  </si>
  <si>
    <t>Fabric type: EP ; Tensile strength: 100 N/mm ; Number of plies: 1 ; Topcover: 1 mm ; Bottomcover: 1 mm ; Beltwidth: 2000 mm</t>
  </si>
  <si>
    <t>Carcasse: EP ; Résistance à la traction: 100 N/mm ; Nombre de plis: 1 ; Revêtement supérieur: 1 mm ; Revêtement inférieur: 1 mm ; Largeur de bande: 2000 mm</t>
  </si>
  <si>
    <t>EP2000XXX100/1-1+1SH</t>
  </si>
  <si>
    <t>15,220</t>
  </si>
  <si>
    <t>EP2000XXX1000/4-30+8-DIN-WCO</t>
  </si>
  <si>
    <t>EP 1000/4-30+8,BB2000 DIN W</t>
  </si>
  <si>
    <t>347,280</t>
  </si>
  <si>
    <t>EP2000XXX1250/5-10+3SH</t>
  </si>
  <si>
    <t>EP 1250/5-10+3,BB2000</t>
  </si>
  <si>
    <t>104,060</t>
  </si>
  <si>
    <t>Bandweefseltype: EP ; Treksterkte: 1250N/mm ; Aantal inlagen: 5 ; Bovendek: 10 mm ; Onderdek: 3 mm ; Bandbreedte: 2000 mm</t>
  </si>
  <si>
    <t>Gewebetype: EP ; Zugfestigkeit: 1250 N/mm ; Anzahl Einlagen: 5 ; Oberdeck: 10 mm ; Unterdeck: 3 mm ; Gurtbreite: 2000 mm</t>
  </si>
  <si>
    <t>Fabric type: EP ; Tensile strength: 1250 N/mm ; Number of plies: 5 ; Topcover: 10 mm ; Bottomcover: 3 mm ; Beltwidth: 2000 mm</t>
  </si>
  <si>
    <t>Carcasse: EP ; Résistance à la traction: 1250 N/mm ; Nombre de plis: 5 ; Revêtement supérieur: 10 mm ; Revêtement inférieur: 3 mm ; Largeur de bande: 2000 mm</t>
  </si>
  <si>
    <t>EP2000XXX200/2-2+1HY</t>
  </si>
  <si>
    <t>EP 200/2-2+1,BB2000</t>
  </si>
  <si>
    <t>Bandweefseltype: EP ; Treksterkte: 200 N/mm ; Aantal inlagen: 2 ; Bovendek: 2 mm ; Onderdek: 1 mm ; Bandbreedte: 2000 mm</t>
  </si>
  <si>
    <t>Gewebetype: EP ; Zugfestigkeit: 200 N/mm ; Anzahl Einlagen: 2 ; Oberdeck: 2 mm ; Unterdeck: 1 mm ; Gurtbreite: 2000 mm</t>
  </si>
  <si>
    <t>Fabric type: EP ; Tensile strength: 200 N/mm ; Number of plies: 2 ; Topcover: 2 mm ; Bottomcover: 1 mm ; Beltwidth: 2000 mm</t>
  </si>
  <si>
    <t>Carcasse: EP ; Résistance à la traction: 200 N/mm ; Nombre de plis: 2 ; Revêtement supérieur: 2 mm ; Revêtement inférieur: 1 mm ; Largeur de bande: 2000 mm</t>
  </si>
  <si>
    <t>EP2000XXX200/2-2+1JO</t>
  </si>
  <si>
    <t>EP2000XXX250/2-3+1½-DIN-WSH</t>
  </si>
  <si>
    <t>EP 250/2-3+1½,BB2000-DIN-W</t>
  </si>
  <si>
    <t>31,900</t>
  </si>
  <si>
    <t>EP2000XXX250/2-3+1HY</t>
  </si>
  <si>
    <t>EP 250/2-3+1,BB2000</t>
  </si>
  <si>
    <t>41,950</t>
  </si>
  <si>
    <t>Bandweefseltype: EP ; Treksterkte: 250 N/mm ; Aantal inlagen: 2 ; Bovendek: 3 mm ; Onderdek: 1 mm ; Bandbreedte: 2000 mm</t>
  </si>
  <si>
    <t>Gewebetype: EP ; Zugfestigkeit: 250 N/mm ; Anzahl Einlagen: 2 ; Oberdeck: 3 mm ; Unterdeck: 1 mm ; Gurtbreite: 2000 mm</t>
  </si>
  <si>
    <t>Fabric type: EP ; Tensile strength: 250 N/mm ; Number of plies: 2 ; Topcover: 3 mm ; Bottomcover: 1 mm ; Beltwidth: 2000 mm</t>
  </si>
  <si>
    <t>Carcasse: EP ; Résistance à la traction: 250 N/mm ; Nombre de plis: 2 ; Revêtement supérieur: 3 mm ; Revêtement inférieur: 1 mm ; Largeur de bande: 2000 mm</t>
  </si>
  <si>
    <t>EP2000XXX250/2-3+1JO</t>
  </si>
  <si>
    <t>39,600</t>
  </si>
  <si>
    <t>EP2000XXX315/2-4+2SH</t>
  </si>
  <si>
    <t>EP 315/2-4+2,BB2000</t>
  </si>
  <si>
    <t>36,770</t>
  </si>
  <si>
    <t>Bandweefseltype: EP ; Treksterkte: 315 N/mm ; Aantal inlagen: 2 ; Bovendek: 4 mm ; Onderdek: 2 mm ; Bandbreedte: 2000 mm</t>
  </si>
  <si>
    <t>Gewebetype: EP ; Zugfestigkeit: 315 N/mm ; Anzahl Einlagen: 2 ; Oberdeck: 4 mm ; Unterdeck: 2 mm ; Gurtbreite: 2000 mm</t>
  </si>
  <si>
    <t>Fabric type: EP ; Tensile strength: 315 N/mm ; Number of plies: 2 ; Topcover: 4 mm ; Bottomcover: 2 mm ; Beltwidth: 2000 mm</t>
  </si>
  <si>
    <t>Carcasse: EP ; Résistance à la traction: 315 N/mm ; Nombre de plis: 2 ; Revêtement supérieur: 4 mm ; Revêtement inférieur: 2 mm ; Largeur de bande: 2000 mm</t>
  </si>
  <si>
    <t>EP2000XXX400/3-4+2CO</t>
  </si>
  <si>
    <t>EP 400/3-4+2,BB2000</t>
  </si>
  <si>
    <t>43,470</t>
  </si>
  <si>
    <t>Bandweefseltype: EP ; Treksterkte: 400N/mm ; Aantal inlagen: 3 ; Bovendek: 4 mm ; Onderdek: 2 mm ; Bandbreedte: 2000 mm</t>
  </si>
  <si>
    <t>Gewebetype: EP ; Zugfestigkeit: 400 N/mm ; Anzahl Einlagen: 3 ; Oberdeck: 4 mm ; Unterdeck: 2 mm ; Gurtbreite: 2000 mm</t>
  </si>
  <si>
    <t>Fabric type: EP ; Tensile strength: 400 N/mm ; Number of plies: 3 ; Topcover: 4 mm ; Bottomcover: 2 mm ; Beltwidth: 2000 mm</t>
  </si>
  <si>
    <t>Carcasse: EP ; Résistance à la traction: 400 N/mm ; Nombre de plis: 3 ; Revêtement supérieur: 4 mm ; Revêtement inférieur: 2 mm ; Largeur de bande: 2000 mm</t>
  </si>
  <si>
    <t>EP2000XXX400/3-4+2-DIN-XSH</t>
  </si>
  <si>
    <t>EP 400/3-4+2,BB2000-DIN-X</t>
  </si>
  <si>
    <t>44,450</t>
  </si>
  <si>
    <t>EP2000XXX400/3-4+2FF</t>
  </si>
  <si>
    <t>50,640</t>
  </si>
  <si>
    <t>EP2000XXX400/3-4+2HY</t>
  </si>
  <si>
    <t>62,260</t>
  </si>
  <si>
    <t>EP2000XXX400/3-4+2KA</t>
  </si>
  <si>
    <t>45,980</t>
  </si>
  <si>
    <t>EP2000XXX400/3-4+2QH</t>
  </si>
  <si>
    <t>15,390</t>
  </si>
  <si>
    <t>EP2000XXX400/3-4+2RP</t>
  </si>
  <si>
    <t>EP2000XXX400/3-4+2SA</t>
  </si>
  <si>
    <t>42,360</t>
  </si>
  <si>
    <t>EP2000XXX400/3-4+2SH</t>
  </si>
  <si>
    <t>EP2000XXX400/3-6+2SA</t>
  </si>
  <si>
    <t>EP 400/3-6+2,BB2000</t>
  </si>
  <si>
    <t>58,550</t>
  </si>
  <si>
    <t>Bandweefseltype: EP ; Treksterkte: 400N/mm ; Aantal inlagen: 3 ; Bovendek: 6 mm ; Onderdek: 2 mm ; Bandbreedte: 2000 mm</t>
  </si>
  <si>
    <t>Gewebetype: EP ; Zugfestigkeit: 400 N/mm ; Anzahl Einlagen: 3 ; Oberdeck: 6 mm ; Unterdeck: 2 mm ; Gurtbreite: 2000 mm</t>
  </si>
  <si>
    <t>Fabric type: EP ; Tensile strength: 400 N/mm ; Number of plies: 3 ; Topcover: 6 mm ; Bottomcover: 2 mm ; Beltwidth: 2000 mm</t>
  </si>
  <si>
    <t>Carcasse: EP ; Résistance à la traction: 400 N/mm ; Nombre de plis: 3 ; Revêtement supérieur: 6 mm ; Revêtement inférieur: 2 mm ; Largeur de bande: 2000 mm</t>
  </si>
  <si>
    <t>EP2000XXX400/3-6+2SH</t>
  </si>
  <si>
    <t>51,730</t>
  </si>
  <si>
    <t>EP2000XXX500/4-5+2CC</t>
  </si>
  <si>
    <t>EP 500/4-5+2,BB2000</t>
  </si>
  <si>
    <t>53,170</t>
  </si>
  <si>
    <t>Bandweefseltype: EP ; Treksterkte: 500N/mm ; Aantal inlagen: 4 ; Bovendek: 5 mm ; Onderdek: 2 mm ; Bandbreedte: 2000 mm</t>
  </si>
  <si>
    <t>Gewebetype: EP ; Zugfestigkeit: 500 N/mm ; Anzahl Einlagen: 4 ; Oberdeck: 5 mm ; Unterdeck: 2 mm ; Gurtbreite: 2000 mm</t>
  </si>
  <si>
    <t>Fabric type: EP ; Tensile strength: 500 N/mm ; Number of plies: 4 ; Topcover: 5 mm ; Bottomcover: 2 mm ; Beltwidth: 2000 mm</t>
  </si>
  <si>
    <t>Carcasse: EP ; Résistance à la traction: 500 N/mm ; Nombre de plis: 4 ; Revêtement supérieur: 5 mm ; Revêtement inférieur: 2 mm ; Largeur de bande: 2000 mm</t>
  </si>
  <si>
    <t>EP2000XXX500/4-5+2HY</t>
  </si>
  <si>
    <t>75,249</t>
  </si>
  <si>
    <t>EP2000XXX500/4-5+2KA</t>
  </si>
  <si>
    <t>49,480</t>
  </si>
  <si>
    <t>EP2000XXX500/4-5+2SH</t>
  </si>
  <si>
    <t>53,390</t>
  </si>
  <si>
    <t>EP2000XXX630/4-6+2CC</t>
  </si>
  <si>
    <t>EP 630/4-6+2,BB2000</t>
  </si>
  <si>
    <t>63,460</t>
  </si>
  <si>
    <t>Bandweefseltype: EP ; Treksterkte: 630N/mm ; Aantal inlagen: 4 ; Bovendek: 6 mm ; Onderdek: 2 mm ; Bandbreedte: 2000 mm</t>
  </si>
  <si>
    <t>Gewebetype: EP ; Zugfestigkeit: 630 N/mm ; Anzahl Einlagen: 4 ; Oberdeck: 6 mm ; Unterdeck: 2 mm ; Gurtbreite: 2000 mm</t>
  </si>
  <si>
    <t>Fabric type: EP ; Tensile strength: 630 N/mm ; Number of plies: 4 ; Topcover: 6 mm ; Bottomcover: 2 mm ; Beltwidth: 2000 mm</t>
  </si>
  <si>
    <t>Carcasse: EP ; Résistance à la traction: 630 N/mm ; Nombre de plis: 4 ; Revêtement supérieur: 6 mm ; Revêtement inférieur: 2 mm ; Largeur de bande: 2000 mm</t>
  </si>
  <si>
    <t>EP2000XXX630/4-6+2FF</t>
  </si>
  <si>
    <t>59,180</t>
  </si>
  <si>
    <t>EP2000XXX630/4-6+2KA</t>
  </si>
  <si>
    <t>55,750</t>
  </si>
  <si>
    <t>EP2000XXX630/4-6+2SA</t>
  </si>
  <si>
    <t>68,570</t>
  </si>
  <si>
    <t>EP2000XXX630/4-6+2SH</t>
  </si>
  <si>
    <t>53,400</t>
  </si>
  <si>
    <t>EP2000XXX630/4-8+3FF</t>
  </si>
  <si>
    <t>EP 630/4-8+3,BB2000</t>
  </si>
  <si>
    <t>73,610</t>
  </si>
  <si>
    <t>Bandweefseltype: EP ; Treksterkte: 630N/mm ; Aantal inlagen: 4 ; Bovendek: 8 mm ; Onderdek: 3 mm ; Bandbreedte: 2000 mm</t>
  </si>
  <si>
    <t>Gewebetype: EP ; Zugfestigkeit: 630 N/mm ; Anzahl Einlagen: 4 ; Oberdeck: 8 mm ; Unterdeck: 3 mm ; Gurtbreite: 2000 mm</t>
  </si>
  <si>
    <t>Fabric type: EP ; Tensile strength: 630 N/mm ; Number of plies: 4 ; Topcover: 8 mm ; Bottomcover: 3 mm ; Beltwidth: 2000 mm</t>
  </si>
  <si>
    <t>Carcasse: EP ; Résistance à la traction: 630 N/mm ; Nombre de plis: 4 ; Revêtement supérieur: 8 mm ; Revêtement inférieur: 3 mm ; Largeur de bande: 2000 mm</t>
  </si>
  <si>
    <t>EP2000XXX630/4-8+3KA</t>
  </si>
  <si>
    <t>65,940</t>
  </si>
  <si>
    <t>EP2000XXX630/4-8+3SH</t>
  </si>
  <si>
    <t>72,320</t>
  </si>
  <si>
    <t>EP2000XXX800/4-8+3CC</t>
  </si>
  <si>
    <t>EP 800/4-8+3,BB2000</t>
  </si>
  <si>
    <t>79,250</t>
  </si>
  <si>
    <t>Bandweefseltype: EP ; Treksterkte: 800N/mm ; Aantal inlagen: 4 ; Bovendek: 8 mm ; Onderdek: 3 mm ; Bandbreedte: 2000 mm</t>
  </si>
  <si>
    <t>Gewebetype: EP ; Zugfestigkeit: 800 N/mm ; Anzahl Einlagen: 4 ; Oberdeck: 8 mm ; Unterdeck: 3 mm ; Gurtbreite: 2000 mm</t>
  </si>
  <si>
    <t>Fabric type: EP ; Tensile strength: 800 N/mm ; Number of plies: 4 ; Topcover: 8 mm ; Bottomcover: 3 mm ; Beltwidth: 2000 mm</t>
  </si>
  <si>
    <t>Carcasse: EP ; Résistance à la traction: 800 N/mm ; Nombre de plis: 4 ; Revêtement supérieur: 8 mm ; Revêtement inférieur: 3 mm ; Largeur de bande: 2000 mm</t>
  </si>
  <si>
    <t>EP2000XXX800/4-8+3HY</t>
  </si>
  <si>
    <t>111,042</t>
  </si>
  <si>
    <t>EP2000XXX800/4-8+3SA</t>
  </si>
  <si>
    <t>87,840</t>
  </si>
  <si>
    <t>EP2000XXX800/4-8+3SH</t>
  </si>
  <si>
    <t>64,870</t>
  </si>
  <si>
    <t>EP200GLY250/2-2+0HY</t>
  </si>
  <si>
    <t>EP 250/2-2+0,BB200-GLY</t>
  </si>
  <si>
    <t>3,170</t>
  </si>
  <si>
    <t>3,350</t>
  </si>
  <si>
    <t>Bandweefseltype: EP ; Treksterkte: 250 N/mm ; Aantal inlagen: 2 ; Bovendek: 2 mm ; Onderdek: 0 mm ; Bandbreedte: 200 mm</t>
  </si>
  <si>
    <t>Gewebetype: EP ; Zugfestigkeit: 250 N/mm ; Anzahl Einlagen: 2 ; Oberdeck: 2 mm ; Unterdeck: 0 mm ; Gurtbreite: 200 mm</t>
  </si>
  <si>
    <t>Fabric type: EP ; Tensile strength: 250 N/mm ; Number of plies: 2 ; Topcover: 2 mm ; Bottomcover: 0 mm ; Beltwidth: 200 mm</t>
  </si>
  <si>
    <t>Carcasse: EP ; Tension de service: 250 N/mm ; Nombre de plis: 2 ; Revêtement supérieur: 2 mm ; Revêtement inférieur: 0 mm ; Largeur de bande: 200 mm</t>
  </si>
  <si>
    <t>EP200GLY400/3-2+0HY</t>
  </si>
  <si>
    <t>EP 400/3-2+0,BB200-GLY</t>
  </si>
  <si>
    <t>4,520</t>
  </si>
  <si>
    <t>Bandweefseltype: EP ; Treksterkte: 400 N/mm ; Aantal inlagen: 3 ; Bovendek: 2 mm ; Onderdek: 0 mm ; Bandbreedte: 200 mm</t>
  </si>
  <si>
    <t>Gewebetype: EP ; Zugfestigkeit: 400 N/mm ; Anzahl Einlagen: 3 ; Oberdeck: 2 mm ; Unterdeck: 0 mm ; Gurtbreite: 200 mm</t>
  </si>
  <si>
    <t>Fabric type: EP ; Tensile strength: 400 N/mm ; Number of plies: 3 ; Topcover: 2 mm ; Bottomcover: 0 mm ; Beltwidth: 200 mm</t>
  </si>
  <si>
    <t>Carcasse: EP ; Tension de service: 400 N/mm ; Nombre de plis: 3 ; Revêtement supérieur: 2 mm ; Revêtement inférieur: 0 mm ; Largeur de bande: 200 mm</t>
  </si>
  <si>
    <t>EP200GLY400/3-2+0JO</t>
  </si>
  <si>
    <t>3,380</t>
  </si>
  <si>
    <t>EP200GLY400/3-3+0JO</t>
  </si>
  <si>
    <t>EP 400/3-3+0,BB200 GLY</t>
  </si>
  <si>
    <t>3,900</t>
  </si>
  <si>
    <t>Bandweefseltype: EP ; Treksterkte: 400 N/mm ; Aantal inlagen: 3 ; Bovendek: 3 mm ; Onderdek: 0 mm ; Bandbreedte: 200 mm</t>
  </si>
  <si>
    <t>Gewebetype: EP ; Zugfestigkeit: 400 N/mm ; Anzahl Einlagen: 3 ; Oberdeck: 3 mm ; Unterdeck: 0 mm ; Gurtbreite: 200 mm</t>
  </si>
  <si>
    <t>Fabric type: EP ; Tensile strength: 400 N/mm ; Number of plies: 3 ; Topcover: 3 mm ; Bottomcover: 0 mm ; Beltwidth: 200 mm</t>
  </si>
  <si>
    <t>Carcasse: EP ; Tension de service: 400 N/mm ; Nombre de plis: 3 ; Revêtement supérieur: 3 mm ; Revêtement inférieur: 0 mm ; Largeur de bande: 200 mm</t>
  </si>
  <si>
    <t>EP200OVG250/2-2+0HY</t>
  </si>
  <si>
    <t>EP 250/2-2+0,BB200-GLY-O+V</t>
  </si>
  <si>
    <t>25,460</t>
  </si>
  <si>
    <t>3,870</t>
  </si>
  <si>
    <t>Bandweefseltype: EP ; Treksterkte: 250 N/mm ; Aantal inlagen: 2 ; Bovendek: 2 mm ; Onderdek: 0 mm ; Bandbreedte: 200 mm ; Olie- en vetbestendige Kwaliteit</t>
  </si>
  <si>
    <t>Gewebetype: EP ; Zugfestigkeit: 250 N/mm ; Anzahl Einlagen: 2 ; Oberdeck: 2 mm ; Unterdeck: 0 mm ; Gurtbreite: 200 mm ; Öl und Fettbeständige Qualität</t>
  </si>
  <si>
    <t>Fabric type: EP ; Tensile strength: 250 N/mm ; Number of plies: 2 ; Topcover: 2 mm ; Bottomcover: 0 mm ; Beltwidth: 200 mm ; Oil and Grease Resistant Quality</t>
  </si>
  <si>
    <t>EP200OVG250/2-2+0JO</t>
  </si>
  <si>
    <t>2,850</t>
  </si>
  <si>
    <t>EP200OVG500/4-0+0-SAWMILLHY</t>
  </si>
  <si>
    <t>EP 500/4-0+0,BB200-O+V-Saw Mill</t>
  </si>
  <si>
    <t>7,505</t>
  </si>
  <si>
    <t>Bandweefseltype: EP ; Treksterkte: 500 N/mm ; Aantal inlagen: 4 ; Bovendek: 0 mm ; Onderdek: 0 mm ; Bandbreedte: 200 mm ; Olie- en vetbestendige Kwaliteit</t>
  </si>
  <si>
    <t>Gewebetype: EP ; Zugfestigkeit: 500 N/mm ; Anzahl Einlagen: 4 ; Oberdeck: 0 mm ; Unterdeck: 0 mm ; Gurtbreite: 200 mm ; Öl und Fettbeständige Qualität</t>
  </si>
  <si>
    <t>Fabric type: EP ; Tensile strength: 500 N/mm ; Number of plies: 4 ; Topcover: 0 mm ; Bottomcover: 0 mm ; Beltwidth: 200 mm ; Oil and Grease Resistant Quality</t>
  </si>
  <si>
    <t>EP200OVX250/2-3+1JO</t>
  </si>
  <si>
    <t>EP 250/2-3+1,BB200-O+V</t>
  </si>
  <si>
    <t>4,560</t>
  </si>
  <si>
    <t>Bandweefseltype: EP ; Treksterkte: 250 N/mm ; Aantal inlagen: 2 ; Bovendek: 3 mm ; Onderdek: 1 mm ; Bandbreedte: 200 mm ; Olie- en vetbestendige Kwaliteit</t>
  </si>
  <si>
    <t>Gewebetype: EP ; Zugfestigkeit: 250 N/mm ; Anzahl Einlagen: 2 ; Oberdeck: 3 mm ; Unterdeck: 1 mm ; Gurtbreite: 200 mm ; Öl und Fettbeständige Qualität</t>
  </si>
  <si>
    <t>Fabric type: EP ; Tensile strength: 250 N/mm ; Number of plies: 2 ; Topcover: 3 mm ; Bottomcover: 1 mm ; Beltwidth: 200 mm ; Oil and Grease Resistant Quality</t>
  </si>
  <si>
    <t>EP200OVX630/4-2+2-ELEVATORSA</t>
  </si>
  <si>
    <t>EP 630/4-2+2-BB200 ELEVATOR-OV</t>
  </si>
  <si>
    <t>6,110</t>
  </si>
  <si>
    <t>Bandweefseltype: EP ; Treksterkte: 630 N/mm ; Aantal inlagen: 4 ; Bovendek: 2 mm ; Onderdek: 2 mm ; Bandbreedte: 200 mm ; Olie- en vetbestendige Kwaliteit ; Elevator</t>
  </si>
  <si>
    <t>Gewebetype: EP ; Zugfestigkeit: 630 N/mm ; Anzahl Einlagen: 4 ; Oberdeck: 2 mm ; Unterdeck: 2 mm ; Gurtbreite: 200 mm ; Öl und Fettbeständige Qualität ; Elevator</t>
  </si>
  <si>
    <t>Fabric type: EP ; Tensile strength: 630 N/mm ; Number of plies: 4 ; Topcover: 2 mm ; Bottomcover: 2 mm ; Beltwidth: 200 mm ; Oil and Grease Resistant Quality ; Elevator</t>
  </si>
  <si>
    <t xml:space="preserve">Carcasse: EP ; Tension de service: 630 N/mm ; Nombre de plis: 4 ; Revêtement supérieur: 2 mm ; Revêtement inférieur: 2 mm ; Largeur de bande: 200 mm ; Qualité résistante à l’huile et graisse ; Sangle Elévatrice
</t>
  </si>
  <si>
    <t>EP200OVX800/4-2+2-ELEVATORSA</t>
  </si>
  <si>
    <t>EP 800/4-2+2-BB200 ELEVATOR-OV</t>
  </si>
  <si>
    <t>9,548</t>
  </si>
  <si>
    <t>Bandweefseltype: EP ; Treksterkte: 800 N/mm ; Aantal inlagen: 4 ; Bovendek: 2 mm ; Onderdek: 2 mm ; Bandbreedte: 200 mm ; Olie- en vetbestendige Kwaliteit ; Elevator</t>
  </si>
  <si>
    <t>Gewebetype: EP ; Zugfestigkeit: 800 N/mm ; Anzahl Einlagen: 4 ; Oberdeck: 2 mm ; Unterdeck: 2 mm ; Gurtbreite: 200 mm ; Öl und Fettbeständige Qualität ; Elevator</t>
  </si>
  <si>
    <t>Fabric type: EP ; Tensile strength: 800 N/mm ; Number of plies: 4 ; Topcover: 2 mm ; Bottomcover: 2 mm ; Beltwidth: 200 mm ; Oil and Grease Resistant Quality ; Elevator</t>
  </si>
  <si>
    <t xml:space="preserve">Carcasse: EP ; Tension de service: 800 N/mm ; Nombre de plis: 4 ; Revêtement supérieur: 2 mm ; Revêtement inférieur: 2 mm ; Largeur de bande: 200 mm ; Qualité résistante à l’huile et graisse ; Sangle Elévatrice
</t>
  </si>
  <si>
    <t>EP200SGG250/2-3+0HY</t>
  </si>
  <si>
    <t>EP 250/2-3+0,BB200, Supergrip/glijband</t>
  </si>
  <si>
    <t>3,400</t>
  </si>
  <si>
    <t>EP200SGG400/3-3+0HY</t>
  </si>
  <si>
    <t>EP 400/3-3+0,BB200, Supergrip/glijband</t>
  </si>
  <si>
    <t>4,500</t>
  </si>
  <si>
    <t>EP200SGR250/2-3+1HY</t>
  </si>
  <si>
    <t>EP 250/2-3+1,BB200, Supergrip zwart</t>
  </si>
  <si>
    <t>4,330</t>
  </si>
  <si>
    <t>EP200SGR400/3-3+1HY</t>
  </si>
  <si>
    <t>EP 400/3-3+1,BB200, Supergrip zwart</t>
  </si>
  <si>
    <t>5,270</t>
  </si>
  <si>
    <t>EP200XXX1000/5-3+3-ELEVATORSA</t>
  </si>
  <si>
    <t>EP 1000/5-3+3-BB200 ELEVATOR</t>
  </si>
  <si>
    <t>7,760</t>
  </si>
  <si>
    <t>EP200XXX250/2-3+1HY</t>
  </si>
  <si>
    <t>EP 250/2-3+1,BB200</t>
  </si>
  <si>
    <t>3,440</t>
  </si>
  <si>
    <t>Bandweefseltype: EP ; Treksterkte: 250 N/mm ; Aantal inlagen: 2 ; Bovendek: 3 mm ; Onderdek: 1 mm ; Bandbreedte: 200 mm</t>
  </si>
  <si>
    <t>Gewebetype: EP ; Zugfestigkeit: 250 N/mm ; Anzahl Einlagen: 2 ; Oberdeck: 3 mm ; Unterdeck: 1 mm ; Gurtbreite: 200 mm</t>
  </si>
  <si>
    <t>Fabric type: EP ; Tensile strength: 250 N/mm ; Number of plies: 2 ; Topcover: 3 mm ; Bottomcover: 1 mm ; Beltwidth: 200 mm</t>
  </si>
  <si>
    <t>Carcasse: EP ; Résistance à la traction: 250 N/mm ; Nombre de plis: 2 ; Revêtement supérieur: 3 mm ; Revêtement inférieur: 1 mm ; Largeur de bande: 200 mm</t>
  </si>
  <si>
    <t>EP200XXX630/4-2+2-ELEVATORSA</t>
  </si>
  <si>
    <t>EP 630/4-2+2-BB200 ELEVATOR</t>
  </si>
  <si>
    <t>5,720</t>
  </si>
  <si>
    <t>Bandweefseltype: EP ; Treksterkte: 630 N/mm ; Aantal inlagen: 4 ; Bovendek: 2 mm ; Onderdek: 2 mm ; Bandbreedte: 200 mm ; Elevator</t>
  </si>
  <si>
    <t>Gewebetype: EP ; Zugfestigkeit: 630 N/mm ; Anzahl Einlagen: 4 ; Oberdeck: 2 mm ; Unterdeck: 2 mm ; Gurtbreite: 200 mm ; Elevator</t>
  </si>
  <si>
    <t>Fabric type: EP ; Tensile strength: 630 N/mm ; Number of plies: 4 ; Topcover: 2 mm ; Bottomcover: 2 mm ; Beltwidth: 200 mm ; Elevator</t>
  </si>
  <si>
    <t xml:space="preserve">Carcasse: EP ; Tension de service: 630 N/mm ; Nombre de plis: 4 ; Revêtement supérieur: 2 mm ; Revêtement inférieur: 2 mm ; Largeur de bande: 200 mm ;  Sangle Elévatrice
</t>
  </si>
  <si>
    <t>EP200XXX800/4-2+2-ELEVATORSA</t>
  </si>
  <si>
    <t>EP 800/4-2+2-BB200 ELEVATOR</t>
  </si>
  <si>
    <t>6,020</t>
  </si>
  <si>
    <t>Bandweefseltype: EP ; Treksterkte: 800 N/mm ; Aantal inlagen: 4 ; Bovendek: 2 mm ; Onderdek: 2 mm ; Bandbreedte: 200 mm ; Elevator</t>
  </si>
  <si>
    <t>Gewebetype: EP ; Zugfestigkeit: 800 N/mm ; Anzahl Einlagen: 4 ; Oberdeck: 2 mm ; Unterdeck: 2 mm ; Gurtbreite: 200 mm ; Elevator</t>
  </si>
  <si>
    <t>Fabric type: EP ; Tensile strength: 800 N/mm ; Number of plies: 4 ; Topcover: 2 mm ; Bottomcover: 2 mm ; Beltwidth: 200 mm ; Elevator</t>
  </si>
  <si>
    <t xml:space="preserve">Carcasse: EP ; Tension de service: 800 N/mm ; Nombre de plis: 4 ; Revêtement supérieur: 2 mm ; Revêtement inférieur: 2 mm ; Largeur de bande: 200 mm ;  Sangle Elévatrice
</t>
  </si>
  <si>
    <t>EP2100GLY400/3-3+0LB</t>
  </si>
  <si>
    <t>EP 400/3-3+0,BB2200-GLY</t>
  </si>
  <si>
    <t>75,880</t>
  </si>
  <si>
    <t>EP2100OVG400/3-2+0HY</t>
  </si>
  <si>
    <t>EP 400/3-2+0,BB2100-GLY-O+V</t>
  </si>
  <si>
    <t>75,720</t>
  </si>
  <si>
    <t>Bandweefseltype: EP ; Treksterkte: 400 N/mm ; Aantal inlagen: 3 ; Bovendek: 2 mm ; Onderdek: 0 mm ; Bandbreedte: 2100 mm ; Olie- en vetbestendige Kwaliteit</t>
  </si>
  <si>
    <t>Gewebetype: EP ; Zugfestigkeit: 400 N/mm ; Anzahl Einlagen: 3 ; Oberdeck: 2 mm ; Unterdeck: 0 mm ; Gurtbreite: 2100 mm ; Öl und Fettbeständige Qualität</t>
  </si>
  <si>
    <t>Fabric type: EP ; Tensile strength: 400 N/mm ; Number of plies: 3 ; Topcover: 2 mm ; Bottomcover: 0 mm ; Beltwidth: 2100 mm ; Oil and Grease Resistant Quality</t>
  </si>
  <si>
    <t>EP2100OVG400/3-2+0SH</t>
  </si>
  <si>
    <t>EP 400/3-2+0,BB2100-O+V</t>
  </si>
  <si>
    <t>EP2100OVX400/3-4+2MORHY</t>
  </si>
  <si>
    <t>EP 400/3-4+2,BB2100-O+V-MOR</t>
  </si>
  <si>
    <t>88,980</t>
  </si>
  <si>
    <t>EP2100OVX400/3-4+2SA</t>
  </si>
  <si>
    <t>EP 400/3-4+2,BB2100-O+V cut edges</t>
  </si>
  <si>
    <t>65,460</t>
  </si>
  <si>
    <t>EP2100XXX250/2-3+1SH</t>
  </si>
  <si>
    <t>EP 250/2-3+1,BB2100</t>
  </si>
  <si>
    <t>37,170</t>
  </si>
  <si>
    <t>Bandweefseltype: EP ; Treksterkte: 250 N/mm ; Aantal inlagen: 2 ; Bovendek: 3 mm ; Onderdek: 1 mm ; Bandbreedte: 2100 mm</t>
  </si>
  <si>
    <t>Gewebetype: EP ; Zugfestigkeit: 250 N/mm ; Anzahl Einlagen: 2 ; Oberdeck: 3 mm ; Unterdeck: 1 mm ; Gurtbreite: 2100 mm</t>
  </si>
  <si>
    <t>Fabric type: EP ; Tensile strength: 250 N/mm ; Number of plies: 2 ; Topcover: 3 mm ; Bottomcover: 1 mm ; Beltwidth: 2100 mm</t>
  </si>
  <si>
    <t>Carcasse: EP ; Résistance à la traction: 250 N/mm ; Nombre de plis: 2 ; Revêtement supérieur: 3 mm ; Revêtement inférieur: 1 mm ; Largeur de bande: 2100 mm</t>
  </si>
  <si>
    <t>EP2100XXX400/3-4+2SH</t>
  </si>
  <si>
    <t>EP 400/3-4+2,BB2100</t>
  </si>
  <si>
    <t>42,940</t>
  </si>
  <si>
    <t>Bandweefseltype: EP ; Treksterkte: 400N/mm ; Aantal inlagen: 3 ; Bovendek: 4 mm ; Onderdek: 2 mm ; Bandbreedte: 2100 mm</t>
  </si>
  <si>
    <t>Gewebetype: EP ; Zugfestigkeit: 400 N/mm ; Anzahl Einlagen: 3 ; Oberdeck: 4 mm ; Unterdeck: 2 mm ; Gurtbreite: 2100 mm</t>
  </si>
  <si>
    <t>Fabric type: EP ; Tensile strength: 400 N/mm ; Number of plies: 3 ; Topcover: 4 mm ; Bottomcover: 2 mm ; Beltwidth: 2100 mm</t>
  </si>
  <si>
    <t>Carcasse: EP ; Résistance à la traction: 400 N/mm ; Nombre de plis: 3 ; Revêtement supérieur: 4 mm ; Revêtement inférieur: 2 mm ; Largeur de bande: 2100 mm</t>
  </si>
  <si>
    <t>EP2200GLY400/3-3+0HY</t>
  </si>
  <si>
    <t>60,120</t>
  </si>
  <si>
    <t>Bandweefseltype: EP ; Treksterkte: 400 N/mm ; Aantal inlagen: 3 ; Bovendek: 3 mm ; Onderdek: 0 mm ; Bandbreedte: 2200 mm</t>
  </si>
  <si>
    <t>Gewebetype: EP ; Zugfestigkeit: 400 N/mm ; Anzahl Einlagen: 3 ; Oberdeck: 3 mm ; Unterdeck: 0 mm ; Gurtbreite: 2200 mm</t>
  </si>
  <si>
    <t>Fabric type: EP ; Tensile strength: 400 N/mm ; Number of plies: 3 ; Topcover: 3 mm ; Bottomcover: 0 mm ; Beltwidth: 2200 mm</t>
  </si>
  <si>
    <t>Carcasse: EP ; Tension de service: 400 N/mm ; Nombre de plis: 3 ; Revêtement supérieur: 3 mm ; Revêtement inférieur: 0 mm ; Largeur de bande: 2200 mm</t>
  </si>
  <si>
    <t>EP2200HB400/3-6+4-200°SA</t>
  </si>
  <si>
    <t>EP 400/3-6+4,BB2200, HB-200°</t>
  </si>
  <si>
    <t>115,220</t>
  </si>
  <si>
    <t>EP2200OVG500/4-3+0HY</t>
  </si>
  <si>
    <t>EP 500/4-3+0,BB2200-GLY-O+V</t>
  </si>
  <si>
    <t>96,690</t>
  </si>
  <si>
    <t>Bandweefseltype: EP ; Treksterkte: 500 N/mm ; Aantal inlagen: 4 ; Bovendek: 3 mm ; Onderdek: 0 mm ; Bandbreedte: 2200 mm ; Olie- en vetbestendige Kwaliteit</t>
  </si>
  <si>
    <t>Gewebetype: EP ; Zugfestigkeit: 500 N/mm ; Anzahl Einlagen: 4 ; Oberdeck: 3 mm ; Unterdeck: 0 mm ; Gurtbreite: 2200 mm ; Öl und Fettbeständige Qualität</t>
  </si>
  <si>
    <t>Fabric type: EP ; Tensile strength: 500 N/mm ; Number of plies: 4 ; Topcover: 3 mm ; Bottomcover: 0 mm ; Beltwidth: 2200 mm ; Oil and Grease Resistant Quality</t>
  </si>
  <si>
    <t>EP2200OVX400/3-4+2SH</t>
  </si>
  <si>
    <t>EP 400/3-4+2,BB2200-O+V</t>
  </si>
  <si>
    <t>62,850</t>
  </si>
  <si>
    <t>EP2200PRL400/3-4+2-MULTIVCT</t>
  </si>
  <si>
    <t>EP 400/3-4+2,BB2200-Multi V profiel 6 mm</t>
  </si>
  <si>
    <t>213,030</t>
  </si>
  <si>
    <t>EP2200XXX1250/6-8+3-DIN-YSA</t>
  </si>
  <si>
    <t>EP 1250/6-8+3,BB2200 DIN-Y</t>
  </si>
  <si>
    <t>99,963</t>
  </si>
  <si>
    <t>EP220PRL450/1+2-DM+1HY</t>
  </si>
  <si>
    <t>EP 450/1+2-DM+1-BB220- Diamond profiel</t>
  </si>
  <si>
    <t>15,130</t>
  </si>
  <si>
    <t>Bandweefseltype: EP ; Treksterkte: 450 N/mm ; Aantal inlagen: 2 buitenlagen nylon, 1 middenlaag polyester ; Bovendek: 3 mm ruitenprofiel ; Onderdek: 1 mm ; Bandbreedte: 220 mm</t>
  </si>
  <si>
    <t>Gewebetype: EP ; Zugfestigkeit: 450 N/mm ; Anzahl Einlagen: 2 Außenlagen Nylon, 1 Mittellage Polyester ; Oberdeck: 3 mm Rautenprofile ; Unterdeck: 1 mm ; Gurtbreite: 220 mm</t>
  </si>
  <si>
    <t>Fabric type: EP ; Tensile strength: 450 N/mm ; Number of plies: 2 Outer plies Nylon, 1 Center ply Polyester ; Topcover: 3 mm diamond profile ; Bottomcover: 1 mm ; Beltwidth: 220 mm</t>
  </si>
  <si>
    <t>Carcasse: EP ; Résistance à la traction: 450 N/mm ; Nombre de plis: 2 plis extérieurs Nylon, 1 pli central Polyester ; Revêtement supérieur: 3 mm profil de diamant ; Revêtement inférieur: 1 mm ; Largeur de bande: 220 mm</t>
  </si>
  <si>
    <t>EP220SGR400/3-3+1HY</t>
  </si>
  <si>
    <t>EP 400/3-3+1,BB220, Supergrip zwart</t>
  </si>
  <si>
    <t>6,580</t>
  </si>
  <si>
    <t>EP225OVG250/2-2+0HY</t>
  </si>
  <si>
    <t>EP 250/2-2+0,BB225-GLY-O+V</t>
  </si>
  <si>
    <t>4,350</t>
  </si>
  <si>
    <t>EP230XXX200/2-2+1HY</t>
  </si>
  <si>
    <t>EP 200/2-2+1,BB230</t>
  </si>
  <si>
    <t>3,550</t>
  </si>
  <si>
    <t>Bandweefseltype: EP ; Treksterkte: 200 N/mm ; Aantal inlagen: 2 ; Bovendek: 2 mm ; Onderdek: 1 mm ; Bandbreedte: 230 mm</t>
  </si>
  <si>
    <t>Gewebetype: EP ; Zugfestigkeit: 200 N/mm ; Anzahl Einlagen: 2 ; Oberdeck: 2 mm ; Unterdeck: 1 mm ; Gurtbreite: 230 mm</t>
  </si>
  <si>
    <t>Fabric type: EP ; Tensile strength: 200 N/mm ; Number of plies: 2 ; Topcover: 2 mm ; Bottomcover: 1 mm ; Beltwidth: 230 mm</t>
  </si>
  <si>
    <t>Carcasse: EP ; Résistance à la traction: 200 N/mm ; Nombre de plis: 2 ; Revêtement supérieur: 2 mm ; Revêtement inférieur: 1 mm ; Largeur de bande: 230 mm</t>
  </si>
  <si>
    <t>EP235OVG400/3-3+0HY</t>
  </si>
  <si>
    <t>EP 400/3-3+0,BB235-GLY-O+V</t>
  </si>
  <si>
    <t>6,680</t>
  </si>
  <si>
    <t>EP2400GLY400/3-6+0SH</t>
  </si>
  <si>
    <t>EP 400/3-6+0,BB2400-GLY</t>
  </si>
  <si>
    <t>53,180</t>
  </si>
  <si>
    <t>EP2400OVX400/3-4+2SA</t>
  </si>
  <si>
    <t>EP 400/3-4+2,BB2400-O+V</t>
  </si>
  <si>
    <t>72,880</t>
  </si>
  <si>
    <t>EP2400OVX500/4-5+2SA</t>
  </si>
  <si>
    <t>EP 500/4-5+2,BB2400-O+V</t>
  </si>
  <si>
    <t>107,960</t>
  </si>
  <si>
    <t>EP2400XXX1250/6-5+2SA</t>
  </si>
  <si>
    <t>EP 1250/6-5+2,BB2400</t>
  </si>
  <si>
    <t>90,600</t>
  </si>
  <si>
    <t>EP2400XXX400/3-4+2HY</t>
  </si>
  <si>
    <t>EP 400/3-4+2,BB2400</t>
  </si>
  <si>
    <t>160,810</t>
  </si>
  <si>
    <t>Bandweefseltype: EP ; Treksterkte: 400N/mm ; Aantal inlagen: 3 ; Bovendek: 4 mm ; Onderdek: 2 mm ; Bandbreedte: 2400 mm</t>
  </si>
  <si>
    <t>Gewebetype: EP ; Zugfestigkeit: 400 N/mm ; Anzahl Einlagen: 3 ; Oberdeck: 4 mm ; Unterdeck: 2 mm ; Gurtbreite: 2400 mm</t>
  </si>
  <si>
    <t>Fabric type: EP ; Tensile strength: 400 N/mm ; Number of plies: 3 ; Topcover: 4 mm ; Bottomcover: 2 mm ; Beltwidth: 2400 mm</t>
  </si>
  <si>
    <t>Carcasse: EP ; Résistance à la traction: 400 N/mm ; Nombre de plis: 3 ; Revêtement supérieur: 4 mm ; Revêtement inférieur: 2 mm ; Largeur de bande: 2400 mm</t>
  </si>
  <si>
    <t>EP2400XXX400/3-4+2SH</t>
  </si>
  <si>
    <t>59,620</t>
  </si>
  <si>
    <t>EP2400XXX800/4-8+2-DIN-WSA</t>
  </si>
  <si>
    <t>EP 800/4-8+2,BB2400-DIN-W</t>
  </si>
  <si>
    <t>84,980</t>
  </si>
  <si>
    <t>EP240GLY250/2-2+0HY</t>
  </si>
  <si>
    <t>EP 250/2-2+0,BB240-GLY</t>
  </si>
  <si>
    <t>4,280</t>
  </si>
  <si>
    <t>EP240OVX630/4-2+2-ELEVATORSA</t>
  </si>
  <si>
    <t>EP 630/4-2+2-BB240 ELEVATOR-OV</t>
  </si>
  <si>
    <t>7,340</t>
  </si>
  <si>
    <t>EP240OVX800/4-2+2-ELEVATORSA</t>
  </si>
  <si>
    <t>EP 800/4-2+2-BB240 ELEVATOR-OV</t>
  </si>
  <si>
    <t>7,690</t>
  </si>
  <si>
    <t>EP240XXX630/4-2+2-ELEVATORSA</t>
  </si>
  <si>
    <t>EP 630/4-2+2-BB240 ELEVATOR</t>
  </si>
  <si>
    <t>7,150</t>
  </si>
  <si>
    <t>EP240XXX800/4-2+2-ELEVATORSA</t>
  </si>
  <si>
    <t>EP 800/4-2+2-BB240 ELEVATOR</t>
  </si>
  <si>
    <t>6,630</t>
  </si>
  <si>
    <t>EP2500OVG400/3-3+0SH</t>
  </si>
  <si>
    <t>EP 400/3-3+0,BB2500-GLY-O+V</t>
  </si>
  <si>
    <t>47,390</t>
  </si>
  <si>
    <t>Bandweefseltype: EP ; Treksterkte: 400 N/mm ; Aantal inlagen: 3 ; Bovendek: 3 mm ; Onderdek: 0 mm ; Bandbreedte: 2500 mm ; Olie- en vetbestendige Kwaliteit</t>
  </si>
  <si>
    <t>Gewebetype: EP ; Zugfestigkeit: 400 N/mm ; Anzahl Einlagen: 3 ; Oberdeck: 3 mm ; Unterdeck: 0 mm ; Gurtbreite: 2500 mm ; Öl und Fettbeständige Qualität</t>
  </si>
  <si>
    <t>Fabric type: EP ; Tensile strength: 400 N/mm ; Number of plies: 3 ; Topcover: 3 mm ; Bottomcover: 0 mm ; Beltwidth: 2500 mm ; Oil and Grease Resistant Quality</t>
  </si>
  <si>
    <t>EP2500XXX400/3-4+2SH</t>
  </si>
  <si>
    <t>EP 400/3-4+2,BB2500</t>
  </si>
  <si>
    <t>50,040</t>
  </si>
  <si>
    <t>Bandweefseltype: EP ; Treksterkte: 400N/mm ; Aantal inlagen: 3 ; Bovendek: 4 mm ; Onderdek: 2 mm ; Bandbreedte: 2500 mm</t>
  </si>
  <si>
    <t>Gewebetype: EP ; Zugfestigkeit: 400 N/mm ; Anzahl Einlagen: 3 ; Oberdeck: 4 mm ; Unterdeck: 2 mm ; Gurtbreite: 2500 mm</t>
  </si>
  <si>
    <t>Fabric type: EP ; Tensile strength: 400 N/mm ; Number of plies: 3 ; Topcover: 4 mm ; Bottomcover: 2 mm ; Beltwidth: 2500 mm</t>
  </si>
  <si>
    <t>Carcasse: EP ; Résistance à la traction: 400 N/mm ; Nombre de plis: 3 ; Revêtement supérieur: 4 mm ; Revêtement inférieur: 2 mm ; Largeur de bande: 2500 mm</t>
  </si>
  <si>
    <t>EP2500XXX400/4-5+3-DIN-WHY</t>
  </si>
  <si>
    <t>EP 400/4-5+3,BB2500-DIN-W</t>
  </si>
  <si>
    <t>197,474</t>
  </si>
  <si>
    <t>EP250HB400/3-5+2-150°SA</t>
  </si>
  <si>
    <t>EP 400/3-5+2,BB250,HB</t>
  </si>
  <si>
    <t>7,820</t>
  </si>
  <si>
    <t>EP250OVG250/2-2+0JO</t>
  </si>
  <si>
    <t>EP 250/2-2+0,BB250-GLY-O+V</t>
  </si>
  <si>
    <t>7,180</t>
  </si>
  <si>
    <t>Bandweefseltype: EP ; Treksterkte: 250 N/mm ; Aantal inlagen: 2 ; Bovendek: 2 mm ; Onderdek: 0 mm ; Bandbreedte: 250 mm ; Olie- en vetbestendige Kwaliteit</t>
  </si>
  <si>
    <t>Gewebetype: EP ; Zugfestigkeit: 250 N/mm ; Anzahl Einlagen: 2 ; Oberdeck: 2 mm ; Unterdeck: 0 mm ; Gurtbreite: 250 mm ; Öl und Fettbeständige Qualität</t>
  </si>
  <si>
    <t>EP250OVG500/4-0+0-SAWMILLHY</t>
  </si>
  <si>
    <t>EP 500/4-0+0,BB250-O+V-Saw Mill</t>
  </si>
  <si>
    <t>Bandweefseltype: EP ; Treksterkte: 500 N/mm ; Aantal inlagen: 4 ; Bovendek: 0 mm ; Onderdek: 0 mm ; Bandbreedte: 250 mm ; Olie- en vetbestendige Kwaliteit</t>
  </si>
  <si>
    <t>Gewebetype: EP ; Zugfestigkeit: 500 N/mm ; Anzahl Einlagen: 4 ; Oberdeck: 0 mm ; Unterdeck: 0 mm ; Gurtbreite: 250 mm ; Öl und Fettbeständige Qualität</t>
  </si>
  <si>
    <t>Fabric type: EP ; Tensile strength: 500 N/mm ; Number of plies: 4 ; Topcover: 0 mm ; Bottomcover: 0 mm ; Beltwidth: 250 mm ; Oil and Grease Resistant Quality</t>
  </si>
  <si>
    <t>EP250OVX250/2-3+1JO</t>
  </si>
  <si>
    <t>EP 250/2-3+1,BB250-O+V</t>
  </si>
  <si>
    <t>Bandweefseltype: EP ; Treksterkte: 250 N/mm ; Aantal inlagen: 2 ; Bovendek: 3 mm ; Onderdek: 1 mm ; Bandbreedte: 250 mm ; Olie- en vetbestendige Kwaliteit</t>
  </si>
  <si>
    <t>Gewebetype: EP ; Zugfestigkeit: 250 N/mm ; Anzahl Einlagen: 2 ; Oberdeck: 3 mm ; Unterdeck: 1 mm ; Gurtbreite: 250 mm ; Öl und Fettbeständige Qualität</t>
  </si>
  <si>
    <t>Fabric type: EP ; Tensile strength: 250 N/mm ; Number of plies: 2 ; Topcover: 3 mm ; Bottomcover: 1 mm ; Beltwidth: 250 mm ; Oil and Grease Resistant Quality</t>
  </si>
  <si>
    <t>EP250OVX630/4-2+2-ELEVATORSA</t>
  </si>
  <si>
    <t>EP 630/4-2+2-BB250 ELEVATOR-OV</t>
  </si>
  <si>
    <t>7,640</t>
  </si>
  <si>
    <t>EP250OVX800/4-2+2-ELEVATORSA</t>
  </si>
  <si>
    <t>EP 800/4-2+2-BB250 ELEVATOR-OV</t>
  </si>
  <si>
    <t>5,677</t>
  </si>
  <si>
    <t>EP250SGG250/2-3+0HY</t>
  </si>
  <si>
    <t>EP 250/2-3+0,BB250, Supergrip/glijband</t>
  </si>
  <si>
    <t>4,250</t>
  </si>
  <si>
    <t>EP250SGG400/3-3+0HY</t>
  </si>
  <si>
    <t>EP 400/3-3+0,BB250, Supergrip/glijband</t>
  </si>
  <si>
    <t>EP250XXX250/2-3+1HY</t>
  </si>
  <si>
    <t>EP 250/2-3+1,BB250</t>
  </si>
  <si>
    <t>4,300</t>
  </si>
  <si>
    <t>Bandweefseltype: EP ; Treksterkte: 250 N/mm ; Aantal inlagen: 2 ; Bovendek: 3 mm ; Onderdek: 1 mm ; Bandbreedte: 250 mm</t>
  </si>
  <si>
    <t>Gewebetype: EP ; Zugfestigkeit: 250 N/mm ; Anzahl Einlagen: 2 ; Oberdeck: 3 mm ; Unterdeck: 1 mm ; Gurtbreite: 250 mm</t>
  </si>
  <si>
    <t>Fabric type: EP ; Tensile strength: 250 N/mm ; Number of plies: 2 ; Topcover: 3 mm ; Bottomcover: 1 mm ; Beltwidth: 250 mm</t>
  </si>
  <si>
    <t>Carcasse: EP ; Résistance à la traction: 250 N/mm ; Nombre de plis: 2 ; Revêtement supérieur: 3 mm ; Revêtement inférieur: 1 mm ; Largeur de bande: 250 mm</t>
  </si>
  <si>
    <t>EP250XXX315/2-4+2SH</t>
  </si>
  <si>
    <t>EP 315/2-4+2,BB250</t>
  </si>
  <si>
    <t>5,840</t>
  </si>
  <si>
    <t>Bandweefseltype: EP ; Treksterkte: 315 N/mm ; Aantal inlagen: 2 ; Bovendek: 4 mm ; Onderdek: 2 mm ; Bandbreedte: 250 mm</t>
  </si>
  <si>
    <t>Gewebetype: EP ; Zugfestigkeit: 315 N/mm ; Anzahl Einlagen: 2 ; Oberdeck: 4 mm ; Unterdeck: 2 mm ; Gurtbreite: 250 mm</t>
  </si>
  <si>
    <t>Fabric type: EP ; Tensile strength: 315 N/mm ; Number of plies: 2 ; Topcover: 4 mm ; Bottomcover: 2 mm ; Beltwidth: 250 mm</t>
  </si>
  <si>
    <t>Carcasse: EP ; Résistance à la traction: 315 N/mm ; Nombre de plis: 2 ; Revêtement supérieur: 4 mm ; Revêtement inférieur: 2 mm ; Largeur de bande: 250 mm</t>
  </si>
  <si>
    <t>EP250XXX630/4-2+2-ELEVATORSA</t>
  </si>
  <si>
    <t>EP 630/4-2+2-BB250 ELEVATOR</t>
  </si>
  <si>
    <t>EP250XXX800/4-2+2-ELEVATORSA</t>
  </si>
  <si>
    <t>EP 800/4-2+2-BB250 ELEVATOR</t>
  </si>
  <si>
    <t>7,520</t>
  </si>
  <si>
    <t>EP2600OVX400/3-4+2MORHY</t>
  </si>
  <si>
    <t>EP 400/3-4+2,BB2600-O+V-MOR</t>
  </si>
  <si>
    <t>166,730</t>
  </si>
  <si>
    <t>EP2600XXX400/3-4+2-DIN-SCO</t>
  </si>
  <si>
    <t>EP 400/3-4+2,BB2600-DIN-S</t>
  </si>
  <si>
    <t>236,590</t>
  </si>
  <si>
    <t>EP2600XXX400/3-4+2HY</t>
  </si>
  <si>
    <t>EP 400/3-4+2,BB2600</t>
  </si>
  <si>
    <t>161,520</t>
  </si>
  <si>
    <t>EP2600XXX400/3-4+2SA</t>
  </si>
  <si>
    <t>EP260SGR250/2-3+1HY</t>
  </si>
  <si>
    <t>EP 250/2-3+1,BB260, Supergrip zwart</t>
  </si>
  <si>
    <t>33,000</t>
  </si>
  <si>
    <t>5,626</t>
  </si>
  <si>
    <t>EP260XXX800/4-2+2-ELEVATORSA</t>
  </si>
  <si>
    <t>EP 800/4-2+2-BB260 ELEVATOR</t>
  </si>
  <si>
    <t>EP270OVX800/4-2+2-ELEVATORSA</t>
  </si>
  <si>
    <t>EP 800/4-2+2-BB270 ELEVATOR-OV</t>
  </si>
  <si>
    <t>8,650</t>
  </si>
  <si>
    <t>EP270XXX630/4-2+2-ELEVATORSA</t>
  </si>
  <si>
    <t>EP 630/4-2+2-BB270 ELEVATOR</t>
  </si>
  <si>
    <t>8,010</t>
  </si>
  <si>
    <t>EP280OVX630/4-2+2-ELEVATORSA</t>
  </si>
  <si>
    <t>EP 630/4-2+2-BB280 ELEVATOR-OV</t>
  </si>
  <si>
    <t>8,560</t>
  </si>
  <si>
    <t>EP280XXX630/4-2+2-ELEVATORSA</t>
  </si>
  <si>
    <t>EP 630/4-2+2-BB280 ELEVATOR</t>
  </si>
  <si>
    <t>EP285OVX800/4-2+2-ELEVATORSA</t>
  </si>
  <si>
    <t>EP 800/4-2+2-BB285 ELEVATOR-OV</t>
  </si>
  <si>
    <t>7,750</t>
  </si>
  <si>
    <t>EP2900OVG400/3-2+0HY</t>
  </si>
  <si>
    <t>EP 400/3-2+0,BB2900-GLY-O+V</t>
  </si>
  <si>
    <t>192,760</t>
  </si>
  <si>
    <t>Bandweefseltype: EP ; Treksterkte: 400 N/mm ; Aantal inlagen: 3 ; Bovendek: 2 mm ; Onderdek: 0 mm ; Bandbreedte: 2900 mm ; Olie- en vetbestendige Kwaliteit</t>
  </si>
  <si>
    <t>Gewebetype: EP ; Zugfestigkeit: 400 N/mm ; Anzahl Einlagen: 3 ; Oberdeck: 2 mm ; Unterdeck: 0 mm ; Gurtbreite: 2900 mm ; Öl und Fettbeständige Qualität</t>
  </si>
  <si>
    <t>Fabric type: EP ; Tensile strength: 400 N/mm ; Number of plies: 3 ; Topcover: 2 mm ; Bottomcover: 0 mm ; Beltwidth: 2900 mm ; Oil and Grease Resistant Quality</t>
  </si>
  <si>
    <t>EP2900OVG400/3-2+0SH</t>
  </si>
  <si>
    <t>EP 400/3-2+0,BB2900-O+V</t>
  </si>
  <si>
    <t>70,600</t>
  </si>
  <si>
    <t>EP290XXX630/4-2+2-ELEVATORSA</t>
  </si>
  <si>
    <t>EP 630/4-2+2-BB290 ELEVATOR</t>
  </si>
  <si>
    <t>8,300</t>
  </si>
  <si>
    <t>EP3000OVG400/3-3+0HY</t>
  </si>
  <si>
    <t>EP 400/3-3+0,BB3000-GLY-O+V</t>
  </si>
  <si>
    <t>459,286</t>
  </si>
  <si>
    <t>213,530</t>
  </si>
  <si>
    <t>Bandweefseltype: EP ; Treksterkte: 400 N/mm ; Aantal inlagen: 3 ; Bovendek: 3 mm ; Onderdek: 0 mm ; Bandbreedte: 3000 mm ; Olie- en vetbestendige Kwaliteit</t>
  </si>
  <si>
    <t>Gewebetype: EP ; Zugfestigkeit: 400 N/mm ; Anzahl Einlagen: 3 ; Oberdeck: 3 mm ; Unterdeck: 0 mm ; Gurtbreite: 3000 mm ; Öl und Fettbeständige Qualität</t>
  </si>
  <si>
    <t>Fabric type: EP ; Tensile strength: 400 N/mm ; Number of plies: 3 ; Topcover: 3 mm ; Bottomcover: 0 mm ; Beltwidth: 3000 mm ; Oil and Grease Resistant Quality</t>
  </si>
  <si>
    <t>EP3000OVG400/3-3+0MORHY</t>
  </si>
  <si>
    <t>EP 400/3-3+0,BB3000-O+V-MOR</t>
  </si>
  <si>
    <t>178,870</t>
  </si>
  <si>
    <t>EP3000OVX400/3-4+2MORHY</t>
  </si>
  <si>
    <t>EP 400/3-4+2,BB3000-O+V-MOR</t>
  </si>
  <si>
    <t>202,480</t>
  </si>
  <si>
    <t>EP300GLY250/2-2+0HY</t>
  </si>
  <si>
    <t>EP 250/2-2+0,BB300-GLY</t>
  </si>
  <si>
    <t>7,980</t>
  </si>
  <si>
    <t>5,340</t>
  </si>
  <si>
    <t>Bandweefseltype: EP ; Treksterkte: 250 N/mm ; Aantal inlagen: 2 ; Bovendek: 2 mm ; Onderdek: 0 mm ; Bandbreedte: 300 mm</t>
  </si>
  <si>
    <t>Gewebetype: EP ; Zugfestigkeit: 250 N/mm ; Anzahl Einlagen: 2 ; Oberdeck: 2 mm ; Unterdeck: 0 mm ; Gurtbreite: 300 mm</t>
  </si>
  <si>
    <t>Fabric type: EP ; Tensile strength: 250 N/mm ; Number of plies: 2 ; Topcover: 2 mm ; Bottomcover: 0 mm ; Beltwidth: 300 mm</t>
  </si>
  <si>
    <t>Carcasse: EP ; Tension de service: 250 N/mm ; Nombre de plis: 2 ; Revêtement supérieur: 2 mm ; Revêtement inférieur: 0 mm ; Largeur de bande: 300 mm</t>
  </si>
  <si>
    <t>EP300GLY250/2-2+0JO</t>
  </si>
  <si>
    <t>EP300GLY400/3-2+0JO</t>
  </si>
  <si>
    <t>EP 400/3-2+0,BB300-GLY</t>
  </si>
  <si>
    <t>4,270</t>
  </si>
  <si>
    <t>Bandweefseltype: EP ; Treksterkte: 400 N/mm ; Aantal inlagen: 3 ; Bovendek: 2 mm ; Onderdek: 0 mm ; Bandbreedte: 300 mm</t>
  </si>
  <si>
    <t>Gewebetype: EP ; Zugfestigkeit: 400 N/mm ; Anzahl Einlagen: 3 ; Oberdeck: 2 mm ; Unterdeck: 0 mm ; Gurtbreite: 300 mm</t>
  </si>
  <si>
    <t>Fabric type: EP ; Tensile strength: 400 N/mm ; Number of plies: 3 ; Topcover: 2 mm ; Bottomcover: 0 mm ; Beltwidth: 300 mm</t>
  </si>
  <si>
    <t>Carcasse: EP ; Tension de service: 400 N/mm ; Nombre de plis: 3 ; Revêtement supérieur: 2 mm ; Revêtement inférieur: 0 mm ; Largeur de bande: 300 mm</t>
  </si>
  <si>
    <t>EP300GLY400/3-3+0HY</t>
  </si>
  <si>
    <t>EP 400/3-3+0,BB300 GLY</t>
  </si>
  <si>
    <t>7,410</t>
  </si>
  <si>
    <t>Bandweefseltype: EP ; Treksterkte: 400 N/mm ; Aantal inlagen: 3 ; Bovendek: 3 mm ; Onderdek: 0 mm ; Bandbreedte: 300 mm</t>
  </si>
  <si>
    <t>Gewebetype: EP ; Zugfestigkeit: 400 N/mm ; Anzahl Einlagen: 3 ; Oberdeck: 3 mm ; Unterdeck: 0 mm ; Gurtbreite: 300 mm</t>
  </si>
  <si>
    <t>Fabric type: EP ; Tensile strength: 400 N/mm ; Number of plies: 3 ; Topcover: 3 mm ; Bottomcover: 0 mm ; Beltwidth: 300 mm</t>
  </si>
  <si>
    <t>Carcasse: EP ; Tension de service: 400 N/mm ; Nombre de plis: 3 ; Revêtement supérieur: 3 mm ; Revêtement inférieur: 0 mm ; Largeur de bande: 300 mm</t>
  </si>
  <si>
    <t>EP300GLY400/3-3+0JO</t>
  </si>
  <si>
    <t>EP300OVG250/2-2+0HY</t>
  </si>
  <si>
    <t>EP 250/2-2+0-BB300-O+V</t>
  </si>
  <si>
    <t>5,800</t>
  </si>
  <si>
    <t>Bandweefseltype: EP ; Treksterkte: 250 N/mm ; Aantal inlagen: 2 ; Bovendek: 2 mm ; Onderdek: 0 mm ; Bandbreedte: 300 mm ; Olie- en vetbestendige Kwaliteit</t>
  </si>
  <si>
    <t>Gewebetype: EP ; Zugfestigkeit: 250 N/mm ; Anzahl Einlagen: 2 ; Oberdeck: 2 mm ; Unterdeck: 0 mm ; Gurtbreite: 300 mm ; Öl und Fettbeständige Qualität</t>
  </si>
  <si>
    <t>Fabric type: EP ; Tensile strength: 250 N/mm ; Number of plies: 2 ; Topcover: 2 mm ; Bottomcover: 0 mm ; Beltwidth: 00 mm ; Oil and Grease Resistant Quality</t>
  </si>
  <si>
    <t>EP300OVG250/2-2+0JO</t>
  </si>
  <si>
    <t>EP 250/2-2+0,BB300-GLY-O+V</t>
  </si>
  <si>
    <t>5,290</t>
  </si>
  <si>
    <t>Fabric type: EP ; Tensile strength: 250 N/mm ; Number of plies: 2 ; Topcover: 2 mm ; Bottomcover: 0 mm ; Beltwidth: 300 mm ; Oil and Grease Resistant Quality</t>
  </si>
  <si>
    <t>EP300OVG400/3-2+0JO</t>
  </si>
  <si>
    <t>EP 400/3-2+0-BB300-GLY-O+V</t>
  </si>
  <si>
    <t>6,160</t>
  </si>
  <si>
    <t>Bandweefseltype: EP ; Treksterkte: 400 N/mm ; Aantal inlagen: 3 ; Bovendek: 2 mm ; Onderdek: 0 mm ; Bandbreedte: 300 mm ; Olie- en vetbestendige Kwaliteit</t>
  </si>
  <si>
    <t>Gewebetype: EP ; Zugfestigkeit: 400 N/mm ; Anzahl Einlagen: 3 ; Oberdeck: 2 mm ; Unterdeck: 0 mm ; Gurtbreite: 300 mm ; Öl und Fettbeständige Qualität</t>
  </si>
  <si>
    <t>Fabric type: EP ; Tensile strength: 400 N/mm ; Number of plies: 3 ; Topcover: 2 mm ; Bottomcover: 0 mm ; Beltwidth: 300 mm ; Oil and Grease Resistant Quality</t>
  </si>
  <si>
    <t>EP300OVG400/3-2+0TT</t>
  </si>
  <si>
    <t>6,476</t>
  </si>
  <si>
    <t>EP300OVG500/4-0+0-SAWMILLHY</t>
  </si>
  <si>
    <t>EP 500/4-0+0,BB300-O+V-Saw Mill</t>
  </si>
  <si>
    <t>5,820</t>
  </si>
  <si>
    <t>Bandweefseltype: EP ; Treksterkte: 500 N/mm ; Aantal inlagen: 4 ; Bovendek: 0 mm ; Onderdek: 0 mm ; Bandbreedte: 300 mm ; Olie- en vetbestendige Kwaliteit</t>
  </si>
  <si>
    <t>Gewebetype: EP ; Zugfestigkeit: 500 N/mm ; Anzahl Einlagen: 4 ; Oberdeck: 0 mm ; Unterdeck: 0 mm ; Gurtbreite: 300 mm ; Öl und Fettbeständige Qualität</t>
  </si>
  <si>
    <t>Fabric type: EP ; Tensile strength: 500 N/mm ; Number of plies: 4 ; Topcover: 0 mm ; Bottomcover: 0 mm ; Beltwidth: 300 mm ; Oil and Grease Resistant Quality</t>
  </si>
  <si>
    <t>EP300OVX250/2-3+1HY</t>
  </si>
  <si>
    <t>EP 250/2-3+1,BB300-O+V</t>
  </si>
  <si>
    <t>8,000</t>
  </si>
  <si>
    <t>8,800</t>
  </si>
  <si>
    <t>Bandweefseltype: EP ; Treksterkte: 250 N/mm ; Aantal inlagen: 2 ; Bovendek: 3 mm ; Onderdek: 1 mm ; Bandbreedte: 300 mm ; Olie- en vetbestendige Kwaliteit</t>
  </si>
  <si>
    <t>Gewebetype: EP ; Zugfestigkeit: 250 N/mm ; Anzahl Einlagen: 2 ; Oberdeck: 3 mm ; Unterdeck: 1 mm ; Gurtbreite: 300 mm ; Öl und Fettbeständige Qualität</t>
  </si>
  <si>
    <t>Fabric type: EP ; Tensile strength: 250 N/mm ; Number of plies: 2 ; Topcover: 3 mm ; Bottomcover: 1 mm ; Beltwidth: 300 mm ; Oil and Grease Resistant Quality</t>
  </si>
  <si>
    <t>EP300OVX250/2-3+1JO</t>
  </si>
  <si>
    <t>4,977</t>
  </si>
  <si>
    <t>EP300OVX630/4-2+2-ELEVATORSA</t>
  </si>
  <si>
    <t>EP 630/4-2+2-BB300 ELEVATOR-OV</t>
  </si>
  <si>
    <t>9,475</t>
  </si>
  <si>
    <t>Bandweefseltype: EP ; Treksterkte: 630 N/mm ; Aantal inlagen: 4 ; Bovendek: 2 mm ; Onderdek: 2 mm ; Bandbreedte: 300 mm ; Olie- en vetbestendige Kwaliteit ; Elevator</t>
  </si>
  <si>
    <t>Gewebetype: EP ; Zugfestigkeit: 630 N/mm ; Anzahl Einlagen: 4 ; Oberdeck: 2 mm ; Unterdeck: 2 mm ; Gurtbreite: 300 mm ; Öl und Fettbeständige Qualität ; Elevator</t>
  </si>
  <si>
    <t>Fabric type: EP ; Tensile strength: 630 N/mm ; Number of plies: 4 ; Topcover: 2 mm ; Bottomcover: 2 mm ; Beltwidth: 300 mm ; Oil and Grease Resistant Quality ; Elevator</t>
  </si>
  <si>
    <t xml:space="preserve">Carcasse: EP ; Tension de service: 630 N/mm ; Nombre de plis: 4 ; Revêtement supérieur: 2 mm ; Revêtement inférieur: 2 mm ; Largeur de bande: 300 mm ; Qualité résistante à l’huile et graisse ; Sangle Elévatrice
</t>
  </si>
  <si>
    <t>EP300OVX800/4-2+2-ELEVATORSA</t>
  </si>
  <si>
    <t>EP 800/4-2+2-BB300 ELEVATOR-OV</t>
  </si>
  <si>
    <t>Bandweefseltype: EP ; Treksterkte: 800 N/mm ; Aantal inlagen: 4 ; Bovendek: 2 mm ; Onderdek: 2 mm ; Bandbreedte: 300 mm ; Olie- en vetbestendige Kwaliteit ; Elevator</t>
  </si>
  <si>
    <t>Gewebetype: EP ; Zugfestigkeit: 800 N/mm ; Anzahl Einlagen: 4 ; Oberdeck: 2 mm ; Unterdeck: 2 mm ; Gurtbreite: 300 mm ; Öl und Fettbeständige Qualität ; Elevator</t>
  </si>
  <si>
    <t>Fabric type: EP ; Tensile strength: 800 N/mm ; Number of plies: 4 ; Topcover: 2 mm ; Bottomcover: 2 mm ; Beltwidth: 300 mm ; Oil and Grease Resistant Quality ; Elevator</t>
  </si>
  <si>
    <t xml:space="preserve">Carcasse: EP ; Tension de service: 800 N/mm ; Nombre de plis: 4 ; Revêtement supérieur: 2 mm ; Revêtement inférieur: 2 mm ; Largeur de bande: 300 mm ; Qualité résistante à l’huile et graisse ; Sangle Elévatrice
</t>
  </si>
  <si>
    <t>EP300PRL250/2-3+1½-C12V250HY</t>
  </si>
  <si>
    <t>EP 250/2-3+1½-BB300-profiel C12V250</t>
  </si>
  <si>
    <t>Chevron, Standaard kwaliteit ; EP 250/2-3+1½ met C12V250 profiel</t>
  </si>
  <si>
    <t>Chevron, Standardqualität ; EP 250/2-3+1½ mit C12V250 Profil</t>
  </si>
  <si>
    <t>Chevron, Standard Quality ; EP 250/2-3+1½ with C12V250 profile</t>
  </si>
  <si>
    <t>Chevron, Qualité standard ; EP 250/2-3+1½ avec C12V250 profil</t>
  </si>
  <si>
    <t>Bandweefseltype: EP ; Treksterkte: 250 N/mm ; Aantal inlagen: 2 ; Bovendek: 3 mm ; Onderdek:  mm 1½ ; Bandbreedte: 300 mm ; Profiel hoogte: 12 mm ; Profiel breedte: 250 mm ; Profiel type: Gesloten V</t>
  </si>
  <si>
    <t>Gewebetype: EP ; Zugfestigkeit: 250 N/mm ; Anzahl Einlagen: 2 ; Oberdeck: 3 mm ; Unterdeck: 1½ mm ; Gurtbreite: 300 mm ; Profilhöhe: 12 mm ; Profilbreite: 250 mm ; Profiltyp:Geschlossen V</t>
  </si>
  <si>
    <t>Fabric type: EP ; Tensile strength: 250 N/mm ; Number of plies: 3 ; Topcover: 3 mm ; Bottomcover: 1½ mm ; Beltwidth: 300 mm ; Profile height: 12 mm ; Profile width: 250 mm ; Profile type: Closed V</t>
  </si>
  <si>
    <t>Carcasse: EP ; Résistance à la traction: 250 N/mm ; Nombre de plis: 3 ; Revêtement supérieur: 3 mm ; Revêtement inférieur: 1½ mm ; Largeur de bande: 300 mm ; Hauteur du profil: 12 mm ; Largeur du profil: 250 mm ; Type de profil: V Fermé</t>
  </si>
  <si>
    <t>EP300SGG250/2-3+0HY</t>
  </si>
  <si>
    <t>EP 250/2-3+0,BB300, Supergrip/glijband</t>
  </si>
  <si>
    <t>5,100</t>
  </si>
  <si>
    <t>Bandweefseltype: EP ; Treksterkte: 250 N/mm ; Aantal inlagen: 2 ; Bovendek: 3 mm ; Onderdek: 0 mm ; Bandbreedte: 300 mm ; Supergrip / Rough Top Zwart</t>
  </si>
  <si>
    <t>Gewebetype: EP ; Zugfestigkeit: 250 N/mm ; Anzahl Einlagen: 2 ; Oberdeck: 3 mm ; Unterdeck: 0 mm ; Gurtbreite: 300 mm ; Supergrip / Rough Top Schwarz</t>
  </si>
  <si>
    <t>Fabric type: EP ; Tensile strength: 250 N/mm ; Number of plies: 2 ; Topcover: 3 mm ; Bottomcover: 0 mm ; Beltwidth: 300 mm ; Supergrip / Rough Top Black</t>
  </si>
  <si>
    <t>Carcasse: EP ; Tension de service: 250 N/mm ; Nombre de plis: 2 ; Revêtement supérieur: 3 mm ; Revêtement inférieur: 0 mm ; Largeur de bande: 300 mm ; Nid d'abeille Noir</t>
  </si>
  <si>
    <t>EP300SGG400/3-3+0HY</t>
  </si>
  <si>
    <t>EP 400/3-3+0-BB300, Supergrip/glijband</t>
  </si>
  <si>
    <t>6,750</t>
  </si>
  <si>
    <t>Bandweefseltype: EP ; Treksterkte: 400 N/mm ; Aantal inlagen: 3 ; Bovendek: 3 mm ; Onderdek: 0 mm ; Bandbreedte: 300 mm ; Supergrip / Rough Top Zwart</t>
  </si>
  <si>
    <t>Gewebetype: EP ; Zugfestigkeit: 400 N/mm ; Anzahl Einlagen: 3 ; Oberdeck: 3 mm ; Unterdeck: 0 mm ; Gurtbreite: 300 mm ; Supergrip / Rough Top Schwarz</t>
  </si>
  <si>
    <t>Fabric type: EP ; Tensile strength: 400 N/mm ; Number of plies: 3 ; Topcover: 3 mm ; Bottomcover: 0 mm ; Beltwidth: 300 mm ; Supergrip / Rough Top Black</t>
  </si>
  <si>
    <t>Carcasse: EP ; Tension de service: 400 N/mm ; Nombre de plis: 3 ; Revêtement supérieur: 3 mm ; Revêtement inférieur: 0 mm ; Largeur de bande: 300 mm ; Nid d'abeille Noir</t>
  </si>
  <si>
    <t>EP300SGR250/2-3+1HY</t>
  </si>
  <si>
    <t>EP 2502-3+1,BB300, Supergrip zwart</t>
  </si>
  <si>
    <t>6,910</t>
  </si>
  <si>
    <t>Bandweefseltype: EP ; Treksterkte: 250 N/mm ; Aantal inlagen: 2 ; Bovendek: 3 mm ; Onderdek: 1 mm ; Bandbreedte: 300 mm ; Supergrip / Rough Top Zwart</t>
  </si>
  <si>
    <t>Gewebetype: EP ; Zugfestigkeit: 250 N/mm ; Anzahl Einlagen: 2 ; Oberdeck: 3 mm ; Unterdeck: 1 mm ; Gurtbreite: 300 mm ; Supergrip / Rough Top Schwarz</t>
  </si>
  <si>
    <t>Fabric type: EP ; Tensile strength: 250 N/mm ; Number of plies: 2 ; Topcover: 3 mm ; Bottomcover: 1 mm ; Beltwidth: 300 mm ; Supergrip / Rough Top Black</t>
  </si>
  <si>
    <t>Carcasse: EP ; Résistance à la traction: 250 N/mm ; Nombre de plis: 2 ; Revêtement supérieur: 3 mm ; Revêtement inférieur: 1 mm ; Largeur de bande: 300 mm ; Nid d'abeille Noir</t>
  </si>
  <si>
    <t>EP300SGR400/3-3+1HY</t>
  </si>
  <si>
    <t>EP 400/3-3+1,BB300, Supergrip zwart</t>
  </si>
  <si>
    <t>7,900</t>
  </si>
  <si>
    <t>Bandweefseltype: EP ; Treksterkte: 400 N/mm ; Aantal inlagen: 3 ; Bovendek: 3 mm ; Onderdek: 1 mm ; Bandbreedte: 300 mm ; Supergrip / Rough Top Zwart</t>
  </si>
  <si>
    <t>Gewebetype: EP ; Zugfestigkeit: 400 N/mm ; Anzahl Einlagen: 3 ; Oberdeck: 3 mm ; Unterdeck: 1 mm ; Gurtbreite: 300 mm ; Supergrip / Rough Top Schwarz</t>
  </si>
  <si>
    <t>Fabric type: EP ; Tensile strength: 400 N/mm ; Number of plies: 3 ; Topcover: 3 mm ; Bottomcover: 1 mm ; Beltwidth: 300 mm ; Supergrip / Rough Top Black</t>
  </si>
  <si>
    <t>Carcasse: EP ; Résistance à la traction: 400 N/mm ; Nombre de plis: 3 ; Revêtement supérieur: 3 mm ; Revêtement inférieur: 1 mm ; Largeur de bande: 300 mm ; Nid d'abeille Noir</t>
  </si>
  <si>
    <t>EP300XXX1000/5-3+3-ELEVATORSA</t>
  </si>
  <si>
    <t>EP 1000/5-3+3-BB300 ELEVATOR</t>
  </si>
  <si>
    <t>9,190</t>
  </si>
  <si>
    <t>EP300XXX200/2-2+1HY</t>
  </si>
  <si>
    <t>EP 200/2-2+1,BB300</t>
  </si>
  <si>
    <t>Bandweefseltype: EP ; Treksterkte: 200 N/mm ; Aantal inlagen: 2 ; Bovendek: 2 mm ; Onderdek: 1 mm ; Bandbreedte: 300 mm</t>
  </si>
  <si>
    <t>Gewebetype: EP ; Zugfestigkeit: 200 N/mm ; Anzahl Einlagen: 2 ; Oberdeck: 2 mm ; Unterdeck: 1 mm ; Gurtbreite: 300 mm</t>
  </si>
  <si>
    <t>Fabric type: EP ; Tensile strength: 200 N/mm ; Number of plies: 2 ; Topcover: 2 mm ; Bottomcover: 1 mm ; Beltwidth: 300 mm</t>
  </si>
  <si>
    <t>Carcasse: EP ; Résistance à la traction: 200 N/mm ; Nombre de plis: 2 ; Revêtement supérieur: 2 mm ; Revêtement inférieur: 1 mm ; Largeur de bande: 300 mm</t>
  </si>
  <si>
    <t>EP300XXX200/2-2+1KA</t>
  </si>
  <si>
    <t>4,160</t>
  </si>
  <si>
    <t>EP300XXX250/2-3+1HY</t>
  </si>
  <si>
    <t>EP 250/2-3+1,BB300</t>
  </si>
  <si>
    <t>5,160</t>
  </si>
  <si>
    <t>Bandweefseltype: EP ; Treksterkte: 250 N/mm ; Aantal inlagen: 2 ; Bovendek: 3 mm ; Onderdek: 1 mm ; Bandbreedte: 300 mm</t>
  </si>
  <si>
    <t>Gewebetype: EP ; Zugfestigkeit: 250 N/mm ; Anzahl Einlagen: 2 ; Oberdeck: 3 mm ; Unterdeck: 1 mm ; Gurtbreite: 300 mm</t>
  </si>
  <si>
    <t>Fabric type: EP ; Tensile strength: 250 N/mm ; Number of plies: 2 ; Topcover: 3 mm ; Bottomcover: 1 mm ; Beltwidth: 300 mm</t>
  </si>
  <si>
    <t>Carcasse: EP ; Résistance à la traction: 250 N/mm ; Nombre de plis: 2 ; Revêtement supérieur: 3 mm ; Revêtement inférieur: 1 mm ; Largeur de bande: 300 mm</t>
  </si>
  <si>
    <t>EP300XXX250/2-3+1KA</t>
  </si>
  <si>
    <t>4,750</t>
  </si>
  <si>
    <t>EP300XXX250/2-3+1SH</t>
  </si>
  <si>
    <t>6,420</t>
  </si>
  <si>
    <t>EP300XXX315/2-4+2KA</t>
  </si>
  <si>
    <t>EP 315/2-4+2,BB300</t>
  </si>
  <si>
    <t>5,460</t>
  </si>
  <si>
    <t>Bandweefseltype: EP ; Treksterkte: 315 N/mm ; Aantal inlagen: 2 ; Bovendek: 4 mm ; Onderdek: 2 mm ; Bandbreedte: 300 mm</t>
  </si>
  <si>
    <t>Gewebetype: EP ; Zugfestigkeit: 315 N/mm ; Anzahl Einlagen: 2 ; Oberdeck: 4 mm ; Unterdeck: 2 mm ; Gurtbreite: 300 mm</t>
  </si>
  <si>
    <t>Fabric type: EP ; Tensile strength: 315 N/mm ; Number of plies: 2 ; Topcover: 4 mm ; Bottomcover: 2 mm ; Beltwidth: 300 mm</t>
  </si>
  <si>
    <t>Carcasse: EP ; Résistance à la traction: 315 N/mm ; Nombre de plis: 2 ; Revêtement supérieur: 4 mm ; Revêtement inférieur: 2 mm ; Largeur de bande: 300 mm</t>
  </si>
  <si>
    <t>EP300XXX315/2-4+2SH</t>
  </si>
  <si>
    <t>EP300XXX315/3-2+2KA</t>
  </si>
  <si>
    <t>EP 315/3-2+2,BB300</t>
  </si>
  <si>
    <t>5,140</t>
  </si>
  <si>
    <t>EP300XXX400/3-3+1SH</t>
  </si>
  <si>
    <t>EP 400/3-3+1,BB300</t>
  </si>
  <si>
    <t>3,595</t>
  </si>
  <si>
    <t>Bandweefseltype: EP ; Treksterkte: 400N/mm ; Aantal inlagen: 3 ; Bovendek: 3 mm ; Onderdek: 1½ mm ; Bandbreedte: 300 mm</t>
  </si>
  <si>
    <t>Gewebetype: EP ; Zugfestigkeit: 400 N/mm ; Anzahl Einlagen: 3 ; Oberdeck: 3 mm ; Unterdeck: 1½ mm ; Gurtbreite: 300 mm</t>
  </si>
  <si>
    <t>Fabric type: EP ; Tensile strength: 400 N/mm ; Number of plies: 3 ; Topcover: 3 mm ; Bottomcover: 1½ mm ; Beltwidth: 300 mm</t>
  </si>
  <si>
    <t>Carcasse: EP ; Résistance à la traction: 400 N/mm ; Nombre de plis: 3 ; Revêtement supérieur: 3 mm ; Revêtement inférieur: 1½ mm ; Largeur de bande: 300 mm</t>
  </si>
  <si>
    <t>EP300XXX400/3-4+2KA</t>
  </si>
  <si>
    <t>EP 400/3-4+2,BB300</t>
  </si>
  <si>
    <t>6,170</t>
  </si>
  <si>
    <t>Bandweefseltype: EP ; Treksterkte: 400N/mm ; Aantal inlagen: 3 ; Bovendek: 4 mm ; Onderdek: 2 mm ; Bandbreedte: 300 mm</t>
  </si>
  <si>
    <t>Gewebetype: EP ; Zugfestigkeit: 400 N/mm ; Anzahl Einlagen: 3 ; Oberdeck: 4 mm ; Unterdeck: 2 mm ; Gurtbreite: 300 mm</t>
  </si>
  <si>
    <t>Fabric type: EP ; Tensile strength: 400 N/mm ; Number of plies: 3 ; Topcover: 4 mm ; Bottomcover: 2 mm ; Beltwidth: 300 mm</t>
  </si>
  <si>
    <t>Carcasse: EP ; Résistance à la traction: 400 N/mm ; Nombre de plis: 3 ; Revêtement supérieur: 4 mm ; Revêtement inférieur: 2 mm ; Largeur de bande: 300 mm</t>
  </si>
  <si>
    <t>EP300XXX400/4-2+2KA</t>
  </si>
  <si>
    <t>EP 400/4-2+2,BB300 - Extra Skimrubber</t>
  </si>
  <si>
    <t>EP300XXX630/4-2+2-ELEVATORSA</t>
  </si>
  <si>
    <t>EP 630/4-2+2-BB300 ELEVATOR</t>
  </si>
  <si>
    <t>8,430</t>
  </si>
  <si>
    <t>Bandweefseltype: EP ; Treksterkte: 630 N/mm ; Aantal inlagen: 4 ; Bovendek: 2 mm ; Onderdek: 2 mm ; Bandbreedte: 300 mm ; Elevator</t>
  </si>
  <si>
    <t>Gewebetype: EP ; Zugfestigkeit: 630 N/mm ; Anzahl Einlagen: 4 ; Oberdeck: 2 mm ; Unterdeck: 2 mm ; Gurtbreite: 300 mm ; Elevator</t>
  </si>
  <si>
    <t>Fabric type: EP ; Tensile strength: 630 N/mm ; Number of plies: 4 ; Topcover: 2 mm ; Bottomcover: 2 mm ; Beltwidth: 300 mm ; Elevator</t>
  </si>
  <si>
    <t xml:space="preserve">Carcasse: EP ; Tension de service: 630 N/mm ; Nombre de plis: 4 ; Revêtement supérieur: 2 mm ; Revêtement inférieur: 2 mm ; Largeur de bande: 300 mm ;  Sangle Elévatrice
</t>
  </si>
  <si>
    <t>EP300XXX800/4-2+2-ELEVATORSA</t>
  </si>
  <si>
    <t>EP 800/4-2+2-BB300 ELEVATOR</t>
  </si>
  <si>
    <t>9,020</t>
  </si>
  <si>
    <t>Bandweefseltype: EP ; Treksterkte: 800 N/mm ; Aantal inlagen: 4 ; Bovendek: 2 mm ; Onderdek: 2 mm ; Bandbreedte: 300 mm ; Elevator</t>
  </si>
  <si>
    <t>Gewebetype: EP ; Zugfestigkeit: 800 N/mm ; Anzahl Einlagen: 4 ; Oberdeck: 2 mm ; Unterdeck: 2 mm ; Gurtbreite: 300 mm ; Elevator</t>
  </si>
  <si>
    <t>Fabric type: EP ; Tensile strength: 800 N/mm ; Number of plies: 4 ; Topcover: 2 mm ; Bottomcover: 2 mm ; Beltwidth: 300 mm ; Elevator</t>
  </si>
  <si>
    <t xml:space="preserve">Carcasse: EP ; Tension de service: 800 N/mm ; Nombre de plis: 4 ; Revêtement supérieur: 2 mm ; Revêtement inférieur: 2 mm ; Largeur de bande: 300 mm ;  Sangle Elévatrice
</t>
  </si>
  <si>
    <t>EP310OVG500/4-0+0-SAWMILLHY</t>
  </si>
  <si>
    <t>EP 500/4-0+0,BB310-O+V-Saw Mill</t>
  </si>
  <si>
    <t>6,014</t>
  </si>
  <si>
    <t>Bandweefseltype: EP ; Treksterkte: 500 N/mm ; Aantal inlagen: 4 ; Bovendek: 0 mm ; Onderdek: 0 mm ; Bandbreedte: 310 mm ; Olie- en vetbestendige Kwaliteit</t>
  </si>
  <si>
    <t>Gewebetype: EP ; Zugfestigkeit: 500 N/mm ; Anzahl Einlagen: 4 ; Oberdeck: 0 mm ; Unterdeck: 0 mm ; Gurtbreite: 310 mm ; Öl und Fettbeständige Qualität</t>
  </si>
  <si>
    <t>Fabric type: EP ; Tensile strength: 500 N/mm ; Number of plies: 4 ; Topcover: 0 mm ; Bottomcover: 0 mm ; Beltwidth: 310 mm ; Oil and Grease Resistant Quality</t>
  </si>
  <si>
    <t>EP315XXX1000/5-3+3-ELEVATORSA</t>
  </si>
  <si>
    <t>EP 1000/5-3+3-BB315 ELEVATOR</t>
  </si>
  <si>
    <t>10,070</t>
  </si>
  <si>
    <t>EP315XXX630/4-2+2-ELEVATORSA</t>
  </si>
  <si>
    <t>EP 630/4-2+2-BB315 ELEVATOR</t>
  </si>
  <si>
    <t>9,010</t>
  </si>
  <si>
    <t>EP320OVX630/4-2+2-ELEVATORSA</t>
  </si>
  <si>
    <t>EP 630/4-2+2-BB320 ELEVATOR-OV</t>
  </si>
  <si>
    <t>17,846</t>
  </si>
  <si>
    <t>EP320XXX1000/5-3+3-ELEVATORSA</t>
  </si>
  <si>
    <t>EP 1000/5-3+3-BB320 ELEVATOR</t>
  </si>
  <si>
    <t>EP320XXX630/4-2+2-ELEVATORSA</t>
  </si>
  <si>
    <t>EP 630/4-2+2-BB320 ELEVATOR</t>
  </si>
  <si>
    <t>9,160</t>
  </si>
  <si>
    <t>EP320XXX800/4-2+2-ELEVATORSA</t>
  </si>
  <si>
    <t>EP 800/4-2+2-BB320 ELEVATOR</t>
  </si>
  <si>
    <t>9,460</t>
  </si>
  <si>
    <t>EP330OVX630/4-2+2-ELEVATORSA</t>
  </si>
  <si>
    <t>EP 630/4-2+2-BB330 ELEVATOR-OV</t>
  </si>
  <si>
    <t>EP330XXX400/3-3+1½KA</t>
  </si>
  <si>
    <t>EP 400/3-3+1½ ,BB330 (DIN22102)</t>
  </si>
  <si>
    <t>6,250</t>
  </si>
  <si>
    <t>EP330XXX630/4-2+2-ELEVATORSA</t>
  </si>
  <si>
    <t>EP 630/4-2+2-BB330 ELEVATOR</t>
  </si>
  <si>
    <t>8,780</t>
  </si>
  <si>
    <t>EP340XXX800/4-2+2-ELEVATORSA</t>
  </si>
  <si>
    <t>EP 800/4-2+2-BB340 ELEVATOR</t>
  </si>
  <si>
    <t>10,230</t>
  </si>
  <si>
    <t>EP350GLY250/2-2+0HY</t>
  </si>
  <si>
    <t>EP 250/2-2+0,BB350-GLY</t>
  </si>
  <si>
    <t>6,240</t>
  </si>
  <si>
    <t>EP350OVG250/2-2+0JO</t>
  </si>
  <si>
    <t>EP 250/2-2+0,BB350-GLY-O+V</t>
  </si>
  <si>
    <t>5,620</t>
  </si>
  <si>
    <t>EP350OVG500/4-0+0-SAWMILLHY</t>
  </si>
  <si>
    <t>EP 500/4-0+0,BB350-O+V-Saw Mill</t>
  </si>
  <si>
    <t>11,100</t>
  </si>
  <si>
    <t>Bandweefseltype: EP ; Treksterkte: 500 N/mm ; Aantal inlagen: 4 ; Bovendek: 0 mm ; Onderdek: 0 mm ; Bandbreedte: 350 mm ; Olie- en vetbestendige Kwaliteit</t>
  </si>
  <si>
    <t>Gewebetype: EP ; Zugfestigkeit: 500 N/mm ; Anzahl Einlagen: 4 ; Oberdeck: 0 mm ; Unterdeck: 0 mm ; Gurtbreite: 350 mm ; Öl und Fettbeständige Qualität</t>
  </si>
  <si>
    <t>Fabric type: EP ; Tensile strength: 500 N/mm ; Number of plies: 4 ; Topcover: 0 mm ; Bottomcover: 0 mm ; Beltwidth: 350 mm ; Oil and Grease Resistant Quality</t>
  </si>
  <si>
    <t>EP350OVX250/2-3+1HY</t>
  </si>
  <si>
    <t>EP 250/2-3+1,BB350-O+V</t>
  </si>
  <si>
    <t>9,960</t>
  </si>
  <si>
    <t>Bandweefseltype: EP ; Treksterkte: 250 N/mm ; Aantal inlagen: 2 ; Bovendek: 3 mm ; Onderdek: 1 mm ; Bandbreedte: 400 mm ; Olie- en vetbestendige Kwaliteit</t>
  </si>
  <si>
    <t>Gewebetype: EP ; Zugfestigkeit: 250 N/mm ; Anzahl Einlagen: 2 ; Oberdeck: 3 mm ; Unterdeck: 1 mm ; Gurtbreite: 350 mm ; Öl und Fettbeständige Qualität</t>
  </si>
  <si>
    <t>Fabric type: EP ; Tensile strength: 250 N/mm ; Number of plies: 2 ; Topcover: 3 mm ; Bottomcover: 1 mm ; Beltwidth: 350 mm ; Oil and Grease Resistant Quality</t>
  </si>
  <si>
    <t>EP350XXX200/2-2+1KA</t>
  </si>
  <si>
    <t>EP 200/2-2+1,BB350</t>
  </si>
  <si>
    <t>Bandweefseltype: EP ; Treksterkte: 200 N/mm ; Aantal inlagen: 2 ; Bovendek: 2 mm ; Onderdek: 1 mm ; Bandbreedte: 350 mm</t>
  </si>
  <si>
    <t>Gewebetype: EP ; Zugfestigkeit: 200 N/mm ; Anzahl Einlagen: 2 ; Oberdeck: 2 mm ; Unterdeck: 1 mm ; Gurtbreite: 350 mm</t>
  </si>
  <si>
    <t>Fabric type: EP ; Tensile strength: 200 N/mm ; Number of plies: 2 ; Topcover: 2 mm ; Bottomcover: 1 mm ; Beltwidth: 350 mm</t>
  </si>
  <si>
    <t>Carcasse: EP ; Résistance à la traction: 200 N/mm ; Nombre de plis: 2 ; Revêtement supérieur: 2 mm ; Revêtement inférieur: 1 mm ; Largeur de bande: 350 mm</t>
  </si>
  <si>
    <t>EP350XXX630/4-2+2-ELEVATORSA</t>
  </si>
  <si>
    <t>EP 630/4-2+2-BB350 ELEVATOR</t>
  </si>
  <si>
    <t>EP350XXX800/4-2+2-ELEVATORSA</t>
  </si>
  <si>
    <t>EP 800/4-2+2-BB350 ELEVATOR</t>
  </si>
  <si>
    <t>10,530</t>
  </si>
  <si>
    <t>EP360OVX630/4-2+2-ELEVATORSA</t>
  </si>
  <si>
    <t>EP 630/4-2+2-BB360 ELEVATOR-OV</t>
  </si>
  <si>
    <t>11,000</t>
  </si>
  <si>
    <t>EP370OVX630/4-2+2-ELEVATORSA</t>
  </si>
  <si>
    <t>EP 630/4-2+2-BB370 ELEVATOR-OV</t>
  </si>
  <si>
    <t>11,310</t>
  </si>
  <si>
    <t>EP370XXX1000/5-3+3-ELEVATORSA</t>
  </si>
  <si>
    <t>EP 1000/5-3+3-BB370 ELEVATOR</t>
  </si>
  <si>
    <t>11,340</t>
  </si>
  <si>
    <t>EP375OVX630/4-2+2-ELEVATORSA</t>
  </si>
  <si>
    <t>EP 630/4-2+2-BB375 ELEVATOR-OV</t>
  </si>
  <si>
    <t>7,539</t>
  </si>
  <si>
    <t>EP380OVX1000/5-3+3-ELEVATORSA</t>
  </si>
  <si>
    <t>EP 1000/5-3+3-BB380 ELEVATOR-OV</t>
  </si>
  <si>
    <t>17,650</t>
  </si>
  <si>
    <t>EP380PRG250/2-3+2-MULTIVSH</t>
  </si>
  <si>
    <t>EP 250/2-3+2,BB380-Multi V profiel 6 mm O&amp;V</t>
  </si>
  <si>
    <t>57,590</t>
  </si>
  <si>
    <t>EP390OVX630/4-2+2-ELEVATORSA</t>
  </si>
  <si>
    <t>EP 630/4-2+2-BB390 ELEVATOR-OV</t>
  </si>
  <si>
    <t>11,920</t>
  </si>
  <si>
    <t>EP390SGR250/2-3+1HY</t>
  </si>
  <si>
    <t>EP 250/2-3+1,BB390, Supergrip zwart</t>
  </si>
  <si>
    <t>8,436</t>
  </si>
  <si>
    <t>EP400GLY250/2-2+0FF</t>
  </si>
  <si>
    <t>EP 250/2-2+0,BB400-GLY</t>
  </si>
  <si>
    <t>6,820</t>
  </si>
  <si>
    <t>Bandweefseltype: EP ; Treksterkte: 250 N/mm ; Aantal inlagen: 2 ; Bovendek: 2 mm ; Onderdek: 0 mm ; Bandbreedte: 400 mm</t>
  </si>
  <si>
    <t>Gewebetype: EP ; Zugfestigkeit: 250 N/mm ; Anzahl Einlagen: 2 ; Oberdeck: 2 mm ; Unterdeck: 0 mm ; Gurtbreite: 400 mm</t>
  </si>
  <si>
    <t>Fabric type: EP ; Tensile strength: 250 N/mm ; Number of plies: 2 ; Topcover: 2 mm ; Bottomcover: 0 mm ; Beltwidth: 400 mm</t>
  </si>
  <si>
    <t>Carcasse: EP ; Tension de service: 250 N/mm ; Nombre de plis: 2 ; Revêtement supérieur: 2 mm ; Revêtement inférieur: 0 mm ; Largeur de bande: 400 mm</t>
  </si>
  <si>
    <t>EP400GLY250/2-2+0HY</t>
  </si>
  <si>
    <t>EP400GLY250/2-2+0JO</t>
  </si>
  <si>
    <t>EP400GLY400/3-2+0FF</t>
  </si>
  <si>
    <t>EP 400/3-2+0,BB400-GLY</t>
  </si>
  <si>
    <t>5,120</t>
  </si>
  <si>
    <t>Bandweefseltype: EP ; Treksterkte: 400 N/mm ; Aantal inlagen: 3 ; Bovendek: 2 mm ; Onderdek: 0 mm ; Bandbreedte: 400 mm</t>
  </si>
  <si>
    <t>Gewebetype: EP ; Zugfestigkeit: 400 N/mm ; Anzahl Einlagen: 3 ; Oberdeck: 2 mm ; Unterdeck: 0 mm ; Gurtbreite: 400 mm</t>
  </si>
  <si>
    <t>Fabric type: EP ; Tensile strength: 400 N/mm ; Number of plies: 3 ; Topcover: 2 mm ; Bottomcover: 0 mm ; Beltwidth: 400 mm</t>
  </si>
  <si>
    <t>Carcasse: EP ; Tension de service: 400 N/mm ; Nombre de plis: 3 ; Revêtement supérieur: 2 mm ; Revêtement inférieur: 0 mm ; Largeur de bande: 400 mm</t>
  </si>
  <si>
    <t>EP400GLY400/3-2+0HY</t>
  </si>
  <si>
    <t>8,680</t>
  </si>
  <si>
    <t>8,750</t>
  </si>
  <si>
    <t>EP400GLY400/3-2+0JO</t>
  </si>
  <si>
    <t>6,380</t>
  </si>
  <si>
    <t>EP400GLY400/3-3+0HY</t>
  </si>
  <si>
    <t>EP 400/3-3+0,BB400 GLY</t>
  </si>
  <si>
    <t>9,880</t>
  </si>
  <si>
    <t>Bandweefseltype: EP ; Treksterkte: 400 N/mm ; Aantal inlagen: 3 ; Bovendek: 3 mm ; Onderdek: 0 mm ; Bandbreedte: 400 mm</t>
  </si>
  <si>
    <t>Gewebetype: EP ; Zugfestigkeit: 400 N/mm ; Anzahl Einlagen: 3 ; Oberdeck: 3 mm ; Unterdeck: 0 mm ; Gurtbreite: 400 mm</t>
  </si>
  <si>
    <t>Fabric type: EP ; Tensile strength: 400 N/mm ; Number of plies: 3 ; Topcover: 3 mm ; Bottomcover: 0 mm ; Beltwidth: 400 mm</t>
  </si>
  <si>
    <t>Carcasse: EP ; Tension de service: 400 N/mm ; Nombre de plis: 3 ; Revêtement supérieur: 3 mm ; Revêtement inférieur: 0 mm ; Largeur de bande: 400 mm</t>
  </si>
  <si>
    <t>EP400GLY400/3-3+0JO</t>
  </si>
  <si>
    <t>7,570</t>
  </si>
  <si>
    <t>EP400GLY500/4-6+0HY</t>
  </si>
  <si>
    <t>EP 500/4-6+0,BB400 GLY</t>
  </si>
  <si>
    <t>17,100</t>
  </si>
  <si>
    <t>Bandweefseltype: EP ; Treksterkte: 500 N/mm ; Aantal inlagen: 4 ; Bovendek: 6 mm ; Onderdek: 0 mm ; Bandbreedte: 400 mm</t>
  </si>
  <si>
    <t>Gewebetype: EP ; Zugfestigkeit: 500 N/mm ; Anzahl Einlagen: 4 ; Oberdeck: 6 mm ; Unterdeck: 0 mm ; Gurtbreite: 400 mm</t>
  </si>
  <si>
    <t>Fabric type: EP ; Tensile strength: 500 N/mm ; Number of plies: 4 ; Topcover: 6 mm ; Bottomcover: 0 mm ; Beltwidth: 400 mm</t>
  </si>
  <si>
    <t>Carcasse: EP ; Tension de service: 500 N/mm ; Nombre de plis: 4 ; Revêtement supérieur: 6 mm ; Revêtement inférieur: 0 mm ; Largeur de bande: 400 mm</t>
  </si>
  <si>
    <t>EP400GLY500/4-6+0JO</t>
  </si>
  <si>
    <t>12,460</t>
  </si>
  <si>
    <t>EP400GLY500/4-6+0SH</t>
  </si>
  <si>
    <t>EP 500/4-6+0,BB400-GLY</t>
  </si>
  <si>
    <t>10,280</t>
  </si>
  <si>
    <t>EP400HB400/3-4+2-150°+O&amp;VSA</t>
  </si>
  <si>
    <t>EP 400/3-4+2,BB400,olie+vet-HB150°</t>
  </si>
  <si>
    <t>15,240</t>
  </si>
  <si>
    <t>EP400HB400/3-5+2-150°PH</t>
  </si>
  <si>
    <t>EP 400/3-5+2,BB400,HB</t>
  </si>
  <si>
    <t>12,240</t>
  </si>
  <si>
    <t>Bandweefseltype: EP ; Treksterkte: 400 N/mm ; Aantal inlagen: 3 ; Bovendek: 5 mm ; Onderdek: 2 mm ; Bandbreedte: 400 mm ; Hittebestendig 150°-170°</t>
  </si>
  <si>
    <t>Gewebetype: EP ; Zugfestigkeit: 400 N/mm ; Anzahl Einlagen: 3 ; Oberdeck: 5 mm ; Unterdeck: 2 mm ; Gurtbreite: 500 mm ; Hitzebeständig 150°-170°</t>
  </si>
  <si>
    <t>Fabric type: EP ; Tensile strength: 400 N/mm ; Number of plies: 3 ; Topcover: 5 mm ; Bottomcover: 2 mm ; Beltwidth: 400 mm ; Heat resistant 150°-170°</t>
  </si>
  <si>
    <t>EP400OVG250/2-2+0HY</t>
  </si>
  <si>
    <t>EP 250/2-2+0,BB400-GLY-O+V</t>
  </si>
  <si>
    <t>7,500</t>
  </si>
  <si>
    <t>Bandweefseltype: EP ; Treksterkte: 250 N/mm ; Aantal inlagen: 2 ; Bovendek: 2 mm ; Onderdek: 0 mm ; Bandbreedte: 400 mm ; Olie- en vetbestendige Kwaliteit</t>
  </si>
  <si>
    <t>Gewebetype: EP ; Zugfestigkeit: 250 N/mm ; Anzahl Einlagen: 2 ; Oberdeck: 2 mm ; Unterdeck: 0 mm ; Gurtbreite: 400 mm ; Öl und Fettbeständige Qualität</t>
  </si>
  <si>
    <t>Fabric type: EP ; Tensile strength: 250 N/mm ; Number of plies: 2 ; Topcover: 2 mm ; Bottomcover: 0 mm ; Beltwidth: 400 mm ; Oil and Grease Resistant Quality</t>
  </si>
  <si>
    <t>EP400OVG250/2-2+0JO</t>
  </si>
  <si>
    <t>6,300</t>
  </si>
  <si>
    <t>EP400OVG400/3-2+0HY</t>
  </si>
  <si>
    <t>EP 400/3-2+0,BB400-GLY-O+V</t>
  </si>
  <si>
    <t>11,020</t>
  </si>
  <si>
    <t>Bandweefseltype: EP ; Treksterkte: 400 N/mm ; Aantal inlagen: 3 ; Bovendek: 2 mm ; Onderdek: 0 mm ; Bandbreedte: 400 mm ; Olie- en vetbestendige Kwaliteit</t>
  </si>
  <si>
    <t>Gewebetype: EP ; Zugfestigkeit: 400 N/mm ; Anzahl Einlagen: 3 ; Oberdeck: 2 mm ; Unterdeck: 0 mm ; Gurtbreite: 400 mm ; Öl und Fettbeständige Qualität</t>
  </si>
  <si>
    <t>Fabric type: EP ; Tensile strength: 400 N/mm ; Number of plies: 3 ; Topcover: 2 mm ; Bottomcover: 0 mm ; Beltwidth: 400 mm ; Oil and Grease Resistant Quality</t>
  </si>
  <si>
    <t>EP400OVG400/3-2+0JO</t>
  </si>
  <si>
    <t>8,180</t>
  </si>
  <si>
    <t>EP400OVG400/3-2+0TT</t>
  </si>
  <si>
    <t>7,903</t>
  </si>
  <si>
    <t>EP400OVG400/3-3+0HY</t>
  </si>
  <si>
    <t>EP 400/3-3+0,BB400-GLY-O+V</t>
  </si>
  <si>
    <t>11,850</t>
  </si>
  <si>
    <t>Bandweefseltype: EP ; Treksterkte: 400 N/mm ; Aantal inlagen: 3 ; Bovendek: 3 mm ; Onderdek: 0 mm ; Bandbreedte: 400 mm ; Olie- en vetbestendige Kwaliteit</t>
  </si>
  <si>
    <t>Gewebetype: EP ; Zugfestigkeit: 400 N/mm ; Anzahl Einlagen: 3 ; Oberdeck: 3 mm ; Unterdeck: 0 mm ; Gurtbreite: 400 mm ; Öl und Fettbeständige Qualität</t>
  </si>
  <si>
    <t>Fabric type: EP ; Tensile strength: 400 N/mm ; Number of plies: 3 ; Topcover: 3 mm ; Bottomcover: 0 mm ; Beltwidth: 400 mm ; Oil and Grease Resistant Quality</t>
  </si>
  <si>
    <t>EP400OVG400/3-3+0JO</t>
  </si>
  <si>
    <t>8,090</t>
  </si>
  <si>
    <t>EP400OVG400/3-3+0TT</t>
  </si>
  <si>
    <t>8,583</t>
  </si>
  <si>
    <t>EP400OVG500/4-0+0-SAWMILLHY</t>
  </si>
  <si>
    <t>EP 500/4-0+0,BB400-O+V-Saw Mill</t>
  </si>
  <si>
    <t>15,850</t>
  </si>
  <si>
    <t>Bandweefseltype: EP ; Treksterkte: 500 N/mm ; Aantal inlagen: 4 ; Bovendek: 0 mm ; Onderdek: 0 mm ; Bandbreedte: 400 mm ; Olie- en vetbestendige Kwaliteit</t>
  </si>
  <si>
    <t>Gewebetype: EP ; Zugfestigkeit: 500 N/mm ; Anzahl Einlagen: 4 ; Oberdeck: 0 mm ; Unterdeck: 0 mm ; Gurtbreite: 400 mm ; Öl und Fettbeständige Qualität</t>
  </si>
  <si>
    <t>Fabric type: EP ; Tensile strength: 500 N/mm ; Number of plies: 4 ; Topcover: 0 mm ; Bottomcover: 0 mm ; Beltwidth: 400 mm ; Oil and Grease Resistant Quality</t>
  </si>
  <si>
    <t>EP400OVG500/4-6+0JO</t>
  </si>
  <si>
    <t>EP 500/4-6+0,BB400-GLY-O+V</t>
  </si>
  <si>
    <t>13,700</t>
  </si>
  <si>
    <t>Bandweefseltype: EP ; Treksterkte: 500 N/mm ; Aantal inlagen: 4 ; Bovendek: 6 mm ; Onderdek: 0 mm ; Bandbreedte: 400 mm ; Olie- en vetbestendige Kwaliteit</t>
  </si>
  <si>
    <t>Gewebetype: EP ; Zugfestigkeit: 500 N/mm ; Anzahl Einlagen: 4 ; Oberdeck: 6 mm ; Unterdeck: 0 mm ; Gurtbreite: 400 mm ; Öl und Fettbeständige Qualität</t>
  </si>
  <si>
    <t>Fabric type: EP ; Tensile strength: 500 N/mm ; Number of plies: 4 ; Topcover: 6 mm ; Bottomcover: 0 mm ; Beltwidth: 400 mm ; Oil and Grease Resistant Quality</t>
  </si>
  <si>
    <t>EP400OVX1000/5-3+3-ELEVATORSA</t>
  </si>
  <si>
    <t>EP 1000/5-3+3-BB400 ELEVATOR-OV</t>
  </si>
  <si>
    <t>18,580</t>
  </si>
  <si>
    <t>EP400OVX250/2-3+1HY</t>
  </si>
  <si>
    <t>EP 250/2-3+1,BB400-O+V</t>
  </si>
  <si>
    <t>11,370</t>
  </si>
  <si>
    <t>Gewebetype: EP ; Zugfestigkeit: 250 N/mm ; Anzahl Einlagen: 2 ; Oberdeck: 3 mm ; Unterdeck: 1 mm ; Gurtbreite: 400 mm ; Öl und Fettbeständige Qualität</t>
  </si>
  <si>
    <t>Fabric type: EP ; Tensile strength: 250 N/mm ; Number of plies: 2 ; Topcover: 3 mm ; Bottomcover: 1 mm ; Beltwidth: 400 mm ; Oil and Grease Resistant Quality</t>
  </si>
  <si>
    <t>EP400OVX250/2-3+1JO</t>
  </si>
  <si>
    <t>8,470</t>
  </si>
  <si>
    <t>Bandweefseltype: EP ; Treksterkte: 250 N/mm ; Aantal inlagen: 2 ; Bovendek: 3 mm ; Onderdek: 1 mm ; Bandbreedte: 500 mm ; Olie- en vetbestendige Kwaliteit</t>
  </si>
  <si>
    <t>EP400OVX400/3-4+2PH</t>
  </si>
  <si>
    <t>EP 400/3-4+2,BB400-O+V</t>
  </si>
  <si>
    <t>Bandweefseltype: EP ; Treksterkte: 400 N/mm ; Aantal inlagen: 3 ; Bovendek: 4 mm ; Onderdek: 2 mm ; Bandbreedte: 400 mm ; Olie- en vetbestendige Kwaliteit</t>
  </si>
  <si>
    <t>Gewebetype: EP ; Zugfestigkeit: 400 N/mm ; Anzahl Einlagen: 3 ; Oberdeck: 4 mm ; Unterdeck: 2 mm ; Gurtbreite: 400 mm ; Öl und Fettbeständige Qualität</t>
  </si>
  <si>
    <t>Fabric type: EP ; Tensile strength: 400 N/mm ; Number of plies: 3 ; Topcover: 4 mm ; Bottomcover: 2 mm ; Beltwidth: 400 mm ; Oil and Grease Resistant Quality</t>
  </si>
  <si>
    <t>EP400OVX400/3-4+2SA</t>
  </si>
  <si>
    <t>13,070</t>
  </si>
  <si>
    <t>EP400OVX630/4-2+2-ELEVATORSA</t>
  </si>
  <si>
    <t>EP 630/4-2+2-BB400 ELEVATOR-OV</t>
  </si>
  <si>
    <t>12,230</t>
  </si>
  <si>
    <t>Bandweefseltype: EP ; Treksterkte: 630 N/mm ; Aantal inlagen: 4 ; Bovendek: 2 mm ; Onderdek: 2 mm ; Bandbreedte: 400 mm ; Olie- en vetbestendige Kwaliteit ; Elevator</t>
  </si>
  <si>
    <t>Gewebetype: EP ; Zugfestigkeit: 630 N/mm ; Anzahl Einlagen: 4 ; Oberdeck: 2 mm ; Unterdeck: 2 mm ; Gurtbreite: 400 mm ; Öl und Fettbeständige Qualität ; Elevator</t>
  </si>
  <si>
    <t>Fabric type: EP ; Tensile strength: 630 N/mm ; Number of plies: 4 ; Topcover: 2 mm ; Bottomcover: 2 mm ; Beltwidth: 400 mm ; Oil and Grease Resistant Quality ; Elevator</t>
  </si>
  <si>
    <t xml:space="preserve">Carcasse: EP ; Tension de service: 630 N/mm ; Nombre de plis: 4 ; Revêtement supérieur: 2 mm ; Revêtement inférieur: 2 mm ; Largeur de bande: 400 mm ; Qualité résistante à l’huile et graisse ; Sangle Elévatrice
</t>
  </si>
  <si>
    <t>EP400OVX800/4-2+2-ELEVATORSA</t>
  </si>
  <si>
    <t>EP 800/4-2+2-BB400 ELEVATOR-OV</t>
  </si>
  <si>
    <t>12,810</t>
  </si>
  <si>
    <t>Bandweefseltype: EP ; Treksterkte: 800 N/mm ; Aantal inlagen: 4 ; Bovendek: 2 mm ; Onderdek: 2 mm ; Bandbreedte: 400 mm ; Olie- en vetbestendige Kwaliteit ; Elevator</t>
  </si>
  <si>
    <t>Gewebetype: EP ; Zugfestigkeit: 800 N/mm ; Anzahl Einlagen: 4 ; Oberdeck: 2 mm ; Unterdeck: 2 mm ; Gurtbreite: 400 mm ; Öl und Fettbeständige Qualität ; Elevator</t>
  </si>
  <si>
    <t>Fabric type: EP ; Tensile strength: 800 N/mm ; Number of plies: 4 ; Topcover: 2 mm ; Bottomcover: 2 mm ; Beltwidth: 400 mm ; Oil and Grease Resistant Quality ; Elevator</t>
  </si>
  <si>
    <t xml:space="preserve">Carcasse: EP ; Tension de service: 800 N/mm ; Nombre de plis: 4 ; Revêtement supérieur: 2 mm ; Revêtement inférieur: 2 mm ; Largeur de bande: 400 mm ; Qualité résistante à l’huile et graisse ; Sangle Elévatrice
</t>
  </si>
  <si>
    <t>EP400PRG250/2-3+2-MULTIVHY</t>
  </si>
  <si>
    <t>EP 250/2-3+2,BB400-Multi V profiel 6 mm O&amp;V</t>
  </si>
  <si>
    <t>13,889</t>
  </si>
  <si>
    <t>Bandweefseltype: EP ; Treksterkte: 250 N/mm ; Aantal inlagen: 2 ; Bovendek: 3 mm ; Onderdek: 2 mm ; Bandbreedte: 400 mm ; Profiel hoogte: 6 mm ; Profiel breedte: Volledige bandbreedte ; Type: V6 ; Olie- en vetbestendige Kwaliteit</t>
  </si>
  <si>
    <t>Gewebetype: EP ; Zugfestigkeit: 250 N/mm ; Anzahl Einlagen: 2 ; Oberdeck: 3 mm ; Unterdeck: 2 mm ; Gurtbreite: 400 mm ; Profilhöhe: 6 mm ; Profilbreite: Komplette Gurtbreite ; Profiltyp: V6 ; Öl und Fettbeständige Qualität</t>
  </si>
  <si>
    <t>Fabric type: EP ; Tensile strength: 250 N/mm ; Number of plies: 2 ; Topcover: 3 mm ; Bottomcover: 2 mm ; Beltwidth: 400 mm ; Profile height: 6 mm ; Profile width: Full belt width ; Profile type: V6 ; Oil and Grease Resistant Quality</t>
  </si>
  <si>
    <t>Carcasse: EP ; Résistance à la traction: 250 N/mm ; Nombre de plis: 2 ; Revêtement supérieur: 3 mm ; Revêtement inférieur: 2 mm ; Largeur de bande: 400 mm ; Hauteur du profil: 6 mm ; Largeur du profil: Sur toute la largeur ; Type de profil: V6 ; Qualité résistant aux huiles et graisses</t>
  </si>
  <si>
    <t>EP400PRG400/3-3+2-MULTIVHY</t>
  </si>
  <si>
    <t>EP 400/3-3+2,BB400-Multi V profiel 6 mm O&amp;V</t>
  </si>
  <si>
    <t>16,380</t>
  </si>
  <si>
    <t>Bandweefseltype: EP ; Treksterkte: 400 N/mm ; Aantal inlagen: 3 ; Bovendek: 3 mm ; Onderdek: 2 mm ; Bandbreedte: 400 mm ; Profiel hoogte: 6 mm ; Profiel breedte: Volledige bandbreedte ; Type: V6 ; Olie- en vetbestendige Kwaliteit</t>
  </si>
  <si>
    <t>Gewebetype: EP ; Zugfestigkeit: 400 N/mm ; Anzahl Einlagen: 3 ; Oberdeck: 3 mm ; Unterdeck: 2 mm ; Gurtbreite: 400 mm ; Profilhöhe: 6 mm ; Profilbreite: Komplette Gurtbreite ; Profiltyp: V6 ; Öl und Fettbeständige Qualität</t>
  </si>
  <si>
    <t>Fabric type: EP ; Tensile strength: 400 N/mm ; Number of plies: 3 ; Topcover: 3 mm ; Bottomcover: 2 mm ; Beltwidth: 400 mm ; Profile height: 6 mm ; Profile width: Full belt width ; Profile type: V6 ; Oil and Grease Resistant Quality</t>
  </si>
  <si>
    <t>Carcasse: EP ; Résistance à la traction: 400 N/mm ; Nombre de plis: 3 ; Revêtement supérieur: 3 mm ; Revêtement inférieur: 2 mm ; Largeur de bande: 400 mm ; Hauteur du profil: 6 mm ; Largeur du profil: Sur toute la largeur ; Type de profil: V6 ; Qualité résistant aux huiles et graisses</t>
  </si>
  <si>
    <t>EP400PRL250/2-3+1½-300JO</t>
  </si>
  <si>
    <t>EP 250/2-3+1½,BB400-profiel C15V330 - 300 mm3</t>
  </si>
  <si>
    <t>23,780</t>
  </si>
  <si>
    <t>9,520</t>
  </si>
  <si>
    <t>EP400PRL250/2-3+1½-C12V250HY</t>
  </si>
  <si>
    <t>EP 250/2-3+1½-BB400-profiel C12V250</t>
  </si>
  <si>
    <t>17,040</t>
  </si>
  <si>
    <t>Bandweefseltype: EP ; Treksterkte: 250 N/mm ; Aantal inlagen: 2 ; Bovendek: 3 mm ; Onderdek:  mm 1½ ; Bandbreedte: 400 mm ; Profiel hoogte: 12 mm ; Profiel breedte: 250 mm ; Profiel type: Gesloten V</t>
  </si>
  <si>
    <t>Gewebetype: EP ; Zugfestigkeit: 250 N/mm ; Anzahl Einlagen: 2 ; Oberdeck: 3 mm ; Unterdeck: 1½ mm ; Gurtbreite: 400 mm ; Profilhöhe: 12 mm ; Profilbreite: 250 mm ; Profiltyp:Geschlossen V</t>
  </si>
  <si>
    <t>Fabric type: EP ; Tensile strength: 250 N/mm ; Number of plies: 3 ; Topcover: 3 mm ; Bottomcover: 1½ mm ; Beltwidth: 400 mm ; Profile height: 12 mm ; Profile width: 250 mm ; Profile type: Closed V</t>
  </si>
  <si>
    <t>Carcasse: EP ; Résistance à la traction: 250 N/mm ; Nombre de plis: 3 ; Revêtement supérieur: 3 mm ; Revêtement inférieur: 1½ mm ; Largeur de bande: 400 mm ; Hauteur du profil: 12 mm ; Largeur du profil: 250 mm ; Type de profil: V Fermé</t>
  </si>
  <si>
    <t>EP400PRL250/2-3+1½-C15V330FF</t>
  </si>
  <si>
    <t>EP 250/2-3+1½,BB400-profiel C15V330</t>
  </si>
  <si>
    <t>9,940</t>
  </si>
  <si>
    <t>Chevron, Standaard kwaliteit ; EP 250/2-3+1½ met C15V330 profiel</t>
  </si>
  <si>
    <t>Chevron, Standardqualität ; EP 250/2-3+1½ mit C15V330 Profil</t>
  </si>
  <si>
    <t>Chevron, Standard Quality ; EP 250/2-3+1½ with C15V330 profile</t>
  </si>
  <si>
    <t>Chevron, Qualité standard ; EP 250/2-3+1½ met C15V330 profil</t>
  </si>
  <si>
    <t>Bandweefseltype: EP ; Treksterkte: 250 N/mm ; Aantal inlagen: 2 ; Bovendek: 3 mm ; Onderdek:  mm 1½ ; Bandbreedte: 400 mm ; Profiel hoogte: 15 mm ; Profiel breedte: 330 mm ; Profiel type: Gesloten V</t>
  </si>
  <si>
    <t>Gewebetype: EP ; Zugfestigkeit: 250 N/mm ; Anzahl Einlagen: 2 ; Oberdeck: 3 mm ; Unterdeck: 1½ mm ; Gurtbreite: 400 mm ; Profilhöhe: 15 mm ; Profilbreite: 330 mm ; Profiltyp:Geschlossen V</t>
  </si>
  <si>
    <t>Fabric type: EP ; Tensile strength: 250 N/mm ; Number of plies: 3 ; Topcover: 3 mm ; Bottomcover: 1½ mm ; Beltwidth: 400 mm ; Profile height: 15 mm ; Profile width: 330 mm ; Profile type: Closed V</t>
  </si>
  <si>
    <t>Carcasse: EP ; Résistance à la traction: 250 N/mm ; Nombre de plis: 3 ; Revêtement supérieur: 3 mm ; Revêtement inférieur: 1½ mm ; Largeur de bande: 400 mm ; Hauteur du profil: 15 mm ; Largeur du profil: 330 mm ; Type de profil: V Fermé</t>
  </si>
  <si>
    <t>EP400PRL250/2-3+1½-C15V330HY</t>
  </si>
  <si>
    <t>13,399</t>
  </si>
  <si>
    <t>EP400PRL250/2-3+1½-C15V330JO</t>
  </si>
  <si>
    <t>9,690</t>
  </si>
  <si>
    <t>EP400PRL250/2-3+1-L30FF</t>
  </si>
  <si>
    <t>EP 250/2-3+1,BB400-profiel L30</t>
  </si>
  <si>
    <t>10,950</t>
  </si>
  <si>
    <t>Chevron, Standaard kwaliteit ; EP 250/2-3+1 met L30 profiel</t>
  </si>
  <si>
    <t>Chevron, Standardqualität ; EP 250/2-3+1 mit L30 Profil</t>
  </si>
  <si>
    <t>Chevron, Standard Quality ; EP 250/2-3+1 with L30 profile</t>
  </si>
  <si>
    <t>Chevron, Qualité standard ; EP 250/2-3+1 met L30 profil</t>
  </si>
  <si>
    <t>Bandweefseltype: EP ; Treksterkte: 250 N/mm ; Aantal inlagen: 2 ; Bovendek: 3 mm ; Onderdek:  mm 1 ; Bandbreedte: 400 mm ; Profiel hoogte: 17 mm ; Profiel breedte: 300 mm ; Profiel type: open Y</t>
  </si>
  <si>
    <t>Gewebetype: EP ; Zugfestigkeit: 250 N/mm ; Anzahl Einlagen: 2 ; Oberdeck: 3 mm ; Unterdeck: 1 mm ; Gurtbreite: 400 mm ; Profilhöhe: 17 mm ; Profilbreite: 300 mm ; Profiltyp: offen Y</t>
  </si>
  <si>
    <t>Fabric type: EP ; Tensile strength: 250 N/mm ; Number of plies: 2 ; Topcover: 3 mm ; Bottomcover: 1 mm ; Beltwidth: 400 mm ; Profile height: 17 mm ; Profile width: 300 mm ; Profile type: open Y</t>
  </si>
  <si>
    <t>Carcasse: EP ; Résistance à la traction: 250 N/mm ; Nombre de plis: 2 ; Revêtement supérieur: 3 mm ; Revêtement inférieur: 1 mm ; Largeur de bande: 400 mm ; Hauteur du profil: 17 mm ; Largeur du profil: 300 mm ; Type de profil: Y Ouvert</t>
  </si>
  <si>
    <t>EP400PRL250/2-3+1-L30HY</t>
  </si>
  <si>
    <t>EP400PRL250/2-3+1-L30JO</t>
  </si>
  <si>
    <t>EP400PRL250/2-3+2-MULTIVHY</t>
  </si>
  <si>
    <t>EP 250/2-3+2,BB400-Multi V profiel 6 mm</t>
  </si>
  <si>
    <t>12,103</t>
  </si>
  <si>
    <t>Bandweefseltype: EP ; Treksterkte: 250 N/mm ; Aantal inlagen: 2 ; Bovendek: 3 mm ; Onderdek: 2 mm ; Bandbreedte: 400 mm ; Profiel hoogte: 6 mm ; Profiel breedte: Volledige bandbreedte ; Type: V6</t>
  </si>
  <si>
    <t>Gewebetype: EP ; Zugfestigkeit: 250 N/mm ; Anzahl Einlagen: 2 ; Oberdeck: 3 mm ; Unterdeck: 2 mm ; Gurtbreite: 400 mm ; Profilhöhe: 6 mm ; Profilbreite: Komplette Gurtbreite ; Profiltyp: V6</t>
  </si>
  <si>
    <t>Fabric type: EP ; Tensile strength: 250 N/mm ; Number of plies: 2 ; Topcover: 3 mm ; Bottomcover: 2 mm ; Beltwidth: 400 mm ; Profile height: 6 mm ; Profile width: Full belt width ; Profile type: V6</t>
  </si>
  <si>
    <t>Carcasse: EP ; Résistance à la traction: 250 N/mm ; Nombre de plis: 2 ; Revêtement supérieur: 3 mm ; Revêtement inférieur: 2 mm ; Largeur de bande: 400 mm ; Hauteur du profil: 6 mm ; Largeur du profil: Sur toute la largeur ; Type de profil: V6</t>
  </si>
  <si>
    <t>EP400PRL250/2-3+2-MULTIVSH</t>
  </si>
  <si>
    <t>7,380</t>
  </si>
  <si>
    <t>Bandweefseltype: EP ; Treksterkte: 250 N/mm ; Aantal inlagen: 2 ; Bovendek: 3 mm ; Onderdek: 2 mm ; Bandbreedte: 400 mm ; Profiel hoogte: 6 mm ; Profiel breedte: Volledige bandbreedte ; Type: V7</t>
  </si>
  <si>
    <t>Gewebetype: EP ; Zugfestigkeit: 250 N/mm ; Anzahl Einlagen: 2 ; Oberdeck: 3 mm ; Unterdeck: 2 mm ; Gurtbreite: 400 mm ; Profilhöhe: 6 mm ; Profilbreite: Komplette Gurtbreite ; Profiltyp: V7</t>
  </si>
  <si>
    <t>Fabric type: EP ; Tensile strength: 250 N/mm ; Number of plies: 2 ; Topcover: 3 mm ; Bottomcover: 2 mm ; Beltwidth: 400 mm ; Profile height: 6 mm ; Profile width: Full belt width ; Profile type: V7</t>
  </si>
  <si>
    <t>Carcasse: EP ; Résistance à la traction: 250 N/mm ; Nombre de plis: 2 ; Revêtement supérieur: 3 mm ; Revêtement inférieur: 2 mm ; Largeur de bande: 400 mm ; Hauteur du profil: 6 mm ; Largeur du profil: Sur toute la largeur ; Type de profil: V7</t>
  </si>
  <si>
    <t>EP400PRL315/3-2+0-C5P260FF</t>
  </si>
  <si>
    <t>EP 315/3-2+0,BB400, V-profiel C5 P260</t>
  </si>
  <si>
    <t>02-07_Salt</t>
  </si>
  <si>
    <t xml:space="preserve">Chevron, voor zoutstrooimachines ; EP 315/3-2+0 met V5 profiel </t>
  </si>
  <si>
    <t>Chevron, für Salzstreumachine ; EP 315/3-2+0 mit V5 Profil</t>
  </si>
  <si>
    <t xml:space="preserve">Chevron, for road salt machines ; EP 315/3-2+0 with V5 profile </t>
  </si>
  <si>
    <t xml:space="preserve">Chevron, pour machine à épandre le sel ; EP 315/3-2+0 avec V5 profil </t>
  </si>
  <si>
    <t>Bandweefseltype: EP ; Treksterkte: 315 N/mm ; Aantal inlagen: 3 ; Bovendek: 2 mm ; Onderdek:  mm 0 ; Bandbreedte: 400 mm ; Profiel hoogte: 5 mm ; Profiel breedte: 260 mm ; Profiel type: Gesloten V</t>
  </si>
  <si>
    <t>Gewebetype: EP ; Zugfestigkeit: 315 N/mm ; Anzahl Einlagen: 3 ; Oberdeck: 2 mm ; Unterdeck: 0 mm ; Gurtbreite: 400 mm ; Profilhöhe: 5 mm ; Profilbreite: 260 mm ; Profiltyp: Geschlossen V</t>
  </si>
  <si>
    <t>Fabric type: EP ; Tensile strength: 315 N/mm ; Number of plies: 3 ; Topcover: 2 mm ; Bottomcover: 0 mm ; Beltwidth: 400 mm ; Profile height: 5 mm ; Profile width: 260 mm ; Profile type: Closed V</t>
  </si>
  <si>
    <t>Carcasse: EP ; Résistance à la traction: 315 N/mm ; Nombre de plis: 3 ; Revêtement supérieur: 2 mm ; Revêtement inférieur: 0 mm ; Largeur de bande: 400 mm ; Hauteur du profil: 5 mm ; Largeur du profil: 260 mm ; Type de profil: V Fermé</t>
  </si>
  <si>
    <t>Door het aanwezige profiel komt het zout mooi en egaal op de gehele strooischijf terecht.</t>
  </si>
  <si>
    <t>Durch das vorhandene Profil landet das Salz gleichmäßig verteilt auf der gesamten Streuscheibe.</t>
  </si>
  <si>
    <t>Due to the existing profile, the salt ends up nicely and evenly on the entire spreading disc.</t>
  </si>
  <si>
    <t>Grâce au profil existant, le sel se retrouve bien et uniformément sur l'ensemble du disque d'épandage.</t>
  </si>
  <si>
    <t>EP400PRL400/3-3+1½-C15V330FF</t>
  </si>
  <si>
    <t>EP 400/3-3+1½,BB400-profiel C15V330</t>
  </si>
  <si>
    <t>12,520</t>
  </si>
  <si>
    <t>Chevron, Standaard kwaliteit ; EP 400/3-3+1½ met C15V330 profiel</t>
  </si>
  <si>
    <t>Chevron, Standardqualität ; EP 400/3-3+1½ mit C15V330 Profil</t>
  </si>
  <si>
    <t>Chevron, Standard Quality ; EP 400/3-3+1½ with C15V330 profile</t>
  </si>
  <si>
    <t>Chevron, Qualité standard ; EP 400/3-3+1½ met C15V330 profil</t>
  </si>
  <si>
    <t>Bandweefseltype: EP ; Treksterkte: 400 N/mm ; Aantal inlagen: 3 ; Bovendek: 3 mm ; Onderdek:  mm 1½ ; Bandbreedte: 400 mm ; Profiel hoogte: 15 mm ; Profiel breedte: 330 mm ; Profiel type: Gesloten V</t>
  </si>
  <si>
    <t>Gewebetype: EP ; Zugfestigkeit: 400 N/mm ; Anzahl Einlagen: 3 ; Oberdeck: 3 mm ; Unterdeck: 1½ mm ; Gurtbreite: 400 mm ; Profilhöhe: 15 mm ; Profilbreite: 330 mm ; Profiltyp:Geschlossen V</t>
  </si>
  <si>
    <t>Fabric type: EP ; Tensile strength: 400 N/mm ; Number of plies: 3 ; Topcover: 3 mm ; Bottomcover: 1½ mm ; Beltwidth: 400 mm ; Profile height: 15 mm ; Profile width: 330 mm ; Profile type: Closed V</t>
  </si>
  <si>
    <t>Carcasse: EP ; Résistance à la traction: 400 N/mm ; Nombre de plis: 3 ; Revêtement supérieur: 3 mm ; Revêtement inférieur: 1½ mm ; Largeur de bande: 400 mm ; Hauteur du profil: 15 mm ; Largeur du profil: 330 mm ; Type de profil: V Fermé</t>
  </si>
  <si>
    <t>EP400PRL400/3-3+1½-C15V330HY</t>
  </si>
  <si>
    <t>EP400PRL400/3-3+1½-C15V330JO</t>
  </si>
  <si>
    <t>EP400PRL400/3-3+1-L30HY</t>
  </si>
  <si>
    <t>EP 400/3-3+1,BB400-profiel L30</t>
  </si>
  <si>
    <t>31,000</t>
  </si>
  <si>
    <t>15,100</t>
  </si>
  <si>
    <t>Chevron, Standaard kwaliteit ; EP 400/3-3+1 met L30 profiel</t>
  </si>
  <si>
    <t>Chevron, Standardqualität ; EP 400/3-3+1 mit L30 Profil</t>
  </si>
  <si>
    <t>Chevron, Standard Quality ; EP 400/3-3+1 with L30 profile</t>
  </si>
  <si>
    <t>Chevron, Qualité standard ; EP 400/3-3+1 met L30 profil</t>
  </si>
  <si>
    <t>Bandweefseltype: EP ; Treksterkte: 400 N/mm ; Aantal inlagen: 3 ; Bovendek: 3 mm ; Onderdek:  mm 1 ; Bandbreedte: 400 mm ; Profiel hoogte: 17 mm ; Profiel breedte: 300 mm ; Profiel type: open Y</t>
  </si>
  <si>
    <t>Gewebetype: EP ; Zugfestigkeit: 400 N/mm ; Anzahl Einlagen: 3 ; Oberdeck: 3 mm ; Unterdeck: 1 mm ; Gurtbreite: 400 mm ; Profilhöhe: 17 mm ; Profilbreite: 300 mm ; Profiltyp: offen Y</t>
  </si>
  <si>
    <t>Fabric type: EP ; Tensile strength: 400 N/mm ; Number of plies: 3 ; Topcover: 3 mm ; Bottomcover: 1 mm ; Beltwidth: 400 mm ; Profile height: 17 mm ; Profile width: 300 mm ; Profile type: open Y</t>
  </si>
  <si>
    <t>Carcasse: EP ; Résistance à la traction: 400 N/mm ; Nombre de plis: 3 ; Revêtement supérieur: 3 mm ; Revêtement inférieur: 1 mm ; Largeur de bande: 400 mm ; Hauteur du profil: 17 mm ; Largeur du profil: 300 mm ; Type de profil: Y Ouvert</t>
  </si>
  <si>
    <t>EP400PRL400/3-3+1-L30JO</t>
  </si>
  <si>
    <t>11,480</t>
  </si>
  <si>
    <t>EP400PRL400/3-3+2-MULTIVHY</t>
  </si>
  <si>
    <t>EP 400/3-3+2,BB400-Multi V profiel 6 mm</t>
  </si>
  <si>
    <t>18,250</t>
  </si>
  <si>
    <t>Bandweefseltype: EP ; Treksterkte: 400 N/mm ; Aantal inlagen: 3 ; Bovendek: 3 mm ; Onderdek: 2 mm ; Bandbreedte: 400 mm ; Profiel hoogte: 6 mm ; Profiel breedte: Volledige bandbreedte ; Type: V6</t>
  </si>
  <si>
    <t>Gewebetype: EP ; Zugfestigkeit: 400 N/mm ; Anzahl Einlagen: 3 ; Oberdeck: 3 mm ; Unterdeck: 2 mm ; Gurtbreite: 400 mm ; Profilhöhe: 6 mm ; Profilbreite: Komplette Gurtbreite ; Profiltyp: V6</t>
  </si>
  <si>
    <t>Fabric type: EP ; Tensile strength: 400 N/mm ; Number of plies: 3 ; Topcover: 3 mm ; Bottomcover: 2 mm ; Beltwidth: 400 mm ; Profile height: 6 mm ; Profile width: Full belt width ; Profile type: V6</t>
  </si>
  <si>
    <t>Carcasse: EP ; Résistance à la traction: 400 N/mm ; Nombre de plis: 3 ; Revêtement supérieur: 3 mm ; Revêtement inférieur: 2 mm ; Largeur de bande: 400 mm ; Hauteur du profil: 6 mm ; Largeur du profil: Sur toute la largeur ; Type de profil: V6</t>
  </si>
  <si>
    <t>EP400PRL400/3-3+2-MULTIVSH</t>
  </si>
  <si>
    <t>8,040</t>
  </si>
  <si>
    <t>Bandweefseltype: EP ; Treksterkte: 400 N/mm ; Aantal inlagen: 3 ; Bovendek: 3 mm ; Onderdek: 2 mm ; Bandbreedte: 400 mm ; Profiel hoogte: 6 mm ; Profiel breedte: Volledige bandbreedte ; Type: V7</t>
  </si>
  <si>
    <t>Gewebetype: EP ; Zugfestigkeit: 400 N/mm ; Anzahl Einlagen: 3 ; Oberdeck: 3 mm ; Unterdeck: 2 mm ; Gurtbreite: 400 mm ; Profilhöhe: 6 mm ; Profilbreite: Komplette Gurtbreite ; Profiltyp: V7</t>
  </si>
  <si>
    <t>Fabric type: EP ; Tensile strength: 400 N/mm ; Number of plies: 3 ; Topcover: 3 mm ; Bottomcover: 2 mm ; Beltwidth: 400 mm ; Profile height: 6 mm ; Profile width: Full belt width ; Profile type: V7</t>
  </si>
  <si>
    <t>Carcasse: EP ; Résistance à la traction: 400 N/mm ; Nombre de plis: 3 ; Revêtement supérieur: 3 mm ; Revêtement inférieur: 2 mm ; Largeur de bande: 400 mm ; Hauteur du profil: 6 mm ; Largeur du profil: Sur toute la largeur ; Type de profil: V7</t>
  </si>
  <si>
    <t>EP400PRL500/3-2+0-C5P260FF</t>
  </si>
  <si>
    <t>EP 500/3-2+0,BB400, V-profiel C5 P260 - Nido</t>
  </si>
  <si>
    <t>11,240</t>
  </si>
  <si>
    <t xml:space="preserve">Chevron, voor zoutstrooimachines ; EP 500/3-2+0 met V5 profiel </t>
  </si>
  <si>
    <t>Chevron, für Salzstreumachine ; EP 500/3-2+0 mit V5 Profil</t>
  </si>
  <si>
    <t xml:space="preserve">Chevron, for road salt machines ; EP 500/3-2+0with V5 profile </t>
  </si>
  <si>
    <t xml:space="preserve">Chevron, pour machine à épandre le sel ; EP 500/3-2+0 avec V5 profil </t>
  </si>
  <si>
    <t>Bandweefseltype: EP ; Treksterkte: 500 N/mm ; Aantal inlagen: 3 ; Bovendek: 2 mm ; Onderdek:  mm 0 ; Bandbreedte: 400 mm ; Profiel hoogte: 5 mm ; Profiel breedte: 260 mm ; Profiel type: Gesloten V</t>
  </si>
  <si>
    <t>Gewebetype: EP ; Zugfestigkeit: 500 N/mm ; Anzahl Einlagen: 3 ; Oberdeck: 2 mm ; Unterdeck: 0 mm ; Gurtbreite: 400 mm ; Profilhöhe: 5 mm ; Profilbreite: 260 mm ; Profiltyp: Geschlossen V</t>
  </si>
  <si>
    <t>EP400PRL500/3-2+0-V5P260-TA</t>
  </si>
  <si>
    <t>EP 500/3-2+0,BB400, V-profiel V5P260</t>
  </si>
  <si>
    <t>15,530</t>
  </si>
  <si>
    <t>EP400SGG250/2-3+0HY</t>
  </si>
  <si>
    <t>EP 250/2-3+0,BB400, Supergrip/glijband</t>
  </si>
  <si>
    <t>6,120</t>
  </si>
  <si>
    <t>Gewebetype: EP ; Zugfestigkeit: 250 N/mm ; Anzahl Einlagen: 2 ; Oberdeck: 3 mm ; Unterdeck: 0 mm ; Gurtbreite: 400 mm ; Supergrip / Rough Top Schwarz</t>
  </si>
  <si>
    <t>Fabric type: EP ; Tensile strength: 250 N/mm ; Number of plies: 2 ; Topcover: 3 mm ; Bottomcover: 0 mm ; Beltwidth: 400 mm ; Supergrip / Rough Top Black</t>
  </si>
  <si>
    <t>Carcasse: EP ; Tension de service: 250 N/mm ; Nombre de plis: 2 ; Revêtement supérieur: 3 mm ; Revêtement inférieur: 0 mm ; Largeur de bande: 400 mm ; Nid d'abeille Noir</t>
  </si>
  <si>
    <t>EP400SGG400/3-3+0HY</t>
  </si>
  <si>
    <t>EP 400/3-3+0-BB400, Supergrip/glijband</t>
  </si>
  <si>
    <t>9,000</t>
  </si>
  <si>
    <t>Bandweefseltype: EP ; Treksterkte: 400 N/mm ; Aantal inlagen: 3 ; Bovendek: 3 mm ; Onderdek: 0 mm ; Bandbreedte: 400 mm ; Supergrip / Rough Top Zwart</t>
  </si>
  <si>
    <t>Gewebetype: EP ; Zugfestigkeit: 400 N/mm ; Anzahl Einlagen: 3 ; Oberdeck: 3 mm ; Unterdeck: 0 mm ; Gurtbreite: 400 mm ; Supergrip / Rough Top Schwarz</t>
  </si>
  <si>
    <t>Fabric type: EP ; Tensile strength: 400 N/mm ; Number of plies: 3 ; Topcover: 3 mm ; Bottomcover: 0 mm ; Beltwidth: 400 mm ; Supergrip / Rough Top Black</t>
  </si>
  <si>
    <t>Carcasse: EP ; Tension de service: 400 N/mm ; Nombre de plis: 3 ; Revêtement supérieur: 3 mm ; Revêtement inférieur: 0 mm ; Largeur de bande: 400 mm ; Nid d'abeille Noir</t>
  </si>
  <si>
    <t>EP400SGR250/2-3+1HY</t>
  </si>
  <si>
    <t>EP 250/2-3+1,BB400, Supergrip zwart</t>
  </si>
  <si>
    <t>7,790</t>
  </si>
  <si>
    <t>Bandweefseltype: EP ; Treksterkte: 250 N/mm ; Aantal inlagen: 2 ; Bovendek: 3 mm ; Onderdek: 1 mm ; Bandbreedte: 400 mm ; Supergrip / Rough Top Zwart</t>
  </si>
  <si>
    <t>Gewebetype: EP ; Zugfestigkeit: 250 N/mm ; Anzahl Einlagen: 2 ; Oberdeck: 3 mm ; Unterdeck: 1 mm ; Gurtbreite: 400 mm ; Supergrip / Rough Top Schwarz</t>
  </si>
  <si>
    <t>Fabric type: EP ; Tensile strength: 250 N/mm ; Number of plies: 2 ; Topcover: 3 mm ; Bottomcover: 1 mm ; Beltwidth: 400 mm ; Supergrip / Rough Top Black</t>
  </si>
  <si>
    <t>Carcasse: EP ; Résistance à la traction: 250 N/mm ; Nombre de plis: 2 ; Revêtement supérieur: 3 mm ; Revêtement inférieur: 1 mm ; Largeur de bande: 400 mm ; Nid d'abeille Noir</t>
  </si>
  <si>
    <t>EP400SGR400/3-3+1HY</t>
  </si>
  <si>
    <t>EP 400/3-3+1,BB400, Supergrip zwart</t>
  </si>
  <si>
    <t>11,440</t>
  </si>
  <si>
    <t>Bandweefseltype: EP ; Treksterkte: 400 N/mm ; Aantal inlagen: 3 ; Bovendek: 3 mm ; Onderdek: 1 mm ; Bandbreedte: 400 mm ; Supergrip / Rough Top Zwart</t>
  </si>
  <si>
    <t>Gewebetype: EP ; Zugfestigkeit: 400 N/mm ; Anzahl Einlagen: 3 ; Oberdeck: 3 mm ; Unterdeck: 1 mm ; Gurtbreite: 400 mm ; Supergrip / Rough Top Schwarz</t>
  </si>
  <si>
    <t>Fabric type: EP ; Tensile strength: 400 N/mm ; Number of plies: 3 ; Topcover: 3 mm ; Bottomcover: 1 mm ; Beltwidth: 400 mm ; Supergrip / Rough Top Black</t>
  </si>
  <si>
    <t>Carcasse: EP ; Résistance à la traction: 400 N/mm ; Nombre de plis: 3 ; Revêtement supérieur: 3 mm ; Revêtement inférieur: 1 mm ; Largeur de bande: 400 mm ; Nid d'abeille Noir</t>
  </si>
  <si>
    <t>EP400XXX100/1-1+1HY</t>
  </si>
  <si>
    <t>EP 100/1-1+1,BB400</t>
  </si>
  <si>
    <t>5,180</t>
  </si>
  <si>
    <t>Bandweefseltype: EP ; Treksterkte: 100 N/mm ; Aantal inlagen: 1 ; Bovendek: 1 mm ; Onderdek: 1 mm ; Bandbreedte: 400 mm</t>
  </si>
  <si>
    <t>Gewebetype: EP ; Zugfestigkeit: 100 N/mm ; Anzahl Einlagen: 1 ; Oberdeck: 1 mm ; Unterdeck: 1 mm ; Gurtbreite: 400 mm</t>
  </si>
  <si>
    <t>Fabric type: EP ; Tensile strength: 100 N/mm ; Number of plies: 1 ; Topcover: 1 mm ; Bottomcover: 1 mm ; Beltwidth: 400 mm</t>
  </si>
  <si>
    <t>Carcasse: EP ; Résistance à la traction: 100 N/mm ; Nombre de plis: 1 ; Revêtement supérieur: 1 mm ; Revêtement inférieur: 1 mm ; Largeur de bande: 400 mm</t>
  </si>
  <si>
    <t>EP400XXX200/2-2+1HY</t>
  </si>
  <si>
    <t>EP 200/2-2+1,BB400</t>
  </si>
  <si>
    <t>5,670</t>
  </si>
  <si>
    <t>Bandweefseltype: EP ; Treksterkte: 200 N/mm ; Aantal inlagen: 2 ; Bovendek: 2 mm ; Onderdek: 1 mm ; Bandbreedte: 400 mm</t>
  </si>
  <si>
    <t>Gewebetype: EP ; Zugfestigkeit: 200 N/mm ; Anzahl Einlagen: 2 ; Oberdeck: 2 mm ; Unterdeck: 1 mm ; Gurtbreite: 400 mm</t>
  </si>
  <si>
    <t>Fabric type: EP ; Tensile strength: 200 N/mm ; Number of plies: 2 ; Topcover: 2 mm ; Bottomcover: 1 mm ; Beltwidth: 400 mm</t>
  </si>
  <si>
    <t>Carcasse: EP ; Résistance à la traction: 200 N/mm ; Nombre de plis: 2 ; Revêtement supérieur: 2 mm ; Revêtement inférieur: 1 mm ; Largeur de bande: 400 mm</t>
  </si>
  <si>
    <t>EP400XXX200/2-2+1KA</t>
  </si>
  <si>
    <t>12,800</t>
  </si>
  <si>
    <t>5,750</t>
  </si>
  <si>
    <t>EP400XXX250/2-3+1HY</t>
  </si>
  <si>
    <t>EP 250/2-3+1,BB400</t>
  </si>
  <si>
    <t>6,880</t>
  </si>
  <si>
    <t>Bandweefseltype: EP ; Treksterkte: 250 N/mm ; Aantal inlagen: 2 ; Bovendek: 3 mm ; Onderdek: 1 mm ; Bandbreedte: 400 mm</t>
  </si>
  <si>
    <t>Gewebetype: EP ; Zugfestigkeit: 250 N/mm ; Anzahl Einlagen: 2 ; Oberdeck: 3 mm ; Unterdeck: 1 mm ; Gurtbreite: 400 mm</t>
  </si>
  <si>
    <t>Fabric type: EP ; Tensile strength: 250 N/mm ; Number of plies: 2 ; Topcover: 3 mm ; Bottomcover: 1 mm ; Beltwidth: 400 mm</t>
  </si>
  <si>
    <t>Carcasse: EP ; Résistance à la traction: 250 N/mm ; Nombre de plis: 2 ; Revêtement supérieur: 3 mm ; Revêtement inférieur: 1 mm ; Largeur de bande: 400 mm</t>
  </si>
  <si>
    <t>EP400XXX250/2-3+1JO</t>
  </si>
  <si>
    <t>5,880</t>
  </si>
  <si>
    <t>EP400XXX250/2-3+1KA</t>
  </si>
  <si>
    <t>6,670</t>
  </si>
  <si>
    <t>EP400XXX250/2-4+2KA</t>
  </si>
  <si>
    <t>EP 250/2-4+2,BB400</t>
  </si>
  <si>
    <t>7,300</t>
  </si>
  <si>
    <t>Meerlaags, Slijtvast, Standaard kwaliteit ; EP 250/2-4+2</t>
  </si>
  <si>
    <t>Mehrlagig, Abriebfest, Standardqualität ; EP 250/2-4+2</t>
  </si>
  <si>
    <t>Multiply, Abrasion resistant, Standard Quality ; EP 250/2-4+2</t>
  </si>
  <si>
    <t>Multiplis, Anti-abrasion, Qualité standard ; EP 250/2-4+2</t>
  </si>
  <si>
    <t>Bandweefseltype: EP ; Treksterkte: 250 N/mm ; Aantal inlagen: 2 ; Bovendek: 4 mm ; Onderdek: 2 mm ; Bandbreedte: 1000 mm</t>
  </si>
  <si>
    <t>Gewebetype: EP ; Zugfestigkeit: 250 N/mm ; Anzahl Einlagen: 2 ; Oberdeck: 4 mm ; Unterdeck: 2 mm ; Gurtbreite: 400 mm</t>
  </si>
  <si>
    <t>Fabric type: EP ; Tensile strength: 250 N/mm ; Number of plies: 2 ; Topcover: 4 mm ; Bottomcover: 2 mm ; Beltwidth: 400 mm</t>
  </si>
  <si>
    <t>Carcasse: EP ; Résistance à la traction: 250 N/mm ; Nombre de plis: 2 ; Revêtement supérieur: 4 mm ; Revêtement inférieur: 2 mm ; Largeur de bande: 400 mm</t>
  </si>
  <si>
    <t>EP400XXX315/2-4+2KA</t>
  </si>
  <si>
    <t>EP 315/2-4+2,BB400</t>
  </si>
  <si>
    <t>6,850</t>
  </si>
  <si>
    <t>Bandweefseltype: EP ; Treksterkte: 315 N/mm ; Aantal inlagen: 2 ; Bovendek: 4 mm ; Onderdek: 2 mm ; Bandbreedte: 400 mm</t>
  </si>
  <si>
    <t>Gewebetype: EP ; Zugfestigkeit: 315 N/mm ; Anzahl Einlagen: 2 ; Oberdeck: 4 mm ; Unterdeck: 2 mm ; Gurtbreite: 400 mm</t>
  </si>
  <si>
    <t>Fabric type: EP ; Tensile strength: 315 N/mm ; Number of plies: 2 ; Topcover: 4 mm ; Bottomcover: 2 mm ; Beltwidth: 400 mm</t>
  </si>
  <si>
    <t>Carcasse: EP ; Résistance à la traction: 315 N/mm ; Nombre de plis: 2 ; Revêtement supérieur: 4 mm ; Revêtement inférieur: 2 mm ; Largeur de bande: 400 mm</t>
  </si>
  <si>
    <t>EP400XXX315/2-4+2SH</t>
  </si>
  <si>
    <t>6,730</t>
  </si>
  <si>
    <t>EP400XXX400/3-3+1½KA</t>
  </si>
  <si>
    <t>EP 400/3-3+1½,BB400</t>
  </si>
  <si>
    <t>7,950</t>
  </si>
  <si>
    <t>Bandweefseltype: EP ; Treksterkte: 400N/mm ; Aantal inlagen: 3 ; Bovendek: 3 mm ; Onderdek: 1½ mm ; Bandbreedte: 400 mm</t>
  </si>
  <si>
    <t>Gewebetype: EP ; Zugfestigkeit: 400 N/mm ; Anzahl Einlagen: 3 ; Oberdeck: 3 mm ; Unterdeck: 1½ mm ; Gurtbreite: 400 mm</t>
  </si>
  <si>
    <t>Fabric type: EP ; Tensile strength: 400 N/mm ; Number of plies: 3 ; Topcover: 3 mm ; Bottomcover: 1½ mm ; Beltwidth: 400 mm</t>
  </si>
  <si>
    <t>Carcasse: EP ; Résistance à la traction: 400 N/mm ; Nombre de plis: 3 ; Revêtement supérieur: 3 mm ; Revêtement inférieur: 1½ mm ; Largeur de bande: 400 mm</t>
  </si>
  <si>
    <t>EP400XXX400/3-3+1½SH</t>
  </si>
  <si>
    <t>6,860</t>
  </si>
  <si>
    <t>EP400XXX400/3-4+2FF</t>
  </si>
  <si>
    <t>EP 400/3-4+2,BB400</t>
  </si>
  <si>
    <t>7,510</t>
  </si>
  <si>
    <t>Bandweefseltype: EP ; Treksterkte: 400N/mm ; Aantal inlagen: 3 ; Bovendek: 4 mm ; Onderdek: 2 mm ; Bandbreedte: 400 mm</t>
  </si>
  <si>
    <t>Gewebetype: EP ; Zugfestigkeit: 400 N/mm ; Anzahl Einlagen: 3 ; Oberdeck: 4 mm ; Unterdeck: 2 mm ; Gurtbreite: 400 mm</t>
  </si>
  <si>
    <t>Fabric type: EP ; Tensile strength: 400 N/mm ; Number of plies: 3 ; Topcover: 4 mm ; Bottomcover: 2 mm ; Beltwidth: 400 mm</t>
  </si>
  <si>
    <t>Carcasse: EP ; Résistance à la traction: 400 N/mm ; Nombre de plis: 3 ; Revêtement supérieur: 4 mm ; Revêtement inférieur: 2 mm ; Largeur de bande: 400 mm</t>
  </si>
  <si>
    <t>EP400XXX400/3-4+2KA</t>
  </si>
  <si>
    <t>EP400XXX400/3-4+2SH</t>
  </si>
  <si>
    <t>7,346</t>
  </si>
  <si>
    <t>EP400XXX500/4-3+1KA</t>
  </si>
  <si>
    <t>EP 500/4-3+1,BB400</t>
  </si>
  <si>
    <t>8,660</t>
  </si>
  <si>
    <t>EP400XXX630/4-2+2-ELEVATORSA</t>
  </si>
  <si>
    <t>EP 630/4-2+2-BB400 ELEVATOR</t>
  </si>
  <si>
    <t>Bandweefseltype: EP ; Treksterkte: 630 N/mm ; Aantal inlagen: 4 ; Bovendek: 2 mm ; Onderdek: 2 mm ; Bandbreedte: 400 mm ; Elevator</t>
  </si>
  <si>
    <t>Gewebetype: EP ; Zugfestigkeit: 630 N/mm ; Anzahl Einlagen: 4 ; Oberdeck: 2 mm ; Unterdeck: 2 mm ; Gurtbreite: 400 mm ; Elevator</t>
  </si>
  <si>
    <t>Fabric type: EP ; Tensile strength: 630 N/mm ; Number of plies: 4 ; Topcover: 2 mm ; Bottomcover: 2 mm ; Beltwidth: 400 mm ; Elevator</t>
  </si>
  <si>
    <t xml:space="preserve">Carcasse: EP ; Tension de service: 630 N/mm ; Nombre de plis: 4 ; Revêtement supérieur: 2 mm ; Revêtement inférieur: 2 mm ; Largeur de bande: 400 mm ;  Sangle Elévatrice
</t>
  </si>
  <si>
    <t>EP400XXX800/4-2+2-ELEVATORSA</t>
  </si>
  <si>
    <t>EP 800/4-2+2-BB400 ELEVATOR</t>
  </si>
  <si>
    <t>12,030</t>
  </si>
  <si>
    <t>Bandweefseltype: EP ; Treksterkte: 800 N/mm ; Aantal inlagen: 4 ; Bovendek: 2 mm ; Onderdek: 2 mm ; Bandbreedte: 400 mm ; Elevator</t>
  </si>
  <si>
    <t>Gewebetype: EP ; Zugfestigkeit: 800 N/mm ; Anzahl Einlagen: 4 ; Oberdeck: 2 mm ; Unterdeck: 2 mm ; Gurtbreite: 400 mm ; Elevator</t>
  </si>
  <si>
    <t>Fabric type: EP ; Tensile strength: 800 N/mm ; Number of plies: 4 ; Topcover: 2 mm ; Bottomcover: 2 mm ; Beltwidth: 400 mm ; Elevator</t>
  </si>
  <si>
    <t xml:space="preserve">Carcasse: EP ; Tension de service: 800 N/mm ; Nombre de plis: 4 ; Revêtement supérieur: 2 mm ; Revêtement inférieur: 2 mm ; Largeur de bande: 400 mm ;  Sangle Elévatrice
</t>
  </si>
  <si>
    <t>EP420OVX630/4-2+2-ELEVATORSA</t>
  </si>
  <si>
    <t>EP 630/4-2+2-BB420 ELEVATOR-OV</t>
  </si>
  <si>
    <t>12,610</t>
  </si>
  <si>
    <t>EP420XXX630/4-2+2-ELEVATORSA</t>
  </si>
  <si>
    <t>EP 630/4-2+2-BB420 ELEVATOR</t>
  </si>
  <si>
    <t>12,950</t>
  </si>
  <si>
    <t>EP420XXX800/4-2+2-ELEVATORSA</t>
  </si>
  <si>
    <t>EP 800/4-2+2-BB420 ELEVATOR</t>
  </si>
  <si>
    <t>11,600</t>
  </si>
  <si>
    <t>EP430OVX630/4-2+2-ELEVATORSA</t>
  </si>
  <si>
    <t>EP 630/4-2+2-BB430 ELEVATOR-OV</t>
  </si>
  <si>
    <t>13,140</t>
  </si>
  <si>
    <t>EP430OVX800/4-2+2-ELEVATORSA</t>
  </si>
  <si>
    <t>EP 800/4-2+2-BB430 ELEVATOR-OV</t>
  </si>
  <si>
    <t>EP430XXX630/4-2+2-ELEVATORSA</t>
  </si>
  <si>
    <t>EP 630/4-2+2-BB430 ELEVATOR</t>
  </si>
  <si>
    <t>12,300</t>
  </si>
  <si>
    <t>EP440OVX800/4-2+2-ELEVATORSA</t>
  </si>
  <si>
    <t>EP 800/4-2+2-BB440 ELEVATOR-OV</t>
  </si>
  <si>
    <t>19,720</t>
  </si>
  <si>
    <t>EP450XXX1000/5-3+3-ELEVATORSA</t>
  </si>
  <si>
    <t>EP 1000/5-3+3-BB450 ELEVATOR</t>
  </si>
  <si>
    <t>13,790</t>
  </si>
  <si>
    <t>EP450XXX300/2-3+1½ZZ</t>
  </si>
  <si>
    <t>EP 300/2-3+1½,BB450</t>
  </si>
  <si>
    <t>EP450XXX630/4-2+2-ELEVATORSA</t>
  </si>
  <si>
    <t>EP 630/4-2+2-BB450 ELEVATOR</t>
  </si>
  <si>
    <t>12,880</t>
  </si>
  <si>
    <t>EP460XXX630/4-2+2-ELEVATORSA</t>
  </si>
  <si>
    <t>EP 630/4-2+2-BB460 ELEVATOR</t>
  </si>
  <si>
    <t>13,160</t>
  </si>
  <si>
    <t>EP470OVX800/4-2+2-ELEVATORSA</t>
  </si>
  <si>
    <t>EP 800/4-2+2-BB470 ELEVATOR-OV</t>
  </si>
  <si>
    <t>15,050</t>
  </si>
  <si>
    <t>EP480PRG250/2-3+2-MULTIVSH</t>
  </si>
  <si>
    <t>EP 250/2-3+2,BB480-Multi V profiel 6 mm O&amp;V</t>
  </si>
  <si>
    <t>EP490PRL250/2-3+2-MULTIVHY</t>
  </si>
  <si>
    <t>EP 250/2-3+2,BB490-Multi V profiel 6 mm</t>
  </si>
  <si>
    <t>17,840</t>
  </si>
  <si>
    <t>EP490XXX200/2-2+1+ECOT50ELLB</t>
  </si>
  <si>
    <t>EP 200-2-2+1 eindloos met T50</t>
  </si>
  <si>
    <t>306,110</t>
  </si>
  <si>
    <t>EP490XXX630/4-2+2-ELEVATORSA</t>
  </si>
  <si>
    <t>EP 630/4-2+2-BB490 ELEVATOR</t>
  </si>
  <si>
    <t>EP500GLY250/2-2+0-EINDLMA</t>
  </si>
  <si>
    <t>EP 250/2-2+0,BB500-GLY-Eindloos - V Profiel 10mm</t>
  </si>
  <si>
    <t>17,780</t>
  </si>
  <si>
    <t>428,340</t>
  </si>
  <si>
    <t>EP500GLY250/2-2+0FF</t>
  </si>
  <si>
    <t>EP 250/2-2+0,BB500-GLY</t>
  </si>
  <si>
    <t>8,530</t>
  </si>
  <si>
    <t>Bandweefseltype: EP ; Treksterkte: 250 N/mm ; Aantal inlagen: 2 ; Bovendek: 2 mm ; Onderdek: 0 mm ; Bandbreedte: 500 mm</t>
  </si>
  <si>
    <t>Gewebetype: EP ; Zugfestigkeit: 250 N/mm ; Anzahl Einlagen: 2 ; Oberdeck: 2 mm ; Unterdeck: 0 mm ; Gurtbreite: 500 mm</t>
  </si>
  <si>
    <t>Fabric type: EP ; Tensile strength: 250 N/mm ; Number of plies: 2 ; Topcover: 2 mm ; Bottomcover: 0 mm ; Beltwidth: 500 mm</t>
  </si>
  <si>
    <t>Carcasse: EP ; Tension de service: 250 N/mm ; Nombre de plis: 2 ; Revêtement supérieur: 2 mm ; Revêtement inférieur: 0 mm ; Largeur de bande: 500 mm</t>
  </si>
  <si>
    <t>EP500GLY250/2-2+0HY</t>
  </si>
  <si>
    <t>9,440</t>
  </si>
  <si>
    <t>EP500GLY250/2-2+0JO</t>
  </si>
  <si>
    <t>EP500GLY400/3-2+0HY</t>
  </si>
  <si>
    <t>EP 400/3-2+0,BB500-GLY</t>
  </si>
  <si>
    <t>Bandweefseltype: EP ; Treksterkte: 400 N/mm ; Aantal inlagen: 3 ; Bovendek: 2 mm ; Onderdek: 0 mm ; Bandbreedte: 500 mm</t>
  </si>
  <si>
    <t>Gewebetype: EP ; Zugfestigkeit: 400 N/mm ; Anzahl Einlagen: 3 ; Oberdeck: 2 mm ; Unterdeck: 0 mm ; Gurtbreite: 500 mm</t>
  </si>
  <si>
    <t>Fabric type: EP ; Tensile strength: 400 N/mm ; Number of plies: 3 ; Topcover: 2 mm ; Bottomcover: 0 mm ; Beltwidth: 500 mm</t>
  </si>
  <si>
    <t>Carcasse: EP ; Tension de service: 400 N/mm ; Nombre de plis: 3 ; Revêtement supérieur: 2 mm ; Revêtement inférieur: 0 mm ; Largeur de bande: 500 mm</t>
  </si>
  <si>
    <t>EP500GLY400/3-2+0JO</t>
  </si>
  <si>
    <t>8,320</t>
  </si>
  <si>
    <t>EP500GLY400/3-2+0ZZ</t>
  </si>
  <si>
    <t>EP500GLY400/3-3+0HY</t>
  </si>
  <si>
    <t>EP 400/3-3+0,BB500-GLY</t>
  </si>
  <si>
    <t>13,200</t>
  </si>
  <si>
    <t>Bandweefseltype: EP ; Treksterkte: 400 N/mm ; Aantal inlagen: 3 ; Bovendek: 3 mm ; Onderdek: 0 mm ; Bandbreedte: 500 mm</t>
  </si>
  <si>
    <t>Gewebetype: EP ; Zugfestigkeit: 400 N/mm ; Anzahl Einlagen: 3 ; Oberdeck: 3 mm ; Unterdeck: 0 mm ; Gurtbreite: 500 mm</t>
  </si>
  <si>
    <t>Fabric type: EP ; Tensile strength: 400 N/mm ; Number of plies: 3 ; Topcover: 3 mm ; Bottomcover: 0 mm ; Beltwidth: 500 mm</t>
  </si>
  <si>
    <t>Carcasse: EP ; Tension de service: 400 N/mm ; Nombre de plis: 3 ; Revêtement supérieur: 3 mm ; Revêtement inférieur: 0 mm ; Largeur de bande: 500 mm</t>
  </si>
  <si>
    <t>EP500GLY400/3-3+0JO</t>
  </si>
  <si>
    <t>EP500GLY500/4-3+0HY</t>
  </si>
  <si>
    <t>EP 500/4-3+0,BB500-GLY</t>
  </si>
  <si>
    <t xml:space="preserve">Bandweefseltype: EP ; Treksterkte: 500 N/mm ; Aantal inlagen: 4 ; Bovendek: 3 mm ; Onderdek: 0 mm ; Bandbreedte: 500 mm </t>
  </si>
  <si>
    <t>Gewebetype: EP ; Zugfestigkeit: 500 N/mm ; Anzahl Einlagen: 4 ; Oberdeck: 3 mm ; Unterdeck: 0 mm ; Gurtbreite: 500</t>
  </si>
  <si>
    <t>Fabric type: EP ; Tensile strength: 500 N/mm ; Number of plies: 4 ; Topcover: 3 mm ; Bottomcover: 0 mm ; Beltwidth: 500</t>
  </si>
  <si>
    <t>EP500GLY500/4-6+0HY</t>
  </si>
  <si>
    <t>EP 500/4-6+0,BB500 GLY</t>
  </si>
  <si>
    <t>21,390</t>
  </si>
  <si>
    <t>Bandweefseltype: EP ; Treksterkte: 500 N/mm ; Aantal inlagen: 4 ; Bovendek: 6 mm ; Onderdek: 0 mm ; Bandbreedte: 500 mm</t>
  </si>
  <si>
    <t>Gewebetype: EP ; Zugfestigkeit: 500 N/mm ; Anzahl Einlagen: 4 ; Oberdeck: 6 mm ; Unterdeck: 0 mm ; Gurtbreite: 500 mm</t>
  </si>
  <si>
    <t>Fabric type: EP ; Tensile strength: 500 N/mm ; Number of plies: 4 ; Topcover: 6 mm ; Bottomcover: 0 mm ; Beltwidth: 500 mm</t>
  </si>
  <si>
    <t>Carcasse: EP ; Tension de service: 500 N/mm ; Nombre de plis: 4 ; Revêtement supérieur: 6 mm ; Revêtement inférieur: 0 mm ; Largeur de bande: 500 mm</t>
  </si>
  <si>
    <t>EP500GLY500/4-6+0JO</t>
  </si>
  <si>
    <t>15,140</t>
  </si>
  <si>
    <t>EP500GLY500/4-6+0ZZ</t>
  </si>
  <si>
    <t>13,880</t>
  </si>
  <si>
    <t>EP500GLY630/4-7+0SH</t>
  </si>
  <si>
    <t>EP 630/4-7+0,BB500 GLY</t>
  </si>
  <si>
    <t>14,320</t>
  </si>
  <si>
    <t>EP500HB400/3-5+2-150°PH</t>
  </si>
  <si>
    <t>EP 400/3-5+2,BB500,HB</t>
  </si>
  <si>
    <t>15,700</t>
  </si>
  <si>
    <t>Bandweefseltype: EP ; Treksterkte: 400 N/mm ; Aantal inlagen: 3 ; Bovendek: 5 mm ; Onderdek: 2 mm ; Bandbreedte: 500 mm ; Hittebestendig 150°-170°</t>
  </si>
  <si>
    <t>Fabric type: EP ; Tensile strength: 400 N/mm ; Number of plies: 3 ; Topcover: 5 mm ; Bottomcover: 2 mm ; Beltwidth: 500 mm ; Heat resistant 150°-170°</t>
  </si>
  <si>
    <t>EP500HB400/3-5+2-150°SA</t>
  </si>
  <si>
    <t>12,507</t>
  </si>
  <si>
    <t>EP500HB400/3-5+2-150°SL</t>
  </si>
  <si>
    <t>12,990</t>
  </si>
  <si>
    <t>EP500HB630/4-4+2-150°SA</t>
  </si>
  <si>
    <t>EP 630/4-4+2,BB500,HB</t>
  </si>
  <si>
    <t>EP500OVG250/2-2+0HY</t>
  </si>
  <si>
    <t>EP 250/2-2+0,BB500-GLY-O+V</t>
  </si>
  <si>
    <t>Bandweefseltype: EP ; Treksterkte: 250 N/mm ; Aantal inlagen: 2 ; Bovendek: 2 mm ; Onderdek: 0 mm ; Bandbreedte: 500 mm ; Olie- en vetbestendige Kwaliteit</t>
  </si>
  <si>
    <t>Gewebetype: EP ; Zugfestigkeit: 250 N/mm ; Anzahl Einlagen: 2 ; Oberdeck: 2 mm ; Unterdeck: 0 mm ; Gurtbreite: 500 mm ; Öl und Fettbeständige Qualität</t>
  </si>
  <si>
    <t>Fabric type: EP ; Tensile strength: 250 N/mm ; Number of plies: 2 ; Topcover: 2 mm ; Bottomcover: 0 mm ; Beltwidth: 500 mm ; Oil and Grease Resistant Quality</t>
  </si>
  <si>
    <t>EP500OVG250/2-2+0JO</t>
  </si>
  <si>
    <t>7,780</t>
  </si>
  <si>
    <t>EP500OVG400/3-0+0HY</t>
  </si>
  <si>
    <t>EP 400/3-0+0,BB500-GLY-O+V</t>
  </si>
  <si>
    <t>14,160</t>
  </si>
  <si>
    <t>EP500OVG400/3-2+0HY</t>
  </si>
  <si>
    <t>EP 400/3-2+0,BB500-GLY-O+V</t>
  </si>
  <si>
    <t>15,040</t>
  </si>
  <si>
    <t>Bandweefseltype: EP ; Treksterkte: 400 N/mm ; Aantal inlagen: 3 ; Bovendek: 2 mm ; Onderdek: 0 mm ; Bandbreedte: 500 mm ; Olie- en vetbestendige Kwaliteit</t>
  </si>
  <si>
    <t>Gewebetype: EP ; Zugfestigkeit: 400 N/mm ; Anzahl Einlagen: 3 ; Oberdeck: 2 mm ; Unterdeck: 0 mm ; Gurtbreite: 500 mm ; Öl und Fettbeständige Qualität</t>
  </si>
  <si>
    <t>Fabric type: EP ; Tensile strength: 400 N/mm ; Number of plies: 3 ; Topcover: 2 mm ; Bottomcover: 0 mm ; Beltwidth: 500 mm ; Oil and Grease Resistant Quality</t>
  </si>
  <si>
    <t>EP500OVG400/3-2+0JO</t>
  </si>
  <si>
    <t>10,140</t>
  </si>
  <si>
    <t>EP500OVG400/3-3+0FF</t>
  </si>
  <si>
    <t>EP 400/3-3+0,BB500-GLY-O+V</t>
  </si>
  <si>
    <t>15,350</t>
  </si>
  <si>
    <t>Bandweefseltype: EP ; Treksterkte: 400 N/mm ; Aantal inlagen: 3 ; Bovendek: 3 mm ; Onderdek: 0 mm ; Bandbreedte: 500 mm ; Olie- en vetbestendige Kwaliteit</t>
  </si>
  <si>
    <t>Gewebetype: EP ; Zugfestigkeit: 400 N/mm ; Anzahl Einlagen: 3 ; Oberdeck: 3 mm ; Unterdeck: 0 mm ; Gurtbreite: 500 mm ; Öl und Fettbeständige Qualität</t>
  </si>
  <si>
    <t>Fabric type: EP ; Tensile strength: 400 N/mm ; Number of plies: 3 ; Topcover: 3 mm ; Bottomcover: 0 mm ; Beltwidth: 500 mm ; Oil and Grease Resistant Quality</t>
  </si>
  <si>
    <t>EP500OVG400/3-3+0HY</t>
  </si>
  <si>
    <t>16,130</t>
  </si>
  <si>
    <t>EP500OVG400/3-3+0JO</t>
  </si>
  <si>
    <t>EP500OVG500/4-0+0-SAWMILLHY</t>
  </si>
  <si>
    <t>EP 500/4-0+0,BB500-O+V-Saw Mill</t>
  </si>
  <si>
    <t>Bandweefseltype: EP ; Treksterkte: 500 N/mm ; Aantal inlagen: 4 ; Bovendek: 0 mm ; Onderdek: 0 mm ; Bandbreedte: 500 mm ; Olie- en vetbestendige Kwaliteit</t>
  </si>
  <si>
    <t>Gewebetype: EP ; Zugfestigkeit: 500 N/mm ; Anzahl Einlagen: 4 ; Oberdeck: 0 mm ; Unterdeck: 0 mm ; Gurtbreite: 500 mm ; Öl und Fettbeständige Qualität</t>
  </si>
  <si>
    <t>Fabric type: EP ; Tensile strength: 500 N/mm ; Number of plies: 4 ; Topcover: 0 mm ; Bottomcover: 0 mm ; Beltwidth: 500 mm ; Oil and Grease Resistant Quality</t>
  </si>
  <si>
    <t>EP500OVG500/4-3+0HY</t>
  </si>
  <si>
    <t>EP 500/4-3+0,BB500-GLY-O+V</t>
  </si>
  <si>
    <t>22,700</t>
  </si>
  <si>
    <t>Bandweefseltype: EP ; Treksterkte: 500 N/mm ; Aantal inlagen: 4 ; Bovendek: 3 mm ; Onderdek: 0 mm ; Bandbreedte: 500 mm ; Olie- en vetbestendige Kwaliteit</t>
  </si>
  <si>
    <t>Gewebetype: EP ; Zugfestigkeit: 500 N/mm ; Anzahl Einlagen: 4 ; Oberdeck: 3 mm ; Unterdeck: 0 mm ; Gurtbreite: 500 mm ; Öl und Fettbeständige Qualität</t>
  </si>
  <si>
    <t>Fabric type: EP ; Tensile strength: 500 N/mm ; Number of plies: 4 ; Topcover: 3 mm ; Bottomcover: 0 mm ; Beltwidth: 500 mm ; Oil and Grease Resistant Quality</t>
  </si>
  <si>
    <t>EP500OVG500/4-3+0-TA</t>
  </si>
  <si>
    <t>14,400</t>
  </si>
  <si>
    <t>EP500OVG500/4-6+0JO</t>
  </si>
  <si>
    <t>EP 500/4-6+0,BB500-GLY-O+V</t>
  </si>
  <si>
    <t>Bandweefseltype: EP ; Treksterkte: 500 N/mm ; Aantal inlagen: 4 ; Bovendek: 6 mm ; Onderdek: 0 mm ; Bandbreedte: 500 mm ; Olie- en vetbestendige Kwaliteit</t>
  </si>
  <si>
    <t>Gewebetype: EP ; Zugfestigkeit: 500 N/mm ; Anzahl Einlagen: 4 ; Oberdeck: 6 mm ; Unterdeck: 0 mm ; Gurtbreite: 500 mm ; Öl und Fettbeständige Qualität</t>
  </si>
  <si>
    <t>Fabric type: EP ; Tensile strength: 500 N/mm ; Number of plies: 4 ; Topcover: 6 mm ; Bottomcover: 0 mm ; Beltwidth: 500 mm ; Oil and Grease Resistant Quality</t>
  </si>
  <si>
    <t>EP500OVX1000/5-3+3-ELEVATORSA</t>
  </si>
  <si>
    <t>EP 1000/5-3+3-BB500 ELEVATOR-OV</t>
  </si>
  <si>
    <t>23,230</t>
  </si>
  <si>
    <t>EP500OVX250/2-3+1HY</t>
  </si>
  <si>
    <t>EP 250/2-3+1,BB500-O+V</t>
  </si>
  <si>
    <t>14,230</t>
  </si>
  <si>
    <t>Gewebetype: EP ; Zugfestigkeit: 250 N/mm ; Anzahl Einlagen: 2 ; Oberdeck: 3 mm ; Unterdeck: 1 mm ; Gurtbreite: 500 mm ; Öl und Fettbeständige Qualität</t>
  </si>
  <si>
    <t>Fabric type: EP ; Tensile strength: 250 N/mm ; Number of plies: 2 ; Topcover: 3 mm ; Bottomcover: 1 mm ; Beltwidth: 500 mm ; Oil and Grease Resistant Quality</t>
  </si>
  <si>
    <t>EP500OVX250/2-3+1JO</t>
  </si>
  <si>
    <t>11,010</t>
  </si>
  <si>
    <t>EP500OVX250/2-3+1SH</t>
  </si>
  <si>
    <t>EP500OVX400/3-3+2MORSH</t>
  </si>
  <si>
    <t>EP 400/3-3+2,BB500-O+V-MOR</t>
  </si>
  <si>
    <t>10,290</t>
  </si>
  <si>
    <t>EP500OVX400/3-4+2JO</t>
  </si>
  <si>
    <t>EP 400/3-4+2,BB500-O+V</t>
  </si>
  <si>
    <t>14,090</t>
  </si>
  <si>
    <t>Bandweefseltype: EP ; Treksterkte: 400 N/mm ; Aantal inlagen: 3 ; Bovendek: 4 mm ; Onderdek: 2 mm ; Bandbreedte: 500 mm ; Olie- en vetbestendige Kwaliteit</t>
  </si>
  <si>
    <t>Gewebetype: EP ; Zugfestigkeit: 400 N/mm ; Anzahl Einlagen: 3 ; Oberdeck: 4 mm ; Unterdeck: 2 mm ; Gurtbreite: 500 mm ; Öl und Fettbeständige Qualität</t>
  </si>
  <si>
    <t>Fabric type: EP ; Tensile strength: 400 N/mm ; Number of plies: 3 ; Topcover: 4 mm ; Bottomcover: 2 mm ; Beltwidth: 500 mm ; Oil and Grease Resistant Quality</t>
  </si>
  <si>
    <t>EP500OVX400/3-4+2PH</t>
  </si>
  <si>
    <t>12,110</t>
  </si>
  <si>
    <t>EP500OVX400/3-4+2SA</t>
  </si>
  <si>
    <t>15,143</t>
  </si>
  <si>
    <t>EP500OVX400/3-4+2SH</t>
  </si>
  <si>
    <t>12,150</t>
  </si>
  <si>
    <t>EP500OVX500/3-4+2MORSPECSH</t>
  </si>
  <si>
    <t>EP 500/3-4+2,BB500-O+V-MOR</t>
  </si>
  <si>
    <t>10,900</t>
  </si>
  <si>
    <t>EP500OVX500/3-6+2PH</t>
  </si>
  <si>
    <t>EP 500/3-6+2,BB500-O+V</t>
  </si>
  <si>
    <t>Bandweefseltype: EP ; Treksterkte: 500 N/mm ; Aantal inlagen: 3 ; Bovendek: 6 mm ; Onderdek: 2 mm ; Bandbreedte: 500 mm ; Olie- en vetbestendige Kwaliteit</t>
  </si>
  <si>
    <t>Gewebetype: EP ; Zugfestigkeit: 500 N/mm ; Anzahl Einlagen: 3 ; Oberdeck: 6 mm ; Unterdeck: 2 mm ; Gurtbreite: 500 mm ; Öl und Fettbeständige Qualität</t>
  </si>
  <si>
    <t>Fabric type: EP ; Tensile strength: 500 N/mm ; Number of plies: 3 ; Topcover: 6 mm ; Bottomcover: 2 mm ; Beltwidth: 500 mm ; Oil and Grease Resistant Quality</t>
  </si>
  <si>
    <t>EP500OVX630/4-2+2-ELEVATORSA</t>
  </si>
  <si>
    <t>EP 630/4-2+2-BB500 ELEVATOR-OV</t>
  </si>
  <si>
    <t>15,280</t>
  </si>
  <si>
    <t>Bandweefseltype: EP ; Treksterkte: 630 N/mm ; Aantal inlagen: 4 ; Bovendek: 2 mm ; Onderdek: 2 mm ; Bandbreedte: 500 mm ; Olie- en vetbestendige Kwaliteit ; Elevator</t>
  </si>
  <si>
    <t>Gewebetype: EP ; Zugfestigkeit: 630 N/mm ; Anzahl Einlagen: 4 ; Oberdeck: 2 mm ; Unterdeck: 2 mm ; Gurtbreite: 500 mm ; Öl und Fettbeständige Qualität ; Elevator</t>
  </si>
  <si>
    <t>Fabric type: EP ; Tensile strength: 630 N/mm ; Number of plies: 4 ; Topcover: 2 mm ; Bottomcover: 2 mm ; Beltwidth: 500 mm ; Oil and Grease Resistant Quality ; Elevator</t>
  </si>
  <si>
    <t xml:space="preserve">Carcasse: EP ; Tension de service: 630 N/mm ; Nombre de plis: 4 ; Revêtement supérieur: 2 mm ; Revêtement inférieur: 2 mm ; Largeur de bande: 500 mm ; Qualité résistante à l’huile et graisse ; Sangle Elévatrice
</t>
  </si>
  <si>
    <t>EP500PRG400/3-3+1-L44HY</t>
  </si>
  <si>
    <t>EP 400/3-3+1,BB500-profiel L44-O&amp;V</t>
  </si>
  <si>
    <t>Chevron, Olie- en vetbestendige kwaliteit ; EP 400/3-3+1 met L44 profiel</t>
  </si>
  <si>
    <t>Chevron, Öl und Fettbeständige Qualität ; EP 400/3-3+1  mit L44 Profil</t>
  </si>
  <si>
    <t>Chevron, Oil and Grease Resistant Quality ; EP 400/3-3+1 with L44  profile</t>
  </si>
  <si>
    <t>Chevron, Qualité résistant aux huiles et graisses ; EP 400/3-3+1 avec L44  profil</t>
  </si>
  <si>
    <t>Bandweefseltype: EP ; Treksterkte: 400 N/mm ; Aantal inlagen: 3 ; Bovendek: 3 mm ; Onderdek: 1 mm ; Bandbreedte: 500 mm ; Profiel hoogte: 17 mm ; Profiel breedte: 440mm ; Type: L44 ; Olie- en vetbestendige Kwaliteit</t>
  </si>
  <si>
    <t>Gewebetype: EP ; Zugfestigkeit: 400 N/mm ; Anzahl Einlagen: 3 ; Oberdeck: 3 mm ; Unterdeck: 1 mm ; Gurtbreite: 500 mm ; Profilhöhe: 17 mm ; Profilbreite: 440mm ; Profiltyp: L44 ; Öl und Fettbeständige Qualität</t>
  </si>
  <si>
    <t>Fabric type: EP ; Tensile strength: 400 N/mm ; Number of plies: 3 ; Topcover: 3 mm ; Bottomcover: 1 mm ; Beltwidth: 500 mm ; Profile height: 17 mm ; Profile width: 440mm ; Profile type: L44 ; Oil and Grease Resistant Quality</t>
  </si>
  <si>
    <t>Carcasse: EP ; Résistance à la traction: 400 N/mm ; Nombre de plis: 3 ; Revêtement supérieur: 3 mm ; Revêtement inférieur: 1 mm ; Largeur de bande: 500 mm ; Hauteur du profil: 17 mm ; Largeur du profil: 440mm ; Type de profil: L44 ; Qualité résistant aux huiles et graisses</t>
  </si>
  <si>
    <t>EP500PRG400/3-3+2-MULTIVHY</t>
  </si>
  <si>
    <t>EP 400/3-3+2,BB500-Multi V profiel 6 mm O&amp;V</t>
  </si>
  <si>
    <t>Bandweefseltype: EP ; Treksterkte: 400 N/mm ; Aantal inlagen: 3 ; Bovendek: 3 mm ; Onderdek: 2 mm ; Bandbreedte: 500 mm ; Profiel hoogte: 6 mm ; Profiel breedte: Volledige bandbreedte ; Type: V6 ; Olie- en vetbestendige Kwaliteit</t>
  </si>
  <si>
    <t>Gewebetype: EP ; Zugfestigkeit: 400 N/mm ; Anzahl Einlagen: 3 ; Oberdeck: 3 mm ; Unterdeck: 2 mm ; Gurtbreite: 500 mm ; Profilhöhe: 6 mm ; Profilbreite: Komplette Gurtbreite ; Profiltyp: V6 ; Öl und Fettbeständige Qualität</t>
  </si>
  <si>
    <t>Fabric type: EP ; Tensile strength: 400 N/mm ; Number of plies: 3 ; Topcover: 3 mm ; Bottomcover: 2 mm ; Beltwidth: 500 mm ; Profile height: 6 mm ; Profile width: Full belt width ; Profile type: V6 ; Oil and Grease Resistant Quality</t>
  </si>
  <si>
    <t>Carcasse: EP ; Résistance à la traction: 400 N/mm ; Nombre de plis: 3 ; Revêtement supérieur: 3 mm ; Revêtement inférieur: 2 mm ; Largeur de bande: 500 mm ; Hauteur du profil: 6 mm ; Largeur du profil: Sur toute la largeur ; Type de profil: V6 ; Qualité résistant aux huiles et graisses</t>
  </si>
  <si>
    <t>EP500PRH250/2-3+1½-H46LB</t>
  </si>
  <si>
    <t>EP 250/2-3+1½,BB500-profiel H46</t>
  </si>
  <si>
    <t>45,700</t>
  </si>
  <si>
    <t>20,770</t>
  </si>
  <si>
    <t>EP500PRH250/2-3+1-H46DA</t>
  </si>
  <si>
    <t>EP 250/2-3+1,BB500-profiel H46</t>
  </si>
  <si>
    <t>23,600</t>
  </si>
  <si>
    <t>EP500PRH250/2-3+1-H46HY</t>
  </si>
  <si>
    <t>24,420</t>
  </si>
  <si>
    <t>EP500PRH250/2-3+1-H46JO</t>
  </si>
  <si>
    <t>18,170</t>
  </si>
  <si>
    <t>Chevron, Standaard kwaliteit ; EP 400/3-3+1 met H46 profiel</t>
  </si>
  <si>
    <t>Chevron, Standardqualität ; EP 400/3-3+1 mit H46 Profil</t>
  </si>
  <si>
    <t>Chevron, Standard Quality ; EP 400/3-3+1 with H46 profile</t>
  </si>
  <si>
    <t>Chevron, Qualité standard ; EP 400/3-3+1 met H46 profil</t>
  </si>
  <si>
    <t>Bandweefseltype: EP ; Treksterkte: 400 N/mm ; Aantal inlagen: 3 ; Bovendek: 3 mm ; Onderdek:  mm 1 ; Bandbreedte: 500 mm ; Profiel hoogte: 32 mm ; Profiel breedte: 460 mm ; Profiel type: open</t>
  </si>
  <si>
    <t>Gewebetype: EP ; Zugfestigkeit: 400 N/mm ; Anzahl Einlagen: 3 ; Oberdeck: 3 mm ; Unterdeck: 1 mm ; Gurtbreite: 500 mm ; Profilhöhe: 32 mm ; Profilbreite: 460 mm ; Profiltyp: offen</t>
  </si>
  <si>
    <t>Fabric type: EP ; Tensile strength: 400 N/mm ; Number of plies: 3 ; Topcover: 3 mm ; Bottomcover: 1 mm ; Beltwidth: 500 mm ; Profile height: 32 mm ; Profile width: 460 mm ; Profile type: open</t>
  </si>
  <si>
    <t>Carcasse: EP ; Résistance à la traction: 400 N/mm ; Nombre de plis: 3 ; Revêtement supérieur: 3 mm ; Revêtement inférieur: 1 mm ; Largeur de bande: 500 mm ; Hauteur du profil: 32 mm ; Largeur du profil: 460 mm ; Type de profil: Ouvert</t>
  </si>
  <si>
    <t>EP500PRH250/2-3+1-P32-38B400CT</t>
  </si>
  <si>
    <t>EP 250/2-3+1,BB500-profiel P32-38 B400</t>
  </si>
  <si>
    <t>32,000</t>
  </si>
  <si>
    <t>EP500PRH400/3-3+1-H46HY</t>
  </si>
  <si>
    <t>EP 400/3-3+1-BB500-profiel H46</t>
  </si>
  <si>
    <t>54,500</t>
  </si>
  <si>
    <t>EP500PRH400/3-3+1-H46JO</t>
  </si>
  <si>
    <t>19,760</t>
  </si>
  <si>
    <t>EP500PRH400/3-3+1-H46LB</t>
  </si>
  <si>
    <t>25,120</t>
  </si>
  <si>
    <t>EP500PRH400/3-4+2-P32-38B400CT</t>
  </si>
  <si>
    <t>EP 400/3-4+2,BB500-profiel P32-38 B400</t>
  </si>
  <si>
    <t>40,500</t>
  </si>
  <si>
    <t>EP500PRL250/2-3+1½-300JO</t>
  </si>
  <si>
    <t>EP 250/2-3+1½,BB500-profiel C15V330 - 300 mm3</t>
  </si>
  <si>
    <t>11,890</t>
  </si>
  <si>
    <t>EP500PRL250/2-3+1½-C15P385FF</t>
  </si>
  <si>
    <t>EP 250/2-3+1½,BB500-profiel C15P385</t>
  </si>
  <si>
    <t>13,050</t>
  </si>
  <si>
    <t>Chevron, Standaard kwaliteit ; EP 250/2-3+1½ met C15P385 profiel</t>
  </si>
  <si>
    <t>Chevron, Standardqualität ; EP 250/2-3+1½ mit C15P385 Profil</t>
  </si>
  <si>
    <t>Chevron, Standard Quality ; EP 250/2-3+1½ with C15P385 profile</t>
  </si>
  <si>
    <t>Chevron, Qualité standard ; EP 250/2-3+1½ met C15P385 profil</t>
  </si>
  <si>
    <t>Bandweefseltype: EP ; Treksterkte: 250 N/mm ; Aantal inlagen: 2 ; Bovendek: 3 mm ; Onderdek:  mm 1½ ; Bandbreedte: 500 mm ; Profiel hoogte: 15 mm ; Profiel breedte: 385 mm ; Profiel type: open V</t>
  </si>
  <si>
    <t>Gewebetype: EP ; Zugfestigkeit: 250 N/mm ; Anzahl Einlagen: 2 ; Oberdeck: 3 mm ; Unterdeck: 1½ mm ; Gurtbreite: 500 mm ; Profilhöhe: 15 mm ; Profilbreite: 385 mm ; Profiltyp: offen V</t>
  </si>
  <si>
    <t>Fabric type: EP ; Tensile strength: 250 N/mm ; Number of plies: 2 ; Topcover: 3 mm ; Bottomcover: 1½ mm ; Beltwidth: 500 mm ; Profile height: 15 mm ; Profile width: 385 mm ; Profile type: open V</t>
  </si>
  <si>
    <t>Carcasse: EP ; Résistance à la traction: 250 N/mm ; Nombre de plis: 2 ; Revêtement supérieur: 3 mm ; Revêtement inférieur: 1½ mm ; Largeur de bande: 500 mm ; Hauteur du profil: 15 mm ; Largeur du profil: 385 mm ; Type de profil: V Ouvert</t>
  </si>
  <si>
    <t>EP500PRL250/2-3+1½-C15P385SH</t>
  </si>
  <si>
    <t>9,740</t>
  </si>
  <si>
    <t>EP500PRL250/2-3+1½-C15V330FF</t>
  </si>
  <si>
    <t>EP 250/2-3+1½,BB500-profiel C15V330</t>
  </si>
  <si>
    <t>Bandweefseltype: EP ; Treksterkte: 250 N/mm ; Aantal inlagen: 2 ; Bovendek: 3 mm ; Onderdek:  mm 1½ ; Bandbreedte: 500 mm ; Profiel hoogte: 15 mm ; Profiel breedte: 330 mm ; Profiel type: Gesloten V</t>
  </si>
  <si>
    <t>Gewebetype: EP ; Zugfestigkeit: 250 N/mm ; Anzahl Einlagen: 2 ; Oberdeck: 3 mm ; Unterdeck: 1½ mm ; Gurtbreite: 500 mm ; Profilhöhe: 15 mm ; Profilbreite: 330 mm ; Profiltyp:Geschlossen V</t>
  </si>
  <si>
    <t>Fabric type: EP ; Tensile strength: 250 N/mm ; Number of plies: 3 ; Topcover: 3 mm ; Bottomcover: 1½ mm ; Beltwidth: 500 mm ; Profile height: 15 mm ; Profile width: 330 mm ; Profile type: Closed V</t>
  </si>
  <si>
    <t>EP500PRL250/2-3+1½-C15V330HY</t>
  </si>
  <si>
    <t>15,740</t>
  </si>
  <si>
    <t>EP500PRL250/2-3+1½-C15V330JO</t>
  </si>
  <si>
    <t>12,160</t>
  </si>
  <si>
    <t>EP500PRL250/2-3+1-L30FF</t>
  </si>
  <si>
    <t>EP 250/2-3+1,BB500-profiel L30</t>
  </si>
  <si>
    <t>29,400</t>
  </si>
  <si>
    <t>13,830</t>
  </si>
  <si>
    <t>Bandweefseltype: EP ; Treksterkte: 250 N/mm ; Aantal inlagen: 2 ; Bovendek: 3 mm ; Onderdek:  mm 1 ; Bandbreedte: 500 mm ; Profiel hoogte: 17 mm ; Profiel breedte: 300 mm ; Profiel type: open Y</t>
  </si>
  <si>
    <t>Gewebetype: EP ; Zugfestigkeit: 250 N/mm ; Anzahl Einlagen: 2 ; Oberdeck: 3 mm ; Unterdeck: 1 mm ; Gurtbreite: 500 mm ; Profilhöhe: 17 mm ; Profilbreite: 300 mm ; Profiltyp: offen Y</t>
  </si>
  <si>
    <t>Fabric type: EP ; Tensile strength: 250 N/mm ; Number of plies: 2 ; Topcover: 3 mm ; Bottomcover: 1 mm ; Beltwidth: 500 mm ; Profile height: 17 mm ; Profile width: 300 mm ; Profile type: open Y</t>
  </si>
  <si>
    <t>Carcasse: EP ; Résistance à la traction: 250 N/mm ; Nombre de plis: 2 ; Revêtement supérieur: 3 mm ; Revêtement inférieur: 1 mm ; Largeur de bande: 500 mm ; Hauteur du profil: 17 mm ; Largeur du profil: 300 mm ; Type de profil: Y Ouvert</t>
  </si>
  <si>
    <t>EP500PRL250/2-3+1-L30HY</t>
  </si>
  <si>
    <t>15,570</t>
  </si>
  <si>
    <t>EP500PRL250/2-3+1-L30JO</t>
  </si>
  <si>
    <t>12,910</t>
  </si>
  <si>
    <t>EP500PRL250/2-3+1-L44HY</t>
  </si>
  <si>
    <t>EP 250/2-3+1,BB500-profiel L44</t>
  </si>
  <si>
    <t>30,400</t>
  </si>
  <si>
    <t>Chevron, Standaard kwaliteit ; EP 250/2-3+1 met L44 profiel</t>
  </si>
  <si>
    <t>Chevron, Standardqualität ; EP 250/2-3+1 mit L44 Profil</t>
  </si>
  <si>
    <t>Chevron, Standard Quality ; EP 250/2-3+1 with L44 profile</t>
  </si>
  <si>
    <t>Chevron, Qualité standard ; EP 250/2-3+1 met L44 profil</t>
  </si>
  <si>
    <t>Bandweefseltype: EP ; Treksterkte: 250 N/mm ; Aantal inlagen: 2 ; Bovendek: 3 mm ; Onderdek:  mm 1 ; Bandbreedte: 500 mm ; Profiel hoogte: 17 mm ; Profiel breedte: 440 mm ; Profiel type: open Y</t>
  </si>
  <si>
    <t>Gewebetype: EP ; Zugfestigkeit: 250 N/mm ; Anzahl Einlagen: 2 ; Oberdeck: 3 mm ; Unterdeck: 1 mm ; Gurtbreite: 500 mm ; Profilhöhe: 17 mm ; Profilbreite: 440 mm ; Profiltyp: offen Y</t>
  </si>
  <si>
    <t>Fabric type: EP ; Tensile strength: 250 N/mm ; Number of plies: 2 ; Topcover: 3 mm ; Bottomcover: 1 mm ; Beltwidth: 500 mm ; Profile height: 17 mm ; Profile width: 440 mm ; Profile type: open Y</t>
  </si>
  <si>
    <t>Carcasse: EP ; Résistance à la traction: 250 N/mm ; Nombre de plis: 2 ; Revêtement supérieur: 3 mm ; Revêtement inférieur: 1 mm ; Largeur de bande: 500 mm ; Hauteur du profil: 17 mm ; Largeur du profil: 440 mm ; Type de profil: Y Ouvert</t>
  </si>
  <si>
    <t>EP500PRL250/2-3+1-L44JO</t>
  </si>
  <si>
    <t>14,220</t>
  </si>
  <si>
    <t>EP500PRL250/2-3+1-L44KA</t>
  </si>
  <si>
    <t>EP500PRL250/2-3+1-L44-TA</t>
  </si>
  <si>
    <t>15,090</t>
  </si>
  <si>
    <t>EP500PRL250/2-3+2-MULTIVHY</t>
  </si>
  <si>
    <t>EP 250/2-3+2,BB500-Multi V profiel 6 mm</t>
  </si>
  <si>
    <t>Bandweefseltype: EP ; Treksterkte: 250 N/mm ; Aantal inlagen: 2 ; Bovendek: 3 mm ; Onderdek: 2 mm ; Bandbreedte: 500 mm ; Profiel hoogte: 6 mm ; Profiel breedte: Volledige bandbreedte ; Type: V6</t>
  </si>
  <si>
    <t>Gewebetype: EP ; Zugfestigkeit: 250 N/mm ; Anzahl Einlagen: 2 ; Oberdeck: 3 mm ; Unterdeck: 2 mm ; Gurtbreite: 500 mm ; Profilhöhe: 6 mm ; Profilbreite: Komplette Gurtbreite ; Profiltyp: V6</t>
  </si>
  <si>
    <t>Fabric type: EP ; Tensile strength: 250 N/mm ; Number of plies: 2 ; Topcover: 3 mm ; Bottomcover: 2 mm ; Beltwidth: 500 mm ; Profile height: 6 mm ; Profile width: Full belt width ; Profile type: V6</t>
  </si>
  <si>
    <t>Carcasse: EP ; Résistance à la traction: 250 N/mm ; Nombre de plis: 2 ; Revêtement supérieur: 3 mm ; Revêtement inférieur: 2 mm ; Largeur de bande: 500 mm ; Hauteur du profil: 6 mm ; Largeur du profil: Sur toute la largeur ; Type de profil: V6</t>
  </si>
  <si>
    <t>EP500PRL250/2-3+2-MULTIVSH</t>
  </si>
  <si>
    <t>9,220</t>
  </si>
  <si>
    <t>EP500PRL250/2-3+2-MULTIVZZ</t>
  </si>
  <si>
    <t>18,880</t>
  </si>
  <si>
    <t>EP500PRL315/3-2+0-C5P260FF</t>
  </si>
  <si>
    <t>EP 315/3-2+0,BB500, V-profiel C5 P260</t>
  </si>
  <si>
    <t>11,390</t>
  </si>
  <si>
    <t>Bandweefseltype: EP ; Treksterkte: 315 N/mm ; Aantal inlagen: 3 ; Bovendek: 2 mm ; Onderdek:  mm 0 ; Bandbreedte: 500 mm ; Profiel hoogte: 5 mm ; Profiel breedte: 260 mm ; Profiel type: Gesloten V</t>
  </si>
  <si>
    <t>Gewebetype: EP ; Zugfestigkeit: 315 N/mm ; Anzahl Einlagen: 3 ; Oberdeck: 2 mm ; Unterdeck: 0 mm ; Gurtbreite: 500 mm ; Profilhöhe: 5 mm ; Profilbreite: 260 mm ; Profiltyp: Geschlossen V</t>
  </si>
  <si>
    <t>Fabric type: EP ; Tensile strength: 315 N/mm ; Number of plies: 3 ; Topcover: 2 mm ; Bottomcover: 0 mm ; Beltwidth: 500 mm ; Profile height: 5 mm ; Profile width: 260 mm ; Profile type: Closed V</t>
  </si>
  <si>
    <t>Carcasse: EP ; Résistance à la traction: 315 N/mm ; Nombre de plis: 3 ; Revêtement supérieur: 2 mm ; Revêtement inférieur: 0 mm ; Largeur de bande: 500 mm ; Hauteur du profil: 5 mm ; Largeur du profil: 260 mm ; Type de profil: V Fermé</t>
  </si>
  <si>
    <t>EP500PRL400/3-3+1½-C15P385FF</t>
  </si>
  <si>
    <t>EP 400/3-3+1½,BB500-profiel C15P385</t>
  </si>
  <si>
    <t>44,950</t>
  </si>
  <si>
    <t>15,660</t>
  </si>
  <si>
    <t>Chevron, Standaard kwaliteit ; EP 400/3-3+1½ met C15P385 profiel</t>
  </si>
  <si>
    <t>Chevron, Standardqualität ; EP 400/3-3+1½ mit C15P385 Profil</t>
  </si>
  <si>
    <t>Chevron, Standard Quality ; EP 400/3-3+1½ with C15P385 profile</t>
  </si>
  <si>
    <t>Chevron, Qualité standard ; EP 400/3-3+1½ met C15P385 profil</t>
  </si>
  <si>
    <t>Bandweefseltype: EP ; Treksterkte: 400 N/mm ; Aantal inlagen: 3 ; Bovendek: 3 mm ; Onderdek:  mm 1½ ; Bandbreedte: 500 mm ; Profiel hoogte: 15 mm ; Profiel breedte: 385 mm ; Profiel type: open V</t>
  </si>
  <si>
    <t>Gewebetype: EP ; Zugfestigkeit: 400 N/mm ; Anzahl Einlagen: 3 ; Oberdeck: 3 mm ; Unterdeck: 1½ mm ; Gurtbreite: 500 mm ; Profilhöhe: 15 mm ; Profilbreite: 385 mm ; Profiltyp: offen V</t>
  </si>
  <si>
    <t>Fabric type: EP ; Tensile strength: 400 N/mm ; Number of plies: 3 ; Topcover: 3 mm ; Bottomcover: 1½ mm ; Beltwidth: 500 mm ; Profile height: 15 mm ; Profile width: 385 mm ; Profile type: open V</t>
  </si>
  <si>
    <t>Carcasse: EP ; Résistance à la traction: 400 N/mm ; Nombre de plis: 3 ; Revêtement supérieur: 3 mm ; Revêtement inférieur: 1½ mm ; Largeur de bande: 500 mm ; Hauteur du profil: 15 mm ; Largeur du profil: 385 mm ; Type de profil: V Ouvert</t>
  </si>
  <si>
    <t>EP500PRL400/3-3+1½-C15P385HY</t>
  </si>
  <si>
    <t>17,770</t>
  </si>
  <si>
    <t>EP500PRL400/3-3+1½-C15P385JO</t>
  </si>
  <si>
    <t>EP500PRL400/3-3+1½-C15P385RP</t>
  </si>
  <si>
    <t>EP500PRL400/3-3+1½-C15P385SH</t>
  </si>
  <si>
    <t>12,900</t>
  </si>
  <si>
    <t>EP500PRL400/3-3+1½-C15V330FF</t>
  </si>
  <si>
    <t>EP 400/3-3+1½,BB500-profiel C15V330</t>
  </si>
  <si>
    <t>Bandweefseltype: EP ; Treksterkte: 400 N/mm ; Aantal inlagen: 3 ; Bovendek: 3 mm ; Onderdek:  mm 1½ ; Bandbreedte: 500 mm ; Profiel hoogte: 15 mm ; Profiel breedte: 330 mm ; Profiel type: Gesloten V</t>
  </si>
  <si>
    <t>Gewebetype: EP ; Zugfestigkeit: 400 N/mm ; Anzahl Einlagen: 3 ; Oberdeck: 3 mm ; Unterdeck: 1½ mm ; Gurtbreite: 500 mm ; Profilhöhe: 15 mm ; Profilbreite: 330 mm ; Profiltyp:Geschlossen V</t>
  </si>
  <si>
    <t>Fabric type: EP ; Tensile strength: 400 N/mm ; Number of plies: 3 ; Topcover: 3 mm ; Bottomcover: 1½ mm ; Beltwidth: 500 mm ; Profile height: 15 mm ; Profile width: 330 mm ; Profile type: Closed V</t>
  </si>
  <si>
    <t>Carcasse: EP ; Résistance à la traction: 400 N/mm ; Nombre de plis: 3 ; Revêtement supérieur: 3 mm ; Revêtement inférieur: 1½ mm ; Largeur de bande: 500 mm ; Hauteur du profil: 15 mm ; Largeur du profil: 330 mm ; Type de profil: V Fermé</t>
  </si>
  <si>
    <t>EP500PRL400/3-3+1½-C15V330HY</t>
  </si>
  <si>
    <t>18,200</t>
  </si>
  <si>
    <t>EP500PRL400/3-3+1½-C15V330JO</t>
  </si>
  <si>
    <t>13,680</t>
  </si>
  <si>
    <t>EP500PRL400/3-3+1½-C15V450FF</t>
  </si>
  <si>
    <t>EP 400/3-3+1½,BB500-profiel C15V450</t>
  </si>
  <si>
    <t>Chevron, Standaard kwaliteit ; EP 400/3-3+1½ met C15V450 profiel</t>
  </si>
  <si>
    <t>Chevron, Standardqualität ; EP 400/3-3+1½ mit C15V450 Profil</t>
  </si>
  <si>
    <t>Chevron, Standard Quality ; EP 400/3-3+1½ with C15V450 profile</t>
  </si>
  <si>
    <t>Chevron, Qualité standard ; EP 400/3-3+1½ met C15V450 profil</t>
  </si>
  <si>
    <t>Bandweefseltype: EP ; Treksterkte: 400 N/mm ; Aantal inlagen: 3 ; Bovendek: 3 mm ; Onderdek:  mm 1½ ; Bandbreedte: 500 mm ; Profiel hoogte: 15 mm ; Profiel breedte: 450 mm ; Profiel type: Gesloten V</t>
  </si>
  <si>
    <t>Gewebetype: EP ; Zugfestigkeit: 400 N/mm ; Anzahl Einlagen: 3 ; Oberdeck: 3 mm ; Unterdeck: 1½ mm ; Gurtbreite: 500 mm ; Profilhöhe: 15 mm ; Profilbreite: 450 mm ; Profiltyp:Geschlossen V</t>
  </si>
  <si>
    <t>Fabric type: EP ; Tensile strength: 400 N/mm ; Number of plies: 3 ; Topcover: 3 mm ; Bottomcover: 1½ mm ; Beltwidth: 500 mm ; Profile height: 15 mm ; Profile width: 450 mm ; Profile type: Closed V</t>
  </si>
  <si>
    <t>Carcasse: EP ; Résistance à la traction: 400 N/mm ; Nombre de plis: 3 ; Revêtement supérieur: 3 mm ; Revêtement inférieur: 1½ mm ; Largeur de bande: 500 mm ; Hauteur du profil: 15 mm ; Largeur du profil: 450 mm ; Type de profil: V Fermé</t>
  </si>
  <si>
    <t>EP500PRL400/3-3+1½-ES13½KA</t>
  </si>
  <si>
    <t>EP 400/3-3+1½,BB500-profiel ES13½</t>
  </si>
  <si>
    <t>16,720</t>
  </si>
  <si>
    <t>Chevron, Standaard kwaliteit ; EP 400/3-3+1½ met ES13½ profiel</t>
  </si>
  <si>
    <t>Chevron, Standardqualität ; EP 400/3-3+1½ mit ES13½ Profil</t>
  </si>
  <si>
    <t>Chevron, Standard Quality ; EP 400/3-3+1½ with ES13½ profile</t>
  </si>
  <si>
    <t>Chevron, Qualité standard ; EP 400/3-3+1½ avec ES13½ profil</t>
  </si>
  <si>
    <t>Bandweefseltype: EP ; Treksterkte: 400 N/mm ; Aantal inlagen: 3 ; Bovendek: 3 mm ; Onderdek:  mm 1½ ; Bandbreedte: 500 mm ; Profiel hoogte: 13½ mm ; Profiel breedte: Volledige bandbreedte ; Profiel type: Gesloten V</t>
  </si>
  <si>
    <t>Gewebetype: EP ; Zugfestigkeit: 400 N/mm ; Anzahl Einlagen: 3 ; Oberdeck: 3 mm ; Unterdeck: 1½ mm ; Gurtbreite: 500 mm ; Profilhöhe: 13½ mm ; Profilbreite: Komplette Gurtbreite ; Profiltyp: Geschlossen V</t>
  </si>
  <si>
    <t>Fabric type: EP ; Tensile strength: 400 N/mm ; Number of plies: 3 ; Topcover: 3 mm ; Bottomcover: 1½ mm ; Beltwidth: 500 mm ; Profile height: 13½ mm ; Profile width: Full belt width ; Profile type: Closed V</t>
  </si>
  <si>
    <t>Carcasse: EP ; Résistance à la traction: 400 N/mm ; Nombre de plis: 3 ; Revêtement supérieur: 3 mm ; Revêtement inférieur: 1½ mm ; Largeur de bande: 500 mm ; Hauteur du profil: 13½ mm ; Largeur du profil: Sur toute la largeur ; Type de profil: V Fermé</t>
  </si>
  <si>
    <t>EP500PRL400/3-3+1-L30DA</t>
  </si>
  <si>
    <t>EP 400/3-3+1,BB500-profiel L30</t>
  </si>
  <si>
    <t>16,060</t>
  </si>
  <si>
    <t>Bandweefseltype: EP ; Treksterkte: 400 N/mm ; Aantal inlagen: 3 ; Bovendek: 3 mm ; Onderdek:  mm 1 ; Bandbreedte: 500 mm ; Profiel hoogte: 17 mm ; Profiel breedte: 300 mm ; Profiel type: open Y</t>
  </si>
  <si>
    <t>Gewebetype: EP ; Zugfestigkeit: 400 N/mm ; Anzahl Einlagen: 3 ; Oberdeck: 3 mm ; Unterdeck: 1 mm ; Gurtbreite: 500 mm ; Profilhöhe: 17 mm ; Profilbreite: 300 mm ; Profiltyp: offen Y</t>
  </si>
  <si>
    <t>Fabric type: EP ; Tensile strength: 400 N/mm ; Number of plies: 3 ; Topcover: 3 mm ; Bottomcover: 1 mm ; Beltwidth: 500 mm ; Profile height: 17 mm ; Profile width: 300 mm ; Profile type: open Y</t>
  </si>
  <si>
    <t>Carcasse: EP ; Résistance à la traction: 400 N/mm ; Nombre de plis: 3 ; Revêtement supérieur: 3 mm ; Revêtement inférieur: 1 mm ; Largeur de bande: 500 mm ; Hauteur du profil: 17 mm ; Largeur du profil: 300 mm ; Type de profil: Y Ouvert</t>
  </si>
  <si>
    <t>EP500PRL400/3-3+1-L30HY</t>
  </si>
  <si>
    <t>17,310</t>
  </si>
  <si>
    <t>EP500PRL400/3-3+1-L30JFF</t>
  </si>
  <si>
    <t>17,170</t>
  </si>
  <si>
    <t>EP500PRL400/3-3+1-L30JO</t>
  </si>
  <si>
    <t>15,810</t>
  </si>
  <si>
    <t>EP500PRL400/3-3+1-L44DA</t>
  </si>
  <si>
    <t>EP 400/3-3+1,BB500-profiel L44</t>
  </si>
  <si>
    <t>44,100</t>
  </si>
  <si>
    <t>Chevron, Standaard kwaliteit ; EP 400/3-3+1 met L44 profiel</t>
  </si>
  <si>
    <t>Chevron, Standardqualität ; EP 400/3-3+1 mit L44 Profil</t>
  </si>
  <si>
    <t>Chevron, Standard Quality ; EP 400/3-3+1 with L44 profile</t>
  </si>
  <si>
    <t>Chevron, Qualité standard ; EP 400/3-3+1 met L44 profil</t>
  </si>
  <si>
    <t>Bandweefseltype: EP ; Treksterkte: 400 N/mm ; Aantal inlagen: 3 ; Bovendek: 3 mm ; Onderdek:  mm 1 ; Bandbreedte: 500 mm ; Profiel hoogte: 17 mm ; Profiel breedte: 440 mm ; Profiel type: open Y</t>
  </si>
  <si>
    <t>Gewebetype: EP ; Zugfestigkeit: 400 N/mm ; Anzahl Einlagen: 3 ; Oberdeck: 3 mm ; Unterdeck: 1 mm ; Gurtbreite: 500 mm ; Profilhöhe: 17 mm ; Profilbreite: 440 mm ; Profiltyp: offen Y</t>
  </si>
  <si>
    <t>Fabric type: EP ; Tensile strength: 400 N/mm ; Number of plies: 3 ; Topcover: 3 mm ; Bottomcover: 1 mm ; Beltwidth: 500 mm ; Profile height: 17 mm ; Profile width: 440 mm ; Profile type: open Y</t>
  </si>
  <si>
    <t>Carcasse: EP ; Résistance à la traction: 400 N/mm ; Nombre de plis: 3 ; Revêtement supérieur: 3 mm ; Revêtement inférieur: 1 mm ; Largeur de bande: 500 mm ; Hauteur du profil: 17 mm ; Largeur du profil: 440 mm ; Type de profil: Y Ouvert</t>
  </si>
  <si>
    <t>EP500PRL400/3-3+1-L44HY</t>
  </si>
  <si>
    <t>EP500PRL400/3-3+1-L44JO</t>
  </si>
  <si>
    <t>15,650</t>
  </si>
  <si>
    <t>EP500PRL400/3-3+1-L44KA</t>
  </si>
  <si>
    <t>EP500PRL400/3-3+2-MULTIVHY</t>
  </si>
  <si>
    <t>EP 400/3-3+2,BB500-Multi V profiel 6 mm</t>
  </si>
  <si>
    <t>22,820</t>
  </si>
  <si>
    <t>Bandweefseltype: EP ; Treksterkte: 400 N/mm ; Aantal inlagen: 3 ; Bovendek: 3 mm ; Onderdek: 2 mm ; Bandbreedte: 500 mm ; Profiel hoogte: 6 mm ; Profiel breedte: Volledige bandbreedte ; Type: V6</t>
  </si>
  <si>
    <t>Gewebetype: EP ; Zugfestigkeit: 400 N/mm ; Anzahl Einlagen: 3 ; Oberdeck: 3 mm ; Unterdeck: 2 mm ; Gurtbreite: 500 mm ; Profilhöhe: 6 mm ; Profilbreite: Komplette Gurtbreite ; Profiltyp: V6</t>
  </si>
  <si>
    <t>Fabric type: EP ; Tensile strength: 400 N/mm ; Number of plies: 3 ; Topcover: 3 mm ; Bottomcover: 2 mm ; Beltwidth: 500 mm ; Profile height: 6 mm ; Profile width: Full belt width ; Profile type: V6</t>
  </si>
  <si>
    <t>Carcasse: EP ; Résistance à la traction: 400 N/mm ; Nombre de plis: 3 ; Revêtement supérieur: 3 mm ; Revêtement inférieur: 2 mm ; Largeur de bande: 500 mm ; Hauteur du profil: 6 mm ; Largeur du profil: Sur toute la largeur ; Type de profil: V6</t>
  </si>
  <si>
    <t>EP500PRL400/3-3+2-MULTIVSH</t>
  </si>
  <si>
    <t>Bandweefseltype: EP ; Treksterkte: 400 N/mm ; Aantal inlagen: 3 ; Bovendek: 3 mm ; Onderdek: 2 mm ; Bandbreedte: 500 mm ; Profiel hoogte: 6 mm ; Profiel breedte: Volledige bandbreedte ; Type: V7</t>
  </si>
  <si>
    <t>Gewebetype: EP ; Zugfestigkeit: 400 N/mm ; Anzahl Einlagen: 3 ; Oberdeck: 3 mm ; Unterdeck: 2 mm ; Gurtbreite: 500 mm ; Profilhöhe: 6 mm ; Profilbreite: Komplette Gurtbreite ; Profiltyp: V7</t>
  </si>
  <si>
    <t>Fabric type: EP ; Tensile strength: 400 N/mm ; Number of plies: 3 ; Topcover: 3 mm ; Bottomcover: 2 mm ; Beltwidth: 500 mm ; Profile height: 6 mm ; Profile width: Full belt width ; Profile type: V7</t>
  </si>
  <si>
    <t>Carcasse: EP ; Résistance à la traction: 400 N/mm ; Nombre de plis: 3 ; Revêtement supérieur: 3 mm ; Revêtement inférieur: 2 mm ; Largeur de bande: 500 mm ; Hauteur du profil: 6 mm ; Largeur du profil: Sur toute la largeur ; Type de profil: V7</t>
  </si>
  <si>
    <t>EP500PRM400/3-3+1½-C25P450JO</t>
  </si>
  <si>
    <t>EP 400/3-3+1½,BB500-profiel C25P450</t>
  </si>
  <si>
    <t>17,390</t>
  </si>
  <si>
    <t>Chevron, Standaard kwaliteit ; EP 400/3-3+1½ met C25P450 profiel</t>
  </si>
  <si>
    <t>Chevron, Standardqualität ; EP 400/3-3+1½ mit C25P450 Profil</t>
  </si>
  <si>
    <t>Chevron, Standard Quality ; EP 400/3-3+1½ with C25P450  profile</t>
  </si>
  <si>
    <t>Chevron, Qualité standard ; EP 400/3-3+1½ met C25P450  profil</t>
  </si>
  <si>
    <t>Bandweefseltype: EP ; Treksterkte: 400 N/mm ; Aantal inlagen: 3 ; Bovendek: 3 mm ; Onderdek:  1½ mm ; Bandbreedte: 500 mm ; Profiel hoogte: 25 mm ; Profiel breedte: 450 mm ; Profiel type: open</t>
  </si>
  <si>
    <t>Gewebetype: EP ; Zugfestigkeit: 400 N/mm ; Anzahl Einlagen: 3 ; Oberdeck: 3 mm ; Unterdeck: 1½ mm ; Gurtbreite: 500 mm ; Profilhöhe: 25 mm ; Profilbreite: 450 mm ; Profiltyp: offen</t>
  </si>
  <si>
    <t>Fabric type: EP ; Tensile strength: 400 N/mm ; Number of plies: 3 ; Topcover: 3 mm ; Bottomcover: 1½ mm ; Beltwidth: 500 mm ; Profile height: 25 mm ; Profile width: 450 mm ; Profile type: open</t>
  </si>
  <si>
    <t>Carcasse: EP ; Résistance à la traction: 400 N/mm ; Nombre de plis: 3 ; Revêtement supérieur: 3 mm ; Revêtement inférieur: 1½ mm ; Largeur de bande: 500 mm ; Hauteur du profil: 25 mm ; Largeur du profil: 450 mm ; Type de profil: Ouvert</t>
  </si>
  <si>
    <t>EP500SGG250/2-3+0HY</t>
  </si>
  <si>
    <t>EP 250/2-3+0,BB500, Supergrip/glijband</t>
  </si>
  <si>
    <t>8,340</t>
  </si>
  <si>
    <t>Bandweefseltype: EP ; Treksterkte: 250 N/mm ; Aantal inlagen: 2 ; Bovendek: 3 mm ; Onderdek: 0 mm ; Bandbreedte: 500 mm ; Supergrip / Rough Top Zwart</t>
  </si>
  <si>
    <t>Gewebetype: EP ; Zugfestigkeit: 250 N/mm ; Anzahl Einlagen: 2 ; Oberdeck: 3 mm ; Unterdeck: 0 mm ; Gurtbreite: 500 mm ; Supergrip / Rough Top Schwarz</t>
  </si>
  <si>
    <t>Fabric type: EP ; Tensile strength: 250 N/mm ; Number of plies: 2 ; Topcover: 3 mm ; Bottomcover: 0 mm ; Beltwidth: 500 mm ; Supergrip / Rough Top Black</t>
  </si>
  <si>
    <t>Carcasse: EP ; Tension de service: 250 N/mm ; Nombre de plis: 2 ; Revêtement supérieur: 3 mm ; Revêtement inférieur: 0 mm ; Largeur de bande: 500 mm ; Nid d'abeille Noir</t>
  </si>
  <si>
    <t>EP500SGG400/3-3+0HY</t>
  </si>
  <si>
    <t>EP 400/3-3+0,BB500, Supergrip/glijband</t>
  </si>
  <si>
    <t>11,040</t>
  </si>
  <si>
    <t>Bandweefseltype: EP ; Treksterkte: 400 N/mm ; Aantal inlagen: 3 ; Bovendek: 3 mm ; Onderdek: 0 mm ; Bandbreedte: 500 mm ; Supergrip / Rough Top Zwart</t>
  </si>
  <si>
    <t>Gewebetype: EP ; Zugfestigkeit: 400 N/mm ; Anzahl Einlagen: 3 ; Oberdeck: 3 mm ; Unterdeck: 0 mm ; Gurtbreite: 500 mm ; Supergrip / Rough Top Schwarz</t>
  </si>
  <si>
    <t>Fabric type: EP ; Tensile strength: 400 N/mm ; Number of plies: 3 ; Topcover: 3 mm ; Bottomcover: 0 mm ; Beltwidth: 500 mm ; Supergrip / Rough Top Black</t>
  </si>
  <si>
    <t>Carcasse: EP ; Tension de service: 400 N/mm ; Nombre de plis: 3 ; Revêtement supérieur: 3 mm ; Revêtement inférieur: 0 mm ; Largeur de bande: 500 mm ; Nid d'abeille Noir</t>
  </si>
  <si>
    <t>EP500SGR250/2-3+1HY</t>
  </si>
  <si>
    <t>EP 250/2-3+1,BB500, Supergrip zwart</t>
  </si>
  <si>
    <t>Bandweefseltype: EP ; Treksterkte: 250 N/mm ; Aantal inlagen: 2 ; Bovendek: 3 mm ; Onderdek: 1 mm ; Bandbreedte: 500 mm ; Supergrip / Rough Top Zwart</t>
  </si>
  <si>
    <t>Gewebetype: EP ; Zugfestigkeit: 250 N/mm ; Anzahl Einlagen: 2 ; Oberdeck: 3 mm ; Unterdeck: 1 mm ; Gurtbreite: 500 mm ; Supergrip / Rough Top Schwarz</t>
  </si>
  <si>
    <t>Fabric type: EP ; Tensile strength: 250 N/mm ; Number of plies: 2 ; Topcover: 3 mm ; Bottomcover: 1 mm ; Beltwidth: 500 mm ; Supergrip / Rough Top Black</t>
  </si>
  <si>
    <t>Carcasse: EP ; Résistance à la traction: 250 N/mm ; Nombre de plis: 2 ; Revêtement supérieur: 3 mm ; Revêtement inférieur: 1 mm ; Largeur de bande: 500 mm ; Nid d'abeille Noir</t>
  </si>
  <si>
    <t>EP500SGR400/3-3+1HY</t>
  </si>
  <si>
    <t>EP 400/3-3+1,BB500, Supergrip zwart</t>
  </si>
  <si>
    <t>14,290</t>
  </si>
  <si>
    <t>Bandweefseltype: EP ; Treksterkte: 400 N/mm ; Aantal inlagen: 3 ; Bovendek: 3 mm ; Onderdek: 1 mm ; Bandbreedte: 500 mm ; Supergrip / Rough Top Zwart</t>
  </si>
  <si>
    <t>Gewebetype: EP ; Zugfestigkeit: 400 N/mm ; Anzahl Einlagen: 3 ; Oberdeck: 3 mm ; Unterdeck: 1 mm ; Gurtbreite: 500 mm ; Supergrip / Rough Top Schwarz</t>
  </si>
  <si>
    <t>Fabric type: EP ; Tensile strength: 400 N/mm ; Number of plies: 3 ; Topcover: 3 mm ; Bottomcover: 1 mm ; Beltwidth: 500 mm ; Supergrip / Rough Top Black</t>
  </si>
  <si>
    <t>Carcasse: EP ; Résistance à la traction: 400 N/mm ; Nombre de plis: 3 ; Revêtement supérieur: 3 mm ; Revêtement inférieur: 1 mm ; Largeur de bande: 500 mm ; Nid d'abeille Noir</t>
  </si>
  <si>
    <t>EP500XXX100/1-1+1HY</t>
  </si>
  <si>
    <t>EP 100/1-1+1,BB500</t>
  </si>
  <si>
    <t>5,268</t>
  </si>
  <si>
    <t>Bandweefseltype: EP ; Treksterkte: 100 N/mm ; Aantal inlagen: 1 ; Bovendek: 1 mm ; Onderdek: 1 mm ; Bandbreedte: 500 mm</t>
  </si>
  <si>
    <t>Gewebetype: EP ; Zugfestigkeit: 100 N/mm ; Anzahl Einlagen: 1 ; Oberdeck: 1 mm ; Unterdeck: 1 mm ; Gurtbreite: 500 mm</t>
  </si>
  <si>
    <t>Fabric type: EP ; Tensile strength: 100 N/mm ; Number of plies: 1 ; Topcover: 1 mm ; Bottomcover: 1 mm ; Beltwidth: 500 mm</t>
  </si>
  <si>
    <t>Carcasse: EP ; Résistance à la traction: 100 N/mm ; Nombre de plis: 1 ; Revêtement supérieur: 1 mm ; Revêtement inférieur: 1 mm ; Largeur de bande: 500 mm</t>
  </si>
  <si>
    <t>EP500XXX1600/4-2+2KA</t>
  </si>
  <si>
    <t>EP 1600/4-2+2,BB500</t>
  </si>
  <si>
    <t>EP500XXX200/2-2+1HY</t>
  </si>
  <si>
    <t>EP 200/2-2+1,BB500</t>
  </si>
  <si>
    <t>7,089</t>
  </si>
  <si>
    <t>Bandweefseltype: EP ; Treksterkte: 200 N/mm ; Aantal inlagen: 2 ; Bovendek: 2 mm ; Onderdek: 1 mm ; Bandbreedte: 500 mm</t>
  </si>
  <si>
    <t>Gewebetype: EP ; Zugfestigkeit: 200 N/mm ; Anzahl Einlagen: 2 ; Oberdeck: 2 mm ; Unterdeck: 1 mm ; Gurtbreite: 500 mm</t>
  </si>
  <si>
    <t>Fabric type: EP ; Tensile strength: 200 N/mm ; Number of plies: 2 ; Topcover: 2 mm ; Bottomcover: 1 mm ; Beltwidth: 500 mm</t>
  </si>
  <si>
    <t>Carcasse: EP ; Résistance à la traction: 200 N/mm ; Nombre de plis: 2 ; Revêtement supérieur: 2 mm ; Revêtement inférieur: 1 mm ; Largeur de bande: 500 mm</t>
  </si>
  <si>
    <t>EP500XXX200/2-2+1KA</t>
  </si>
  <si>
    <t>EP500XXX250/2-3+1½-7.5SH</t>
  </si>
  <si>
    <t>EP 250/2-3+1½,BB500-7.5mm</t>
  </si>
  <si>
    <t>6,251</t>
  </si>
  <si>
    <t>EP500XXX250/2-3+1½-DIN-WSH</t>
  </si>
  <si>
    <t>EP 250/2-3+1½,BB500-DIN-W</t>
  </si>
  <si>
    <t>EP500XXX250/2-3+1½-EINDLB</t>
  </si>
  <si>
    <t>EP 250/2-3+1½-BB500-Eindloos-Stuursnaar 30x15 gekerfd</t>
  </si>
  <si>
    <t>282,200</t>
  </si>
  <si>
    <t>EP500XXX250/2-3+1HY</t>
  </si>
  <si>
    <t>EP 250/2-3+1,BB500</t>
  </si>
  <si>
    <t>21,360</t>
  </si>
  <si>
    <t>8,610</t>
  </si>
  <si>
    <t>Bandweefseltype: EP ; Treksterkte: 250 N/mm ; Aantal inlagen: 2 ; Bovendek: 3 mm ; Onderdek: 1 mm ; Bandbreedte: 500 mm</t>
  </si>
  <si>
    <t>Gewebetype: EP ; Zugfestigkeit: 250 N/mm ; Anzahl Einlagen: 2 ; Oberdeck: 3 mm ; Unterdeck: 1 mm ; Gurtbreite: 500 mm</t>
  </si>
  <si>
    <t>Fabric type: EP ; Tensile strength: 250 N/mm ; Number of plies: 2 ; Topcover: 3 mm ; Bottomcover: 1 mm ; Beltwidth: 500 mm</t>
  </si>
  <si>
    <t>Carcasse: EP ; Résistance à la traction: 250 N/mm ; Nombre de plis: 2 ; Revêtement supérieur: 3 mm ; Revêtement inférieur: 1 mm ; Largeur de bande: 500 mm</t>
  </si>
  <si>
    <t>EP500XXX250/2-3+1KA</t>
  </si>
  <si>
    <t>EP500XXX250/2-3+1SH</t>
  </si>
  <si>
    <t>7,170</t>
  </si>
  <si>
    <t>EP500XXX250/2-4+2KA</t>
  </si>
  <si>
    <t>EP 250/2-4+2,BB500</t>
  </si>
  <si>
    <t>8,860</t>
  </si>
  <si>
    <t>Bandweefseltype: EP ; Treksterkte: 250 N/mm ; Aantal inlagen: 2 ; Bovendek: 4 mm ; Onderdek: 2 mm ; Bandbreedte: 400 mm</t>
  </si>
  <si>
    <t>Gewebetype: EP ; Zugfestigkeit: 250 N/mm ; Anzahl Einlagen: 2 ; Oberdeck: 4 mm ; Unterdeck: 2 mm ; Gurtbreite: 500 mm</t>
  </si>
  <si>
    <t>Fabric type: EP ; Tensile strength: 250 N/mm ; Number of plies: 2 ; Topcover: 4 mm ; Bottomcover: 2 mm ; Beltwidth: 500 mm</t>
  </si>
  <si>
    <t>Carcasse: EP ; Résistance à la traction: 250 N/mm ; Nombre de plis: 2 ; Revêtement supérieur: 4 mm ; Revêtement inférieur: 2 mm ; Largeur de bande: 500 mm</t>
  </si>
  <si>
    <t>EP500XXX315/2-4+2JO</t>
  </si>
  <si>
    <t>EP 315/2-4+2,BB500</t>
  </si>
  <si>
    <t>9,350</t>
  </si>
  <si>
    <t>Bandweefseltype: EP ; Treksterkte: 315 N/mm ; Aantal inlagen: 2 ; Bovendek: 4 mm ; Onderdek: 2 mm ; Bandbreedte: 500 mm</t>
  </si>
  <si>
    <t>Gewebetype: EP ; Zugfestigkeit: 315 N/mm ; Anzahl Einlagen: 2 ; Oberdeck: 4 mm ; Unterdeck: 2 mm ; Gurtbreite: 500 mm</t>
  </si>
  <si>
    <t>Fabric type: EP ; Tensile strength: 315 N/mm ; Number of plies: 2 ; Topcover: 4 mm ; Bottomcover: 2 mm ; Beltwidth: 500 mm</t>
  </si>
  <si>
    <t>Carcasse: EP ; Résistance à la traction: 315 N/mm ; Nombre de plis: 2 ; Revêtement supérieur: 4 mm ; Revêtement inférieur: 2 mm ; Largeur de bande: 500 mm</t>
  </si>
  <si>
    <t>EP500XXX315/2-4+2KA</t>
  </si>
  <si>
    <t>8,240</t>
  </si>
  <si>
    <t>EP500XXX315/2-4+2SH</t>
  </si>
  <si>
    <t>9,170</t>
  </si>
  <si>
    <t>EP500XXX315/3-5+2KA</t>
  </si>
  <si>
    <t>EP 315/3-5+2,BB500</t>
  </si>
  <si>
    <t>16,250</t>
  </si>
  <si>
    <t>10,130</t>
  </si>
  <si>
    <t>EP500XXX400/2-4+2KA</t>
  </si>
  <si>
    <t>EP 400/2-4+2,BB500</t>
  </si>
  <si>
    <t>10,700</t>
  </si>
  <si>
    <t>EP500XXX400/3-3+1½-12MPAKA</t>
  </si>
  <si>
    <t>EP 400/3-3+1½,BB500, 12 mpa</t>
  </si>
  <si>
    <t>EP500XXX400/3-3+1½KA</t>
  </si>
  <si>
    <t>EP 400/3-3+1½,BB500</t>
  </si>
  <si>
    <t>8,590</t>
  </si>
  <si>
    <t>Bandweefseltype: EP ; Treksterkte: 400N/mm ; Aantal inlagen: 3 ; Bovendek: 3 mm ; Onderdek: 1½ mm ; Bandbreedte: 500 mm</t>
  </si>
  <si>
    <t>Gewebetype: EP ; Zugfestigkeit: 400 N/mm ; Anzahl Einlagen: 3 ; Oberdeck: 3 mm ; Unterdeck: 1½ mm ; Gurtbreite: 500 mm</t>
  </si>
  <si>
    <t>Fabric type: EP ; Tensile strength: 400 N/mm ; Number of plies: 3 ; Topcover: 3 mm ; Bottomcover: 1½ mm ; Beltwidth: 500 mm</t>
  </si>
  <si>
    <t>Carcasse: EP ; Résistance à la traction: 400 N/mm ; Nombre de plis: 3 ; Revêtement supérieur: 3 mm ; Revêtement inférieur: 1½ mm ; Largeur de bande: 500 mm</t>
  </si>
  <si>
    <t>EP500XXX400/3-3+1HY</t>
  </si>
  <si>
    <t>EP 400/3-3+1,BB500</t>
  </si>
  <si>
    <t>12,360</t>
  </si>
  <si>
    <t>EP500XXX400/3-3+1KA</t>
  </si>
  <si>
    <t>9,200</t>
  </si>
  <si>
    <t>EP500XXX400/3-3+2-12MPASH</t>
  </si>
  <si>
    <t>EP 400/3-3+2,BB500, 12 mpa</t>
  </si>
  <si>
    <t>8,480</t>
  </si>
  <si>
    <t>EP500XXX400/3-4+2-16MPASH</t>
  </si>
  <si>
    <t>EP 400/3-4+2,BB500-130 mm³ and 16 MPa</t>
  </si>
  <si>
    <t>9,340</t>
  </si>
  <si>
    <t>EP500XXX400/3-4+2-300SH</t>
  </si>
  <si>
    <t>EP 400/3-4+2,BB500 - 300 mm3</t>
  </si>
  <si>
    <t>EP500XXX400/3-4+2CO</t>
  </si>
  <si>
    <t>EP 400/3-4+2,BB500</t>
  </si>
  <si>
    <t>10,870</t>
  </si>
  <si>
    <t>Bandweefseltype: EP ; Treksterkte: 400N/mm ; Aantal inlagen: 3 ; Bovendek: 4 mm ; Onderdek: 2 mm ; Bandbreedte: 500 mm</t>
  </si>
  <si>
    <t>Gewebetype: EP ; Zugfestigkeit: 400 N/mm ; Anzahl Einlagen: 3 ; Oberdeck: 4 mm ; Unterdeck: 2 mm ; Gurtbreite: 500 mm</t>
  </si>
  <si>
    <t>Fabric type: EP ; Tensile strength: 400 N/mm ; Number of plies: 3 ; Topcover: 4 mm ; Bottomcover: 2 mm ; Beltwidth: 500 mm</t>
  </si>
  <si>
    <t>Carcasse: EP ; Résistance à la traction: 400 N/mm ; Nombre de plis: 3 ; Revêtement supérieur: 4 mm ; Revêtement inférieur: 2 mm ; Largeur de bande: 500 mm</t>
  </si>
  <si>
    <t>EP500XXX400/3-4+2-DIN-WKA</t>
  </si>
  <si>
    <t>EP 400/3-4+2,BB500-DIN-W</t>
  </si>
  <si>
    <t>10,780</t>
  </si>
  <si>
    <t>EP500XXX400/3-4+2-DIN-WSH</t>
  </si>
  <si>
    <t>10,560</t>
  </si>
  <si>
    <t>EP500XXX400/3-4+2-EINDLB</t>
  </si>
  <si>
    <t>EP 400/3-4+2-BB500-Eindloos</t>
  </si>
  <si>
    <t>209,690</t>
  </si>
  <si>
    <t>EP500XXX400/3-4+2FF</t>
  </si>
  <si>
    <t>10,580</t>
  </si>
  <si>
    <t>EP500XXX400/3-4+2HY</t>
  </si>
  <si>
    <t>EP500XXX400/3-4+2JO</t>
  </si>
  <si>
    <t>11,520</t>
  </si>
  <si>
    <t>EP500XXX400/3-4+2KA</t>
  </si>
  <si>
    <t>10,420</t>
  </si>
  <si>
    <t>EP500XXX400/3-4+2PH</t>
  </si>
  <si>
    <t>11,450</t>
  </si>
  <si>
    <t>EP500XXX400/3-4+2QH</t>
  </si>
  <si>
    <t>11,380</t>
  </si>
  <si>
    <t>EP500XXX400/3-4+2RP</t>
  </si>
  <si>
    <t>EP500XXX400/3-4+2SA</t>
  </si>
  <si>
    <t>10,590</t>
  </si>
  <si>
    <t>EP500XXX400/3-4+2SH</t>
  </si>
  <si>
    <t>9,410</t>
  </si>
  <si>
    <t>EP500XXX400/3-4+2YO</t>
  </si>
  <si>
    <t>5,150</t>
  </si>
  <si>
    <t>EP500XXX400/3-6+2FF</t>
  </si>
  <si>
    <t>EP 400/3-6+2-BB500</t>
  </si>
  <si>
    <t>12,480</t>
  </si>
  <si>
    <t>Bandweefseltype: EP ; Treksterkte: 400N/mm ; Aantal inlagen: 3 ; Bovendek: 6 mm ; Onderdek: 2 mm ; Bandbreedte: 500 mm</t>
  </si>
  <si>
    <t>Gewebetype: EP ; Zugfestigkeit: 400 N/mm ; Anzahl Einlagen: 3 ; Oberdeck: 6 mm ; Unterdeck: 2 mm ; Gurtbreite: 500 mm</t>
  </si>
  <si>
    <t>Fabric type: EP ; Tensile strength: 400 N/mm ; Number of plies: 3 ; Topcover: 6 mm ; Bottomcover: 2 mm ; Beltwidth: 500 mm</t>
  </si>
  <si>
    <t>Carcasse: EP ; Résistance à la traction: 400 N/mm ; Nombre de plis: 3 ; Revêtement supérieur: 6 mm ; Revêtement inférieur: 2 mm ; Largeur de bande: 500 mm</t>
  </si>
  <si>
    <t>EP500XXX400/3-6+2HY</t>
  </si>
  <si>
    <t>EP500XXX400/3-6+2JO</t>
  </si>
  <si>
    <t>EP 400/3-6+2,BB500</t>
  </si>
  <si>
    <t>13,730</t>
  </si>
  <si>
    <t>EP500XXX400/3-6+2KA</t>
  </si>
  <si>
    <t>10,850</t>
  </si>
  <si>
    <t>EP500XXX400/3-6+2SH</t>
  </si>
  <si>
    <t>12,640</t>
  </si>
  <si>
    <t>EP500XXX500/3-4+2-DIN-WKA</t>
  </si>
  <si>
    <t>EP 500/3-4+2,BB500-DIN-W</t>
  </si>
  <si>
    <t>EP500XXX500/3-4+2-DIN-WSH</t>
  </si>
  <si>
    <t>12,330</t>
  </si>
  <si>
    <t>EP500XXX500/3-5+2KA</t>
  </si>
  <si>
    <t>EP 500/3-5+2,BB500</t>
  </si>
  <si>
    <t>11,200</t>
  </si>
  <si>
    <t>EP500XXX500/4-4+2FF</t>
  </si>
  <si>
    <t>EP 500/4-4+2,BB500</t>
  </si>
  <si>
    <t>12,100</t>
  </si>
  <si>
    <t>Bandweefseltype: EP ; Treksterkte: 500N/mm ; Aantal inlagen: 4 ; Bovendek: 4 mm ; Onderdek: 2 mm ; Bandbreedte: 500 mm</t>
  </si>
  <si>
    <t>Gewebetype: EP ; Zugfestigkeit: 500 N/mm ; Anzahl Einlagen: 4 ; Oberdeck: 4 mm ; Unterdeck: 2 mm ; Gurtbreite: 500 mm</t>
  </si>
  <si>
    <t>Fabric type: EP ; Tensile strength: 500 N/mm ; Number of plies: 4 ; Topcover: 4 mm ; Bottomcover: 2 mm ; Beltwidth: 500 mm</t>
  </si>
  <si>
    <t>Carcasse: EP ; Résistance à la traction: 500 N/mm ; Nombre de plis: 4 ; Revêtement supérieur: 4 mm ; Revêtement inférieur: 2 mm ; Largeur de bande: 500 mm</t>
  </si>
  <si>
    <t>EP500XXX500/4-4+2KA</t>
  </si>
  <si>
    <t>11,640</t>
  </si>
  <si>
    <t>EP500XXX500/4-4+2SH</t>
  </si>
  <si>
    <t>11,980</t>
  </si>
  <si>
    <t>EP500XXX500/4-5+2-DIN-XKA</t>
  </si>
  <si>
    <t>EP 500/4-5+2,BB500-DIN-X</t>
  </si>
  <si>
    <t>13,850</t>
  </si>
  <si>
    <t>EP500XXX500/4-5+2KA</t>
  </si>
  <si>
    <t>EP 500/4-5+2,BB500</t>
  </si>
  <si>
    <t>11,770</t>
  </si>
  <si>
    <t>Bandweefseltype: EP ; Treksterkte: 500N/mm ; Aantal inlagen: 4 ; Bovendek: 5 mm ; Onderdek: 2 mm ; Bandbreedte: 500 mm</t>
  </si>
  <si>
    <t>Gewebetype: EP ; Zugfestigkeit: 500 N/mm ; Anzahl Einlagen: 4 ; Oberdeck: 5 mm ; Unterdeck: 2 mm ; Gurtbreite: 500 mm</t>
  </si>
  <si>
    <t>Fabric type: EP ; Tensile strength: 500 N/mm ; Number of plies: 4 ; Topcover: 5 mm ; Bottomcover: 2 mm ; Beltwidth: 500 mm</t>
  </si>
  <si>
    <t>Carcasse: EP ; Résistance à la traction: 500 N/mm ; Nombre de plis: 4 ; Revêtement supérieur: 5 mm ; Revêtement inférieur: 2 mm ; Largeur de bande: 500 mm</t>
  </si>
  <si>
    <t>EP500XXX500/4-5+2SA</t>
  </si>
  <si>
    <t>15,160</t>
  </si>
  <si>
    <t>EP500XXX630/3-3+2KA</t>
  </si>
  <si>
    <t>EP 630/3-3+2,BB500</t>
  </si>
  <si>
    <t>EP500XXX630/3-3+2SH</t>
  </si>
  <si>
    <t>11,530</t>
  </si>
  <si>
    <t>EP500XXX630/3-4+2KA</t>
  </si>
  <si>
    <t>EP 630/3-4+2,BB500</t>
  </si>
  <si>
    <t>14,000</t>
  </si>
  <si>
    <t>Bandweefseltype: EP ; Treksterkte: 630N/mm ; Aantal inlagen: 3 ; Bovendek: 4 mm ; Onderdek: 2 mm ; Bandbreedte: 500 mm</t>
  </si>
  <si>
    <t>Gewebetype: EP ; Zugfestigkeit: 630 N/mm ; Anzahl Einlagen: 3 ; Oberdeck: 4 mm ; Unterdeck: 2 mm ; Gurtbreite: 500 mm</t>
  </si>
  <si>
    <t>Fabric type: EP ; Tensile strength: 630 N/mm ; Number of plies: 3 ; Topcover: 4 mm ; Bottomcover: 2 mm ; Beltwidth: 500 mm</t>
  </si>
  <si>
    <t>Carcasse: EP ; Résistance à la traction: 630 N/mm ; Nombre de plis: 3 ; Revêtement supérieur: 4 mm ; Revêtement inférieur: 2 mm ; Largeur de bande: 500 mm</t>
  </si>
  <si>
    <t>EP500XXX630/4-2+2-ELEVATORSA</t>
  </si>
  <si>
    <t>EP 630/4-2+2-BB500 ELEVATOR</t>
  </si>
  <si>
    <t>14,310</t>
  </si>
  <si>
    <t>Bandweefseltype: EP ; Treksterkte: 630 N/mm ; Aantal inlagen: 4 ; Bovendek: 2 mm ; Onderdek: 2 mm ; Bandbreedte: 500 mm ; Elevator</t>
  </si>
  <si>
    <t>Gewebetype: EP ; Zugfestigkeit: 630 N/mm ; Anzahl Einlagen: 4 ; Oberdeck: 2 mm ; Unterdeck: 2 mm ; Gurtbreite: 500 mm ; Elevator</t>
  </si>
  <si>
    <t>Fabric type: EP ; Tensile strength: 630 N/mm ; Number of plies: 4 ; Topcover: 2 mm ; Bottomcover: 2 mm ; Beltwidth: 500 mm ; Elevator</t>
  </si>
  <si>
    <t xml:space="preserve">Carcasse: EP ; Tension de service: 630 N/mm ; Nombre de plis: 4 ; Revêtement supérieur: 2 mm ; Revêtement inférieur: 2 mm ; Largeur de bande: 500 mm ;  Sangle Elévatrice
</t>
  </si>
  <si>
    <t>EP500XXX630/4-4+2-12MPASH</t>
  </si>
  <si>
    <t>EP 630/4-4+2,BB500, 12 mpa</t>
  </si>
  <si>
    <t>EP500XXX630/4-4+2KA</t>
  </si>
  <si>
    <t>EP 630/4-4+2,BB500</t>
  </si>
  <si>
    <t>11,650</t>
  </si>
  <si>
    <t>EP500XXX630/5-3+2KA</t>
  </si>
  <si>
    <t>EP 630/5-3+2,BB500</t>
  </si>
  <si>
    <t>12,970</t>
  </si>
  <si>
    <t>EP500XXX800/4-2+2-ELEVATORSA</t>
  </si>
  <si>
    <t>EP 800/4-2+2-BB500 ELEVATOR</t>
  </si>
  <si>
    <t>14,780</t>
  </si>
  <si>
    <t>EP510XXX630/4-2+2-ELEVATORSA</t>
  </si>
  <si>
    <t>EP 630/4-2+2-BB510 ELEVATOR</t>
  </si>
  <si>
    <t>EP530PRL250/2-3+2-MULTIVHY</t>
  </si>
  <si>
    <t>EP 250/2-3+2,BB530-Multi V profiel 6 mm</t>
  </si>
  <si>
    <t>16,028</t>
  </si>
  <si>
    <t>EP540SGR250/2-3+1HY</t>
  </si>
  <si>
    <t>EP 250/2-3+1,BB540, Supergrip zwart</t>
  </si>
  <si>
    <t>11,680</t>
  </si>
  <si>
    <t>EP550OVG400/3-2+0AR</t>
  </si>
  <si>
    <t>EP 400/3-2+0,BB550-GLY-O+V</t>
  </si>
  <si>
    <t>EP550OVG500/4-0+0-SAWMILLHY</t>
  </si>
  <si>
    <t>EP 500/4-0+0,BB550-O+V-Saw Mill</t>
  </si>
  <si>
    <t>17,430</t>
  </si>
  <si>
    <t>Bandweefseltype: EP ; Treksterkte: 500 N/mm ; Aantal inlagen: 4 ; Bovendek: 0 mm ; Onderdek: 0 mm ; Bandbreedte: 550 mm ; Olie- en vetbestendige Kwaliteit</t>
  </si>
  <si>
    <t>Gewebetype: EP ; Zugfestigkeit: 500 N/mm ; Anzahl Einlagen: 4 ; Oberdeck: 0 mm ; Unterdeck: 0 mm ; Gurtbreite: 550 mm ; Öl und Fettbeständige Qualität</t>
  </si>
  <si>
    <t>Fabric type: EP ; Tensile strength: 500 N/mm ; Number of plies: 4 ; Topcover: 0 mm ; Bottomcover: 0 mm ; Beltwidth: 550 mm ; Oil and Grease Resistant Quality</t>
  </si>
  <si>
    <t>EP550OVX630/4-2+2-ELEVATORSA</t>
  </si>
  <si>
    <t>EP 630/4-2+2-BB550 ELEVATOR-OV</t>
  </si>
  <si>
    <t>16,810</t>
  </si>
  <si>
    <t>EP550OVX800/4-2+2-ELEVATORSA</t>
  </si>
  <si>
    <t>EP 800/4-2+2-BB550 ELEVATOR-OV</t>
  </si>
  <si>
    <t>17,620</t>
  </si>
  <si>
    <t>EP550PRG400/3-3+2-MULTIVHY</t>
  </si>
  <si>
    <t>EP 400/3-3+2,BB550-Multi V profiel 6 mm O&amp;V</t>
  </si>
  <si>
    <t>EP550PRL400/3-3+2-MULTIVSH</t>
  </si>
  <si>
    <t>EP 400/3-3+2,BB550-Multi V profiel 6 mm</t>
  </si>
  <si>
    <t>15,820</t>
  </si>
  <si>
    <t>EP550XXX1000/5-3+3-ELEVATORSA</t>
  </si>
  <si>
    <t>EP 1000/5-3+3-BB550 ELEVATOR</t>
  </si>
  <si>
    <t>19,660</t>
  </si>
  <si>
    <t>EP550XXX250/2-3+1HY</t>
  </si>
  <si>
    <t>EP 250/2-3+1,BB550</t>
  </si>
  <si>
    <t>9,470</t>
  </si>
  <si>
    <t>Bandweefseltype: EP ; Treksterkte: 250 N/mm ; Aantal inlagen: 2 ; Bovendek: 3 mm ; Onderdek: 1 mm ; Bandbreedte: 550 mm</t>
  </si>
  <si>
    <t>Gewebetype: EP ; Zugfestigkeit: 250 N/mm ; Anzahl Einlagen: 2 ; Oberdeck: 3 mm ; Unterdeck: 1 mm ; Gurtbreite: 550 mm</t>
  </si>
  <si>
    <t>Fabric type: EP ; Tensile strength: 250 N/mm ; Number of plies: 2 ; Topcover: 3 mm ; Bottomcover: 1 mm ; Beltwidth: 550 mm</t>
  </si>
  <si>
    <t>Carcasse: EP ; Résistance à la traction: 250 N/mm ; Nombre de plis: 2 ; Revêtement supérieur: 3 mm ; Revêtement inférieur: 1 mm ; Largeur de bande: 550 mm</t>
  </si>
  <si>
    <t>EP550XXX630/4-2+2-ELEVATORSA</t>
  </si>
  <si>
    <t>EP 630/4-2+2-BB550 ELEVATOR</t>
  </si>
  <si>
    <t>EP550XXX800/4-2+2-ELEVATORSA</t>
  </si>
  <si>
    <t>EP 800/4-2+2-BB550 ELEVATOR</t>
  </si>
  <si>
    <t>10,190</t>
  </si>
  <si>
    <t>EP560OVX630/4-2+2-ELEVATORSA</t>
  </si>
  <si>
    <t>EP 630/4-2+2-BB560 ELEVATOR-OV</t>
  </si>
  <si>
    <t>17,120</t>
  </si>
  <si>
    <t>EP560OVX800/4-2+2-ELEVATORSA</t>
  </si>
  <si>
    <t>EP 800/4-2+2-BB560 ELEVATOR-OV</t>
  </si>
  <si>
    <t>17,920</t>
  </si>
  <si>
    <t>EP560XXX800/4-2+2-ELEVATORSA</t>
  </si>
  <si>
    <t>EP 800/4-2+2-BB560 ELEVATOR</t>
  </si>
  <si>
    <t>EP570XXX630/4-2+2-ELEVATORSA</t>
  </si>
  <si>
    <t>EP 630/4-2+2-BB570 ELEVATOR</t>
  </si>
  <si>
    <t>16,310</t>
  </si>
  <si>
    <t>EP600GLY250/2-2+0HY</t>
  </si>
  <si>
    <t>EP 250/2-2+0,BB600-GLY</t>
  </si>
  <si>
    <t>15,970</t>
  </si>
  <si>
    <t>11,320</t>
  </si>
  <si>
    <t>Bandweefseltype: EP ; Treksterkte: 250 N/mm ; Aantal inlagen: 2 ; Bovendek: 2 mm ; Onderdek: 0 mm ; Bandbreedte: 600 mm</t>
  </si>
  <si>
    <t>Gewebetype: EP ; Zugfestigkeit: 250 N/mm ; Anzahl Einlagen: 2 ; Oberdeck: 2 mm ; Unterdeck: 0 mm ; Gurtbreite: 600 mm</t>
  </si>
  <si>
    <t>Fabric type: EP ; Tensile strength: 250 N/mm ; Number of plies: 2 ; Topcover: 2 mm ; Bottomcover: 0 mm ; Beltwidth: 600 mm</t>
  </si>
  <si>
    <t>Carcasse: EP ; Tension de service: 250 N/mm ; Nombre de plis: 2 ; Revêtement supérieur: 2 mm ; Revêtement inférieur: 0 mm ; Largeur de bande: 600 mm</t>
  </si>
  <si>
    <t>EP600GLY250/2-2+0JO</t>
  </si>
  <si>
    <t>EP600GLY250/2-2+0ZZ</t>
  </si>
  <si>
    <t>6,940</t>
  </si>
  <si>
    <t>EP600GLY400/3-2+0HY</t>
  </si>
  <si>
    <t>EP 400/3-2+0,BB600-GLY</t>
  </si>
  <si>
    <t>13,540</t>
  </si>
  <si>
    <t>Bandweefseltype: EP ; Treksterkte: 400 N/mm ; Aantal inlagen: 3 ; Bovendek: 2 mm ; Onderdek: 0 mm ; Bandbreedte: 600 mm</t>
  </si>
  <si>
    <t>Gewebetype: EP ; Zugfestigkeit: 400 N/mm ; Anzahl Einlagen: 3 ; Oberdeck: 2 mm ; Unterdeck: 0 mm ; Gurtbreite: 600 mm</t>
  </si>
  <si>
    <t>Fabric type: EP ; Tensile strength: 400 N/mm ; Number of plies: 3 ; Topcover: 2 mm ; Bottomcover: 0 mm ; Beltwidth: 600 mm</t>
  </si>
  <si>
    <t>Carcasse: EP ; Tension de service: 400 N/mm ; Nombre de plis: 3 ; Revêtement supérieur: 2 mm ; Revêtement inférieur: 0 mm ; Largeur de bande: 600 mm</t>
  </si>
  <si>
    <t>EP600GLY400/3-2+0JO</t>
  </si>
  <si>
    <t>9,950</t>
  </si>
  <si>
    <t>EP600GLY400/3-3+0HY</t>
  </si>
  <si>
    <t>EP 400/3-3+0,BB600-GLY</t>
  </si>
  <si>
    <t>14,810</t>
  </si>
  <si>
    <t>Bandweefseltype: EP ; Treksterkte: 400 N/mm ; Aantal inlagen: 3 ; Bovendek: 3 mm ; Onderdek: 0 mm ; Bandbreedte: 600 mm</t>
  </si>
  <si>
    <t>Gewebetype: EP ; Zugfestigkeit: 400 N/mm ; Anzahl Einlagen: 3 ; Oberdeck: 3 mm ; Unterdeck: 0 mm ; Gurtbreite: 600 mm</t>
  </si>
  <si>
    <t>Fabric type: EP ; Tensile strength: 400 N/mm ; Number of plies: 3 ; Topcover: 3 mm ; Bottomcover: 0 mm ; Beltwidth: 600 mm</t>
  </si>
  <si>
    <t>Carcasse: EP ; Tension de service: 400 N/mm ; Nombre de plis: 3 ; Revêtement supérieur: 3 mm ; Revêtement inférieur: 0 mm ; Largeur de bande: 600 mm</t>
  </si>
  <si>
    <t>EP600GLY400/3-3+0JO</t>
  </si>
  <si>
    <t>11,470</t>
  </si>
  <si>
    <t>EP600GLY500/4-3+0HY</t>
  </si>
  <si>
    <t>EP 500/4-3+0,BB600-GLY</t>
  </si>
  <si>
    <t>22,254</t>
  </si>
  <si>
    <t>Bandweefseltype: EP ; Treksterkte: 500 N/mm ; Aantal inlagen: 4 ; Bovendek: 3 mm ; Onderdek: 0 mm ; Bandbreedte: 600</t>
  </si>
  <si>
    <t>Gewebetype: EP ; Zugfestigkeit: 500 N/mm ; Anzahl Einlagen: 4 ; Oberdeck: 3 mm ; Unterdeck: 0 mm ; Gurtbreite: 600</t>
  </si>
  <si>
    <t>Fabric type: EP ; Tensile strength: 500 N/mm ; Number of plies: 4 ; Topcover: 3 mm ; Bottomcover: 0 mm ; Beltwidth: 600</t>
  </si>
  <si>
    <t>EP600GLY500/4-6+0HY</t>
  </si>
  <si>
    <t>EP 500/4-6+0,BB600-GLY</t>
  </si>
  <si>
    <t>25,670</t>
  </si>
  <si>
    <t>Bandweefseltype: EP ; Treksterkte: 500 N/mm ; Aantal inlagen: 4 ; Bovendek: 6 mm ; Onderdek: 0 mm ; Bandbreedte: 600 mm</t>
  </si>
  <si>
    <t>Gewebetype: EP ; Zugfestigkeit: 500 N/mm ; Anzahl Einlagen: 4 ; Oberdeck: 6 mm ; Unterdeck: 0 mm ; Gurtbreite: 600 mm</t>
  </si>
  <si>
    <t>Fabric type: EP ; Tensile strength: 500 N/mm ; Number of plies: 4 ; Topcover: 6 mm ; Bottomcover: 0 mm ; Beltwidth: 600 mm</t>
  </si>
  <si>
    <t>Carcasse: EP ; Tension de service: 500 N/mm ; Nombre de plis: 4 ; Revêtement supérieur: 6 mm ; Revêtement inférieur: 0 mm ; Largeur de bande: 600 mm</t>
  </si>
  <si>
    <t>EP600GLY500/4-6+0JO</t>
  </si>
  <si>
    <t>18,690</t>
  </si>
  <si>
    <t>EP600HB400/3-5+2-150°PH</t>
  </si>
  <si>
    <t>EP 400/3-5+2,BB600,HB</t>
  </si>
  <si>
    <t>18,840</t>
  </si>
  <si>
    <t>Bandweefseltype: EP ; Treksterkte: 400 N/mm ; Aantal inlagen: 3 ; Bovendek: 5 mm ; Onderdek: 2 mm ; Bandbreedte:600 mm ; Hittebestendig 150°-170°</t>
  </si>
  <si>
    <t>Gewebetype: EP ; Zugfestigkeit: 400 N/mm ; Anzahl Einlagen: 3 ; Oberdeck: 5 mm ; Unterdeck: 2 mm ; Gurtbreite: 600 mm ; Hitzebeständig 150°-170°</t>
  </si>
  <si>
    <t>Fabric type: EP ; Tensile strength: 400 N/mm ; Number of plies: 3 ; Topcover: 5 mm ; Bottomcover: 2 mm ; Beltwidth: 600 mm ; Heat resistant 150°-170°</t>
  </si>
  <si>
    <t>EP600HB400/3-5+2-150°SA</t>
  </si>
  <si>
    <t>18,756</t>
  </si>
  <si>
    <t>Bandweefseltype: EP ; Treksterkte: 400 N/mm ; Aantal inlagen: 3 ; Bovendek: 5 mm ; Onderdek: 2 mm ; Bandbreedte: 600 mm ; Hittebestendig 150°-170°</t>
  </si>
  <si>
    <t>EP600HB400/3-5+2-150°SL</t>
  </si>
  <si>
    <t>EP600OVG250/2-2+0HY</t>
  </si>
  <si>
    <t>EP 250/2-2+0,BB600-GLY-O+V</t>
  </si>
  <si>
    <t>10,690</t>
  </si>
  <si>
    <t>Bandweefseltype: EP ; Treksterkte: 250 N/mm ; Aantal inlagen: 2 ; Bovendek: 2 mm ; Onderdek: 0 mm ; Bandbreedte: 600 mm ; Olie- en vetbestendige Kwaliteit</t>
  </si>
  <si>
    <t>Gewebetype: EP ; Zugfestigkeit: 250 N/mm ; Anzahl Einlagen: 2 ; Oberdeck: 2 mm ; Unterdeck: 0 mm ; Gurtbreite: 600 mm ; Öl und Fettbeständige Qualität</t>
  </si>
  <si>
    <t>Fabric type: EP ; Tensile strength: 250 N/mm ; Number of plies: 2 ; Topcover: 2 mm ; Bottomcover: 0 mm ; Beltwidth: 600 mm ; Oil and Grease Resistant Quality</t>
  </si>
  <si>
    <t>EP600OVG250/2-2+0JO</t>
  </si>
  <si>
    <t>9,330</t>
  </si>
  <si>
    <t>EP600OVG400/3-2+0AR</t>
  </si>
  <si>
    <t>EP 400/3-2+0,BB600-GLY-O+V</t>
  </si>
  <si>
    <t>15,360</t>
  </si>
  <si>
    <t>Bandweefseltype: EP ; Treksterkte: 400 N/mm ; Aantal inlagen: 3 ; Bovendek: 2 mm ; Onderdek: 0 mm ; Bandbreedte: 600 mm ; Olie- en vetbestendige Kwaliteit</t>
  </si>
  <si>
    <t>Gewebetype: EP ; Zugfestigkeit: 400 N/mm ; Anzahl Einlagen: 3 ; Oberdeck: 2 mm ; Unterdeck: 0 mm ; Gurtbreite: 600 mm ; Öl und Fettbeständige Qualität</t>
  </si>
  <si>
    <t>Fabric type: EP ; Tensile strength: 400 N/mm ; Number of plies: 3 ; Topcover: 2 mm ; Bottomcover: 0 mm ; Beltwidth: 600 mm ; Oil and Grease Resistant Quality</t>
  </si>
  <si>
    <t>EP600OVG400/3-2+0HY</t>
  </si>
  <si>
    <t>16,540</t>
  </si>
  <si>
    <t>EP600OVG400/3-2+0JO</t>
  </si>
  <si>
    <t>11,970</t>
  </si>
  <si>
    <t>EP600OVG400/3-2+0ZZ</t>
  </si>
  <si>
    <t>11,130</t>
  </si>
  <si>
    <t>EP600OVG400/3-3+0HY</t>
  </si>
  <si>
    <t>EP 400/3-3+0,BB600-GLY-O+V</t>
  </si>
  <si>
    <t>18,180</t>
  </si>
  <si>
    <t>Bandweefseltype: EP ; Treksterkte: 400 N/mm ; Aantal inlagen: 3 ; Bovendek: 3 mm ; Onderdek: 0 mm ; Bandbreedte: 600 mm ; Olie- en vetbestendige Kwaliteit</t>
  </si>
  <si>
    <t>Gewebetype: EP ; Zugfestigkeit: 400 N/mm ; Anzahl Einlagen: 3 ; Oberdeck: 3 mm ; Unterdeck: 0 mm ; Gurtbreite: 600 mm ; Öl und Fettbeständige Qualität</t>
  </si>
  <si>
    <t>Fabric type: EP ; Tensile strength: 400 N/mm ; Number of plies: 3 ; Topcover: 3 mm ; Bottomcover: 0 mm ; Beltwidth: 600 mm ; Oil and Grease Resistant Quality</t>
  </si>
  <si>
    <t>EP600OVG400/3-3+0JO</t>
  </si>
  <si>
    <t>14,530</t>
  </si>
  <si>
    <t>EP600OVG500/4-0+0-SAWMILLHY</t>
  </si>
  <si>
    <t>EP 500/4-0+0,BB600-O+V-Saw Mill</t>
  </si>
  <si>
    <t>Bandweefseltype: EP ; Treksterkte: 500 N/mm ; Aantal inlagen: 4 ; Bovendek: 0 mm ; Onderdek: 0 mm ; Bandbreedte: 600 mm ; Olie- en vetbestendige Kwaliteit</t>
  </si>
  <si>
    <t>Gewebetype: EP ; Zugfestigkeit: 500 N/mm ; Anzahl Einlagen: 4 ; Oberdeck: 0 mm ; Unterdeck: 0 mm ; Gurtbreite: 600 mm ; Öl und Fettbeständige Qualität</t>
  </si>
  <si>
    <t>Fabric type: EP ; Tensile strength: 500 N/mm ; Number of plies: 4 ; Topcover: 0 mm ; Bottomcover: 0 mm ; Beltwidth: 600 mm ; Oil and Grease Resistant Quality</t>
  </si>
  <si>
    <t>EP600OVG500/4-3+0HY</t>
  </si>
  <si>
    <t>EP 500/4-3+0,BB600-GLY-O+V</t>
  </si>
  <si>
    <t>24,760</t>
  </si>
  <si>
    <t>Bandweefseltype: EP ; Treksterkte: 500 N/mm ; Aantal inlagen: 4 ; Bovendek: 3 mm ; Onderdek: 0 mm ; Bandbreedte: 600 mm ; Olie- en vetbestendige Kwaliteit</t>
  </si>
  <si>
    <t>Gewebetype: EP ; Zugfestigkeit: 500 N/mm ; Anzahl Einlagen: 4 ; Oberdeck: 3 mm ; Unterdeck: 0 mm ; Gurtbreite: 600 mm ; Öl und Fettbeständige Qualität</t>
  </si>
  <si>
    <t>Fabric type: EP ; Tensile strength: 500 N/mm ; Number of plies: 4 ; Topcover: 3 mm ; Bottomcover: 0 mm ; Beltwidth: 600 mm ; Oil and Grease Resistant Quality</t>
  </si>
  <si>
    <t>EP600OVG500/4-6+0JO</t>
  </si>
  <si>
    <t>EP 500/4-6+0,BB600-GLY-O+V</t>
  </si>
  <si>
    <t>Bandweefseltype: EP ; Treksterkte: 500 N/mm ; Aantal inlagen: 4 ; Bovendek: 6 mm ; Onderdek: 0 mm ; Bandbreedte: 600 mm ; Olie- en vetbestendige Kwaliteit</t>
  </si>
  <si>
    <t>Gewebetype: EP ; Zugfestigkeit: 500 N/mm ; Anzahl Einlagen: 4 ; Oberdeck: 6 mm ; Unterdeck: 0 mm ; Gurtbreite: 600 mm ; Öl und Fettbeständige Qualität</t>
  </si>
  <si>
    <t>Fabric type: EP ; Tensile strength: 500 N/mm ; Number of plies: 4 ; Topcover: 6 mm ; Bottomcover: 0 mm ; Beltwidth: 600 mm ; Oil and Grease Resistant Quality</t>
  </si>
  <si>
    <t>EP600OVX250/2-3+1HY</t>
  </si>
  <si>
    <t>EP 250/2-3+1,BB600-O+V</t>
  </si>
  <si>
    <t>17,070</t>
  </si>
  <si>
    <t>Bandweefseltype: EP ; Treksterkte: 250 N/mm ; Aantal inlagen: 2 ; Bovendek: 3 mm ; Onderdek: 1 mm ; Bandbreedte: 600 mm ; Olie- en vetbestendige Kwaliteit</t>
  </si>
  <si>
    <t>Gewebetype: EP ; Zugfestigkeit: 250 N/mm ; Anzahl Einlagen: 2 ; Oberdeck: 3 mm ; Unterdeck: 1 mm ; Gurtbreite: 600 mm ; Öl und Fettbeständige Qualität</t>
  </si>
  <si>
    <t>Fabric type: EP ; Tensile strength: 250 N/mm ; Number of plies: 2 ; Topcover: 3 mm ; Bottomcover: 1 mm ; Beltwidth: 600 mm ; Oil and Grease Resistant Quality</t>
  </si>
  <si>
    <t>EP600OVX250/2-3+1JO</t>
  </si>
  <si>
    <t>14,380</t>
  </si>
  <si>
    <t>EP600OVX400/3-4+2JO</t>
  </si>
  <si>
    <t>EP 400/3-4+2,BB600-O+V</t>
  </si>
  <si>
    <t>16,900</t>
  </si>
  <si>
    <t>Bandweefseltype: EP ; Treksterkte: 400 N/mm ; Aantal inlagen: 3 ; Bovendek: 4 mm ; Onderdek: 2 mm ; Bandbreedte: 600 mm ; Olie- en vetbestendige Kwaliteit</t>
  </si>
  <si>
    <t>Gewebetype: EP ; Zugfestigkeit: 400 N/mm ; Anzahl Einlagen: 3 ; Oberdeck: 4 mm ; Unterdeck: 2 mm ; Gurtbreite: 600 mm ; Öl und Fettbeständige Qualität</t>
  </si>
  <si>
    <t>Fabric type: EP ; Tensile strength: 400 N/mm ; Number of plies: 3 ; Topcover: 4 mm ; Bottomcover: 2 mm ; Beltwidth: 600 mm ; Oil and Grease Resistant Quality</t>
  </si>
  <si>
    <t>EP600OVX400/3-4+2PH</t>
  </si>
  <si>
    <t>14,760</t>
  </si>
  <si>
    <t>EP600OVX500/3-6+2PH</t>
  </si>
  <si>
    <t>EP 500/3-6+2,BB600-O+V</t>
  </si>
  <si>
    <t>19,530</t>
  </si>
  <si>
    <t>Bandweefseltype: EP ; Treksterkte: 500 N/mm ; Aantal inlagen: 3 ; Bovendek: 6 mm ; Onderdek: 2 mm ; Bandbreedte: 600 mm ; Olie- en vetbestendige Kwaliteit</t>
  </si>
  <si>
    <t>Gewebetype: EP ; Zugfestigkeit: 500 N/mm ; Anzahl Einlagen: 3 ; Oberdeck: 6 mm ; Unterdeck: 2 mm ; Gurtbreite: 600 mm ; Öl und Fettbeständige Qualität</t>
  </si>
  <si>
    <t>Fabric type: EP ; Tensile strength: 500 N/mm ; Number of plies: 3 ; Topcover: 6 mm ; Bottomcover: 2 mm ; Beltwidth: 600 mm ; Oil and Grease Resistant Quality</t>
  </si>
  <si>
    <t>EP600OVX630/4-2+2-ELEVATORSA</t>
  </si>
  <si>
    <t>EP 630/4-2+2-BB600 ELEVATOR-OV</t>
  </si>
  <si>
    <t>18,340</t>
  </si>
  <si>
    <t>Bandweefseltype: EP ; Treksterkte: 630 N/mm ; Aantal inlagen: 4 ; Bovendek: 2 mm ; Onderdek: 2 mm ; Bandbreedte: 600 mm ; Olie- en vetbestendige Kwaliteit ; Elevator</t>
  </si>
  <si>
    <t>Gewebetype: EP ; Zugfestigkeit: 630 N/mm ; Anzahl Einlagen: 4 ; Oberdeck: 2 mm ; Unterdeck: 2 mm ; Gurtbreite: 600 mm ; Öl und Fettbeständige Qualität ; Elevator</t>
  </si>
  <si>
    <t>Fabric type: EP ; Tensile strength: 630 N/mm ; Number of plies: 4 ; Topcover: 2 mm ; Bottomcover: 2 mm ; Beltwidth: 600 mm ; Oil and Grease Resistant Quality ; Elevator</t>
  </si>
  <si>
    <t xml:space="preserve">Carcasse: EP ; Tension de service: 630 N/mm ; Nombre de plis: 4 ; Revêtement supérieur: 2 mm ; Revêtement inférieur: 2 mm ; Largeur de bande: 600 mm ; Qualité résistante à l’huile et graisse ; Sangle Elévatrice
</t>
  </si>
  <si>
    <t>EP600OVX800/4-2+2-ELEVATORSA</t>
  </si>
  <si>
    <t>EP 800/4-2+2-BB600 ELEVATOR-OV</t>
  </si>
  <si>
    <t>17,051</t>
  </si>
  <si>
    <t>Bandweefseltype: EP ; Treksterkte: 800 N/mm ; Aantal inlagen: 4 ; Bovendek: 2 mm ; Onderdek: 2 mm ; Bandbreedte: 600 mm ; Olie- en vetbestendige Kwaliteit ; Elevator</t>
  </si>
  <si>
    <t>Gewebetype: EP ; Zugfestigkeit: 800 N/mm ; Anzahl Einlagen: 4 ; Oberdeck: 2 mm ; Unterdeck: 2 mm ; Gurtbreite: 600 mm ; Öl und Fettbeständige Qualität ; Elevator</t>
  </si>
  <si>
    <t>Fabric type: EP ; Tensile strength: 800 N/mm ; Number of plies: 4 ; Topcover: 2 mm ; Bottomcover: 2 mm ; Beltwidth: 600 mm ; Oil and Grease Resistant Quality ; Elevator</t>
  </si>
  <si>
    <t xml:space="preserve">Carcasse: EP ; Tension de service: 800 N/mm ; Nombre de plis: 4 ; Revêtement supérieur: 2 mm ; Revêtement inférieur: 2 mm ; Largeur de bande: 600 mm ; Qualité résistante à l’huile et graisse ; Sangle Elévatrice
</t>
  </si>
  <si>
    <t>EP600PRG250/2-3+2-MULTIVHY</t>
  </si>
  <si>
    <t>EP 250/2-3+2,BB600-Multi V profiel 6 mm O&amp;V</t>
  </si>
  <si>
    <t>20,836</t>
  </si>
  <si>
    <t>Bandweefseltype: EP ; Treksterkte: 250 N/mm ; Aantal inlagen: 2 ; Bovendek: 3 mm ; Onderdek: 2 mm ; Bandbreedte: 600 mm ; Profiel hoogte: 6 mm ; Profiel breedte: Volledige bandbreedte ; Type: V6 ; Olie- en vetbestendige Kwaliteit</t>
  </si>
  <si>
    <t>Gewebetype: EP ; Zugfestigkeit: 250 N/mm ; Anzahl Einlagen: 2 ; Oberdeck: 3 mm ; Unterdeck: 2 mm ; Gurtbreite: 600 mm ; Profilhöhe: 6 mm ; Profilbreite: Komplette Gurtbreite ; Profiltyp: V6 ; Öl und Fettbeständige Qualität</t>
  </si>
  <si>
    <t>Fabric type: EP ; Tensile strength: 250 N/mm ; Number of plies: 2 ; Topcover: 3 mm ; Bottomcover: 2 mm ; Beltwidth: 600 mm ; Profile height: 6 mm ; Profile width: Full belt width ; Profile type: V6 ; Oil and Grease Resistant Quality</t>
  </si>
  <si>
    <t>Carcasse: EP ; Résistance à la traction: 250 N/mm ; Nombre de plis: 2 ; Revêtement supérieur: 3 mm ; Revêtement inférieur: 2 mm ; Largeur de bande: 600 mm ; Hauteur du profil: 6 mm ; Largeur du profil: Sur toute la largeur ; Type de profil: V6 ; Qualité résistant aux huiles et graisses</t>
  </si>
  <si>
    <t>EP600PRG400/3-3+1-L44HY</t>
  </si>
  <si>
    <t>EP 400/3-3+1,BB600-profiel L44 O&amp;V</t>
  </si>
  <si>
    <t>34,260</t>
  </si>
  <si>
    <t>Bandweefseltype: EP ; Treksterkte: 400 N/mm ; Aantal inlagen: 3 ; Bovendek: 3 mm ; Onderdek: 1 mm ; Bandbreedte: 600 mm ; Profiel hoogte: 17 mm ; Profiel breedte: 440mm ; Type: L44 ; Olie- en vetbestendige Kwaliteit</t>
  </si>
  <si>
    <t>Gewebetype: EP ; Zugfestigkeit: 400 N/mm ; Anzahl Einlagen: 3 ; Oberdeck: 3 mm ; Unterdeck: 1 mm ; Gurtbreite: 600 mm ; Profilhöhe: 17 mm ; Profilbreite: 440mm ; Profiltyp: L44 ; Öl und Fettbeständige Qualität</t>
  </si>
  <si>
    <t>Fabric type: EP ; Tensile strength: 400 N/mm ; Number of plies: 3 ; Topcover: 3 mm ; Bottomcover: 1 mm ; Beltwidth: 600 mm ; Profile height: 17 mm ; Profile width: 440mm ; Profile type: L44 ; Oil and Grease Resistant Quality</t>
  </si>
  <si>
    <t>Carcasse: EP ; Résistance à la traction: 400 N/mm ; Nombre de plis: 3 ; Revêtement supérieur: 3 mm ; Revêtement inférieur: 1 mm ; Largeur de bande: 600 mm ; Hauteur du profil: 17 mm ; Largeur du profil: 440mm ; Type de profil: L44 ; Qualité résistant aux huiles et graisses</t>
  </si>
  <si>
    <t>EP600PRG400/3-3+2-MULTIVHY</t>
  </si>
  <si>
    <t>EP 400/3-3+2,BB600-Multi V profiel 6 mm O&amp;V</t>
  </si>
  <si>
    <t>24,580</t>
  </si>
  <si>
    <t>Bandweefseltype: EP ; Treksterkte: 400 N/mm ; Aantal inlagen: 3 ; Bovendek: 3 mm ; Onderdek: 2 mm ; Bandbreedte: 600 mm ; Profiel hoogte: 6 mm ; Profiel breedte: Volledige bandbreedte ; Type: V6 ; Olie- en vetbestendige Kwaliteit</t>
  </si>
  <si>
    <t>Gewebetype: EP ; Zugfestigkeit: 400 N/mm ; Anzahl Einlagen: 3 ; Oberdeck: 3 mm ; Unterdeck: 2 mm ; Gurtbreite: 600 mm ; Profilhöhe: 6 mm ; Profilbreite: Komplette Gurtbreite ; Profiltyp: V6 ; Öl und Fettbeständige Qualität</t>
  </si>
  <si>
    <t>Fabric type: EP ; Tensile strength: 400 N/mm ; Number of plies: 3 ; Topcover: 3 mm ; Bottomcover: 2 mm ; Beltwidth: 600 mm ; Profile height: 6 mm ; Profile width: Full belt width ; Profile type: V6 ; Oil and Grease Resistant Quality</t>
  </si>
  <si>
    <t>Carcasse: EP ; Résistance à la traction: 400 N/mm ; Nombre de plis: 3 ; Revêtement supérieur: 3 mm ; Revêtement inférieur: 2 mm ; Largeur de bande: 600 mm ; Hauteur du profil: 6 mm ; Largeur du profil: Sur toute la largeur ; Type de profil: V6 ; Qualité résistant aux huiles et graisses</t>
  </si>
  <si>
    <t>EP600PRG400/3-3+2-MULTIVSH</t>
  </si>
  <si>
    <t>18,120</t>
  </si>
  <si>
    <t>EP600PRH250/2-3+1½-Y32P450HY</t>
  </si>
  <si>
    <t>EP 250/2-3+1½,BB600-profiel Y32P450</t>
  </si>
  <si>
    <t>53,750</t>
  </si>
  <si>
    <t>34,080</t>
  </si>
  <si>
    <t>Chevron, Standaard kwaliteit ; EP 250/2-3+1½ met Y32P450 profiel</t>
  </si>
  <si>
    <t>Chevron, Standardqualität ; EP 250/2-3+1½ mit Y32P450 Profil</t>
  </si>
  <si>
    <t>Chevron, Standard Quality ; EP 250/2-3+1½ with Y32P450 profile</t>
  </si>
  <si>
    <t>Chevron, Qualité standard ; EP 250/2-3+1½ met Y32P450 profil</t>
  </si>
  <si>
    <t>Bandweefseltype: EP ; Treksterkte: 250 N/mm ; Aantal inlagen: 2 ; Bovendek: 3 mm ; Onderdek:  mm 1½ ; Bandbreedte: 600 mm ; Profiel hoogte: 32 mm ; Profiel breedte: 450 mm ; Profiel type: open Y</t>
  </si>
  <si>
    <t>Gewebetype: EP ; Zugfestigkeit: 250 N/mm ; Anzahl Einlagen: 2 ; Oberdeck: 3 mm ; Unterdeck: 1½ mm ; Gurtbreite: 600 mm ; Profilhöhe: 32 mm ; Profilbreite: 450 mm ; Profiltyp: offen Y</t>
  </si>
  <si>
    <t>Fabric type: EP ; Tensile strength: 250 N/mm ; Number of plies: 2 ; Topcover: 3 mm ; Bottomcover: 1½ mm ; Beltwidth: 600 mm ; Profile height: 32 mm ; Profile width: 450 mm ; Profile type: open Y</t>
  </si>
  <si>
    <t>Carcasse: EP ; Résistance à la traction: 250 N/mm ; Nombre de plis: 2 ; Revêtement supérieur: 3 mm ; Revêtement inférieur: 1½ mm ; Largeur de bande: 600 mm ; Hauteur du profil: 32 mm ; Largeur du profil: 450 mm ; Type de profil: Y Ouvert</t>
  </si>
  <si>
    <t>EP600PRH250/2-3+1-H46HY</t>
  </si>
  <si>
    <t>EP 250/2-3+1,BB600-profiel H46</t>
  </si>
  <si>
    <t>55,050</t>
  </si>
  <si>
    <t>Bandweefseltype: EP ; Treksterkte: 250 N/mm ; Aantal inlagen: 2 ; Bovendek: 3 mm ; Onderdek:  mm 1 ; Bandbreedte: 600 mm ; Profiel hoogte: 32 mm ; Profiel breedte: 460 mm ; Profiel type: open</t>
  </si>
  <si>
    <t>Gewebetype: EP ; Zugfestigkeit: 250 N/mm ; Anzahl Einlagen: 2 ; Oberdeck: 3 mm ; Unterdeck: 1 mm ; Gurtbreite: 600 mm ; Profilhöhe: 32 mm ; Profilbreite: 460 mm ; Profiltyp: offen</t>
  </si>
  <si>
    <t>Fabric type: EP ; Tensile strength: 250 N/mm ; Number of plies: 2 ; Topcover: 3 mm ; Bottomcover: 1 mm ; Beltwidth: 600 mm ; Profile height: 32 mm ; Profile width: 460 mm ; Profile type: open</t>
  </si>
  <si>
    <t>Carcasse: EP ; Résistance à la traction: 250 N/mm ; Nombre de plis: 2 ; Revêtement supérieur: 3 mm ; Revêtement inférieur: 1 mm ; Largeur de bande: 600 mm ; Hauteur du profil: 32 mm ; Largeur du profil: 460 mm ; Type de profil: Ouvert</t>
  </si>
  <si>
    <t>EP600PRH250/2-3+1-H46JO</t>
  </si>
  <si>
    <t>21,910</t>
  </si>
  <si>
    <t>EP600PRH250/2-3+1-H58HY</t>
  </si>
  <si>
    <t>EP 250/2-3+1,BB600-profiel H58</t>
  </si>
  <si>
    <t>24,620</t>
  </si>
  <si>
    <t>Chevron, Standaard kwaliteit ; EP 250/2-3+1 met H58 profiel</t>
  </si>
  <si>
    <t>Chevron, Standardqualität ; EP 250/2-3+1 mit H58 Profil</t>
  </si>
  <si>
    <t>Chevron, Standard Quality ; EP 250/2-3+1 with H58 profile</t>
  </si>
  <si>
    <t>Chevron, Qualité standard ; EP 250/2-3+1 met H58 profil</t>
  </si>
  <si>
    <t>Bandweefseltype: EP ; Treksterkte: 250 N/mm ; Aantal inlagen: 2 ; Bovendek: 3 mm ; Onderdek:  mm 1 ; Bandbreedte: 600 mm ; Profiel hoogte: 32 mm ; Profiel breedte: 580 mm ; Profiel type: open</t>
  </si>
  <si>
    <t>Gewebetype: EP ; Zugfestigkeit: 250 N/mm ; Anzahl Einlagen: 2 ; Oberdeck: 3 mm ; Unterdeck: 1 mm ; Gurtbreite: 600 mm ; Profilhöhe: 32 mm ; Profilbreite: 580 mm ; Profiltyp: offen</t>
  </si>
  <si>
    <t>Fabric type: EP ; Tensile strength: 250 N/mm ; Number of plies: 2 ; Topcover: 3 mm ; Bottomcover: 1 mm ; Beltwidth: 600 mm ; Profile height: 32 mm ; Profile width: 580 mm ; Profile type: open</t>
  </si>
  <si>
    <t>Carcasse: EP ; Résistance à la traction: 250 N/mm ; Nombre de plis: 2 ; Revêtement supérieur: 3 mm ; Revêtement inférieur: 1 mm ; Largeur de bande: 600 mm ; Hauteur du profil: 32 mm ; Largeur du profil: 580 mm ; Type de profil: Ouvert</t>
  </si>
  <si>
    <t>EP600PRH400/3-3+1½-Y32P450HY</t>
  </si>
  <si>
    <t>EP 400/3-3+1½,BB600-profiel Y32P450</t>
  </si>
  <si>
    <t>36,610</t>
  </si>
  <si>
    <t>Chevron, Standaard kwaliteit ; EP 400/3-3+1½ met Y32P450 profiel</t>
  </si>
  <si>
    <t>Chevron, Standardqualität ; EP 400/3-3+1½ mit Y32P450 Profil</t>
  </si>
  <si>
    <t>Chevron, Standard Quality ; EP 400/3-3+1½ with Y32P450 profile</t>
  </si>
  <si>
    <t>Chevron, Qualité standard ; EP 400/3-3+1½ met Y32P450 profil</t>
  </si>
  <si>
    <t>Bandweefseltype: EP ; Treksterkte: 400 N/mm ; Aantal inlagen: 3 ; Bovendek: 3 mm ; Onderdek: ½ mm  ; Bandbreedte: 600 mm ; Profiel hoogte: 32 mm ; Profiel breedte: 630 mm ; Profiel type: open Y</t>
  </si>
  <si>
    <t>Gewebetype: EP ; Zugfestigkeit: 400 N/mm ; Anzahl Einlagen: 3 ; Oberdeck: 3 mm ; Unterdeck: ½ mm ; Gurtbreite: 600 mm ; Profilhöhe: 32 mm ; Profilbreite: 630 mm ; Profiltyp: offen Y</t>
  </si>
  <si>
    <t>Fabric type: EP ; Tensile strength: 400 N/mm ; Number of plies: 3 ; Topcover: 3 mm ; Bottomcover: ½ mm ; Beltwidth: 600 mm ; Profile height: 32 mm ; Profile width: 630 mm ; Profile type: open Y</t>
  </si>
  <si>
    <t>Carcasse: EP ; Résistance à la traction: 400 N/mm ; Nombre de plis: 3 ; Revêtement supérieur: 3 mm ; Revêtement inférieur: ½ mm ; Largeur de bande: 600 mm ; Hauteur du profil: 32 mm ; Largeur du profil: 630 mm ; Type de profil: Y Ouvert</t>
  </si>
  <si>
    <t>EP600PRH400/3-3+1-H46DA</t>
  </si>
  <si>
    <t>EP 400/3-3+1,BB600-profiel H46</t>
  </si>
  <si>
    <t>30,920</t>
  </si>
  <si>
    <t>Bandweefseltype: EP ; Treksterkte: 400 N/mm ; Aantal inlagen: 3 ; Bovendek: 3 mm ; Onderdek:  mm 1 ; Bandbreedte: 600 mm ; Profiel hoogte: 32 mm ; Profiel breedte: 460 mm ; Profiel type: open</t>
  </si>
  <si>
    <t>Gewebetype: EP ; Zugfestigkeit: 400 N/mm ; Anzahl Einlagen: 3 ; Oberdeck: 3 mm ; Unterdeck: 1 mm ; Gurtbreite: 600 mm ; Profilhöhe: 32 mm ; Profilbreite: 460 mm ; Profiltyp: offen</t>
  </si>
  <si>
    <t>Fabric type: EP ; Tensile strength: 400 N/mm ; Number of plies: 3 ; Topcover: 3 mm ; Bottomcover: 1 mm ; Beltwidth: 600 mm ; Profile height: 32 mm ; Profile width: 460 mm ; Profile type: open</t>
  </si>
  <si>
    <t>Carcasse: EP ; Résistance à la traction: 400 N/mm ; Nombre de plis: 3 ; Revêtement supérieur: 3 mm ; Revêtement inférieur: 1 mm ; Largeur de bande: 600 mm ; Hauteur du profil: 32 mm ; Largeur du profil: 460 mm ; Type de profil: Ouvert</t>
  </si>
  <si>
    <t>EP600PRH400/3-3+1-H46HY</t>
  </si>
  <si>
    <t>EP600PRH400/3-3+1-H46JO</t>
  </si>
  <si>
    <t>25,310</t>
  </si>
  <si>
    <t>EP600PRH400/3-3+1-H58HY</t>
  </si>
  <si>
    <t>EP 400/3-3+1,BB600-profiel H58</t>
  </si>
  <si>
    <t>30,340</t>
  </si>
  <si>
    <t>Chevron, Standaard kwaliteit ; EP 400/3-3+1 met H58 profiel</t>
  </si>
  <si>
    <t>Chevron, Standardqualität ; EP 400/3-3+1 mit H58 Profil</t>
  </si>
  <si>
    <t>Chevron, Standard Quality ; EP 400/3-3+1 with H58 profile</t>
  </si>
  <si>
    <t>Chevron, Qualité standard ; EP 400/3-3+1 met H58 profil</t>
  </si>
  <si>
    <t>Bandweefseltype: EP ; Treksterkte: 400 N/mm ; Aantal inlagen: 3 ; Bovendek: 3 mm ; Onderdek:  mm 1 ; Bandbreedte: 600 mm ; Profiel hoogte: 32 mm ; Profiel breedte: 580 mm ; Profiel type: open</t>
  </si>
  <si>
    <t>Gewebetype: EP ; Zugfestigkeit: 400 N/mm ; Anzahl Einlagen: 3 ; Oberdeck: 3 mm ; Unterdeck: 1 mm ; Gurtbreite: 600 mm ; Profilhöhe: 32 mm ; Profilbreite: 580 mm ; Profiltyp: offen</t>
  </si>
  <si>
    <t>Fabric type: EP ; Tensile strength: 400 N/mm ; Number of plies: 3 ; Topcover: 3 mm ; Bottomcover: 1 mm ; Beltwidth: 600 mm ; Profile height: 32 mm ; Profile width: 580 mm ; Profile type: open</t>
  </si>
  <si>
    <t>Carcasse: EP ; Résistance à la traction: 400 N/mm ; Nombre de plis: 3 ; Revêtement supérieur: 3 mm ; Revêtement inférieur: 1 mm ; Largeur de bande: 600 mm ; Hauteur du profil: 32 mm ; Largeur du profil: 580 mm ; Type de profil: Ouvert</t>
  </si>
  <si>
    <t>EP600PRL250/2-3+1½-C15P385FF</t>
  </si>
  <si>
    <t>EP 250/2-3+1½,BB600-profiel C15P385</t>
  </si>
  <si>
    <t>Bandweefseltype: EP ; Treksterkte: 250 N/mm ; Aantal inlagen: 2 ; Bovendek: 3 mm ; Onderdek:  mm 1½ ; Bandbreedte: 600 mm ; Profiel hoogte: 15 mm ; Profiel breedte: 385 mm ; Profiel type: open V</t>
  </si>
  <si>
    <t>Gewebetype: EP ; Zugfestigkeit: 250 N/mm ; Anzahl Einlagen: 2 ; Oberdeck: 3 mm ; Unterdeck: 1½ mm ; Gurtbreite: 600 mm ; Profilhöhe: 15 mm ; Profilbreite: 385 mm ; Profiltyp: offen V</t>
  </si>
  <si>
    <t>Fabric type: EP ; Tensile strength: 250 N/mm ; Number of plies: 2 ; Topcover: 3 mm ; Bottomcover: 1½ mm ; Beltwidth: 600 mm ; Profile height: 15 mm ; Profile width: 385 mm ; Profile type: open V</t>
  </si>
  <si>
    <t>Carcasse: EP ; Résistance à la traction: 250 N/mm ; Nombre de plis: 2 ; Revêtement supérieur: 3 mm ; Revêtement inférieur: 1½ mm ; Largeur de bande: 600 mm ; Hauteur du profil: 15 mm ; Largeur du profil: 385 mm ; Type de profil: V Ouvert</t>
  </si>
  <si>
    <t>EP600PRL250/2-3+1½-C15P385HY</t>
  </si>
  <si>
    <t>34,050</t>
  </si>
  <si>
    <t>18,611</t>
  </si>
  <si>
    <t>EP600PRL250/2-3+1½-C15P385JO</t>
  </si>
  <si>
    <t>15,730</t>
  </si>
  <si>
    <t>EP600PRL250/2-3+1½-C15P385SH</t>
  </si>
  <si>
    <t>14,300</t>
  </si>
  <si>
    <t>EP600PRL250/2-3+1½-C15V450FF</t>
  </si>
  <si>
    <t>EP 250/2-3+1½,BB600-profiel C15V450</t>
  </si>
  <si>
    <t>14,200</t>
  </si>
  <si>
    <t>Chevron, Standaard kwaliteit ; EP 250/2-3+1½ met C15V450 profiel</t>
  </si>
  <si>
    <t>Chevron, Standardqualität ; EP 250/2-3+1½ mit C15V450 Profil</t>
  </si>
  <si>
    <t>Chevron, Standard Quality ; EP 250/2-3+1½ with C15V450 profile</t>
  </si>
  <si>
    <t>Chevron, Qualité standard ; EP 250/2-3+1½ met C15V450 profil</t>
  </si>
  <si>
    <t>Bandweefseltype: EP ; Treksterkte: 250 N/mm ; Aantal inlagen: 2 ; Bovendek: 3 mm ; Onderdek:  mm 1½ ; Bandbreedte: 600 mm ; Profiel hoogte: 15 mm ; Profiel breedte: 450 mm ; Profiel type: Gesloten V</t>
  </si>
  <si>
    <t>Gewebetype: EP ; Zugfestigkeit: 250 N/mm ; Anzahl Einlagen: 2 ; Oberdeck: 3 mm ; Unterdeck: 1½ mm ; Gurtbreite: 600 mm ; Profilhöhe: 15 mm ; Profilbreite: 450 mm ; Profiltyp:Geschlossen V</t>
  </si>
  <si>
    <t>Fabric type: EP ; Tensile strength: 250 N/mm ; Number of plies: 3 ; Topcover: 3 mm ; Bottomcover: 1½ mm ; Beltwidth: 600 mm ; Profile height: 15 mm ; Profile width: 450 mm ; Profile type: Closed V</t>
  </si>
  <si>
    <t>Carcasse: EP ; Résistance à la traction: 250 N/mm ; Nombre de plis: 3 ; Revêtement supérieur: 3 mm ; Revêtement inférieur: 1½ mm ; Largeur de bande: 600 mm ; Hauteur du profil: 15 mm ; Largeur du profil: 450 mm ; Type de profil: V Fermé</t>
  </si>
  <si>
    <t>EP600PRL250/2-3+1½-C15V450HY</t>
  </si>
  <si>
    <t>EP600PRL250/2-3+1½-C15V450JO</t>
  </si>
  <si>
    <t>15,060</t>
  </si>
  <si>
    <t>EP600PRL250/2-3+1-L44HY</t>
  </si>
  <si>
    <t>EP 250/2-3+1-BB600, profiel L44</t>
  </si>
  <si>
    <t>19,878</t>
  </si>
  <si>
    <t>Bandweefseltype: EP ; Treksterkte: 250 N/mm ; Aantal inlagen: 2 ; Bovendek: 3 mm ; Onderdek:  mm 1 ; Bandbreedte: 600 mm ; Profiel hoogte: 17 mm ; Profiel breedte: 440 mm ; Profiel type: open Y</t>
  </si>
  <si>
    <t>Gewebetype: EP ; Zugfestigkeit: 250 N/mm ; Anzahl Einlagen: 2 ; Oberdeck: 3 mm ; Unterdeck: 1 mm ; Gurtbreite: 600 mm ; Profilhöhe: 17 mm ; Profilbreite: 440 mm ; Profiltyp: offen Y</t>
  </si>
  <si>
    <t>Fabric type: EP ; Tensile strength: 250 N/mm ; Number of plies: 2 ; Topcover: 3 mm ; Bottomcover: 1 mm ; Beltwidth: 600 mm ; Profile height: 17 mm ; Profile width: 440 mm ; Profile type: open Y</t>
  </si>
  <si>
    <t>Carcasse: EP ; Résistance à la traction: 250 N/mm ; Nombre de plis: 2 ; Revêtement supérieur: 3 mm ; Revêtement inférieur: 1 mm ; Largeur de bande: 600 mm ; Hauteur du profil: 17 mm ; Largeur du profil: 440 mm ; Type de profil: Y Ouvert</t>
  </si>
  <si>
    <t>EP600PRL250/2-3+1-L44JO</t>
  </si>
  <si>
    <t>17,200</t>
  </si>
  <si>
    <t>EP600PRL250/2-3+1-L44KA</t>
  </si>
  <si>
    <t>17,360</t>
  </si>
  <si>
    <t>EP600PRL250/2-3+2-MULTIVHY</t>
  </si>
  <si>
    <t>EP 250/2-3+2,BB600-Multi V profiel 6 mm</t>
  </si>
  <si>
    <t>21,418</t>
  </si>
  <si>
    <t>Bandweefseltype: EP ; Treksterkte: 250 N/mm ; Aantal inlagen: 2 ; Bovendek: 3 mm ; Onderdek: 2 mm ; Bandbreedte: 600 mm ; Profiel hoogte: 6 mm ; Profiel breedte: Volledige bandbreedte ; Type: V6</t>
  </si>
  <si>
    <t>Gewebetype: EP ; Zugfestigkeit: 250 N/mm ; Anzahl Einlagen: 2 ; Oberdeck: 3 mm ; Unterdeck: 2 mm ; Gurtbreite: 600 mm ; Profilhöhe: 6 mm ; Profilbreite: Komplette Gurtbreite ; Profiltyp: V6</t>
  </si>
  <si>
    <t>Fabric type: EP ; Tensile strength: 250 N/mm ; Number of plies: 2 ; Topcover: 3 mm ; Bottomcover: 2 mm ; Beltwidth: 600 mm ; Profile height: 6 mm ; Profile width: Full belt width ; Profile type: V6</t>
  </si>
  <si>
    <t>Carcasse: EP ; Résistance à la traction: 250 N/mm ; Nombre de plis: 2 ; Revêtement supérieur: 3 mm ; Revêtement inférieur: 2 mm ; Largeur de bande: 600 mm ; Hauteur du profil: 6 mm ; Largeur du profil: Sur toute la largeur ; Type de profil: V6</t>
  </si>
  <si>
    <t>EP600PRL250/2-3+2-MULTIVSH</t>
  </si>
  <si>
    <t>Bandweefseltype: EP ; Treksterkte: 250 N/mm ; Aantal inlagen: 2 ; Bovendek: 3 mm ; Onderdek: 2 mm ; Bandbreedte: 600 mm ; Profiel hoogte: 6 mm ; Profiel breedte: Volledige bandbreedte ; Type: V7</t>
  </si>
  <si>
    <t>Gewebetype: EP ; Zugfestigkeit: 250 N/mm ; Anzahl Einlagen: 2 ; Oberdeck: 3 mm ; Unterdeck: 2 mm ; Gurtbreite: 600 mm ; Profilhöhe: 6 mm ; Profilbreite: Komplette Gurtbreite ; Profiltyp: V7</t>
  </si>
  <si>
    <t>Fabric type: EP ; Tensile strength: 250 N/mm ; Number of plies: 2 ; Topcover: 3 mm ; Bottomcover: 2 mm ; Beltwidth: 600 mm ; Profile height: 6 mm ; Profile width: Full belt width ; Profile type: V7</t>
  </si>
  <si>
    <t>Carcasse: EP ; Résistance à la traction: 250 N/mm ; Nombre de plis: 2 ; Revêtement supérieur: 3 mm ; Revêtement inférieur: 2 mm ; Largeur de bande: 600 mm ; Hauteur du profil: 6 mm ; Largeur du profil: Sur toute la largeur ; Type de profil: V7</t>
  </si>
  <si>
    <t>EP600PRL400/3-3+1½-C15P385FF</t>
  </si>
  <si>
    <t>EP 400/3-3+1½,BB600-profiel C15P385</t>
  </si>
  <si>
    <t>16,220</t>
  </si>
  <si>
    <t>Bandweefseltype: EP ; Treksterkte: 400 N/mm ; Aantal inlagen: 3 ; Bovendek: 3 mm ; Onderdek:  mm 1½ ; Bandbreedte: 600 mm ; Profiel hoogte: 15 mm ; Profiel breedte: 385 mm ; Profiel type: open V</t>
  </si>
  <si>
    <t>Gewebetype: EP ; Zugfestigkeit: 400 N/mm ; Anzahl Einlagen: 3 ; Oberdeck: 3 mm ; Unterdeck: 1½ mm ; Gurtbreite: 600 mm ; Profilhöhe: 15 mm ; Profilbreite: 385 mm ; Profiltyp: offen V</t>
  </si>
  <si>
    <t>Fabric type: EP ; Tensile strength: 400 N/mm ; Number of plies: 3 ; Topcover: 3 mm ; Bottomcover: 1½ mm ; Beltwidth: 600 mm ; Profile height: 15 mm ; Profile width: 385 mm ; Profile type: open V</t>
  </si>
  <si>
    <t>Carcasse: EP ; Résistance à la traction: 400 N/mm ; Nombre de plis: 3 ; Revêtement supérieur: 3 mm ; Revêtement inférieur: 1½ mm ; Largeur de bande: 600 mm ; Hauteur du profil: 15 mm ; Largeur du profil: 385 mm ; Type de profil: V Ouvert</t>
  </si>
  <si>
    <t>EP600PRL400/3-3+1½-C15P385JO</t>
  </si>
  <si>
    <t>15,480</t>
  </si>
  <si>
    <t>EP600PRL400/3-3+1½-C15P385SH</t>
  </si>
  <si>
    <t>13,122</t>
  </si>
  <si>
    <t>EP600PRL400/3-3+1½-C15V450FF</t>
  </si>
  <si>
    <t>EP 400/3-3+1½,BB600-profiel C15V450</t>
  </si>
  <si>
    <t>Bandweefseltype: EP ; Treksterkte: 400 N/mm ; Aantal inlagen: 3 ; Bovendek: 3 mm ; Onderdek:  mm 1½ ; Bandbreedte: 600 mm ; Profiel hoogte: 15 mm ; Profiel breedte: 450 mm ; Profiel type: Gesloten V</t>
  </si>
  <si>
    <t>Gewebetype: EP ; Zugfestigkeit: 400 N/mm ; Anzahl Einlagen: 3 ; Oberdeck: 3 mm ; Unterdeck: 1½ mm ; Gurtbreite: 600 mm ; Profilhöhe: 15 mm ; Profilbreite: 450 mm ; Profiltyp:Geschlossen V</t>
  </si>
  <si>
    <t>Fabric type: EP ; Tensile strength: 400 N/mm ; Number of plies: 3 ; Topcover: 3 mm ; Bottomcover: 1½ mm ; Beltwidth: 600 mm ; Profile height: 15 mm ; Profile width: 450 mm ; Profile type: Closed V</t>
  </si>
  <si>
    <t>Carcasse: EP ; Résistance à la traction: 400 N/mm ; Nombre de plis: 3 ; Revêtement supérieur: 3 mm ; Revêtement inférieur: 1½ mm ; Largeur de bande: 600 mm ; Hauteur du profil: 15 mm ; Largeur du profil: 450 mm ; Type de profil: V Fermé</t>
  </si>
  <si>
    <t>EP600PRL400/3-3+1½-C15V450HY</t>
  </si>
  <si>
    <t>EP 400/3-3+1½-BB600-profiel C15V450</t>
  </si>
  <si>
    <t>21,330</t>
  </si>
  <si>
    <t>EP600PRL400/3-3+1½-C15V450JO</t>
  </si>
  <si>
    <t>EP600PRL400/3-3+1½-ES13½KA</t>
  </si>
  <si>
    <t>EP 400/3-3+1½,BB600-Profiel ES13½</t>
  </si>
  <si>
    <t>16,210</t>
  </si>
  <si>
    <t>Bandweefseltype: EP ; Treksterkte: 400 N/mm ; Aantal inlagen: 3 ; Bovendek: 3 mm ; Onderdek:  mm 1½ ; Bandbreedte: 600 mm ; Profiel hoogte: 13½ mm ; Profiel breedte: Volledige bandbreedte ; Profiel type: Gesloten V</t>
  </si>
  <si>
    <t>Gewebetype: EP ; Zugfestigkeit: 400 N/mm ; Anzahl Einlagen: 3 ; Oberdeck: 3 mm ; Unterdeck: 1½ mm ; Gurtbreite: 600 mm ; Profilhöhe: 13½ mm ; Profilbreite: Komplette Gurtbreite ; Profiltyp: Geschlossen V</t>
  </si>
  <si>
    <t>Fabric type: EP ; Tensile strength: 400 N/mm ; Number of plies: 3 ; Topcover: 3 mm ; Bottomcover: 1½ mm ; Beltwidth: 600 mm ; Profile height: 13½ mm ; Profile width: Full belt width ; Profile type: Closed V</t>
  </si>
  <si>
    <t>Carcasse: EP ; Résistance à la traction: 400 N/mm ; Nombre de plis: 3 ; Revêtement supérieur: 3 mm ; Revêtement inférieur: 1½ mm ; Largeur de bande: 600 mm ; Hauteur du profil: 13½ mm ; Largeur du profil: Sur toute la largeur ; Type de profil: V Fermé</t>
  </si>
  <si>
    <t>EP600PRL400/3-3+1-L44HY</t>
  </si>
  <si>
    <t>EP 400/3-3+1,BB600-profiel L44</t>
  </si>
  <si>
    <t>20,760</t>
  </si>
  <si>
    <t>Bandweefseltype: EP ; Treksterkte: 400 N/mm ; Aantal inlagen: 3 ; Bovendek: 3 mm ; Onderdek:  mm 1 ; Bandbreedte: 600 mm ; Profiel hoogte: 17 mm ; Profiel breedte: 440 mm ; Profiel type: open Y</t>
  </si>
  <si>
    <t>Gewebetype: EP ; Zugfestigkeit: 400 N/mm ; Anzahl Einlagen: 3 ; Oberdeck: 3 mm ; Unterdeck: 1 mm ; Gurtbreite: 600 mm ; Profilhöhe: 17 mm ; Profilbreite: 440 mm ; Profiltyp: offen Y</t>
  </si>
  <si>
    <t>Fabric type: EP ; Tensile strength: 400 N/mm ; Number of plies: 3 ; Topcover: 3 mm ; Bottomcover: 1 mm ; Beltwidth: 600 mm ; Profile height: 17 mm ; Profile width: 440 mm ; Profile type: open Y</t>
  </si>
  <si>
    <t>Carcasse: EP ; Résistance à la traction: 400 N/mm ; Nombre de plis: 3 ; Revêtement supérieur: 3 mm ; Revêtement inférieur: 1 mm ; Largeur de bande: 600 mm ; Hauteur du profil: 17 mm ; Largeur du profil: 440 mm ; Type de profil: Y Ouvert</t>
  </si>
  <si>
    <t>EP600PRL400/3-3+1-L44JO</t>
  </si>
  <si>
    <t>17,210</t>
  </si>
  <si>
    <t>EP600PRL400/3-3+1-L44KA</t>
  </si>
  <si>
    <t>17,500</t>
  </si>
  <si>
    <t>EP600PRL400/3-3+2-C15P380ZZ</t>
  </si>
  <si>
    <t>EP 400/3-3+2,BB600-profiel C15P380</t>
  </si>
  <si>
    <t>6,000</t>
  </si>
  <si>
    <t>EP600PRL400/3-3+2-MULTIVHY</t>
  </si>
  <si>
    <t>EP 400/3-3+2,BB600-Multi V profiel 6 mm</t>
  </si>
  <si>
    <t>27,380</t>
  </si>
  <si>
    <t>Bandweefseltype: EP ; Treksterkte: 400 N/mm ; Aantal inlagen: 3 ; Bovendek: 3 mm ; Onderdek: 2 mm ; Bandbreedte: 600 mm ; Profiel hoogte: 6 mm ; Profiel breedte: Volledige bandbreedte ; Type: V6</t>
  </si>
  <si>
    <t>Gewebetype: EP ; Zugfestigkeit: 400 N/mm ; Anzahl Einlagen: 3 ; Oberdeck: 3 mm ; Unterdeck: 2 mm ; Gurtbreite: 600 mm ; Profilhöhe: 6 mm ; Profilbreite: Komplette Gurtbreite ; Profiltyp: V6</t>
  </si>
  <si>
    <t>Fabric type: EP ; Tensile strength: 400 N/mm ; Number of plies: 3 ; Topcover: 3 mm ; Bottomcover: 2 mm ; Beltwidth: 600 mm ; Profile height: 6 mm ; Profile width: Full belt width ; Profile type: V6</t>
  </si>
  <si>
    <t>Carcasse: EP ; Résistance à la traction: 400 N/mm ; Nombre de plis: 3 ; Revêtement supérieur: 3 mm ; Revêtement inférieur: 2 mm ; Largeur de bande: 600 mm ; Hauteur du profil: 6 mm ; Largeur du profil: Sur toute la largeur ; Type de profil: V6</t>
  </si>
  <si>
    <t>EP600PRL400/3-3+2-MULTIVSH</t>
  </si>
  <si>
    <t>12,060</t>
  </si>
  <si>
    <t>EP600PRM250/2-3+1½-C25P450HY</t>
  </si>
  <si>
    <t>EP 250/2-3+1½,BB600-profiel C25P450</t>
  </si>
  <si>
    <t>22,610</t>
  </si>
  <si>
    <t>Chevron, Standaard kwaliteit ; EP 250/2-3+1½ met C25P450 profiel</t>
  </si>
  <si>
    <t>Chevron, Standardqualität ; EP 250/2-3+1½  mit C25P450 Profil</t>
  </si>
  <si>
    <t>Chevron, Standard Quality ; EP 250/2-3+1½  with C25P450  profile</t>
  </si>
  <si>
    <t>Chevron, Qualité standard ; EP 250/2-3+1½  met C25P450  profil</t>
  </si>
  <si>
    <t>Bandweefseltype: EP ; Treksterkte: 250 N/mm ; Aantal inlagen: 2 ; Bovendek: 3 mm ; Onderdek:  1½ mm ; Bandbreedte: 600 mm ; Profiel hoogte: 25 mm ; Profiel breedte: 450 mm ; Profiel type: open</t>
  </si>
  <si>
    <t>Gewebetype: EP ; Zugfestigkeit: 250 N/mm ; Anzahl Einlagen: 2 ; Oberdeck: 3 mm ; Unterdeck: 1½ mm ; Gurtbreite: 600 mm ; Profilhöhe: 25 mm ; Profilbreite: 450 mm ; Profiltyp: offen</t>
  </si>
  <si>
    <t>Fabric type: EP ; Tensile strength: 250 N/mm ; Number of plies: 2 ; Topcover: 3 mm ; Bottomcover: 1½ mm ; Beltwidth: 600 mm ; Profile height: 25 mm ; Profile width: 450 mm ; Profile type: open</t>
  </si>
  <si>
    <t>Carcasse: EP ; Résistance à la traction: 250 N/mm ; Nombre de plis: 2 ; Revêtement supérieur: 3 mm ; Revêtement inférieur: 1½ mm ; Largeur de bande: 600 mm ; Hauteur du profil: 25 mm ; Largeur du profil: 750 mm ; Type de profil: Ouvert</t>
  </si>
  <si>
    <t>EP600PRM400/3-3+1½-C25P450HY</t>
  </si>
  <si>
    <t>EP 400/3-3+1½,BB600-profiel C25P450</t>
  </si>
  <si>
    <t>45,650</t>
  </si>
  <si>
    <t>25,240</t>
  </si>
  <si>
    <t>Bandweefseltype: EP ; Treksterkte: 400 N/mm ; Aantal inlagen: 3 ; Bovendek: 3 mm ; Onderdek:  1½ mm ; Bandbreedte: 600 mm ; Profiel hoogte: 25 mm ; Profiel breedte: 450 mm ; Profiel type: open</t>
  </si>
  <si>
    <t>Gewebetype: EP ; Zugfestigkeit: 400 N/mm ; Anzahl Einlagen: 3 ; Oberdeck: 3 mm ; Unterdeck: 1½ mm ; Gurtbreite: 600 mm ; Profilhöhe: 25 mm ; Profilbreite: 450 mm ; Profiltyp: offen</t>
  </si>
  <si>
    <t>Fabric type: EP ; Tensile strength: 400 N/mm ; Number of plies: 3 ; Topcover: 3 mm ; Bottomcover: 1½ mm ; Beltwidth: 600 mm ; Profile height: 25 mm ; Profile width: 450 mm ; Profile type: open</t>
  </si>
  <si>
    <t>Carcasse: EP ; Résistance à la traction: 400 N/mm ; Nombre de plis: 3 ; Revêtement supérieur: 3 mm ; Revêtement inférieur: 1½ mm ; Largeur de bande: 600 mm ; Hauteur du profil: 25 mm ; Largeur du profil: 450 mm ; Type de profil: Ouvert</t>
  </si>
  <si>
    <t>EP600PRM400/3-3+1½-C25P450JO</t>
  </si>
  <si>
    <t>20,060</t>
  </si>
  <si>
    <t>EP600PRM400/3-3+1½-C25P450SH</t>
  </si>
  <si>
    <t>17,250</t>
  </si>
  <si>
    <t>EP600SGG250/2-3+0HY</t>
  </si>
  <si>
    <t>EP 250/2-3+0,BB600, Supergrip/glijband</t>
  </si>
  <si>
    <t>9,180</t>
  </si>
  <si>
    <t>Bandweefseltype: EP ; Treksterkte: 250 N/mm ; Aantal inlagen: 2 ; Bovendek: 3 mm ; Onderdek: 0 mm ; Bandbreedte: 600 mm ; Supergrip / Rough Top Zwart</t>
  </si>
  <si>
    <t>Gewebetype: EP ; Zugfestigkeit: 250 N/mm ; Anzahl Einlagen: 2 ; Oberdeck: 3 mm ; Unterdeck: 0 mm ; Gurtbreite: 600 mm ; Supergrip / Rough Top Schwarz</t>
  </si>
  <si>
    <t>Fabric type: EP ; Tensile strength: 250 N/mm ; Number of plies: 2 ; Topcover: 3 mm ; Bottomcover: 0 mm ; Beltwidth: 600 mm ; Supergrip / Rough Top Black</t>
  </si>
  <si>
    <t>Carcasse: EP ; Tension de service: 250 N/mm ; Nombre de plis: 2 ; Revêtement supérieur: 3 mm ; Revêtement inférieur: 0 mm ; Largeur de bande: 600 mm ; Nid d'abeille Noir</t>
  </si>
  <si>
    <t>EP600SGG400/3-3+0HY</t>
  </si>
  <si>
    <t>EP 400/3-3+0,BB600, Supergrip/glijband</t>
  </si>
  <si>
    <t>13,250</t>
  </si>
  <si>
    <t>Bandweefseltype: EP ; Treksterkte: 400 N/mm ; Aantal inlagen: 3 ; Bovendek: 3 mm ; Onderdek: 0 mm ; Bandbreedte: 600 mm ; Supergrip / Rough Top Zwart</t>
  </si>
  <si>
    <t>Gewebetype: EP ; Zugfestigkeit: 400 N/mm ; Anzahl Einlagen: 3 ; Oberdeck: 3 mm ; Unterdeck: 0 mm ; Gurtbreite: 600 mm ; Supergrip / Rough Top Schwarz</t>
  </si>
  <si>
    <t>Fabric type: EP ; Tensile strength: 400 N/mm ; Number of plies: 3 ; Topcover: 3 mm ; Bottomcover: 0 mm ; Beltwidth: 600 mm ; Supergrip / Rough Top Black</t>
  </si>
  <si>
    <t>Carcasse: EP ; Tension de service: 400 N/mm ; Nombre de plis: 3 ; Revêtement supérieur: 3 mm ; Revêtement inférieur: 0 mm ; Largeur de bande: 600 mm ; Nid d'abeille Noir</t>
  </si>
  <si>
    <t>EP600SGR250/2-3+1HY</t>
  </si>
  <si>
    <t>EP 250/2-3+1,BB600, Supergrip zwart</t>
  </si>
  <si>
    <t>14,130</t>
  </si>
  <si>
    <t>Bandweefseltype: EP ; Treksterkte: 250 N/mm ; Aantal inlagen: 2 ; Bovendek: 3 mm ; Onderdek: 1 mm ; Bandbreedte: 600 mm ; Supergrip / Rough Top Zwart</t>
  </si>
  <si>
    <t>Gewebetype: EP ; Zugfestigkeit: 250 N/mm ; Anzahl Einlagen: 2 ; Oberdeck: 3 mm ; Unterdeck: 1 mm ; Gurtbreite: 600 mm ; Supergrip / Rough Top Schwarz</t>
  </si>
  <si>
    <t>Fabric type: EP ; Tensile strength: 250 N/mm ; Number of plies: 2 ; Topcover: 3 mm ; Bottomcover: 1 mm ; Beltwidth: 600 mm ; Supergrip / Rough Top Black</t>
  </si>
  <si>
    <t>Carcasse: EP ; Résistance à la traction: 250 N/mm ; Nombre de plis: 2 ; Revêtement supérieur: 3 mm ; Revêtement inférieur: 1 mm ; Largeur de bande: 600 mm ; Nid d'abeille Noir</t>
  </si>
  <si>
    <t>EP600SGR400/3-3+1HY</t>
  </si>
  <si>
    <t>EP 400/3-3+1,BB600, Supergrip zwart</t>
  </si>
  <si>
    <t>15,790</t>
  </si>
  <si>
    <t>Bandweefseltype: EP ; Treksterkte: 400 N/mm ; Aantal inlagen: 3 ; Bovendek: 3 mm ; Onderdek: 1 mm ; Bandbreedte: 600 mm ; Supergrip / Rough Top Zwart</t>
  </si>
  <si>
    <t>Gewebetype: EP ; Zugfestigkeit: 400 N/mm ; Anzahl Einlagen: 3 ; Oberdeck: 3 mm ; Unterdeck: 1 mm ; Gurtbreite: 600 mm ; Supergrip / Rough Top Schwarz</t>
  </si>
  <si>
    <t>Fabric type: EP ; Tensile strength: 400 N/mm ; Number of plies: 3 ; Topcover: 3 mm ; Bottomcover: 1 mm ; Beltwidth: 600 mm ; Supergrip / Rough Top Black</t>
  </si>
  <si>
    <t>Carcasse: EP ; Résistance à la traction: 400 N/mm ; Nombre de plis: 3 ; Revêtement supérieur: 3 mm ; Revêtement inférieur: 1 mm ; Largeur de bande: 600 mm ; Nid d'abeille Noir</t>
  </si>
  <si>
    <t>EP600XXX100/1-1+1HY</t>
  </si>
  <si>
    <t>EP 100/1-1+1,BB600</t>
  </si>
  <si>
    <t>Bandweefseltype: EP ; Treksterkte: 100 N/mm ; Aantal inlagen: 1 ; Bovendek: 1 mm ; Onderdek: 1 mm ; Bandbreedte: 600 mm</t>
  </si>
  <si>
    <t>Gewebetype: EP ; Zugfestigkeit: 100 N/mm ; Anzahl Einlagen: 1 ; Oberdeck: 1 mm ; Unterdeck: 1 mm ; Gurtbreite: 600 mm</t>
  </si>
  <si>
    <t>Fabric type: EP ; Tensile strength: 100 N/mm ; Number of plies: 1 ; Topcover: 1 mm ; Bottomcover: 1 mm ; Beltwidth: 600 mm</t>
  </si>
  <si>
    <t>Carcasse: EP ; Résistance à la traction: 100 N/mm ; Nombre de plis: 1 ; Revêtement supérieur: 1 mm ; Revêtement inférieur: 1 mm ; Largeur de bande: 600 mm</t>
  </si>
  <si>
    <t>EP600XXX1000/5-3+3-ELEVATORSA</t>
  </si>
  <si>
    <t>EP 1000/5-3+3-BB600 ELEVATOR</t>
  </si>
  <si>
    <t>EP600XXX200/2-2+1HY</t>
  </si>
  <si>
    <t>EP 200/2-2+1,BB600</t>
  </si>
  <si>
    <t>8,507</t>
  </si>
  <si>
    <t>Bandweefseltype: EP ; Treksterkte: 200 N/mm ; Aantal inlagen: 2 ; Bovendek: 2 mm ; Onderdek: 1 mm ; Bandbreedte: 600 mm</t>
  </si>
  <si>
    <t>Gewebetype: EP ; Zugfestigkeit: 200 N/mm ; Anzahl Einlagen: 2 ; Oberdeck: 2 mm ; Unterdeck: 1 mm ; Gurtbreite: 600 mm</t>
  </si>
  <si>
    <t>Fabric type: EP ; Tensile strength: 200 N/mm ; Number of plies: 2 ; Topcover: 2 mm ; Bottomcover: 1 mm ; Beltwidth: 600 mm</t>
  </si>
  <si>
    <t>Carcasse: EP ; Résistance à la traction: 200 N/mm ; Nombre de plis: 2 ; Revêtement supérieur: 2 mm ; Revêtement inférieur: 1 mm ; Largeur de bande: 600 mm</t>
  </si>
  <si>
    <t>EP600XXX200/2-2+1KA</t>
  </si>
  <si>
    <t>8,290</t>
  </si>
  <si>
    <t>EP600XXX250/2-3+1½-DIN-WSH</t>
  </si>
  <si>
    <t>EP 250/2-3+1½,BB600-DIN-W</t>
  </si>
  <si>
    <t>8,700</t>
  </si>
  <si>
    <t>EP600XXX250/2-3+1-DIN-WSH</t>
  </si>
  <si>
    <t>EP 250/2-3+1,BB600-DIN-W</t>
  </si>
  <si>
    <t>EP600XXX250/2-3+1HY</t>
  </si>
  <si>
    <t>EP 250/2-3+1,BB600</t>
  </si>
  <si>
    <t>10,329</t>
  </si>
  <si>
    <t>Bandweefseltype: EP ; Treksterkte: 250 N/mm ; Aantal inlagen: 2 ; Bovendek: 3 mm ; Onderdek: 1 mm ; Bandbreedte: 600 mm</t>
  </si>
  <si>
    <t>Gewebetype: EP ; Zugfestigkeit: 250 N/mm ; Anzahl Einlagen: 2 ; Oberdeck: 3 mm ; Unterdeck: 1 mm ; Gurtbreite: 600 mm</t>
  </si>
  <si>
    <t>Fabric type: EP ; Tensile strength: 250 N/mm ; Number of plies: 2 ; Topcover: 3 mm ; Bottomcover: 1 mm ; Beltwidth: 600 mm</t>
  </si>
  <si>
    <t>Carcasse: EP ; Résistance à la traction: 250 N/mm ; Nombre de plis: 2 ; Revêtement supérieur: 3 mm ; Revêtement inférieur: 1 mm ; Largeur de bande: 600 mm</t>
  </si>
  <si>
    <t>EP600XXX250/2-3+1JO</t>
  </si>
  <si>
    <t>EP600XXX250/2-3+1KA</t>
  </si>
  <si>
    <t>9,610</t>
  </si>
  <si>
    <t>EP600XXX250/2-4+2KA</t>
  </si>
  <si>
    <t>EP 250/2-4+2,BB600</t>
  </si>
  <si>
    <t>Bandweefseltype: EP ; Treksterkte: 250 N/mm ; Aantal inlagen: 2 ; Bovendek: 4 mm ; Onderdek: 2 mm ; Bandbreedte: 500 mm</t>
  </si>
  <si>
    <t>Gewebetype: EP ; Zugfestigkeit: 250 N/mm ; Anzahl Einlagen: 2 ; Oberdeck: 4 mm ; Unterdeck: 2 mm ; Gurtbreite: 600 mm</t>
  </si>
  <si>
    <t>Fabric type: EP ; Tensile strength: 250 N/mm ; Number of plies: 2 ; Topcover: 4 mm ; Bottomcover: 2 mm ; Beltwidth: 600 mm</t>
  </si>
  <si>
    <t>Carcasse: EP ; Résistance à la traction: 250 N/mm ; Nombre de plis: 2 ; Revêtement supérieur: 4 mm ; Revêtement inférieur: 2 mm ; Largeur de bande: 600 mm</t>
  </si>
  <si>
    <t>EP600XXX315/2-4+2JO</t>
  </si>
  <si>
    <t>11,500</t>
  </si>
  <si>
    <t>Bandweefseltype: EP ; Treksterkte: 315 N/mm ; Aantal inlagen: 2 ; Bovendek: 4 mm ; Onderdek: 2 mm ; Bandbreedte: 600 mm</t>
  </si>
  <si>
    <t>Gewebetype: EP ; Zugfestigkeit: 315 N/mm ; Anzahl Einlagen: 2 ; Oberdeck: 4 mm ; Unterdeck: 2 mm ; Gurtbreite: 600 mm</t>
  </si>
  <si>
    <t>Fabric type: EP ; Tensile strength: 315 N/mm ; Number of plies: 2 ; Topcover: 4 mm ; Bottomcover: 2 mm ; Beltwidth: 600 mm</t>
  </si>
  <si>
    <t>Carcasse: EP ; Résistance à la traction: 315 N/mm ; Nombre de plis: 2 ; Revêtement supérieur: 4 mm ; Revêtement inférieur: 2 mm ; Largeur de bande: 600 mm</t>
  </si>
  <si>
    <t>EP600XXX315/2-4+2KA</t>
  </si>
  <si>
    <t>EP 315/2-4+2,BB600</t>
  </si>
  <si>
    <t>10,400</t>
  </si>
  <si>
    <t>EP600XXX315/2-4+2SH</t>
  </si>
  <si>
    <t>11,180</t>
  </si>
  <si>
    <t>EP600XXX400/3-3+1½KA</t>
  </si>
  <si>
    <t>EP 400/3-3+1½ ,BB600</t>
  </si>
  <si>
    <t>11,460</t>
  </si>
  <si>
    <t>Bandweefseltype: EP ; Treksterkte: 400N/mm ; Aantal inlagen: 3 ; Bovendek: 3 mm ; Onderdek: 1½ mm ; Bandbreedte: 600 mm</t>
  </si>
  <si>
    <t>Gewebetype: EP ; Zugfestigkeit: 400 N/mm ; Anzahl Einlagen: 3 ; Oberdeck: 3 mm ; Unterdeck: 1½ mm ; Gurtbreite: 600 mm</t>
  </si>
  <si>
    <t>Fabric type: EP ; Tensile strength: 400 N/mm ; Number of plies: 3 ; Topcover: 3 mm ; Bottomcover: 1½ mm ; Beltwidth: 600 mm</t>
  </si>
  <si>
    <t>Carcasse: EP ; Résistance à la traction: 400 N/mm ; Nombre de plis: 3 ; Revêtement supérieur: 3 mm ; Revêtement inférieur: 1½ mm ; Largeur de bande: 600 mm</t>
  </si>
  <si>
    <t>EP600XXX400/3-3+1½SH</t>
  </si>
  <si>
    <t>10,300</t>
  </si>
  <si>
    <t>EP600XXX400/3-3+1HY</t>
  </si>
  <si>
    <t>EP 400/3-3+1,BB600</t>
  </si>
  <si>
    <t>14,830</t>
  </si>
  <si>
    <t>EP600XXX400/3-4+2-DIN-WKA</t>
  </si>
  <si>
    <t>EP 400/3-4+2,BB600-DIN-W</t>
  </si>
  <si>
    <t>15,880</t>
  </si>
  <si>
    <t>EP600XXX400/3-4+2FF</t>
  </si>
  <si>
    <t>EP 400/3-4+2,BB600</t>
  </si>
  <si>
    <t>11,270</t>
  </si>
  <si>
    <t>Bandweefseltype: EP ; Treksterkte: 400N/mm ; Aantal inlagen: 3 ; Bovendek: 4 mm ; Onderdek: 2 mm ; Bandbreedte: 600 mm</t>
  </si>
  <si>
    <t>Gewebetype: EP ; Zugfestigkeit: 400 N/mm ; Anzahl Einlagen: 3 ; Oberdeck: 4 mm ; Unterdeck: 2 mm ; Gurtbreite: 600 mm</t>
  </si>
  <si>
    <t>Fabric type: EP ; Tensile strength: 400 N/mm ; Number of plies: 3 ; Topcover: 4 mm ; Bottomcover: 2 mm ; Beltwidth: 600 mm</t>
  </si>
  <si>
    <t>Carcasse: EP ; Résistance à la traction: 400 N/mm ; Nombre de plis: 3 ; Revêtement supérieur: 4 mm ; Revêtement inférieur: 2 mm ; Largeur de bande: 600 mm</t>
  </si>
  <si>
    <t>EP600XXX400/3-4+2JO</t>
  </si>
  <si>
    <t>13,970</t>
  </si>
  <si>
    <t>EP600XXX400/3-4+2KA</t>
  </si>
  <si>
    <t>12,510</t>
  </si>
  <si>
    <t>EP600XXX400/3-4+2-M120-TB75-SJ</t>
  </si>
  <si>
    <t>EP 400/3-4+2,BB600 met golrand 120 + meenemer TB75  Strojrem</t>
  </si>
  <si>
    <t>2.350,000</t>
  </si>
  <si>
    <t>EP600XXX400/3-4+2SH</t>
  </si>
  <si>
    <t>12,220</t>
  </si>
  <si>
    <t>EP600XXX400/3-6+2KA</t>
  </si>
  <si>
    <t>EP 400/3-6+2,BB600</t>
  </si>
  <si>
    <t>13,020</t>
  </si>
  <si>
    <t>Bandweefseltype: EP ; Treksterkte: 400N/mm ; Aantal inlagen: 3 ; Bovendek: 6 mm ; Onderdek: 2 mm ; Bandbreedte: 600 mm</t>
  </si>
  <si>
    <t>Gewebetype: EP ; Zugfestigkeit: 400 N/mm ; Anzahl Einlagen: 3 ; Oberdeck: 6 mm ; Unterdeck: 2 mm ; Gurtbreite: 600 mm</t>
  </si>
  <si>
    <t>Fabric type: EP ; Tensile strength: 400 N/mm ; Number of plies: 3 ; Topcover: 6 mm ; Bottomcover: 2 mm ; Beltwidth: 600 mm</t>
  </si>
  <si>
    <t>Carcasse: EP ; Résistance à la traction: 400 N/mm ; Nombre de plis: 3 ; Revêtement supérieur: 6 mm ; Revêtement inférieur: 2 mm ; Largeur de bande: 600 mm</t>
  </si>
  <si>
    <t>EP600XXX500/3-5+1½KA</t>
  </si>
  <si>
    <t>EP 500/3-5+1½,BB600</t>
  </si>
  <si>
    <t>Bandweefseltype: EP ; Treksterkte: 500N/mm ; Aantal inlagen: 3 ; Bovendek: 5 mm ; Onderdek: 1½ mm ; Bandbreedte: 600 mm</t>
  </si>
  <si>
    <t>Gewebetype: EP ; Zugfestigkeit: 500 N/mm ; Anzahl Einlagen: 3 ; Oberdeck: 5 mm ; Unterdeck: 1½ mm ; Gurtbreite: 600 mm</t>
  </si>
  <si>
    <t>Fabric type: EP ; Tensile strength: 500 N/mm ; Number of plies: 3 ; Topcover: 5 mm ; Bottomcover: 1½ mm ; Beltwidth: 600 mm</t>
  </si>
  <si>
    <t>Carcasse: EP ; Résistance à la traction: 500 N/mm ; Nombre de plis: 3 ; Revêtement supérieur: 5 mm ; Revêtement inférieur: 1½ mm ; Largeur de bande: 600 mm</t>
  </si>
  <si>
    <t>EP600XXX500/3-5+1½ZZ</t>
  </si>
  <si>
    <t>EP600XXX500/4-4+2KA</t>
  </si>
  <si>
    <t>EP 500/4-4+2,BB600</t>
  </si>
  <si>
    <t>13,960</t>
  </si>
  <si>
    <t>Bandweefseltype: EP ; Treksterkte: 500N/mm ; Aantal inlagen: 4 ; Bovendek: 4 mm ; Onderdek: 2 mm ; Bandbreedte: 600 mm</t>
  </si>
  <si>
    <t>Gewebetype: EP ; Zugfestigkeit: 500 N/mm ; Anzahl Einlagen: 4 ; Oberdeck: 4 mm ; Unterdeck: 2 mm ; Gurtbreite: 600 mm</t>
  </si>
  <si>
    <t>Fabric type: EP ; Tensile strength: 500 N/mm ; Number of plies: 4 ; Topcover: 4 mm ; Bottomcover: 2 mm ; Beltwidth: 600 mm</t>
  </si>
  <si>
    <t>Carcasse: EP ; Résistance à la traction: 500 N/mm ; Nombre de plis: 4 ; Revêtement supérieur: 4 mm ; Revêtement inférieur: 2 mm ; Largeur de bande: 600 mm</t>
  </si>
  <si>
    <t>EP600XXX500/4-5+2KA</t>
  </si>
  <si>
    <t>EP 500/4-5+2,BB600</t>
  </si>
  <si>
    <t>15,760</t>
  </si>
  <si>
    <t>Bandweefseltype: EP ; Treksterkte: 500N/mm ; Aantal inlagen: 4 ; Bovendek: 5 mm ; Onderdek: 2 mm ; Bandbreedte: 600 mm</t>
  </si>
  <si>
    <t>Gewebetype: EP ; Zugfestigkeit: 500 N/mm ; Anzahl Einlagen: 4 ; Oberdeck: 5 mm ; Unterdeck: 2 mm ; Gurtbreite: 600 mm</t>
  </si>
  <si>
    <t>Fabric type: EP ; Tensile strength: 500 N/mm ; Number of plies: 4 ; Topcover: 5 mm ; Bottomcover: 2 mm ; Beltwidth: 600 mm</t>
  </si>
  <si>
    <t>Carcasse: EP ; Résistance à la traction: 500 N/mm ; Nombre de plis: 4 ; Revêtement supérieur: 5 mm ; Revêtement inférieur: 2 mm ; Largeur de bande: 600 mm</t>
  </si>
  <si>
    <t>EP600XXX630/3-4+2-DIN-WKA</t>
  </si>
  <si>
    <t>EP 630/3-4+2,BB600-DIN-W</t>
  </si>
  <si>
    <t>18,980</t>
  </si>
  <si>
    <t>EP600XXX630/3-6+2KA</t>
  </si>
  <si>
    <t>EP 630/3-6+2,BB600</t>
  </si>
  <si>
    <t>15,045</t>
  </si>
  <si>
    <t>Bandweefseltype: EP ; Treksterkte: 630N/mm ; Aantal inlagen: 3 ; Bovendek: 6 mm ; Onderdek: 2 mm ; Bandbreedte: 600 mm</t>
  </si>
  <si>
    <t>Gewebetype: EP ; Zugfestigkeit: 630 N/mm ; Anzahl Einlagen: 3 ; Oberdeck: 6 mm ; Unterdeck: 2 mm ; Gurtbreite: 600 mm</t>
  </si>
  <si>
    <t>Fabric type: EP ; Tensile strength: 630 N/mm ; Number of plies: 3 ; Topcover: 6 mm ; Bottomcover: 2 mm ; Beltwidth: 600 mm</t>
  </si>
  <si>
    <t>Carcasse: EP ; Résistance à la traction: 630 N/mm ; Nombre de plis: 3 ; Revêtement supérieur: 6 mm ; Revêtement inférieur: 2 mm ; Largeur de bande: 600 mm</t>
  </si>
  <si>
    <t>EP600XXX630/4-2+2-ELEVATORSA</t>
  </si>
  <si>
    <t>EP 630/4-2+2-BB600 ELEVATOR</t>
  </si>
  <si>
    <t>Bandweefseltype: EP ; Treksterkte: 630 N/mm ; Aantal inlagen: 4 ; Bovendek: 2 mm ; Onderdek: 2 mm ; Bandbreedte: 600 mm ; Elevator</t>
  </si>
  <si>
    <t>Gewebetype: EP ; Zugfestigkeit: 630 N/mm ; Anzahl Einlagen: 4 ; Oberdeck: 2 mm ; Unterdeck: 2 mm ; Gurtbreite: 600 mm ; Elevator</t>
  </si>
  <si>
    <t>Fabric type: EP ; Tensile strength: 630 N/mm ; Number of plies: 4 ; Topcover: 2 mm ; Bottomcover: 2 mm ; Beltwidth: 600 mm ; Elevator</t>
  </si>
  <si>
    <t xml:space="preserve">Carcasse: EP ; Tension de service: 630 N/mm ; Nombre de plis: 4 ; Revêtement supérieur: 2 mm ; Revêtement inférieur: 2 mm ; Largeur de bande: 600 mm ;  Sangle Elévatrice
</t>
  </si>
  <si>
    <t>EP600XXX630/4-6+2KA</t>
  </si>
  <si>
    <t>EP 630/4-6+2,BB600</t>
  </si>
  <si>
    <t>15,910</t>
  </si>
  <si>
    <t>Bandweefseltype: EP ; Treksterkte: 630N/mm ; Aantal inlagen: 4 ; Bovendek: 6 mm ; Onderdek: 2 mm ; Bandbreedte: 600 mm</t>
  </si>
  <si>
    <t>Gewebetype: EP ; Zugfestigkeit: 630 N/mm ; Anzahl Einlagen: 4 ; Oberdeck: 6 mm ; Unterdeck: 2 mm ; Gurtbreite: 600 mm</t>
  </si>
  <si>
    <t>Fabric type: EP ; Tensile strength: 630 N/mm ; Number of plies: 4 ; Topcover: 6 mm ; Bottomcover: 2 mm ; Beltwidth: 600 mm</t>
  </si>
  <si>
    <t>Carcasse: EP ; Résistance à la traction: 630 N/mm ; Nombre de plis: 4 ; Revêtement supérieur: 6 mm ; Revêtement inférieur: 2 mm ; Largeur de bande: 600 mm</t>
  </si>
  <si>
    <t>EP600XXX630/4-6+2SH</t>
  </si>
  <si>
    <t>EP600XXX630/4-6+2ZZ</t>
  </si>
  <si>
    <t>EP 630/4-6+2, BB600</t>
  </si>
  <si>
    <t>EP600XXX800/4-2+2-ELEVATORSA</t>
  </si>
  <si>
    <t>EP 800/4-2+2-BB600 ELEVATOR</t>
  </si>
  <si>
    <t>18,050</t>
  </si>
  <si>
    <t>Bandweefseltype: EP ; Treksterkte: 800 N/mm ; Aantal inlagen: 4 ; Bovendek: 2 mm ; Onderdek: 2 mm ; Bandbreedte: 600 mm ; Elevator</t>
  </si>
  <si>
    <t>Gewebetype: EP ; Zugfestigkeit: 800 N/mm ; Anzahl Einlagen: 4 ; Oberdeck: 2 mm ; Unterdeck: 2 mm ; Gurtbreite: 600 mm ; Elevator</t>
  </si>
  <si>
    <t>Fabric type: EP ; Tensile strength: 800 N/mm ; Number of plies: 4 ; Topcover: 2 mm ; Bottomcover: 2 mm ; Beltwidth: 600 mm ; Elevator</t>
  </si>
  <si>
    <t xml:space="preserve">Carcasse: EP ; Tension de service: 800 N/mm ; Nombre de plis: 4 ; Revêtement supérieur: 2 mm ; Revêtement inférieur: 2 mm ; Largeur de bande: 600 mm ;  Sangle Elévatrice
</t>
  </si>
  <si>
    <t>EP620XXX630/4-2+2-ELEVATORSA</t>
  </si>
  <si>
    <t>EP 630/4-2+2-BB620 ELEVATOR</t>
  </si>
  <si>
    <t>EP625OVX630/4-2+2-ELEVATORSA</t>
  </si>
  <si>
    <t>EP 630/4-2+2-BB625 ELEVATOR-OV</t>
  </si>
  <si>
    <t>EP630XXX630/4-2+2-ELEVATORSA</t>
  </si>
  <si>
    <t>EP 630/4-2+2-BB630 ELEVATOR</t>
  </si>
  <si>
    <t>EP635XXX1000/5-3+3-ELEVATORSA</t>
  </si>
  <si>
    <t>EP 1000/5-3+3-BB635 ELEVATOR</t>
  </si>
  <si>
    <t>20,310</t>
  </si>
  <si>
    <t>EP650GLY250/2-2+0HY</t>
  </si>
  <si>
    <t>EP 250/2-2+0,BB650-GLY</t>
  </si>
  <si>
    <t>12,260</t>
  </si>
  <si>
    <t>Bandweefseltype: EP ; Treksterkte: 250 N/mm ; Aantal inlagen: 2 ; Bovendek: 2 mm ; Onderdek: 0 mm ; Bandbreedte: 650 mm</t>
  </si>
  <si>
    <t>Gewebetype: EP ; Zugfestigkeit: 250 N/mm ; Anzahl Einlagen: 2 ; Oberdeck: 2 mm ; Unterdeck: 0 mm ; Gurtbreite: 650 mm</t>
  </si>
  <si>
    <t>Fabric type: EP ; Tensile strength: 250 N/mm ; Number of plies: 2 ; Topcover: 2 mm ; Bottomcover: 0 mm ; Beltwidth: 650 mm</t>
  </si>
  <si>
    <t>Carcasse: EP ; Tension de service: 250 N/mm ; Nombre de plis: 2 ; Revêtement supérieur: 2 mm ; Revêtement inférieur: 0 mm ; Largeur de bande: 650 mm</t>
  </si>
  <si>
    <t>EP650GLY250/2-2+0JO</t>
  </si>
  <si>
    <t>8,260</t>
  </si>
  <si>
    <t>EP650GLY400/3-2+0HY</t>
  </si>
  <si>
    <t>EP 400/3-2+0,BB650-GLY</t>
  </si>
  <si>
    <t>Bandweefseltype: EP ; Treksterkte: 400 N/mm ; Aantal inlagen: 3 ; Bovendek: 2 mm ; Onderdek: 0 mm ; Bandbreedte: 650 mm</t>
  </si>
  <si>
    <t>Gewebetype: EP ; Zugfestigkeit: 400 N/mm ; Anzahl Einlagen: 3 ; Oberdeck: 2 mm ; Unterdeck: 0 mm ; Gurtbreite: 650 mm</t>
  </si>
  <si>
    <t>Fabric type: EP ; Tensile strength: 400 N/mm ; Number of plies: 3 ; Topcover: 2 mm ; Bottomcover: 0 mm ; Beltwidth: 650 mm</t>
  </si>
  <si>
    <t>Carcasse: EP ; Tension de service: 400 N/mm ; Nombre de plis: 3 ; Revêtement supérieur: 2 mm ; Revêtement inférieur: 0 mm ; Largeur de bande: 650 mm</t>
  </si>
  <si>
    <t>EP650GLY400/3-2+0JO</t>
  </si>
  <si>
    <t>EP650GLY400/3-3+0HY</t>
  </si>
  <si>
    <t>EP 400/3-3+0,BB650 GLY</t>
  </si>
  <si>
    <t>16,050</t>
  </si>
  <si>
    <t>Bandweefseltype: EP ; Treksterkte: 400 N/mm ; Aantal inlagen: 3 ; Bovendek: 3 mm ; Onderdek: 0 mm ; Bandbreedte: 650 mm</t>
  </si>
  <si>
    <t>Gewebetype: EP ; Zugfestigkeit: 400 N/mm ; Anzahl Einlagen: 3 ; Oberdeck: 3 mm ; Unterdeck: 0 mm ; Gurtbreite: 650 mm</t>
  </si>
  <si>
    <t>Fabric type: EP ; Tensile strength: 400 N/mm ; Number of plies: 3 ; Topcover: 3 mm ; Bottomcover: 0 mm ; Beltwidth: 650 mm</t>
  </si>
  <si>
    <t>Carcasse: EP ; Tension de service: 400 N/mm ; Nombre de plis: 3 ; Revêtement supérieur: 3 mm ; Revêtement inférieur: 0 mm ; Largeur de bande: 650 mm</t>
  </si>
  <si>
    <t>EP650GLY400/3-3+0JO</t>
  </si>
  <si>
    <t>12,430</t>
  </si>
  <si>
    <t>EP650GLY500/4-3+0HY</t>
  </si>
  <si>
    <t>EP 500/4-3+0,BB650-GLY</t>
  </si>
  <si>
    <t>25,962</t>
  </si>
  <si>
    <t>EP650GLY500/4-6+0HY</t>
  </si>
  <si>
    <t>EP 500/4-6+0,BB650-GLY</t>
  </si>
  <si>
    <t>27,800</t>
  </si>
  <si>
    <t>Bandweefseltype: EP ; Treksterkte: 500 N/mm ; Aantal inlagen: 4 ; Bovendek: 6 mm ; Onderdek: 0 mm ; Bandbreedte: 650 mm</t>
  </si>
  <si>
    <t>Gewebetype: EP ; Zugfestigkeit: 500 N/mm ; Anzahl Einlagen: 4 ; Oberdeck: 6 mm ; Unterdeck: 0 mm ; Gurtbreite: 650 mm</t>
  </si>
  <si>
    <t>Fabric type: EP ; Tensile strength: 500 N/mm ; Number of plies: 4 ; Topcover: 6 mm ; Bottomcover: 0 mm ; Beltwidth: 650 mm</t>
  </si>
  <si>
    <t>Carcasse: EP ; Tension de service: 500 N/mm ; Nombre de plis: 4 ; Revêtement supérieur: 6 mm ; Revêtement inférieur: 0 mm ; Largeur de bande: 650 mm</t>
  </si>
  <si>
    <t>EP650GLY500/4-6+0JO</t>
  </si>
  <si>
    <t>20,880</t>
  </si>
  <si>
    <t>EP650GLY500/4-6+0SH</t>
  </si>
  <si>
    <t>16,910</t>
  </si>
  <si>
    <t>EP650HB400/3-4+2-150°SL</t>
  </si>
  <si>
    <t>EP 400/3-4+2,BB650,HB</t>
  </si>
  <si>
    <t>16,820</t>
  </si>
  <si>
    <t>EP650HB400/3-5+2-150°PH</t>
  </si>
  <si>
    <t>EP 400/3-5+2,BB650,HB</t>
  </si>
  <si>
    <t>20,410</t>
  </si>
  <si>
    <t>Bandweefseltype: EP ; Treksterkte: 400 N/mm ; Aantal inlagen: 3 ; Bovendek: 5 mm ; Onderdek: 2 mm ; Bandbreedte: 650 mm ; Hittebestendig 150°-170°</t>
  </si>
  <si>
    <t>Gewebetype: EP ; Zugfestigkeit: 400 N/mm ; Anzahl Einlagen: 3 ; Oberdeck: 5 mm ; Unterdeck: 2 mm ; Gurtbreite: 650 mm ; Hitzebeständig 150°-170°</t>
  </si>
  <si>
    <t>Fabric type: EP ; Tensile strength: 400 N/mm ; Number of plies: 3 ; Topcover: 5 mm ; Bottomcover: 2 mm ; Beltwidth: 650 mm ; Heat resistant 150°-170°</t>
  </si>
  <si>
    <t>EP650HB400/3-5+2-150°SA</t>
  </si>
  <si>
    <t>19,610</t>
  </si>
  <si>
    <t>EP650HB400/3-5+2-150°SL</t>
  </si>
  <si>
    <t>16,880</t>
  </si>
  <si>
    <t>EP650HB500/4-5+2-200°SA</t>
  </si>
  <si>
    <t>EP 500/4-5+2,BB650,HB200º</t>
  </si>
  <si>
    <t>Bandweefseltype: EP ; Treksterkte: 500 N/mm ; Aantal inlagen: 4 ; Bovendek: 5 mm ; Onderdek: 2 mm ; Bandbreedte: 650 mm ; Hittebestendig 180°-200°</t>
  </si>
  <si>
    <t>Gewebetype: EP ; Zugfestigkeit: 500 N/mm ; Anzahl Einlagen: 4 ; Oberdeck: 5 mm ; Unterdeck: 2 mm ; Gurtbreite: 650 mm ; Hitzebeständig 180°-200°</t>
  </si>
  <si>
    <t>Fabric type: EP ; Tensile strength: 500 N/mm ; Number of plies: 4 ; Topcover: 5 mm ; Bottomcover: 2 mm ; Beltwidth: 650 mm ; Heat resistant 180°-200°</t>
  </si>
  <si>
    <t>EP650OVG250/2-2+0HY</t>
  </si>
  <si>
    <t>EP 250/2-2+0,BB650-GLY-O+V</t>
  </si>
  <si>
    <t>12,560</t>
  </si>
  <si>
    <t>Bandweefseltype: EP ; Treksterkte: 250 N/mm ; Aantal inlagen: 2 ; Bovendek: 2 mm ; Onderdek: 0 mm ; Bandbreedte: 650 mm ; Olie- en vetbestendige Kwaliteit</t>
  </si>
  <si>
    <t>Gewebetype: EP ; Zugfestigkeit: 250 N/mm ; Anzahl Einlagen: 2 ; Oberdeck: 2 mm ; Unterdeck: 0 mm ; Gurtbreite: 650 mm ; Öl und Fettbeständige Qualität</t>
  </si>
  <si>
    <t>Fabric type: EP ; Tensile strength: 250 N/mm ; Number of plies: 2 ; Topcover: 2 mm ; Bottomcover: 0 mm ; Beltwidth: 650 mm ; Oil and Grease Resistant Quality</t>
  </si>
  <si>
    <t>EP650OVG250/2-2+0JO</t>
  </si>
  <si>
    <t>9,830</t>
  </si>
  <si>
    <t>EP650OVG400/3-2+0AR</t>
  </si>
  <si>
    <t>EP 400/3-2+0,BB650-GLY-O+V</t>
  </si>
  <si>
    <t>16,650</t>
  </si>
  <si>
    <t>Bandweefseltype: EP ; Treksterkte: 400 N/mm ; Aantal inlagen: 3 ; Bovendek: 2 mm ; Onderdek: 0 mm ; Bandbreedte: 650 mm ; Olie- en vetbestendige Kwaliteit</t>
  </si>
  <si>
    <t>Gewebetype: EP ; Zugfestigkeit: 400 N/mm ; Anzahl Einlagen: 3 ; Oberdeck: 2 mm ; Unterdeck: 0 mm ; Gurtbreite: 650 mm ; Öl und Fettbeständige Qualität</t>
  </si>
  <si>
    <t>Fabric type: EP ; Tensile strength: 400 N/mm ; Number of plies: 3 ; Topcover: 2 mm ; Bottomcover: 0 mm ; Beltwidth: 650 mm ; Oil and Grease Resistant Quality</t>
  </si>
  <si>
    <t>EP650OVG400/3-2+0FF</t>
  </si>
  <si>
    <t>17,290</t>
  </si>
  <si>
    <t>EP650OVG400/3-2+0HY</t>
  </si>
  <si>
    <t>19,550</t>
  </si>
  <si>
    <t>EP650OVG400/3-2+0JO</t>
  </si>
  <si>
    <t>13,290</t>
  </si>
  <si>
    <t>EP650OVG400/3-3+0FF</t>
  </si>
  <si>
    <t>EP 400/3-3+0,BB650-GLY-O+V</t>
  </si>
  <si>
    <t>14,811</t>
  </si>
  <si>
    <t>Bandweefseltype: EP ; Treksterkte: 400 N/mm ; Aantal inlagen: 3 ; Bovendek: 3 mm ; Onderdek: 0 mm ; Bandbreedte: 650 mm ; Olie- en vetbestendige Kwaliteit</t>
  </si>
  <si>
    <t>Gewebetype: EP ; Zugfestigkeit: 400 N/mm ; Anzahl Einlagen: 3 ; Oberdeck: 3 mm ; Unterdeck: 0 mm ; Gurtbreite: 650 mm ; Öl und Fettbeständige Qualität</t>
  </si>
  <si>
    <t>Fabric type: EP ; Tensile strength: 400 N/mm ; Number of plies: 3 ; Topcover: 3 mm ; Bottomcover: 0 mm ; Beltwidth: 650 mm ; Oil and Grease Resistant Quality</t>
  </si>
  <si>
    <t>EP650OVG400/3-3+0HY</t>
  </si>
  <si>
    <t>19,260</t>
  </si>
  <si>
    <t>EP650OVG400/3-3+0JO</t>
  </si>
  <si>
    <t>16,370</t>
  </si>
  <si>
    <t>EP650OVG500/4-0+0-SAWMILLHY</t>
  </si>
  <si>
    <t>EP 500/4-0+0,BB650-O+V-Saw Mill</t>
  </si>
  <si>
    <t>20,600</t>
  </si>
  <si>
    <t>Bandweefseltype: EP ; Treksterkte: 500 N/mm ; Aantal inlagen: 4 ; Bovendek: 0 mm ; Onderdek: 0 mm ; Bandbreedte: 650 mm ; Olie- en vetbestendige Kwaliteit</t>
  </si>
  <si>
    <t>Gewebetype: EP ; Zugfestigkeit: 500 N/mm ; Anzahl Einlagen: 4 ; Oberdeck: 0 mm ; Unterdeck: 0 mm ; Gurtbreite: 650 mm ; Öl und Fettbeständige Qualität</t>
  </si>
  <si>
    <t>Fabric type: EP ; Tensile strength: 500 N/mm ; Number of plies: 4 ; Topcover: 0 mm ; Bottomcover: 0 mm ; Beltwidth: 650 mm ; Oil and Grease Resistant Quality</t>
  </si>
  <si>
    <t>EP650OVG500/4-3+0FF</t>
  </si>
  <si>
    <t>EP 500/4-3+0,BB650-GLY-O+V</t>
  </si>
  <si>
    <t>Bandweefseltype: EP ; Treksterkte: 500 N/mm ; Aantal inlagen: 4 ; Bovendek: 3 mm ; Onderdek: 0 mm ; Bandbreedte: 650 mm ; Olie- en vetbestendige Kwaliteit</t>
  </si>
  <si>
    <t>Gewebetype: EP ; Zugfestigkeit: 500 N/mm ; Anzahl Einlagen: 4 ; Oberdeck: 3 mm ; Unterdeck: 0 mm ; Gurtbreite: 650 mm ; Öl und Fettbeständige Qualität</t>
  </si>
  <si>
    <t>Fabric type: EP ; Tensile strength: 500 N/mm ; Number of plies: 4 ; Topcover: 3 mm ; Bottomcover: 0 mm ; Beltwidth: 650 mm ; Oil and Grease Resistant Quality</t>
  </si>
  <si>
    <t>EP650OVG500/4-3+0JO</t>
  </si>
  <si>
    <t>EP650OVX250/2-3+1FF</t>
  </si>
  <si>
    <t>EP 250/2-3+1,BB650-O+V</t>
  </si>
  <si>
    <t>13,696</t>
  </si>
  <si>
    <t>Bandweefseltype: EP ; Treksterkte: 250 N/mm ; Aantal inlagen: 2 ; Bovendek: 3 mm ; Onderdek: 1 mm ; Bandbreedte: 650 mm ; Olie- en vetbestendige Kwaliteit</t>
  </si>
  <si>
    <t>Gewebetype: EP ; Zugfestigkeit: 250 N/mm ; Anzahl Einlagen: 2 ; Oberdeck: 3 mm ; Unterdeck: 1 mm ; Gurtbreite: 650 mm ; Öl und Fettbeständige Qualität</t>
  </si>
  <si>
    <t>Fabric type: EP ; Tensile strength: 250 N/mm ; Number of plies: 2 ; Topcover: 3 mm ; Bottomcover: 1 mm ; Beltwidth: 650 mm ; Oil and Grease Resistant Quality</t>
  </si>
  <si>
    <t>EP650OVX250/2-3+1HY</t>
  </si>
  <si>
    <t>18,490</t>
  </si>
  <si>
    <t>EP650OVX250/2-3+1JO</t>
  </si>
  <si>
    <t>EP650OVX400/3-3+2MORSH</t>
  </si>
  <si>
    <t>EP 400/3-3+2,BB650-O+V-MOR</t>
  </si>
  <si>
    <t>13,370</t>
  </si>
  <si>
    <t>EP650OVX400/3-4+2AR</t>
  </si>
  <si>
    <t>EP 400/3-4+2,BB650-O+V</t>
  </si>
  <si>
    <t>Bandweefseltype: EP ; Treksterkte: 400 N/mm ; Aantal inlagen: 3 ; Bovendek: 4 mm ; Onderdek: 2 mm ; Bandbreedte: 650 mm ; Olie- en vetbestendige Kwaliteit</t>
  </si>
  <si>
    <t>Gewebetype: EP ; Zugfestigkeit: 400 N/mm ; Anzahl Einlagen: 3 ; Oberdeck: 4 mm ; Unterdeck: 2 mm ; Gurtbreite: 650 mm ; Öl und Fettbeständige Qualität</t>
  </si>
  <si>
    <t>Fabric type: EP ; Tensile strength: 400 N/mm ; Number of plies: 3 ; Topcover: 4 mm ; Bottomcover: 2 mm ; Beltwidth: 650 mm ; Oil and Grease Resistant Quality</t>
  </si>
  <si>
    <t>EP650OVX400/3-4+2JO</t>
  </si>
  <si>
    <t>18,310</t>
  </si>
  <si>
    <t>EP650OVX400/3-4+2KN</t>
  </si>
  <si>
    <t>22,800</t>
  </si>
  <si>
    <t>EP650OVX400/3-4+2LS</t>
  </si>
  <si>
    <t>20,620</t>
  </si>
  <si>
    <t>EP650OVX400/3-4+2PH</t>
  </si>
  <si>
    <t>EP650OVX400/3-4+2PV</t>
  </si>
  <si>
    <t>16370, Provulco</t>
  </si>
  <si>
    <t>20,280</t>
  </si>
  <si>
    <t>EP650OVX400/3-4+2RP</t>
  </si>
  <si>
    <t>20,940</t>
  </si>
  <si>
    <t>EP650OVX400/3-4+2SA</t>
  </si>
  <si>
    <t>19,668</t>
  </si>
  <si>
    <t>EP650OVX400/3-4+2SH</t>
  </si>
  <si>
    <t>EP650OVX400/3-4+2SL</t>
  </si>
  <si>
    <t>14,120</t>
  </si>
  <si>
    <t>EP650OVX500/3-6+2PH</t>
  </si>
  <si>
    <t>EP 500/3-6+2,BB650-O+V</t>
  </si>
  <si>
    <t>Bandweefseltype: EP ; Treksterkte: 500 N/mm ; Aantal inlagen: 3 ; Bovendek: 6 mm ; Onderdek: 2 mm ; Bandbreedte: 650 mm ; Olie- en vetbestendige Kwaliteit</t>
  </si>
  <si>
    <t>Gewebetype: EP ; Zugfestigkeit: 500 N/mm ; Anzahl Einlagen: 3 ; Oberdeck: 6 mm ; Unterdeck: 2 mm ; Gurtbreite: 650 mm ; Öl und Fettbeständige Qualität</t>
  </si>
  <si>
    <t>Fabric type: EP ; Tensile strength: 500 N/mm ; Number of plies: 3 ; Topcover: 6 mm ; Bottomcover: 2 mm ; Beltwidth: 650 mm ; Oil and Grease Resistant Quality</t>
  </si>
  <si>
    <t>EP650OVX500/4-5+2PH</t>
  </si>
  <si>
    <t>EP 500/4-5+2,BB650-O+V</t>
  </si>
  <si>
    <t>18,010</t>
  </si>
  <si>
    <t>EP650OVX630/4-2+2-ELEVATORSA</t>
  </si>
  <si>
    <t>EP 630/4-2+2-BB650 ELEVATOR-OV</t>
  </si>
  <si>
    <t>19,870</t>
  </si>
  <si>
    <t>EP650OVX800/4-2+2-ELEVATORSA</t>
  </si>
  <si>
    <t>EP 800/4-2+2-BB650 ELEVATOR-OV</t>
  </si>
  <si>
    <t>20,682</t>
  </si>
  <si>
    <t>EP650OVX800/4-8+3SA</t>
  </si>
  <si>
    <t>EP 800/4-8+3,BB650-O+V</t>
  </si>
  <si>
    <t>52,500</t>
  </si>
  <si>
    <t>36,670</t>
  </si>
  <si>
    <t>EP650PRG400/3-3+1-H46HY</t>
  </si>
  <si>
    <t>EP 400/3-3+1,BB650-profiel H46 O&amp;V</t>
  </si>
  <si>
    <t>64,250</t>
  </si>
  <si>
    <t>50,080</t>
  </si>
  <si>
    <t>Chevron, Olie- en vetbestendige kwaliteit ; EP 400/3-3+1 met H46 profiel</t>
  </si>
  <si>
    <t>Chevron, Öl und Fettbeständige Qualität ; EP 400/3-3+1  mit H46 Profil</t>
  </si>
  <si>
    <t>Chevron, Oil and Grease Resistant Quality ; EP 400/3-3+1 with H46  profile</t>
  </si>
  <si>
    <t>Chevron, Qualité résistant aux huiles et graisses ; EP 400/3-3+1 avec H46  profil</t>
  </si>
  <si>
    <t>Bandweefseltype: EP ; Treksterkte: 400 N/mm ; Aantal inlagen: 3 ; Bovendek: 3 mm ; Onderdek: 1 mm ; Bandbreedte: 650 mm ; Profiel hoogte: 32 mm ; Profiel breedte: 460mm ; Type: H46 ; Olie- en vetbestendige Kwaliteit</t>
  </si>
  <si>
    <t>Gewebetype: EP ; Zugfestigkeit: 400 N/mm ; Anzahl Einlagen: 3 ; Oberdeck: 3 mm ; Unterdeck: 1 mm ; Gurtbreite: 650 mm ; Profilhöhe: 32 mm ; Profilbreite: 460mm ; Profiltyp: H46 ; Öl und Fettbeständige Qualität</t>
  </si>
  <si>
    <t>Fabric type: EP ; Tensile strength: 400 N/mm ; Number of plies: 3 ; Topcover: 3 mm ; Bottomcover: 1 mm ; Beltwidth: 650 mm ; Profile height: 32 mm ; Profile width: 460mm ; Profile type: H46 ; Oil and Grease Resistant Quality</t>
  </si>
  <si>
    <t>Carcasse: EP ; Résistance à la traction: 400 N/mm ; Nombre de plis: 3 ; Revêtement supérieur: 3 mm ; Revêtement inférieur: 1 mm ; Largeur de bande: 650 mm ; Hauteur du profil: 32 mm ; Largeur du profil: 460mm ; Type de profil: H46 ; Qualité résistant aux huiles et graisses</t>
  </si>
  <si>
    <t>EP650PRG400/3-3+1-L44HY</t>
  </si>
  <si>
    <t>EP 400/3-3+1,BB650-profiel L44 O&amp;V</t>
  </si>
  <si>
    <t>37,120</t>
  </si>
  <si>
    <t>Bandweefseltype: EP ; Treksterkte: 400 N/mm ; Aantal inlagen: 3 ; Bovendek: 3 mm ; Onderdek: 1 mm ; Bandbreedte: 650 mm ; Profiel hoogte: 17 mm ; Profiel breedte: 440mm ; Type: L44 ; Olie- en vetbestendige Kwaliteit</t>
  </si>
  <si>
    <t>Gewebetype: EP ; Zugfestigkeit: 400 N/mm ; Anzahl Einlagen: 3 ; Oberdeck: 3 mm ; Unterdeck: 1 mm ; Gurtbreite: 650 mm ; Profilhöhe: 17 mm ; Profilbreite: 440mm ; Profiltyp: L44 ; Öl und Fettbeständige Qualität</t>
  </si>
  <si>
    <t>Fabric type: EP ; Tensile strength: 400 N/mm ; Number of plies: 3 ; Topcover: 3 mm ; Bottomcover: 1 mm ; Beltwidth: 650 mm ; Profile height: 17 mm ; Profile width: 440mm ; Profile type: L44 ; Oil and Grease Resistant Quality</t>
  </si>
  <si>
    <t>Carcasse: EP ; Résistance à la traction: 400 N/mm ; Nombre de plis: 3 ; Revêtement supérieur: 3 mm ; Revêtement inférieur: 1 mm ; Largeur de bande: 650 mm ; Hauteur du profil: 17 mm ; Largeur du profil: 440mm ; Type de profil: L44 ; Qualité résistant aux huiles et graisses</t>
  </si>
  <si>
    <t>EP650PRG400/3-3+2-MULTIVHY</t>
  </si>
  <si>
    <t>EP 400/3-3+2,BB650-Multi V profiel 6 mm O&amp;V</t>
  </si>
  <si>
    <t>26,610</t>
  </si>
  <si>
    <t>Bandweefseltype: EP ; Treksterkte: 400 N/mm ; Aantal inlagen: 3 ; Bovendek: 3 mm ; Onderdek: 2 mm ; Bandbreedte: 650 mm ; Profiel hoogte: 6 mm ; Profiel breedte: Volledige bandbreedte ; Type: V6 ; Olie- en vetbestendige Kwaliteit</t>
  </si>
  <si>
    <t>Gewebetype: EP ; Zugfestigkeit: 400 N/mm ; Anzahl Einlagen: 3 ; Oberdeck: 3 mm ; Unterdeck: 2 mm ; Gurtbreite: 650 mm ; Profilhöhe: 6 mm ; Profilbreite: Komplette Gurtbreite ; Profiltyp: V6 ; Öl und Fettbeständige Qualität</t>
  </si>
  <si>
    <t>Fabric type: EP ; Tensile strength: 400 N/mm ; Number of plies: 3 ; Topcover: 3 mm ; Bottomcover: 2 mm ; Beltwidth: 650 mm ; Profile height: 6 mm ; Profile width: Full belt width ; Profile type: V6 ; Oil and Grease Resistant Quality</t>
  </si>
  <si>
    <t>Carcasse: EP ; Résistance à la traction: 400 N/mm ; Nombre de plis: 3 ; Revêtement supérieur: 3 mm ; Revêtement inférieur: 2 mm ; Largeur de bande: 650 mm ; Hauteur du profil: 6 mm ; Largeur du profil: Sur toute la largeur ; Type de profil: V6 ; Qualité résistant aux huiles et graisses</t>
  </si>
  <si>
    <t>EP650PRG400/3-3+2-MULTIVSH</t>
  </si>
  <si>
    <t>19,620</t>
  </si>
  <si>
    <t>EP650PRG400/3-4+2-FISHMORJO</t>
  </si>
  <si>
    <t>EP 400/3-4+2,BB650-Fishbone profiel MOR</t>
  </si>
  <si>
    <t>19,010</t>
  </si>
  <si>
    <t>EP650PRG400/3-4+2-FISHOGJO</t>
  </si>
  <si>
    <t>EP 400/3-4+2,BB650-Fishbone profiel O&amp;G</t>
  </si>
  <si>
    <t>19,140</t>
  </si>
  <si>
    <t>EP650PRH250/2-3+1.5-HB58LB</t>
  </si>
  <si>
    <t>EP 250/2-3+1.5,BB650-profiel HB58</t>
  </si>
  <si>
    <t>28,650</t>
  </si>
  <si>
    <t>EP650PRH250/2-3+1½-Y32P450HY</t>
  </si>
  <si>
    <t>EP 250/2-3+1½,BB650-profiel Y32P450</t>
  </si>
  <si>
    <t>58,250</t>
  </si>
  <si>
    <t>Bandweefseltype: EP ; Treksterkte: 250 N/mm ; Aantal inlagen: 2 ; Bovendek: 3 mm ; Onderdek:  mm 1½ ; Bandbreedte: 650 mm ; Profiel hoogte: 32 mm ; Profiel breedte: 450 mm ; Profiel type: open Y</t>
  </si>
  <si>
    <t>Gewebetype: EP ; Zugfestigkeit: 250 N/mm ; Anzahl Einlagen: 2 ; Oberdeck: 3 mm ; Unterdeck: 1½ mm ; Gurtbreite: 650 mm ; Profilhöhe: 32 mm ; Profilbreite: 450 mm ; Profiltyp: offen Y</t>
  </si>
  <si>
    <t>Fabric type: EP ; Tensile strength: 250 N/mm ; Number of plies: 2 ; Topcover: 3 mm ; Bottomcover: 1½ mm ; Beltwidth: 650 mm ; Profile height: 32 mm ; Profile width: 450 mm ; Profile type: open Y</t>
  </si>
  <si>
    <t>Carcasse: EP ; Résistance à la traction: 250 N/mm ; Nombre de plis: 2 ; Revêtement supérieur: 3 mm ; Revêtement inférieur: 1½ mm ; Largeur de bande: 650 mm ; Hauteur du profil: 32 mm ; Largeur du profil: 450 mm ; Type de profil: Y Ouvert</t>
  </si>
  <si>
    <t>EP650PRH250/2-3+1½-Y32P450-TA</t>
  </si>
  <si>
    <t>26,130</t>
  </si>
  <si>
    <t>EP650PRH250/2-3+1-H46HY</t>
  </si>
  <si>
    <t>EP 250/2-3+1,BB650-profiel H46</t>
  </si>
  <si>
    <t>28,490</t>
  </si>
  <si>
    <t>Bandweefseltype: EP ; Treksterkte: 250 N/mm ; Aantal inlagen: 2 ; Bovendek: 3 mm ; Onderdek:  mm 1 ; Bandbreedte: 650 mm ; Profiel hoogte: 32 mm ; Profiel breedte: 460 mm ; Profiel type: open</t>
  </si>
  <si>
    <t>Gewebetype: EP ; Zugfestigkeit: 250 N/mm ; Anzahl Einlagen: 2 ; Oberdeck: 3 mm ; Unterdeck: 1 mm ; Gurtbreite: 650 mm ; Profilhöhe: 32 mm ; Profilbreite: 460 mm ; Profiltyp: offen</t>
  </si>
  <si>
    <t>Fabric type: EP ; Tensile strength: 250 N/mm ; Number of plies: 2 ; Topcover: 3 mm ; Bottomcover: 1 mm ; Beltwidth: 650 mm ; Profile height: 32 mm ; Profile width: 460 mm ; Profile type: open</t>
  </si>
  <si>
    <t>Carcasse: EP ; Résistance à la traction: 250 N/mm ; Nombre de plis: 2 ; Revêtement supérieur: 3 mm ; Revêtement inférieur: 1 mm ; Largeur de bande: 650 mm ; Hauteur du profil: 32 mm ; Largeur du profil: 460 mm ; Type de profil: Ouvert</t>
  </si>
  <si>
    <t>EP650PRH250/2-3+1-H46JO</t>
  </si>
  <si>
    <t>26,323</t>
  </si>
  <si>
    <t>EP650PRH250/2-3+1-H58HY</t>
  </si>
  <si>
    <t>EP 250/2-3+1,BB650-profiel H58</t>
  </si>
  <si>
    <t>25,880</t>
  </si>
  <si>
    <t>Bandweefseltype: EP ; Treksterkte: 250 N/mm ; Aantal inlagen: 2 ; Bovendek: 3 mm ; Onderdek:  mm 1 ; Bandbreedte: 650 mm ; Profiel hoogte: 32 mm ; Profiel breedte: 580 mm ; Profiel type: open</t>
  </si>
  <si>
    <t>Gewebetype: EP ; Zugfestigkeit: 250 N/mm ; Anzahl Einlagen: 2 ; Oberdeck: 3 mm ; Unterdeck: 1 mm ; Gurtbreite: 650 mm ; Profilhöhe: 32 mm ; Profilbreite: 580 mm ; Profiltyp: offen</t>
  </si>
  <si>
    <t>Fabric type: EP ; Tensile strength: 250 N/mm ; Number of plies: 2 ; Topcover: 3 mm ; Bottomcover: 1 mm ; Beltwidth: 650 mm ; Profile height: 32 mm ; Profile width: 580 mm ; Profile type: open</t>
  </si>
  <si>
    <t>Carcasse: EP ; Résistance à la traction: 250 N/mm ; Nombre de plis: 2 ; Revêtement supérieur: 3 mm ; Revêtement inférieur: 1 mm ; Largeur de bande: 650 mm ; Hauteur du profil: 32 mm ; Largeur du profil: 580 mm ; Type de profil: Ouvert</t>
  </si>
  <si>
    <t>EP650PRH250/2-3+1-H63HY</t>
  </si>
  <si>
    <t>EP 250/2-3+1,BB650-profiel H63</t>
  </si>
  <si>
    <t>31,560</t>
  </si>
  <si>
    <t>Chevron, Standaard kwaliteit ; EP 250/2-3+1 met H63 profiel</t>
  </si>
  <si>
    <t>Chevron, Standardqualität ; EP 250/2-3+1 mit H63 Profil</t>
  </si>
  <si>
    <t>Chevron, Standard Quality ; EP 250/2-3+1 with H63 profile</t>
  </si>
  <si>
    <t>Chevron, Qualité standard ; EP 250/2-3+1 met H63 profil</t>
  </si>
  <si>
    <t>Bandweefseltype: EP ; Treksterkte: 250 N/mm ; Aantal inlagen: 2 ; Bovendek: 3 mm ; Onderdek:  mm 1 ; Bandbreedte: 650 mm ; Profiel hoogte: 32 mm ; Profiel breedte: 630 mm ; Profiel type: open</t>
  </si>
  <si>
    <t>Gewebetype: EP ; Zugfestigkeit: 250 N/mm ; Anzahl Einlagen: 2 ; Oberdeck: 3 mm ; Unterdeck: 1 mm ; Gurtbreite: 650 mm ; Profilhöhe: 32 mm ; Profilbreite: 630 mm ; Profiltyp: offen</t>
  </si>
  <si>
    <t>Fabric type: EP ; Tensile strength: 250 N/mm ; Number of plies: 2 ; Topcover: 3 mm ; Bottomcover: 1 mm ; Beltwidth: 650 mm ; Profile height: 32 mm ; Profile width: 630 mm ; Profile type: open</t>
  </si>
  <si>
    <t>Carcasse: EP ; Résistance à la traction: 250 N/mm ; Nombre de plis: 2 ; Revêtement supérieur: 3 mm ; Revêtement inférieur: 1 mm ; Largeur de bande: 650 mm ; Hauteur du profil: 32 mm ; Largeur du profil: 630 mm ; Type de profil: Ouvert</t>
  </si>
  <si>
    <t>EP650PRH400/3-3+1½-Y32P450HY</t>
  </si>
  <si>
    <t>EP 400/3-3+1½,BB650-profiel Y32P450</t>
  </si>
  <si>
    <t>69,850</t>
  </si>
  <si>
    <t>43,550</t>
  </si>
  <si>
    <t>Bandweefseltype: EP ; Treksterkte: 400 N/mm ; Aantal inlagen: 3 ; Bovendek: 3 mm ; Onderdek: ½ mm  ; Bandbreedte: 650 mm ; Profiel hoogte: 32 mm ; Profiel breedte: 630 mm ; Profiel type: open Y</t>
  </si>
  <si>
    <t>Gewebetype: EP ; Zugfestigkeit: 400 N/mm ; Anzahl Einlagen: 3 ; Oberdeck: 3 mm ; Unterdeck: ½ mm ; Gurtbreite: 650 mm ; Profilhöhe: 32 mm ; Profilbreite: 630 mm ; Profiltyp: offen Y</t>
  </si>
  <si>
    <t>Fabric type: EP ; Tensile strength: 400 N/mm ; Number of plies: 3 ; Topcover: 3 mm ; Bottomcover: ½ mm ; Beltwidth: 650 mm ; Profile height: 32 mm ; Profile width: 630 mm ; Profile type: open Y</t>
  </si>
  <si>
    <t>Carcasse: EP ; Résistance à la traction: 400 N/mm ; Nombre de plis: 3 ; Revêtement supérieur: 3 mm ; Revêtement inférieur: ½ mm ; Largeur de bande: 650 mm ; Hauteur du profil: 32 mm ; Largeur du profil: 630 mm ; Type de profil: Y Ouvert</t>
  </si>
  <si>
    <t>EP650PRH400/3-3+1½-Y32P450JO</t>
  </si>
  <si>
    <t>24,710</t>
  </si>
  <si>
    <t>EP650PRH400/3-3+1-H46DA</t>
  </si>
  <si>
    <t>EP 400/3-3+1,BB650-profiel H46</t>
  </si>
  <si>
    <t>37,070</t>
  </si>
  <si>
    <t>Bandweefseltype: EP ; Treksterkte: 400 N/mm ; Aantal inlagen: 3 ; Bovendek: 3 mm ; Onderdek:  mm 1 ; Bandbreedte: 650 mm ; Profiel hoogte: 32 mm ; Profiel breedte: 460 mm ; Profiel type: open</t>
  </si>
  <si>
    <t>Gewebetype: EP ; Zugfestigkeit: 400 N/mm ; Anzahl Einlagen: 3 ; Oberdeck: 3 mm ; Unterdeck: 1 mm ; Gurtbreite: 650 mm ; Profilhöhe: 32 mm ; Profilbreite: 460 mm ; Profiltyp: offen</t>
  </si>
  <si>
    <t>Fabric type: EP ; Tensile strength: 400 N/mm ; Number of plies: 3 ; Topcover: 3 mm ; Bottomcover: 1 mm ; Beltwidth: 650 mm ; Profile height: 32 mm ; Profile width: 460 mm ; Profile type: open</t>
  </si>
  <si>
    <t>Carcasse: EP ; Résistance à la traction: 400 N/mm ; Nombre de plis: 3 ; Revêtement supérieur: 3 mm ; Revêtement inférieur: 1 mm ; Largeur de bande: 650 mm ; Hauteur du profil: 32 mm ; Largeur du profil: 460 mm ; Type de profil: Ouvert</t>
  </si>
  <si>
    <t>EP650PRH400/3-3+1-H46HY</t>
  </si>
  <si>
    <t>36,630</t>
  </si>
  <si>
    <t>EP650PRH400/3-3+1-H46JO</t>
  </si>
  <si>
    <t>27,420</t>
  </si>
  <si>
    <t>EP650PRH400/3-3+1-H58DA</t>
  </si>
  <si>
    <t>EP 400/3-3+1,BB650-profiel H58</t>
  </si>
  <si>
    <t>33,500</t>
  </si>
  <si>
    <t>Bandweefseltype: EP ; Treksterkte: 400 N/mm ; Aantal inlagen: 3 ; Bovendek: 3 mm ; Onderdek:  mm 1 ; Bandbreedte: 650 mm ; Profiel hoogte: 32 mm ; Profiel breedte: 580 mm ; Profiel type: open</t>
  </si>
  <si>
    <t>Gewebetype: EP ; Zugfestigkeit: 400 N/mm ; Anzahl Einlagen: 3 ; Oberdeck: 3 mm ; Unterdeck: 1 mm ; Gurtbreite: 650 mm ; Profilhöhe: 32 mm ; Profilbreite: 580 mm ; Profiltyp: offen</t>
  </si>
  <si>
    <t>Fabric type: EP ; Tensile strength: 400 N/mm ; Number of plies: 3 ; Topcover: 3 mm ; Bottomcover: 1 mm ; Beltwidth: 650 mm ; Profile height: 32 mm ; Profile width: 580 mm ; Profile type: open</t>
  </si>
  <si>
    <t>Carcasse: EP ; Résistance à la traction: 400 N/mm ; Nombre de plis: 3 ; Revêtement supérieur: 3 mm ; Revêtement inférieur: 1 mm ; Largeur de bande: 650 mm ; Hauteur du profil: 32 mm ; Largeur du profil: 580 mm ; Type de profil: Ouvert</t>
  </si>
  <si>
    <t>EP650PRH400/3-3+1-H58HY</t>
  </si>
  <si>
    <t>EP650PRH400/3-3+1-H63HY</t>
  </si>
  <si>
    <t>EP 400/3-3+1,BB650-profiel H63</t>
  </si>
  <si>
    <t>Bandweefseltype: EP ; Treksterkte: 400 N/mm ; Aantal inlagen: 3 ; Bovendek: 3 mm ; Onderdek:  mm 1 ; Bandbreedte: 650 mm ; Profiel hoogte: 32 mm ; Profiel breedte: 630 mm ; Profiel type: open</t>
  </si>
  <si>
    <t>Gewebetype: EP ; Zugfestigkeit: 400 N/mm ; Anzahl Einlagen: 3 ; Oberdeck: 3 mm ; Unterdeck: 1 mm ; Gurtbreite: 650 mm ; Profilhöhe: 32 mm ; Profilbreite: 630 mm ; Profiltyp: offen</t>
  </si>
  <si>
    <t>Fabric type: EP ; Tensile strength: 400 N/mm ; Number of plies: 3 ; Topcover: 3 mm ; Bottomcover: 1 mm ; Beltwidth: 650 mm ; Profile height: 32 mm ; Profile width: 630 mm ; Profile type: open</t>
  </si>
  <si>
    <t>Carcasse: EP ; Résistance à la traction: 400 N/mm ; Nombre de plis: 3 ; Revêtement supérieur: 3 mm ; Revêtement inférieur: 1 mm ; Largeur de bande: 650 mm ; Hauteur du profil: 32 mm ; Largeur du profil: 630 mm ; Type de profil: Ouvert</t>
  </si>
  <si>
    <t>EP650PRL250/2-3+1½-C15P385FF</t>
  </si>
  <si>
    <t>EP 250/2-3+1½,BB650-profiel C15P385</t>
  </si>
  <si>
    <t>36,900</t>
  </si>
  <si>
    <t>Bandweefseltype: EP ; Treksterkte: 250 N/mm ; Aantal inlagen: 2 ; Bovendek: 3 mm ; Onderdek:  mm 1½ ; Bandbreedte: 650 mm ; Profiel hoogte: 15 mm ; Profiel breedte: 385 mm ; Profiel type: open V</t>
  </si>
  <si>
    <t>Gewebetype: EP ; Zugfestigkeit: 250 N/mm ; Anzahl Einlagen: 2 ; Oberdeck: 3 mm ; Unterdeck: 1½ mm ; Gurtbreite: 650 mm ; Profilhöhe: 15 mm ; Profilbreite: 385 mm ; Profiltyp: offen V</t>
  </si>
  <si>
    <t>Fabric type: EP ; Tensile strength: 250 N/mm ; Number of plies: 2 ; Topcover: 3 mm ; Bottomcover: 1½ mm ; Beltwidth: 650 mm ; Profile height: 15 mm ; Profile width: 385 mm ; Profile type: open V</t>
  </si>
  <si>
    <t>Carcasse: EP ; Résistance à la traction: 250 N/mm ; Nombre de plis: 2 ; Revêtement supérieur: 3 mm ; Revêtement inférieur: 1½ mm ; Largeur de bande: 650 mm ; Hauteur du profil: 15 mm ; Largeur du profil: 385 mm ; Type de profil: V Ouvert</t>
  </si>
  <si>
    <t>EP650PRL250/2-3+1½-C15P385HY</t>
  </si>
  <si>
    <t>21,120</t>
  </si>
  <si>
    <t>EP650PRL250/2-3+1½-C15P385JO</t>
  </si>
  <si>
    <t>14,920</t>
  </si>
  <si>
    <t>EP650PRL250/2-3+1½-C15P385SH</t>
  </si>
  <si>
    <t>14,286</t>
  </si>
  <si>
    <t>EP650PRL250/2-3+1½-C15V4-300JO</t>
  </si>
  <si>
    <t>EP 250/2-3+1½,BB650-profiel C15V450 - 300 mm3</t>
  </si>
  <si>
    <t>14,410</t>
  </si>
  <si>
    <t>EP650PRL250/2-3+1½-C15V450FF</t>
  </si>
  <si>
    <t>EP 250/2-3+1½,BB650-profiel C15V450</t>
  </si>
  <si>
    <t>16,160</t>
  </si>
  <si>
    <t>Bandweefseltype: EP ; Treksterkte: 250 N/mm ; Aantal inlagen: 2 ; Bovendek: 3 mm ; Onderdek:  mm 1½ ; Bandbreedte: 650 mm ; Profiel hoogte: 15 mm ; Profiel breedte: 450 mm ; Profiel type: Gesloten V</t>
  </si>
  <si>
    <t>Gewebetype: EP ; Zugfestigkeit: 250 N/mm ; Anzahl Einlagen: 2 ; Oberdeck: 3 mm ; Unterdeck: 1½ mm ; Gurtbreite: 650 mm ; Profilhöhe: 15 mm ; Profilbreite: 450 mm ; Profiltyp:Geschlossen V</t>
  </si>
  <si>
    <t>Fabric type: EP ; Tensile strength: 250 N/mm ; Number of plies: 3 ; Topcover: 3 mm ; Bottomcover: 1½ mm ; Beltwidth: 650 mm ; Profile height: 15 mm ; Profile width: 450 mm ; Profile type: Closed V</t>
  </si>
  <si>
    <t>Carcasse: EP ; Résistance à la traction: 250 N/mm ; Nombre de plis: 3 ; Revêtement supérieur: 3 mm ; Revêtement inférieur: 1½ mm ; Largeur de bande: 650 mm ; Hauteur du profil: 15 mm ; Largeur du profil: 450 mm ; Type de profil: V Fermé</t>
  </si>
  <si>
    <t>EP650PRL250/2-3+1½-C15V450JO</t>
  </si>
  <si>
    <t>EP650PRL250/2-3+1-L44DA</t>
  </si>
  <si>
    <t>EP 250/2-3+1,BB650-profiel L44</t>
  </si>
  <si>
    <t>37,100</t>
  </si>
  <si>
    <t>16,170</t>
  </si>
  <si>
    <t>Bandweefseltype: EP ; Treksterkte: 250 N/mm ; Aantal inlagen: 2 ; Bovendek: 3 mm ; Onderdek:  mm 1 ; Bandbreedte: 650 mm ; Profiel hoogte: 17 mm ; Profiel breedte: 440 mm ; Profiel type: open Y</t>
  </si>
  <si>
    <t>Gewebetype: EP ; Zugfestigkeit: 250 N/mm ; Anzahl Einlagen: 2 ; Oberdeck: 3 mm ; Unterdeck: 1 mm ; Gurtbreite: 650 mm ; Profilhöhe: 17 mm ; Profilbreite: 440 mm ; Profiltyp: offen Y</t>
  </si>
  <si>
    <t>Fabric type: EP ; Tensile strength: 250 N/mm ; Number of plies: 2 ; Topcover: 3 mm ; Bottomcover: 1 mm ; Beltwidth: 650 mm ; Profile height: 17 mm ; Profile width: 440 mm ; Profile type: open Y</t>
  </si>
  <si>
    <t>Carcasse: EP ; Résistance à la traction: 250 N/mm ; Nombre de plis: 2 ; Revêtement supérieur: 3 mm ; Revêtement inférieur: 1 mm ; Largeur de bande: 650 mm ; Hauteur du profil: 17 mm ; Largeur du profil: 440 mm ; Type de profil: Y Ouvert</t>
  </si>
  <si>
    <t>EP650PRL250/2-3+1-L44HY</t>
  </si>
  <si>
    <t>EP650PRL250/2-3+1-L44JO</t>
  </si>
  <si>
    <t>18,300</t>
  </si>
  <si>
    <t>EP650PRL250/2-3+1-L44KA</t>
  </si>
  <si>
    <t>15,070</t>
  </si>
  <si>
    <t>EP650PRL250/2-3+1-L44LB</t>
  </si>
  <si>
    <t>22,860</t>
  </si>
  <si>
    <t>EP650PRL250/2-3+1-L44TT</t>
  </si>
  <si>
    <t>14,010</t>
  </si>
  <si>
    <t>EP650PRL250/2-3+1-L55FF</t>
  </si>
  <si>
    <t>EP 250/2-3+1,BB650-profiel L55</t>
  </si>
  <si>
    <t>Chevron, Standaard kwaliteit ; EP 250/2-3+1 met L55 profiel</t>
  </si>
  <si>
    <t>Chevron, Standardqualität ; EP 250/2-3+1 mit L55 Profil</t>
  </si>
  <si>
    <t>Chevron, Standard Quality ; EP 250/2-3+1 with L55 profile</t>
  </si>
  <si>
    <t>Chevron, Qualité standard ; EP 250/2-3+1 met L55 profil</t>
  </si>
  <si>
    <t>Bandweefseltype: EP ; Treksterkte: 250 N/mm ; Aantal inlagen: 2 ; Bovendek: 3 mm ; Onderdek:  mm 1 ; Bandbreedte: 650 mm ; Profiel hoogte: 17 mm ; Profiel breedte: 550 mm ; Profiel type: open Y</t>
  </si>
  <si>
    <t>Gewebetype: EP ; Zugfestigkeit: 250 N/mm ; Anzahl Einlagen: 2 ; Oberdeck: 3 mm ; Unterdeck: 1 mm ; Gurtbreite: 650 mm ; Profilhöhe: 17 mm ; Profilbreite: 550 mm ; Profiltyp: offen Y</t>
  </si>
  <si>
    <t>Fabric type: EP ; Tensile strength: 250 N/mm ; Number of plies: 2 ; Topcover: 3 mm ; Bottomcover: 1 mm ; Beltwidth: 650 mm ; Profile height: 17 mm ; Profile width: 550 mm ; Profile type: open Y</t>
  </si>
  <si>
    <t>Carcasse: EP ; Résistance à la traction: 250 N/mm ; Nombre de plis: 2 ; Revêtement supérieur: 3 mm ; Revêtement inférieur: 1 mm ; Largeur de bande: 650 mm ; Hauteur du profil: 17 mm ; Largeur du profil: 550 mm ; Type de profil: Y Ouvert</t>
  </si>
  <si>
    <t>EP650PRL250/2-3+1-L55HY</t>
  </si>
  <si>
    <t>EP650PRL250/2-3+1-L55JO</t>
  </si>
  <si>
    <t>16,770</t>
  </si>
  <si>
    <t>EP650PRL250/2-3+1-L63HY</t>
  </si>
  <si>
    <t>EP 250/2-3+1,BB650-profiel L63</t>
  </si>
  <si>
    <t>Chevron, Standaard kwaliteit ; EP 250/2-3+1 met L63 profiel</t>
  </si>
  <si>
    <t>Chevron, Standardqualität ; EP 250/2-3+1 mit L63 Profil</t>
  </si>
  <si>
    <t>Chevron, Standard Quality ; EP 250/2-3+1 with L63 profile</t>
  </si>
  <si>
    <t>Chevron, Qualité standard ; EP 250/2-3+1 met L63 profil</t>
  </si>
  <si>
    <t>Bandweefseltype: EP ; Treksterkte: 250 N/mm ; Aantal inlagen: 2 ; Bovendek: 3 mm ; Onderdek:  mm 1 ; Bandbreedte: 650 mm ; Profiel hoogte: 17 mm ; Profiel breedte: 630 mm ; Profiel type: open Y</t>
  </si>
  <si>
    <t>Gewebetype: EP ; Zugfestigkeit: 250 N/mm ; Anzahl Einlagen: 2 ; Oberdeck: 3 mm ; Unterdeck: 1 mm ; Gurtbreite: 650 mm ; Profilhöhe: 17 mm ; Profilbreite: 630 mm ; Profiltyp: offen Y</t>
  </si>
  <si>
    <t>Fabric type: EP ; Tensile strength: 250 N/mm ; Number of plies: 2 ; Topcover: 3 mm ; Bottomcover: 1 mm ; Beltwidth: 650 mm ; Profile height: 17 mm ; Profile width: 630 mm ; Profile type: open Y</t>
  </si>
  <si>
    <t>Carcasse: EP ; Résistance à la traction: 250 N/mm ; Nombre de plis: 2 ; Revêtement supérieur: 3 mm ; Revêtement inférieur: 1 mm ; Largeur de bande: 650 mm ; Hauteur du profil: 17 mm ; Largeur du profil: 630 mm ; Type de profil: Y Ouvert</t>
  </si>
  <si>
    <t>EP650PRL250/2-3+1-L63JO</t>
  </si>
  <si>
    <t>EP650PRL250/2-3+1-L63TA</t>
  </si>
  <si>
    <t>18,540</t>
  </si>
  <si>
    <t>EP650PRL250/2-3+2-MULTIVHY</t>
  </si>
  <si>
    <t>EP 250/2-3+2,BB650-Multi V profiel 6 mm</t>
  </si>
  <si>
    <t>Bandweefseltype: EP ; Treksterkte: 250 N/mm ; Aantal inlagen: 2 ; Bovendek: 3 mm ; Onderdek: 2 mm ; Bandbreedte: 650 mm ; Profiel hoogte: 6 mm ; Profiel breedte: Volledige bandbreedte ; Type: V6</t>
  </si>
  <si>
    <t>Gewebetype: EP ; Zugfestigkeit: 250 N/mm ; Anzahl Einlagen: 2 ; Oberdeck: 3 mm ; Unterdeck: 2 mm ; Gurtbreite: 650 mm ; Profilhöhe: 6 mm ; Profilbreite: Komplette Gurtbreite ; Profiltyp: V6</t>
  </si>
  <si>
    <t>Fabric type: EP ; Tensile strength: 250 N/mm ; Number of plies: 2 ; Topcover: 3 mm ; Bottomcover: 2 mm ; Beltwidth: 650 mm ; Profile height: 6 mm ; Profile width: Full belt width ; Profile type: V6</t>
  </si>
  <si>
    <t>Carcasse: EP ; Résistance à la traction: 250 N/mm ; Nombre de plis: 2 ; Revêtement supérieur: 3 mm ; Revêtement inférieur: 2 mm ; Largeur de bande: 650 mm ; Hauteur du profil: 6 mm ; Largeur du profil: Sur toute la largeur ; Type de profil: V6</t>
  </si>
  <si>
    <t>EP650PRL250/2-3+2-MULTIVSH</t>
  </si>
  <si>
    <t>Bandweefseltype: EP ; Treksterkte: 250 N/mm ; Aantal inlagen: 2 ; Bovendek: 3 mm ; Onderdek: 2 mm ; Bandbreedte: 650 mm ; Profiel hoogte: 6 mm ; Profiel breedte: Volledige bandbreedte ; Type: V7</t>
  </si>
  <si>
    <t>Gewebetype: EP ; Zugfestigkeit: 250 N/mm ; Anzahl Einlagen: 2 ; Oberdeck: 3 mm ; Unterdeck: 2 mm ; Gurtbreite: 650 mm ; Profilhöhe: 6 mm ; Profilbreite: Komplette Gurtbreite ; Profiltyp: V7</t>
  </si>
  <si>
    <t>Fabric type: EP ; Tensile strength: 250 N/mm ; Number of plies: 2 ; Topcover: 3 mm ; Bottomcover: 2 mm ; Beltwidth: 650 mm ; Profile height: 6 mm ; Profile width: Full belt width ; Profile type: V7</t>
  </si>
  <si>
    <t>Carcasse: EP ; Résistance à la traction: 250 N/mm ; Nombre de plis: 2 ; Revêtement supérieur: 3 mm ; Revêtement inférieur: 2 mm ; Largeur de bande: 650 mm ; Hauteur du profil: 6 mm ; Largeur du profil: Sur toute la largeur ; Type de profil: V7</t>
  </si>
  <si>
    <t>EP650PRL400/3-3+1½-C15P385FF</t>
  </si>
  <si>
    <t>EP 400/3-3+1½,BB650-profiel C15P385</t>
  </si>
  <si>
    <t>20,340</t>
  </si>
  <si>
    <t>Bandweefseltype: EP ; Treksterkte: 400 N/mm ; Aantal inlagen: 3 ; Bovendek: 3 mm ; Onderdek:  mm 1½ ; Bandbreedte: 650 mm ; Profiel hoogte: 15 mm ; Profiel breedte: 385 mm ; Profiel type: open V</t>
  </si>
  <si>
    <t>Gewebetype: EP ; Zugfestigkeit: 400 N/mm ; Anzahl Einlagen: 3 ; Oberdeck: 3 mm ; Unterdeck: 1½ mm ; Gurtbreite: 650 mm ; Profilhöhe: 15 mm ; Profilbreite: 385 mm ; Profiltyp: offen V</t>
  </si>
  <si>
    <t>Fabric type: EP ; Tensile strength: 400 N/mm ; Number of plies: 3 ; Topcover: 3 mm ; Bottomcover: 1½ mm ; Beltwidth: 650 mm ; Profile height: 15 mm ; Profile width: 385 mm ; Profile type: open V</t>
  </si>
  <si>
    <t>Carcasse: EP ; Résistance à la traction: 400 N/mm ; Nombre de plis: 3 ; Revêtement supérieur: 3 mm ; Revêtement inférieur: 1½ mm ; Largeur de bande: 650 mm ; Hauteur du profil: 15 mm ; Largeur du profil: 385 mm ; Type de profil: V Ouvert</t>
  </si>
  <si>
    <t>EP650PRL400/3-3+1½-C15P385HY</t>
  </si>
  <si>
    <t>23,110</t>
  </si>
  <si>
    <t>EP650PRL400/3-3+1½-C15P385JO</t>
  </si>
  <si>
    <t>EP650PRL400/3-3+1½-C15P385SH</t>
  </si>
  <si>
    <t>18,220</t>
  </si>
  <si>
    <t>EP650PRL400/3-3+1½-C15V450FF</t>
  </si>
  <si>
    <t>EP 400/3-3+1½,BB650-profiel C15V450</t>
  </si>
  <si>
    <t>Bandweefseltype: EP ; Treksterkte: 400 N/mm ; Aantal inlagen: 3 ; Bovendek: 3 mm ; Onderdek:  mm 1½ ; Bandbreedte: 650 mm ; Profiel hoogte: 15 mm ; Profiel breedte: 450 mm ; Profiel type: Gesloten V</t>
  </si>
  <si>
    <t>Gewebetype: EP ; Zugfestigkeit: 400 N/mm ; Anzahl Einlagen: 3 ; Oberdeck: 3 mm ; Unterdeck: 1½ mm ; Gurtbreite: 650 mm ; Profilhöhe: 15 mm ; Profilbreite: 450 mm ; Profiltyp:Geschlossen V</t>
  </si>
  <si>
    <t>Fabric type: EP ; Tensile strength: 400 N/mm ; Number of plies: 3 ; Topcover: 3 mm ; Bottomcover: 1½ mm ; Beltwidth: 650 mm ; Profile height: 15 mm ; Profile width: 450 mm ; Profile type: Closed V</t>
  </si>
  <si>
    <t>Carcasse: EP ; Résistance à la traction: 400 N/mm ; Nombre de plis: 3 ; Revêtement supérieur: 3 mm ; Revêtement inférieur: 1½ mm ; Largeur de bande: 650 mm ; Hauteur du profil: 15 mm ; Largeur du profil: 450 mm ; Type de profil: V Fermé</t>
  </si>
  <si>
    <t>EP650PRL400/3-3+1½-C15V450HY</t>
  </si>
  <si>
    <t>EP650PRL400/3-3+1½-C15V450JO</t>
  </si>
  <si>
    <t>EP650PRL400/3-3+1½-ES13½KA</t>
  </si>
  <si>
    <t>EP 400/3-3+1½,BB650-profiel ES13½</t>
  </si>
  <si>
    <t>20,490</t>
  </si>
  <si>
    <t>Bandweefseltype: EP ; Treksterkte: 400 N/mm ; Aantal inlagen: 3 ; Bovendek: 3 mm ; Onderdek:  mm 1½ ; Bandbreedte: 650 mm ; Profiel hoogte: 13½ mm ; Profiel breedte: Volledige bandbreedte ; Profiel type: Gesloten V</t>
  </si>
  <si>
    <t>Gewebetype: EP ; Zugfestigkeit: 400 N/mm ; Anzahl Einlagen: 3 ; Oberdeck: 3 mm ; Unterdeck: 1½ mm ; Gurtbreite: 650 mm ; Profilhöhe: 13½ mm ; Profilbreite: Komplette Gurtbreite ; Profiltyp: Geschlossen V</t>
  </si>
  <si>
    <t>Fabric type: EP ; Tensile strength: 400 N/mm ; Number of plies: 3 ; Topcover: 3 mm ; Bottomcover: 1½ mm ; Beltwidth: 650 mm ; Profile height: 13½ mm ; Profile width: Full belt width ; Profile type: Closed V</t>
  </si>
  <si>
    <t>Carcasse: EP ; Résistance à la traction: 400 N/mm ; Nombre de plis: 3 ; Revêtement supérieur: 3 mm ; Revêtement inférieur: 1½ mm ; Largeur de bande: 650 mm ; Hauteur du profil: 13½ mm ; Largeur du profil: Sur toute la largeur ; Type de profil: V Fermé</t>
  </si>
  <si>
    <t>EP650PRL400/3-3+1-L44DA</t>
  </si>
  <si>
    <t>EP 400/3-3+1,BB650-profiel L44</t>
  </si>
  <si>
    <t>20,510</t>
  </si>
  <si>
    <t>Bandweefseltype: EP ; Treksterkte: 400 N/mm ; Aantal inlagen: 3 ; Bovendek: 3 mm ; Onderdek:  mm 1 ; Bandbreedte: 650 mm ; Profiel hoogte: 17 mm ; Profiel breedte: 440 mm ; Profiel type: open Y</t>
  </si>
  <si>
    <t>Gewebetype: EP ; Zugfestigkeit: 400 N/mm ; Anzahl Einlagen: 3 ; Oberdeck: 3 mm ; Unterdeck: 1 mm ; Gurtbreite: 650 mm ; Profilhöhe: 17 mm ; Profilbreite: 440 mm ; Profiltyp: offen Y</t>
  </si>
  <si>
    <t>Fabric type: EP ; Tensile strength: 400 N/mm ; Number of plies: 3 ; Topcover: 3 mm ; Bottomcover: 1 mm ; Beltwidth: 650 mm ; Profile height: 17 mm ; Profile width: 440 mm ; Profile type: open Y</t>
  </si>
  <si>
    <t>Carcasse: EP ; Résistance à la traction: 400 N/mm ; Nombre de plis: 3 ; Revêtement supérieur: 3 mm ; Revêtement inférieur: 1 mm ; Largeur de bande: 650 mm ; Hauteur du profil: 17 mm ; Largeur du profil: 440 mm ; Type de profil: Y Ouvert</t>
  </si>
  <si>
    <t>EP650PRL400/3-3+1-L44FF</t>
  </si>
  <si>
    <t>20,450</t>
  </si>
  <si>
    <t>EP650PRL400/3-3+1-L44HY</t>
  </si>
  <si>
    <t>EP650PRL400/3-3+1-L44JO</t>
  </si>
  <si>
    <t>18,650</t>
  </si>
  <si>
    <t>EP650PRL400/3-3+1-L44KA</t>
  </si>
  <si>
    <t>20,240</t>
  </si>
  <si>
    <t>EP650PRL400/3-3+1-L44SJ</t>
  </si>
  <si>
    <t>EP 400/3-3+1,BB650, L44 Strojrem</t>
  </si>
  <si>
    <t>380,000</t>
  </si>
  <si>
    <t>EP650PRL400/3-3+1-L44-TT</t>
  </si>
  <si>
    <t>25,470</t>
  </si>
  <si>
    <t>EP650PRL400/3-3+1-L55HY</t>
  </si>
  <si>
    <t>EP 400/3-3+1,BB650-profiel L55</t>
  </si>
  <si>
    <t>Chevron, Standaard kwaliteit ; EP 400/3-3+1 met L55 profiel</t>
  </si>
  <si>
    <t>Chevron, Standardqualität ; EP 400/3-3+1 mit L55 Profil</t>
  </si>
  <si>
    <t>Chevron, Standard Quality ; EP 400/3-3+1 with L55 profile</t>
  </si>
  <si>
    <t>Chevron, Qualité standard ; EP 400/3-3+1 met L55 profil</t>
  </si>
  <si>
    <t>Bandweefseltype: EP ; Treksterkte: 400 N/mm ; Aantal inlagen: 3 ; Bovendek: 3 mm ; Onderdek:  mm 1 ; Bandbreedte: 650 mm ; Profiel hoogte: 17 mm ; Profiel breedte: 550 mm ; Profiel type: open Y</t>
  </si>
  <si>
    <t>Gewebetype: EP ; Zugfestigkeit: 400 N/mm ; Anzahl Einlagen: 3 ; Oberdeck: 3 mm ; Unterdeck: 1 mm ; Gurtbreite: 650 mm ; Profilhöhe: 17 mm ; Profilbreite: 550 mm ; Profiltyp: offen Y</t>
  </si>
  <si>
    <t>Fabric type: EP ; Tensile strength: 400 N/mm ; Number of plies: 3 ; Topcover: 3 mm ; Bottomcover: 1 mm ; Beltwidth: 650 mm ; Profile height: 17 mm ; Profile width: 550 mm ; Profile type: open Y</t>
  </si>
  <si>
    <t>Carcasse: EP ; Résistance à la traction: 400 N/mm ; Nombre de plis: 3 ; Revêtement supérieur: 3 mm ; Revêtement inférieur: 1 mm ; Largeur de bande: 650 mm ; Hauteur du profil: 17 mm ; Largeur du profil: 550 mm ; Type de profil: Y Ouvert</t>
  </si>
  <si>
    <t>EP650PRL400/3-3+1-L55JO</t>
  </si>
  <si>
    <t>19,770</t>
  </si>
  <si>
    <t>EP650PRL400/3-3+1-L63HY</t>
  </si>
  <si>
    <t>EP 400/3-3+1,BB650-profiel L63</t>
  </si>
  <si>
    <t>24,540</t>
  </si>
  <si>
    <t>Bandweefseltype: EP ; Treksterkte: 400 N/mm ; Aantal inlagen: 3 ; Bovendek: 3 mm ; Onderdek:  mm 1 ; Bandbreedte: 650 mm ; Profiel hoogte: 17 mm ; Profiel breedte: 630 mm ; Profiel type: open Y</t>
  </si>
  <si>
    <t>Gewebetype: EP ; Zugfestigkeit: 400 N/mm ; Anzahl Einlagen: 3 ; Oberdeck: 3 mm ; Unterdeck: 1 mm ; Gurtbreite: 650 mm ; Profilhöhe: 17 mm ; Profilbreite: 630 mm ; Profiltyp: offen Y</t>
  </si>
  <si>
    <t>Fabric type: EP ; Tensile strength: 400 N/mm ; Number of plies: 3 ; Topcover: 3 mm ; Bottomcover: 1 mm ; Beltwidth: 650 mm ; Profile height: 17 mm ; Profile width: 630 mm ; Profile type: open Y</t>
  </si>
  <si>
    <t>Carcasse: EP ; Résistance à la traction: 400 N/mm ; Nombre de plis: 3 ; Revêtement supérieur: 3 mm ; Revêtement inférieur: 1 mm ; Largeur de bande: 650 mm ; Hauteur du profil: 17 mm ; Largeur du profil: 630 mm ; Type de profil: Y Ouvert</t>
  </si>
  <si>
    <t>EP650PRL400/3-3+1-L63JO</t>
  </si>
  <si>
    <t>EP650PRL400/3-3+1-U15P550RP</t>
  </si>
  <si>
    <t>EP 400/3-3+1,BB650-profiel U15P550</t>
  </si>
  <si>
    <t>30,450</t>
  </si>
  <si>
    <t>EP650PRL400/3-3+2-MULTIVHY</t>
  </si>
  <si>
    <t>EP 400/3-3+2,BB650-Multi V profiel 6 mm</t>
  </si>
  <si>
    <t>Bandweefseltype: EP ; Treksterkte: 400 N/mm ; Aantal inlagen: 3 ; Bovendek: 3 mm ; Onderdek: 2 mm ; Bandbreedte: 650 mm ; Profiel hoogte: 6 mm ; Profiel breedte: Volledige bandbreedte ; Type: V6</t>
  </si>
  <si>
    <t>Gewebetype: EP ; Zugfestigkeit: 400 N/mm ; Anzahl Einlagen: 3 ; Oberdeck: 3 mm ; Unterdeck: 2 mm ; Gurtbreite: 650 mm ; Profilhöhe: 6 mm ; Profilbreite: Komplette Gurtbreite ; Profiltyp: V6</t>
  </si>
  <si>
    <t>Fabric type: EP ; Tensile strength: 400 N/mm ; Number of plies: 3 ; Topcover: 3 mm ; Bottomcover: 2 mm ; Beltwidth: 650 mm ; Profile height: 6 mm ; Profile width: Full belt width ; Profile type: V6</t>
  </si>
  <si>
    <t>Carcasse: EP ; Résistance à la traction: 400 N/mm ; Nombre de plis: 3 ; Revêtement supérieur: 3 mm ; Revêtement inférieur: 2 mm ; Largeur de bande: 650 mm ; Hauteur du profil: 6 mm ; Largeur du profil: Sur toute la largeur ; Type de profil: V6</t>
  </si>
  <si>
    <t>EP650PRL400/3-3+2-MULTIVSH</t>
  </si>
  <si>
    <t>13,072</t>
  </si>
  <si>
    <t>Bandweefseltype: EP ; Treksterkte: 400 N/mm ; Aantal inlagen: 3 ; Bovendek: 3 mm ; Onderdek: 2 mm ; Bandbreedte: 650 mm ; Profiel hoogte: 6 mm ; Profiel breedte: Volledige bandbreedte ; Type: V7</t>
  </si>
  <si>
    <t>Gewebetype: EP ; Zugfestigkeit: 400 N/mm ; Anzahl Einlagen: 3 ; Oberdeck: 3 mm ; Unterdeck: 2 mm ; Gurtbreite: 650 mm ; Profilhöhe: 6 mm ; Profilbreite: Komplette Gurtbreite ; Profiltyp: V7</t>
  </si>
  <si>
    <t>Fabric type: EP ; Tensile strength: 400 N/mm ; Number of plies: 3 ; Topcover: 3 mm ; Bottomcover: 2 mm ; Beltwidth: 650 mm ; Profile height: 6 mm ; Profile width: Full belt width ; Profile type: V7</t>
  </si>
  <si>
    <t>Carcasse: EP ; Résistance à la traction: 400 N/mm ; Nombre de plis: 3 ; Revêtement supérieur: 3 mm ; Revêtement inférieur: 2 mm ; Largeur de bande: 650 mm ; Hauteur du profil: 6 mm ; Largeur du profil: Sur toute la largeur ; Type de profil: V7</t>
  </si>
  <si>
    <t>EP650PRM250/2-3+1½-C25P450JO</t>
  </si>
  <si>
    <t>EP 250/2-3+1½,BB650-profiel C25P450</t>
  </si>
  <si>
    <t>44,000</t>
  </si>
  <si>
    <t>Bandweefseltype: EP ; Treksterkte: 250 N/mm ; Aantal inlagen: 2 ; Bovendek: 3 mm ; Onderdek:  1½ mm ; Bandbreedte: 650 mm ; Profiel hoogte: 25 mm ; Profiel breedte: 450 mm ; Profiel type: open</t>
  </si>
  <si>
    <t>Gewebetype: EP ; Zugfestigkeit: 250 N/mm ; Anzahl Einlagen: 2 ; Oberdeck: 3 mm ; Unterdeck: 1½ mm ; Gurtbreite: 650 mm ; Profilhöhe: 25 mm ; Profilbreite: 450 mm ; Profiltyp: offen</t>
  </si>
  <si>
    <t>Fabric type: EP ; Tensile strength: 250 N/mm ; Number of plies: 2 ; Topcover: 3 mm ; Bottomcover: 1½ mm ; Beltwidth: 650 mm ; Profile height: 25 mm ; Profile width: 450 mm ; Profile type: open</t>
  </si>
  <si>
    <t>Carcasse: EP ; Résistance à la traction: 250 N/mm ; Nombre de plis: 2 ; Revêtement supérieur: 3 mm ; Revêtement inférieur: 1½ mm ; Largeur de bande: 650 mm ; Hauteur du profil: 25 mm ; Largeur du profil: 750 mm ; Type de profil: Ouvert</t>
  </si>
  <si>
    <t>EP650PRM250/2-3+1½-C25P550JO</t>
  </si>
  <si>
    <t>EP 250/2-3+1½-BB650-profiel C25P550</t>
  </si>
  <si>
    <t>21,310</t>
  </si>
  <si>
    <t>Chevron, Standaard kwaliteit ; EP 250/2-3+1½ met C25P550 profiel</t>
  </si>
  <si>
    <t>Chevron, Standardqualität ; EP 250/2-3+1½  mit C25P550 Profil</t>
  </si>
  <si>
    <t>Chevron, Standard Quality ; EP 250/2-3+1½  with C25P550  profile</t>
  </si>
  <si>
    <t>Chevron, Qualité standard ; EP 250/2-3+1½  met C25P550  profil</t>
  </si>
  <si>
    <t>Bandweefseltype: EP ; Treksterkte: 250 N/mm ; Aantal inlagen: 2 ; Bovendek: 3 mm ; Onderdek:  1½ mm ; Bandbreedte: 650 mm ; Profiel hoogte: 25 mm ; Profiel breedte: 550 mm ; Profiel type: open</t>
  </si>
  <si>
    <t>Gewebetype: EP ; Zugfestigkeit: 250 N/mm ; Anzahl Einlagen: 2 ; Oberdeck: 3 mm ; Unterdeck: 1½ mm ; Gurtbreite: 650 mm ; Profilhöhe: 25 mm ; Profilbreite: 550 mm ; Profiltyp: offen</t>
  </si>
  <si>
    <t>Fabric type: EP ; Tensile strength: 250 N/mm ; Number of plies: 2 ; Topcover: 3 mm ; Bottomcover: 1½ mm ; Beltwidth: 650 mm ; Profile height: 25 mm ; Profile width: 550 mm ; Profile type: open</t>
  </si>
  <si>
    <t>Carcasse: EP ; Résistance à la traction: 250 N/mm ; Nombre de plis: 2 ; Revêtement supérieur: 3 mm ; Revêtement inférieur: 1½ mm ; Largeur de bande: 650 mm ; Hauteur du profil: 25 mm ; Largeur du profil: 550 mm ; Type de profil: Ouvert</t>
  </si>
  <si>
    <t>EP650PRM400/3-3+1½-C25P450FF</t>
  </si>
  <si>
    <t>EP 400/3-3+1½,BB650-profiel C25P450</t>
  </si>
  <si>
    <t>Bandweefseltype: EP ; Treksterkte: 400 N/mm ; Aantal inlagen: 3 ; Bovendek: 3 mm ; Onderdek:  1½ mm ; Bandbreedte: 650 mm ; Profiel hoogte: 25 mm ; Profiel breedte: 450 mm ; Profiel type: open</t>
  </si>
  <si>
    <t>Gewebetype: EP ; Zugfestigkeit: 400 N/mm ; Anzahl Einlagen: 3 ; Oberdeck: 3 mm ; Unterdeck: 1½ mm ; Gurtbreite: 650 mm ; Profilhöhe: 25 mm ; Profilbreite: 450 mm ; Profiltyp: offen</t>
  </si>
  <si>
    <t>Fabric type: EP ; Tensile strength: 400 N/mm ; Number of plies: 3 ; Topcover: 3 mm ; Bottomcover: 1½ mm ; Beltwidth: 650 mm ; Profile height: 25 mm ; Profile width: 450 mm ; Profile type: open</t>
  </si>
  <si>
    <t>Carcasse: EP ; Résistance à la traction: 400 N/mm ; Nombre de plis: 3 ; Revêtement supérieur: 3 mm ; Revêtement inférieur: 1½ mm ; Largeur de bande: 650 mm ; Hauteur du profil: 25 mm ; Largeur du profil: 450 mm ; Type de profil: Ouvert</t>
  </si>
  <si>
    <t>EP650PRM400/3-3+1½-C25P450HY</t>
  </si>
  <si>
    <t>49,350</t>
  </si>
  <si>
    <t>EP650PRM400/3-3+1½-C25P450JO</t>
  </si>
  <si>
    <t>EP650PRM400/3-3+1½-C25P450LB</t>
  </si>
  <si>
    <t>33,350</t>
  </si>
  <si>
    <t>EP650PRM400/3-3+1½-C25P450SH</t>
  </si>
  <si>
    <t>EP650PRM400/3-3+1½-C25P550HY</t>
  </si>
  <si>
    <t>EP 400/3-3+1½,BB650-profiel C25P550</t>
  </si>
  <si>
    <t>Chevron, Standaard kwaliteit ; EP 400/3-3+1½ met C25P550 profiel</t>
  </si>
  <si>
    <t>Chevron, Standardqualität ; EP 400/3-3+1½ mit C25P550 Profil</t>
  </si>
  <si>
    <t>Chevron, Standard Quality ; EP 400/3-3+1½ with C25P550  profile</t>
  </si>
  <si>
    <t>Chevron, Qualité standard ; EP 400/3-3+1½ met C25P550  profil</t>
  </si>
  <si>
    <t>Bandweefseltype: EP ; Treksterkte: 400 N/mm ; Aantal inlagen: 3 ; Bovendek: 3 mm ; Onderdek:  1½ mm ; Bandbreedte: 650 mm ; Profiel hoogte: 25 mm ; Profiel breedte: 550 mm ; Profiel type: open</t>
  </si>
  <si>
    <t>Gewebetype: EP ; Zugfestigkeit: 400 N/mm ; Anzahl Einlagen: 3 ; Oberdeck: 3 mm ; Unterdeck: 1½ mm ; Gurtbreite: 650 mm ; Profilhöhe: 25 mm ; Profilbreite: 550 mm ; Profiltyp: offen</t>
  </si>
  <si>
    <t>Fabric type: EP ; Tensile strength: 400 N/mm ; Number of plies: 3 ; Topcover: 3 mm ; Bottomcover: 1½ mm ; Beltwidth: 650 mm ; Profile height: 25 mm ; Profile width: 550 mm ; Profile type: open</t>
  </si>
  <si>
    <t>Carcasse: EP ; Résistance à la traction: 400 N/mm ; Nombre de plis: 3 ; Revêtement supérieur: 3 mm ; Revêtement inférieur: 1½ mm ; Largeur de bande: 650 mm ; Hauteur du profil: 25 mm ; Largeur du profil: 750 mm ; Type de profil: Ouvert</t>
  </si>
  <si>
    <t>EP650PRM400/3-3+1½-C25P550JO</t>
  </si>
  <si>
    <t>22,600</t>
  </si>
  <si>
    <t>EP650SGG250/2-3+0HY</t>
  </si>
  <si>
    <t>EP 250/2-3+0,BB650, Supergrip/glijband</t>
  </si>
  <si>
    <t>Bandweefseltype: EP ; Treksterkte: 250 N/mm ; Aantal inlagen: 2 ; Bovendek: 3 mm ; Onderdek: 0 mm ; Bandbreedte: 650 mm ; Supergrip / Rough Top Zwart</t>
  </si>
  <si>
    <t>Gewebetype: EP ; Zugfestigkeit: 250 N/mm ; Anzahl Einlagen: 2 ; Oberdeck: 3 mm ; Unterdeck: 0 mm ; Gurtbreite: 650 mm ; Supergrip / Rough Top Schwarz</t>
  </si>
  <si>
    <t>Fabric type: EP ; Tensile strength: 250 N/mm ; Number of plies: 2 ; Topcover: 3 mm ; Bottomcover: 0 mm ; Beltwidth: 650 mm ; Supergrip / Rough Top Black</t>
  </si>
  <si>
    <t>Carcasse: EP ; Tension de service: 250 N/mm ; Nombre de plis: 2 ; Revêtement supérieur: 3 mm ; Revêtement inférieur: 0 mm ; Largeur de bande: 650 mm ; Nid d'abeille Noir</t>
  </si>
  <si>
    <t>EP650SGG400/3-3+0HY</t>
  </si>
  <si>
    <t>EP 400/3-3+0-BB650, Supergrip/glijband</t>
  </si>
  <si>
    <t>14,350</t>
  </si>
  <si>
    <t>Bandweefseltype: EP ; Treksterkte: 400 N/mm ; Aantal inlagen: 3 ; Bovendek: 3 mm ; Onderdek: 0 mm ; Bandbreedte: 650 mm ; Supergrip / Rough Top Zwart</t>
  </si>
  <si>
    <t>Gewebetype: EP ; Zugfestigkeit: 400 N/mm ; Anzahl Einlagen: 3 ; Oberdeck: 3 mm ; Unterdeck: 0 mm ; Gurtbreite: 650 mm ; Supergrip / Rough Top Schwarz</t>
  </si>
  <si>
    <t>Fabric type: EP ; Tensile strength: 400 N/mm ; Number of plies: 3 ; Topcover: 3 mm ; Bottomcover: 0 mm ; Beltwidth: 650 mm ; Supergrip / Rough Top Black</t>
  </si>
  <si>
    <t>Carcasse: EP ; Tension de service: 400 N/mm ; Nombre de plis: 3 ; Revêtement supérieur: 3 mm ; Revêtement inférieur: 0 mm ; Largeur de bande: 650 mm ; Nid d'abeille Noir</t>
  </si>
  <si>
    <t>EP650SGR250/2-3+1HY</t>
  </si>
  <si>
    <t>EP 250/2-3+1,BB650, Supergrip zwart</t>
  </si>
  <si>
    <t>20,500</t>
  </si>
  <si>
    <t>13,810</t>
  </si>
  <si>
    <t>Bandweefseltype: EP ; Treksterkte: 250 N/mm ; Aantal inlagen: 2 ; Bovendek: 3 mm ; Onderdek: 1 mm ; Bandbreedte: 650 mm ; Supergrip / Rough Top Zwart</t>
  </si>
  <si>
    <t>Gewebetype: EP ; Zugfestigkeit: 250 N/mm ; Anzahl Einlagen: 2 ; Oberdeck: 3 mm ; Unterdeck: 1 mm ; Gurtbreite: 650 mm ; Supergrip / Rough Top Schwarz</t>
  </si>
  <si>
    <t>Fabric type: EP ; Tensile strength: 250 N/mm ; Number of plies: 2 ; Topcover: 3 mm ; Bottomcover: 1 mm ; Beltwidth: 650 mm ; Supergrip / Rough Top Black</t>
  </si>
  <si>
    <t>Carcasse: EP ; Résistance à la traction: 250 N/mm ; Nombre de plis: 2 ; Revêtement supérieur: 3 mm ; Revêtement inférieur: 1 mm ; Largeur de bande: 650 mm ; Nid d'abeille Noir</t>
  </si>
  <si>
    <t>EP650SGR400/3-3+1HY</t>
  </si>
  <si>
    <t>EP 400/3-3+1,BB650, Supergrip zwart</t>
  </si>
  <si>
    <t>15,400</t>
  </si>
  <si>
    <t>Bandweefseltype: EP ; Treksterkte: 400 N/mm ; Aantal inlagen: 3 ; Bovendek: 3 mm ; Onderdek: 1 mm ; Bandbreedte: 650 mm ; Supergrip / Rough Top Zwart</t>
  </si>
  <si>
    <t>Gewebetype: EP ; Zugfestigkeit: 400 N/mm ; Anzahl Einlagen: 3 ; Oberdeck: 3 mm ; Unterdeck: 1 mm ; Gurtbreite: 650 mm ; Supergrip / Rough Top Schwarz</t>
  </si>
  <si>
    <t>Fabric type: EP ; Tensile strength: 400 N/mm ; Number of plies: 3 ; Topcover: 3 mm ; Bottomcover: 1 mm ; Beltwidth: 650 mm ; Supergrip / Rough Top Black</t>
  </si>
  <si>
    <t>Carcasse: EP ; Résistance à la traction: 400 N/mm ; Nombre de plis: 3 ; Revêtement supérieur: 3 mm ; Revêtement inférieur: 1 mm ; Largeur de bande: 650 mm ; Nid d'abeille Noir</t>
  </si>
  <si>
    <t>EP650SGR500/4-5+2HY</t>
  </si>
  <si>
    <t>EP 500/4-5+2,BB650, Supergrip zwart</t>
  </si>
  <si>
    <t>26,540</t>
  </si>
  <si>
    <t>Gewebetype: EP ; Zugfestigkeit: 400 N/mm ; Anzahl Einlagen: 3 ; Oberdeck: 3 mm ; Unterdeck: 1 mm ; Gurtbreite: 800 mm ; Supergrip / Rough Top Schwarz</t>
  </si>
  <si>
    <t>EP650XXX1000/3-4+2KA</t>
  </si>
  <si>
    <t>EP 1000/3-4+2,BB650</t>
  </si>
  <si>
    <t>17,860</t>
  </si>
  <si>
    <t>EP650XXX1000/5-3+3-ELEVATORSA</t>
  </si>
  <si>
    <t>EP 1000/5-3+3-BB650 ELEVATOR</t>
  </si>
  <si>
    <t>EP650XXX1000/5-6+2-DIN-XKA</t>
  </si>
  <si>
    <t>EP 1000/5-6+2,BB650-DIN-X</t>
  </si>
  <si>
    <t>23,220</t>
  </si>
  <si>
    <t>EP650XXX200/2-2+1HY</t>
  </si>
  <si>
    <t>EP 200/2-2+1,BB650</t>
  </si>
  <si>
    <t>12,350</t>
  </si>
  <si>
    <t>9,210</t>
  </si>
  <si>
    <t>Bandweefseltype: EP ; Treksterkte: 200 N/mm ; Aantal inlagen: 2 ; Bovendek: 2 mm ; Onderdek: 1 mm ; Bandbreedte: 650 mm</t>
  </si>
  <si>
    <t>Gewebetype: EP ; Zugfestigkeit: 200 N/mm ; Anzahl Einlagen: 2 ; Oberdeck: 2 mm ; Unterdeck: 1 mm ; Gurtbreite: 650 mm</t>
  </si>
  <si>
    <t>Fabric type: EP ; Tensile strength: 200 N/mm ; Number of plies: 2 ; Topcover: 2 mm ; Bottomcover: 1 mm ; Beltwidth: 650 mm</t>
  </si>
  <si>
    <t>Carcasse: EP ; Résistance à la traction: 200 N/mm ; Nombre de plis: 2 ; Revêtement supérieur: 2 mm ; Revêtement inférieur: 1 mm ; Largeur de bande: 650 mm</t>
  </si>
  <si>
    <t>EP650XXX200/2-2+1KA</t>
  </si>
  <si>
    <t>EP650XXX200/2-2+1ZZ</t>
  </si>
  <si>
    <t>EP650XXX250/2-3+1½-7.5SH</t>
  </si>
  <si>
    <t>EP 250/2-3+1½,BB650-7.5mm</t>
  </si>
  <si>
    <t>8,120</t>
  </si>
  <si>
    <t>EP650XXX250/2-3+1½-DIN-WSH</t>
  </si>
  <si>
    <t>EP 250/2-3+1½,BB650-DIN-W</t>
  </si>
  <si>
    <t>9,430</t>
  </si>
  <si>
    <t>EP650XXX250/2-3+1HY</t>
  </si>
  <si>
    <t>EP 250/2-3+1,BB650</t>
  </si>
  <si>
    <t>13,860</t>
  </si>
  <si>
    <t>11,183</t>
  </si>
  <si>
    <t>Bandweefseltype: EP ; Treksterkte: 250 N/mm ; Aantal inlagen: 2 ; Bovendek: 3 mm ; Onderdek: 1 mm ; Bandbreedte: 650 mm</t>
  </si>
  <si>
    <t>Gewebetype: EP ; Zugfestigkeit: 250 N/mm ; Anzahl Einlagen: 2 ; Oberdeck: 3 mm ; Unterdeck: 1 mm ; Gurtbreite: 650 mm</t>
  </si>
  <si>
    <t>Fabric type: EP ; Tensile strength: 250 N/mm ; Number of plies: 2 ; Topcover: 3 mm ; Bottomcover: 1 mm ; Beltwidth: 650 mm</t>
  </si>
  <si>
    <t>Carcasse: EP ; Résistance à la traction: 250 N/mm ; Nombre de plis: 2 ; Revêtement supérieur: 3 mm ; Revêtement inférieur: 1 mm ; Largeur de bande: 650 mm</t>
  </si>
  <si>
    <t>EP650XXX250/2-3+1KA</t>
  </si>
  <si>
    <t>EP650XXX250/2-3+1SH</t>
  </si>
  <si>
    <t>9,320</t>
  </si>
  <si>
    <t>EP650XXX250/2-4+2KA</t>
  </si>
  <si>
    <t>EP 250/2-4+2,BB650</t>
  </si>
  <si>
    <t>10,440</t>
  </si>
  <si>
    <t>Bandweefseltype: EP ; Treksterkte: 250 N/mm ; Aantal inlagen: 2 ; Bovendek: 4 mm ; Onderdek: 2 mm ; Bandbreedte: 600 mm</t>
  </si>
  <si>
    <t>Gewebetype: EP ; Zugfestigkeit: 250 N/mm ; Anzahl Einlagen: 2 ; Oberdeck: 4 mm ; Unterdeck: 2 mm ; Gurtbreite: 650 mm</t>
  </si>
  <si>
    <t>Fabric type: EP ; Tensile strength: 250 N/mm ; Number of plies: 2 ; Topcover: 4 mm ; Bottomcover: 2 mm ; Beltwidth: 650 mm</t>
  </si>
  <si>
    <t>Carcasse: EP ; Résistance à la traction: 250 N/mm ; Nombre de plis: 2 ; Revêtement supérieur: 4 mm ; Revêtement inférieur: 2 mm ; Largeur de bande: 650 mm</t>
  </si>
  <si>
    <t>EP650XXX250/2-4+2SH</t>
  </si>
  <si>
    <t>11,346</t>
  </si>
  <si>
    <t>Bandweefseltype: EP ; Treksterkte: 250 N/mm ; Aantal inlagen: 2 ; Bovendek: 4 mm ; Onderdek: 2 mm ; Bandbreedte: 650 mm</t>
  </si>
  <si>
    <t>EP650XXX315/2-4+2-EINDLOOS+CT</t>
  </si>
  <si>
    <t>EP 315/2-4+2,BB650 met golfrand M80 eindloos CTP</t>
  </si>
  <si>
    <t>600,000</t>
  </si>
  <si>
    <t>EP650XXX315/2-4+2-EINDLOOSCT</t>
  </si>
  <si>
    <t>EP 315/2-4+2,BB650  eindloos CTP</t>
  </si>
  <si>
    <t>295,000</t>
  </si>
  <si>
    <t>EP650XXX315/2-4+2JO</t>
  </si>
  <si>
    <t>Bandweefseltype: EP ; Treksterkte: 315 N/mm ; Aantal inlagen: 2 ; Bovendek: 4 mm ; Onderdek: 2 mm ; Bandbreedte: 650 mm</t>
  </si>
  <si>
    <t>Gewebetype: EP ; Zugfestigkeit: 315 N/mm ; Anzahl Einlagen: 2 ; Oberdeck: 4 mm ; Unterdeck: 2 mm ; Gurtbreite: 650 mm</t>
  </si>
  <si>
    <t>Fabric type: EP ; Tensile strength: 315 N/mm ; Number of plies: 2 ; Topcover: 4 mm ; Bottomcover: 2 mm ; Beltwidth: 650 mm</t>
  </si>
  <si>
    <t>Carcasse: EP ; Résistance à la traction: 315 N/mm ; Nombre de plis: 2 ; Revêtement supérieur: 4 mm ; Revêtement inférieur: 2 mm ; Largeur de bande: 650 mm</t>
  </si>
  <si>
    <t>EP650XXX315/2-4+2KA</t>
  </si>
  <si>
    <t>EP 315/2-4+2,BB650</t>
  </si>
  <si>
    <t>37,530</t>
  </si>
  <si>
    <t>11,610</t>
  </si>
  <si>
    <t>EP650XXX315/2-4+2SH</t>
  </si>
  <si>
    <t>EP650XXX400/2-4+2KA</t>
  </si>
  <si>
    <t>EP 400/2-4+2,BB650</t>
  </si>
  <si>
    <t>11,140</t>
  </si>
  <si>
    <t>EP650XXX400/3-3+1½-12MPAKA</t>
  </si>
  <si>
    <t>EP 400/3-3+1½,BB650, 12 mpa</t>
  </si>
  <si>
    <t>10,960</t>
  </si>
  <si>
    <t>EP650XXX400/3-3+1½KA</t>
  </si>
  <si>
    <t>EP 400/3-3+1½,BB650</t>
  </si>
  <si>
    <t>12,420</t>
  </si>
  <si>
    <t>Bandweefseltype: EP ; Treksterkte: 400N/mm ; Aantal inlagen: 3 ; Bovendek: 3 mm ; Onderdek: 1½ mm ; Bandbreedte: 650 mm</t>
  </si>
  <si>
    <t>Gewebetype: EP ; Zugfestigkeit: 400 N/mm ; Anzahl Einlagen: 3 ; Oberdeck: 3 mm ; Unterdeck: 1½ mm ; Gurtbreite: 650 mm</t>
  </si>
  <si>
    <t>Fabric type: EP ; Tensile strength: 400 N/mm ; Number of plies: 3 ; Topcover: 3 mm ; Bottomcover: 1½ mm ; Beltwidth: 650 mm</t>
  </si>
  <si>
    <t>Carcasse: EP ; Résistance à la traction: 400 N/mm ; Nombre de plis: 3 ; Revêtement supérieur: 3 mm ; Revêtement inférieur: 1½ mm ; Largeur de bande: 650 mm</t>
  </si>
  <si>
    <t>EP650XXX400/3-3+1½SH</t>
  </si>
  <si>
    <t>11,160</t>
  </si>
  <si>
    <t>EP650XXX400/3-3+1HY</t>
  </si>
  <si>
    <t>EP 400/3-3+1,BB650</t>
  </si>
  <si>
    <t>16,070</t>
  </si>
  <si>
    <t>EP650XXX400/3-3+1KA</t>
  </si>
  <si>
    <t>10,710</t>
  </si>
  <si>
    <t>EP650XXX400/3-3+2-12MPASH</t>
  </si>
  <si>
    <t>EP 400/3-3+2,BB650, 12 mpa</t>
  </si>
  <si>
    <t>11,030</t>
  </si>
  <si>
    <t>EP650XXX400/3-4+2-16MPASH</t>
  </si>
  <si>
    <t>EP 400/3-4+2,BB650-130 mm³ and 16 MPa</t>
  </si>
  <si>
    <t>EP650XXX400/3-4+2-300SH</t>
  </si>
  <si>
    <t>EP 400/3-4+2,BB650 - 300 mm3</t>
  </si>
  <si>
    <t>11,690</t>
  </si>
  <si>
    <t>EP650XXX400/3-4+2CO</t>
  </si>
  <si>
    <t>EP 400/3-4+2,BB650</t>
  </si>
  <si>
    <t>14,420</t>
  </si>
  <si>
    <t>Bandweefseltype: EP ; Treksterkte: 400N/mm ; Aantal inlagen: 3 ; Bovendek: 4 mm ; Onderdek: 2 mm ; Bandbreedte: 650 mm</t>
  </si>
  <si>
    <t>Gewebetype: EP ; Zugfestigkeit: 400 N/mm ; Anzahl Einlagen: 3 ; Oberdeck: 4 mm ; Unterdeck: 2 mm ; Gurtbreite: 650 mm</t>
  </si>
  <si>
    <t>Fabric type: EP ; Tensile strength: 400 N/mm ; Number of plies: 3 ; Topcover: 4 mm ; Bottomcover: 2 mm ; Beltwidth: 650 mm</t>
  </si>
  <si>
    <t>Carcasse: EP ; Résistance à la traction: 400 N/mm ; Nombre de plis: 3 ; Revêtement supérieur: 4 mm ; Revêtement inférieur: 2 mm ; Largeur de bande: 650 mm</t>
  </si>
  <si>
    <t>EP650XXX400/3-4+2-DIN-WSH</t>
  </si>
  <si>
    <t>EP 400/3-4+2,BB650-DIN-W</t>
  </si>
  <si>
    <t>13,720</t>
  </si>
  <si>
    <t>EP650XXX400/3-4+2FF</t>
  </si>
  <si>
    <t>13,760</t>
  </si>
  <si>
    <t>EP650XXX400/3-4+2HU</t>
  </si>
  <si>
    <t>EP650XXX400/3-4+2HY</t>
  </si>
  <si>
    <t>15,720</t>
  </si>
  <si>
    <t>EP650XXX400/3-4+2JO</t>
  </si>
  <si>
    <t>13,990</t>
  </si>
  <si>
    <t>EP650XXX400/3-4+2KA</t>
  </si>
  <si>
    <t>14,940</t>
  </si>
  <si>
    <t>EP650XXX400/3-4+2LS</t>
  </si>
  <si>
    <t>15,860</t>
  </si>
  <si>
    <t>EP650XXX400/3-4+2PH</t>
  </si>
  <si>
    <t>14,890</t>
  </si>
  <si>
    <t>EP650XXX400/3-4+2QH</t>
  </si>
  <si>
    <t>14,790</t>
  </si>
  <si>
    <t>EP650XXX400/3-4+2RP</t>
  </si>
  <si>
    <t>EP650XXX400/3-4+2SA</t>
  </si>
  <si>
    <t>13,770</t>
  </si>
  <si>
    <t>EP650XXX400/3-4+2SH</t>
  </si>
  <si>
    <t>13,590</t>
  </si>
  <si>
    <t>EP650XXX400/3-4+2YO</t>
  </si>
  <si>
    <t>6,700</t>
  </si>
  <si>
    <t>EP650XXX400/3-4+2ZZ</t>
  </si>
  <si>
    <t>EP650XXX400/3-5+2-DIN-XKA</t>
  </si>
  <si>
    <t>EP 400/3-4+2,BB650-DIN-X</t>
  </si>
  <si>
    <t>14,650</t>
  </si>
  <si>
    <t>EP650XXX400/3-5+2KA</t>
  </si>
  <si>
    <t>EP 400/3-5+2,BB650</t>
  </si>
  <si>
    <t>EP650XXX400/3-6+2-DIN-WKA</t>
  </si>
  <si>
    <t>EP 400/3-6+2,BB650-DIN-W</t>
  </si>
  <si>
    <t>16,300</t>
  </si>
  <si>
    <t>EP650XXX400/3-6+2-DIN-WSH</t>
  </si>
  <si>
    <t>EP650XXX400/3-6+2FF</t>
  </si>
  <si>
    <t>EP 400/3-6+2,BB650</t>
  </si>
  <si>
    <t>17,520</t>
  </si>
  <si>
    <t>Bandweefseltype: EP ; Treksterkte: 400N/mm ; Aantal inlagen: 3 ; Bovendek: 6 mm ; Onderdek: 2 mm ; Bandbreedte: 650 mm</t>
  </si>
  <si>
    <t>Gewebetype: EP ; Zugfestigkeit: 400 N/mm ; Anzahl Einlagen: 3 ; Oberdeck: 6 mm ; Unterdeck: 2 mm ; Gurtbreite: 650 mm</t>
  </si>
  <si>
    <t>Fabric type: EP ; Tensile strength: 400 N/mm ; Number of plies: 3 ; Topcover: 6 mm ; Bottomcover: 2 mm ; Beltwidth: 650 mm</t>
  </si>
  <si>
    <t>Carcasse: EP ; Résistance à la traction: 400 N/mm ; Nombre de plis: 3 ; Revêtement supérieur: 6 mm ; Revêtement inférieur: 2 mm ; Largeur de bande: 650 mm</t>
  </si>
  <si>
    <t>EP650XXX400/3-6+2HY</t>
  </si>
  <si>
    <t>18,410</t>
  </si>
  <si>
    <t>EP650XXX400/3-6+2JO</t>
  </si>
  <si>
    <t>16,450</t>
  </si>
  <si>
    <t>EP650XXX400/3-6+2KA</t>
  </si>
  <si>
    <t>15,840</t>
  </si>
  <si>
    <t>EP650XXX400/3-6+2RP</t>
  </si>
  <si>
    <t>EP650XXX400/3-6+2SA</t>
  </si>
  <si>
    <t>16,390</t>
  </si>
  <si>
    <t>EP650XXX400/3-6+2SH</t>
  </si>
  <si>
    <t>16,430</t>
  </si>
  <si>
    <t>EP650XXX400/3-6+2YO</t>
  </si>
  <si>
    <t>EP650XXX400/3-6+2ZZ</t>
  </si>
  <si>
    <t>14,100</t>
  </si>
  <si>
    <t>EP650XXX400/3-8+2KA</t>
  </si>
  <si>
    <t>EP 400/3-8+2,BB650</t>
  </si>
  <si>
    <t>19,580</t>
  </si>
  <si>
    <t>EP650XXX500/3-5+1½JO</t>
  </si>
  <si>
    <t>EP 500/3-5+1½,BB650</t>
  </si>
  <si>
    <t>Bandweefseltype: EP ; Treksterkte: 500N/mm ; Aantal inlagen: 3 ; Bovendek: 5 mm ; Onderdek: 1½ mm ; Bandbreedte: 650 mm</t>
  </si>
  <si>
    <t>Gewebetype: EP ; Zugfestigkeit: 500 N/mm ; Anzahl Einlagen: 3 ; Oberdeck: 5 mm ; Unterdeck: 1½ mm ; Gurtbreite: 650 mm</t>
  </si>
  <si>
    <t>Fabric type: EP ; Tensile strength: 500 N/mm ; Number of plies: 3 ; Topcover: 5 mm ; Bottomcover: 1½ mm ; Beltwidth: 650 mm</t>
  </si>
  <si>
    <t>Carcasse: EP ; Résistance à la traction: 500 N/mm ; Nombre de plis: 3 ; Revêtement supérieur: 5 mm ; Revêtement inférieur: 1½ mm ; Largeur de bande: 650 mm</t>
  </si>
  <si>
    <t>EP650XXX500/3-5+1½KA</t>
  </si>
  <si>
    <t>13,330</t>
  </si>
  <si>
    <t>EP650XXX500/3-5+2JO</t>
  </si>
  <si>
    <t>EP 500/3-5+2,BB650</t>
  </si>
  <si>
    <t>15,510</t>
  </si>
  <si>
    <t>EP650XXX500/3-5+2KA</t>
  </si>
  <si>
    <t>EP650XXX500/3-6+2FF</t>
  </si>
  <si>
    <t>EP 500/3-6+2,BB650</t>
  </si>
  <si>
    <t>16,930</t>
  </si>
  <si>
    <t>Bandweefseltype: EP ; Treksterkte: 500N/mm ; Aantal inlagen: 3 ; Bovendek: 6 mm ; Onderdek: 2 mm ; Bandbreedte: 650 mm</t>
  </si>
  <si>
    <t>Gewebetype: EP ; Zugfestigkeit: 500 N/mm ; Anzahl Einlagen: 3 ; Oberdeck: 6 mm ; Unterdeck: 2 mm ; Gurtbreite: 650 mm</t>
  </si>
  <si>
    <t>Fabric type: EP ; Tensile strength: 500 N/mm ; Number of plies: 3 ; Topcover: 6 mm ; Bottomcover: 2 mm ; Beltwidth: 650 mm</t>
  </si>
  <si>
    <t>Carcasse: EP ; Résistance à la traction: 500 N/mm ; Nombre de plis: 3 ; Revêtement supérieur: 6 mm ; Revêtement inférieur: 2 mm ; Largeur de bande: 650 mm</t>
  </si>
  <si>
    <t>EP650XXX500/3-6+2JO</t>
  </si>
  <si>
    <t>17,410</t>
  </si>
  <si>
    <t>EP650XXX500/3-6+2KA</t>
  </si>
  <si>
    <t>16,960</t>
  </si>
  <si>
    <t>EP650XXX500/3-6+2SH</t>
  </si>
  <si>
    <t>EP650XXX500/4-4+2KA</t>
  </si>
  <si>
    <t>EP 500/4-4+2,BB650</t>
  </si>
  <si>
    <t>16,030</t>
  </si>
  <si>
    <t>Bandweefseltype: EP ; Treksterkte: 500N/mm ; Aantal inlagen: 4 ; Bovendek: 4 mm ; Onderdek: 2 mm ; Bandbreedte: 650 mm</t>
  </si>
  <si>
    <t>Gewebetype: EP ; Zugfestigkeit: 500 N/mm ; Anzahl Einlagen: 4 ; Oberdeck: 4 mm ; Unterdeck: 2 mm ; Gurtbreite: 650 mm</t>
  </si>
  <si>
    <t>Fabric type: EP ; Tensile strength: 500 N/mm ; Number of plies: 4 ; Topcover: 4 mm ; Bottomcover: 2 mm ; Beltwidth: 650 mm</t>
  </si>
  <si>
    <t>Carcasse: EP ; Résistance à la traction: 500 N/mm ; Nombre de plis: 4 ; Revêtement supérieur: 4 mm ; Revêtement inférieur: 2 mm ; Largeur de bande: 650 mm</t>
  </si>
  <si>
    <t>EP650XXX500/4-4+2SH</t>
  </si>
  <si>
    <t>14,590</t>
  </si>
  <si>
    <t>EP650XXX500/4-5+2CC</t>
  </si>
  <si>
    <t>EP 500/4-5+2,BB650</t>
  </si>
  <si>
    <t>17,280</t>
  </si>
  <si>
    <t>Bandweefseltype: EP ; Treksterkte: 500N/mm ; Aantal inlagen: 4 ; Bovendek: 5 mm ; Onderdek: 2 mm ; Bandbreedte: 650 mm</t>
  </si>
  <si>
    <t>Gewebetype: EP ; Zugfestigkeit: 500 N/mm ; Anzahl Einlagen: 4 ; Oberdeck: 5 mm ; Unterdeck: 2 mm ; Gurtbreite: 650 mm</t>
  </si>
  <si>
    <t>Fabric type: EP ; Tensile strength: 500 N/mm ; Number of plies: 4 ; Topcover: 5 mm ; Bottomcover: 2 mm ; Beltwidth: 650 mm</t>
  </si>
  <si>
    <t>Carcasse: EP ; Résistance à la traction: 500 N/mm ; Nombre de plis: 4 ; Revêtement supérieur: 5 mm ; Revêtement inférieur: 2 mm ; Largeur de bande: 650 mm</t>
  </si>
  <si>
    <t>EP650XXX500/4-5+2FF</t>
  </si>
  <si>
    <t>17,730</t>
  </si>
  <si>
    <t>EP650XXX500/4-5+2JO</t>
  </si>
  <si>
    <t>18,610</t>
  </si>
  <si>
    <t>EP650XXX500/4-5+2KA</t>
  </si>
  <si>
    <t>17,930</t>
  </si>
  <si>
    <t>EP650XXX500/4-5+2QH</t>
  </si>
  <si>
    <t>20,710</t>
  </si>
  <si>
    <t>EP650XXX500/4-5+2SH</t>
  </si>
  <si>
    <t>EP650XXX630/3-3+2FF</t>
  </si>
  <si>
    <t>EP 630/3-3+2,BB650</t>
  </si>
  <si>
    <t>15,690</t>
  </si>
  <si>
    <t>EP650XXX630/3-3+2KA</t>
  </si>
  <si>
    <t>14,730</t>
  </si>
  <si>
    <t>EP650XXX630/3-3+2SH</t>
  </si>
  <si>
    <t>15,110</t>
  </si>
  <si>
    <t>EP650XXX630/3-6+2FF</t>
  </si>
  <si>
    <t>EP 630/3-6+2,BB650</t>
  </si>
  <si>
    <t>Bandweefseltype: EP ; Treksterkte: 630N/mm ; Aantal inlagen: 3 ; Bovendek: 6 mm ; Onderdek: 2 mm ; Bandbreedte: 650 mm</t>
  </si>
  <si>
    <t>Gewebetype: EP ; Zugfestigkeit: 630 N/mm ; Anzahl Einlagen: 3 ; Oberdeck: 6 mm ; Unterdeck: 2 mm ; Gurtbreite: 650 mm</t>
  </si>
  <si>
    <t>Fabric type: EP ; Tensile strength: 630 N/mm ; Number of plies: 3 ; Topcover: 6 mm ; Bottomcover: 2 mm ; Beltwidth: 650 mm</t>
  </si>
  <si>
    <t>Carcasse: EP ; Résistance à la traction: 630 N/mm ; Nombre de plis: 3 ; Revêtement supérieur: 6 mm ; Revêtement inférieur: 2 mm ; Largeur de bande: 650 mm</t>
  </si>
  <si>
    <t>EP650XXX630/3-6+2KA</t>
  </si>
  <si>
    <t>17,940</t>
  </si>
  <si>
    <t>EP650XXX630/3-6+3KA</t>
  </si>
  <si>
    <t>EP 630/3-6+3,BB650</t>
  </si>
  <si>
    <t>17,400</t>
  </si>
  <si>
    <t>EP650XXX630/4-4+2-12MPASH</t>
  </si>
  <si>
    <t>EP 630/4-4+2,BB650, 12 mpa</t>
  </si>
  <si>
    <t>14,500</t>
  </si>
  <si>
    <t>EP650XXX630/4-6+2FF</t>
  </si>
  <si>
    <t>EP 630/4-6+2,BB650</t>
  </si>
  <si>
    <t>Bandweefseltype: EP ; Treksterkte: 630N/mm ; Aantal inlagen: 4 ; Bovendek: 6 mm ; Onderdek: 2 mm ; Bandbreedte: 650 mm</t>
  </si>
  <si>
    <t>Gewebetype: EP ; Zugfestigkeit: 630 N/mm ; Anzahl Einlagen: 4 ; Oberdeck: 6 mm ; Unterdeck: 2 mm ; Gurtbreite: 650 mm</t>
  </si>
  <si>
    <t>Fabric type: EP ; Tensile strength: 630 N/mm ; Number of plies: 4 ; Topcover: 6 mm ; Bottomcover: 2 mm ; Beltwidth: 650 mm</t>
  </si>
  <si>
    <t>Carcasse: EP ; Résistance à la traction: 630 N/mm ; Nombre de plis: 4 ; Revêtement supérieur: 6 mm ; Revêtement inférieur: 2 mm ; Largeur de bande: 650 mm</t>
  </si>
  <si>
    <t>EP650XXX630/4-6+2JO</t>
  </si>
  <si>
    <t>EP650XXX630/4-6+2KA</t>
  </si>
  <si>
    <t>17,240</t>
  </si>
  <si>
    <t>EP650XXX630/4-6+2RP</t>
  </si>
  <si>
    <t>23,890</t>
  </si>
  <si>
    <t>EP650XXX630/4-6+2SH</t>
  </si>
  <si>
    <t>EP650XXX630/4-8+3KA</t>
  </si>
  <si>
    <t>EP 630/4-8+3,BB650</t>
  </si>
  <si>
    <t>Bandweefseltype: EP ; Treksterkte: 630N/mm ; Aantal inlagen: 4 ; Bovendek: 8 mm ; Onderdek: 3 mm ; Bandbreedte: 650 mm</t>
  </si>
  <si>
    <t>Gewebetype: EP ; Zugfestigkeit: 630 N/mm ; Anzahl Einlagen: 4 ; Oberdeck: 8 mm ; Unterdeck: 3 mm ; Gurtbreite: 650 mm</t>
  </si>
  <si>
    <t>Fabric type: EP ; Tensile strength: 630 N/mm ; Number of plies: 4 ; Topcover: 8 mm ; Bottomcover: 3 mm ; Beltwidth: 650 mm</t>
  </si>
  <si>
    <t>Carcasse: EP ; Résistance à la traction: 630 N/mm ; Nombre de plis: 4 ; Revêtement supérieur: 8 mm ; Revêtement inférieur: 3 mm ; Largeur de bande: 650 mm</t>
  </si>
  <si>
    <t>EP650XXX800/4-2+2-ELEVATORSA</t>
  </si>
  <si>
    <t>EP 800/4-2+2-BB650 ELEVATOR</t>
  </si>
  <si>
    <t>EP660OVX800/4-2+2-ELEVATORSA</t>
  </si>
  <si>
    <t>EP 800/4-2+2-BB660 ELEVATOR-OV</t>
  </si>
  <si>
    <t>EP670OVX630/4-2+2-ELEVATORSA</t>
  </si>
  <si>
    <t>EP 630/4-2+2-BB670 ELEVATOR-OV</t>
  </si>
  <si>
    <t>EP680OVG400/3-3+0ZZ</t>
  </si>
  <si>
    <t>EP 400/3-3+0,BB680-GLY-O+V</t>
  </si>
  <si>
    <t>11,800</t>
  </si>
  <si>
    <t>EP680XXX1000/5-3+3-ELEVATORSA</t>
  </si>
  <si>
    <t>EP 1000/5-3+3-BB680 ELEVATOR</t>
  </si>
  <si>
    <t>26,370</t>
  </si>
  <si>
    <t>EP690XXX630/4-2+2-ELEVATORSA</t>
  </si>
  <si>
    <t>EP 630/4-2+2-BB690 ELEVATOR</t>
  </si>
  <si>
    <t>EP700GLY250/2-2+0JO</t>
  </si>
  <si>
    <t>EP 250/2-2+0,BB700-GLY</t>
  </si>
  <si>
    <t>27,600</t>
  </si>
  <si>
    <t>Bandweefseltype: EP ; Treksterkte: 250 N/mm ; Aantal inlagen: 2 ; Bovendek: 2 mm ; Onderdek: 0 mm ; Bandbreedte: 700 mm</t>
  </si>
  <si>
    <t>Gewebetype: EP ; Zugfestigkeit: 250 N/mm ; Anzahl Einlagen: 2 ; Oberdeck: 2 mm ; Unterdeck: 0 mm ; Gurtbreite: 700 mm</t>
  </si>
  <si>
    <t>Fabric type: EP ; Tensile strength: 250 N/mm ; Number of plies: 2 ; Topcover: 2 mm ; Bottomcover: 0 mm ; Beltwidth: 700 mm</t>
  </si>
  <si>
    <t>Carcasse: EP ; Tension de service: 250 N/mm ; Nombre de plis: 2 ; Revêtement supérieur: 2 mm ; Revêtement inférieur: 0 mm ; Largeur de bande: 700 mm</t>
  </si>
  <si>
    <t>EP700OVX630/4-2+2-ELEVATORSA</t>
  </si>
  <si>
    <t>EP630/4-2+2-BB 700 ELEVATOR-OV</t>
  </si>
  <si>
    <t>12079, Probelt Global Limited</t>
  </si>
  <si>
    <t>21,010</t>
  </si>
  <si>
    <t>Bandweefseltype: EP ; Treksterkte: 630 N/mm ; Aantal inlagen: 4 ; Bovendek: 2 mm ; Onderdek: 2 mm ; Bandbreedte: 700 mm ; Olie- en vetbestendige Kwaliteit ; Elevator</t>
  </si>
  <si>
    <t>Gewebetype: EP ; Zugfestigkeit: 630 N/mm ; Anzahl Einlagen: 4 ; Oberdeck: 2 mm ; Unterdeck: 2 mm ; Gurtbreite: 700 mm ; Öl und Fettbeständige Qualität ; Elevator</t>
  </si>
  <si>
    <t>Fabric type: EP ; Tensile strength: 630 N/mm ; Number of plies: 4 ; Topcover: 2 mm ; Bottomcover: 2 mm ; Beltwidth: 700 mm ; Oil and Grease Resistant Quality ; Elevator</t>
  </si>
  <si>
    <t xml:space="preserve">Carcasse: EP ; Tension de service: 800 N/mm ; Nombre de plis: 4 ; Revêtement supérieur: 2 mm ; Revêtement inférieur: 2 mm ; Largeur de bande: 700 mm ; Qualité résistante à l’huile et graisse ; Sangle Elévatrice
</t>
  </si>
  <si>
    <t>EP700OVX800/4-2+2-ELEVATORSA</t>
  </si>
  <si>
    <t>EP 800/4-2+2-BB 700 ELEVATOR-OV</t>
  </si>
  <si>
    <t>22,420</t>
  </si>
  <si>
    <t>Bandweefseltype: EP ; Treksterkte: 800 N/mm ; Aantal inlagen: 4 ; Bovendek: 2 mm ; Onderdek: 2 mm ; Bandbreedte: 700 mm ; Olie- en vetbestendige Kwaliteit ; Elevator</t>
  </si>
  <si>
    <t>Gewebetype: EP ; Zugfestigkeit: 800 N/mm ; Anzahl Einlagen: 4 ; Oberdeck: 2 mm ; Unterdeck: 2 mm ; Gurtbreite: 700 mm ; Öl und Fettbeständige Qualität ; Elevator</t>
  </si>
  <si>
    <t>Fabric type: EP ; Tensile strength: 800 N/mm ; Number of plies: 4 ; Topcover: 2 mm ; Bottomcover: 2 mm ; Beltwidth: 700 mm ; Oil and Grease Resistant Quality ; Elevator</t>
  </si>
  <si>
    <t>EP700PRG400/3-3+2-MULTIVHY</t>
  </si>
  <si>
    <t>EP 400/3-3+2,BB700-Multi V profiel 6 mm O&amp;V</t>
  </si>
  <si>
    <t>28,670</t>
  </si>
  <si>
    <t>Bandweefseltype: EP ; Treksterkte: 400 N/mm ; Aantal inlagen: 3 ; Bovendek: 3 mm ; Onderdek: 2 mm ; Bandbreedte: 700 mm ; Profiel hoogte: 6 mm ; Profiel breedte: Volledige bandbreedte ; Type: V6 ; Olie- en vetbestendige Kwaliteit</t>
  </si>
  <si>
    <t>Gewebetype: EP ; Zugfestigkeit: 400 N/mm ; Anzahl Einlagen: 3 ; Oberdeck: 3 mm ; Unterdeck: 2 mm ; Gurtbreite: 700 mm ; Profilhöhe: 6 mm ; Profilbreite: Komplette Gurtbreite ; Profiltyp: V6 ; Öl und Fettbeständige Qualität</t>
  </si>
  <si>
    <t>Fabric type: EP ; Tensile strength: 400 N/mm ; Number of plies: 3 ; Topcover: 3 mm ; Bottomcover: 2 mm ; Beltwidth: 700 mm ; Profile height: 6 mm ; Profile width: Full belt width ; Profile type: V6 ; Oil and Grease Resistant Quality</t>
  </si>
  <si>
    <t>Carcasse: EP ; Résistance à la traction: 400 N/mm ; Nombre de plis: 3 ; Revêtement supérieur: 3 mm ; Revêtement inférieur: 2 mm ; Largeur de bande: 700 mm ; Hauteur du profil: 6 mm ; Largeur du profil: Sur toute la largeur ; Type de profil: V6 ; Qualité résistant aux huiles et graisses</t>
  </si>
  <si>
    <t>EP700PRG400/3-3+2-MULTIVSH</t>
  </si>
  <si>
    <t>22,090</t>
  </si>
  <si>
    <t>EP700PRL250/2-3+1-L63-TT</t>
  </si>
  <si>
    <t>EP 250/2-3+1,BB700-profiel L63</t>
  </si>
  <si>
    <t>46,350</t>
  </si>
  <si>
    <t>Bandweefseltype: EP ; Treksterkte: 250 N/mm ; Aantal inlagen: 2 ; Bovendek: 3 mm ; Onderdek:  mm 1 ; Bandbreedte: 700 mm ; Profiel hoogte: 17 mm ; Profiel breedte: 630 mm ; Profiel type: open Y</t>
  </si>
  <si>
    <t>Gewebetype: EP ; Zugfestigkeit: 250 N/mm ; Anzahl Einlagen: 2 ; Oberdeck: 3 mm ; Unterdeck: 1 mm ; Gurtbreite: 700 mm ; Profilhöhe: 17 mm ; Profilbreite: 630 mm ; Profiltyp: offen Y</t>
  </si>
  <si>
    <t>Fabric type: EP ; Tensile strength: 250 N/mm ; Number of plies: 2 ; Topcover: 3 mm ; Bottomcover: 1 mm ; Beltwidth: 700 mm ; Profile height: 17 mm ; Profile width: 630 mm ; Profile type: open Y</t>
  </si>
  <si>
    <t>Carcasse: EP ; Résistance à la traction: 250 N/mm ; Nombre de plis: 2 ; Revêtement supérieur: 3 mm ; Revêtement inférieur: 1 mm ; Largeur de bande: 700 mm ; Hauteur du profil: 17 mm ; Largeur du profil: 630 mm ; Type de profil: Y Ouvert</t>
  </si>
  <si>
    <t>EP700PRL400/3-3+2-MULTIVSH</t>
  </si>
  <si>
    <t>EP 400/3-3+2,BB700-Multi V profiel 6 mm</t>
  </si>
  <si>
    <t>Bandweefseltype: EP ; Treksterkte: 400 N/mm ; Aantal inlagen: 3 ; Bovendek: 3 mm ; Onderdek: 2 mm ; Bandbreedte: 700 mm ; Profiel hoogte: 6 mm ; Profiel breedte: Volledige bandbreedte ; Type: V6</t>
  </si>
  <si>
    <t>Gewebetype: EP ; Zugfestigkeit: 400 N/mm ; Anzahl Einlagen: 3 ; Oberdeck: 3 mm ; Unterdeck: 2 mm ; Gurtbreite: 700 mm ; Profilhöhe: 6 mm ; Profilbreite: Komplette Gurtbreite ; Profiltyp: V6</t>
  </si>
  <si>
    <t>Fabric type: EP ; Tensile strength: 400 N/mm ; Number of plies: 3 ; Topcover: 3 mm ; Bottomcover: 2 mm ; Beltwidth: 700 mm ; Profile height: 6 mm ; Profile width: Full belt width ; Profile type: V6</t>
  </si>
  <si>
    <t>Carcasse: EP ; Résistance à la traction: 400 N/mm ; Nombre de plis: 3 ; Revêtement supérieur: 3 mm ; Revêtement inférieur: 2 mm ; Largeur de bande: 700 mm ; Hauteur du profil: 6 mm ; Largeur du profil: Sur toute la largeur ; Type de profil: V6</t>
  </si>
  <si>
    <t>EP700SGG250/2-3+0HY</t>
  </si>
  <si>
    <t>EP 250/2-3+0,BB700, Supergrip/glijband</t>
  </si>
  <si>
    <t>11,910</t>
  </si>
  <si>
    <t>Bandweefseltype: EP ; Treksterkte: 250 N/mm ; Aantal inlagen: 2 ; Bovendek: 3 mm ; Onderdek: 0 mm ; Bandbreedte: 700 mm ; Supergrip / Rough Top Zwart</t>
  </si>
  <si>
    <t>Gewebetype: EP ; Zugfestigkeit: 250 N/mm ; Anzahl Einlagen: 2 ; Oberdeck: 3 mm ; Unterdeck: 0 mm ; Gurtbreite: 700 mm ; Supergrip / Rough Top Schwarz</t>
  </si>
  <si>
    <t>Fabric type: EP ; Tensile strength: 250 N/mm ; Number of plies: 2 ; Topcover: 3 mm ; Bottomcover: 0 mm ; Beltwidth: 700 mm ; Supergrip / Rough Top Black</t>
  </si>
  <si>
    <t>Carcasse: EP ; Tension de service: 250 N/mm ; Nombre de plis: 2 ; Revêtement supérieur: 3 mm ; Revêtement inférieur: 0 mm ; Largeur de bande: 700 mm ; Nid d'abeille Noir</t>
  </si>
  <si>
    <t>EP700XXX400/3-4+2JO</t>
  </si>
  <si>
    <t>EP 400/3-4+2,BB700</t>
  </si>
  <si>
    <t>14,840</t>
  </si>
  <si>
    <t>Bandweefseltype: EP ; Treksterkte: 400N/mm ; Aantal inlagen: 3 ; Bovendek: 4 mm ; Onderdek: 2 mm ; Bandbreedte: 700 mm</t>
  </si>
  <si>
    <t>Gewebetype: EP ; Zugfestigkeit: 400 N/mm ; Anzahl Einlagen: 3 ; Oberdeck: 4 mm ; Unterdeck: 2 mm ; Gurtbreite: 700 mm</t>
  </si>
  <si>
    <t>Fabric type: EP ; Tensile strength: 400 N/mm ; Number of plies: 3 ; Topcover: 4 mm ; Bottomcover: 2 mm ; Beltwidth: 700 mm</t>
  </si>
  <si>
    <t>Carcasse: EP ; Résistance à la traction: 400 N/mm ; Nombre de plis: 3 ; Revêtement supérieur: 4 mm ; Revêtement inférieur: 2 mm ; Largeur de bande: 700 mm</t>
  </si>
  <si>
    <t>EP700XXX400/3-4+2KA</t>
  </si>
  <si>
    <t>13,060</t>
  </si>
  <si>
    <t>EP700XXX400/3-4+2SH</t>
  </si>
  <si>
    <t>14,640</t>
  </si>
  <si>
    <t>EP700XXX630/4-2+2-ELEVATORSA</t>
  </si>
  <si>
    <t>EP 630/4-2+2-BB700 ELEVATOR</t>
  </si>
  <si>
    <t>Bandweefseltype: EP ; Treksterkte: 630 N/mm ; Aantal inlagen: 4 ; Bovendek: 2 mm ; Onderdek: 2 mm ; Bandbreedte: 700 mm ; Elevator</t>
  </si>
  <si>
    <t>Gewebetype: EP ; Zugfestigkeit: 630 N/mm ; Anzahl Einlagen: 4 ; Oberdeck: 2 mm ; Unterdeck: 2 mm ; Gurtbreite: 700 mm ; Elevator</t>
  </si>
  <si>
    <t>Fabric type: EP ; Tensile strength: 630 N/mm ; Number of plies: 4 ; Topcover: 2 mm ; Bottomcover: 2 mm ; Beltwidth: 700 mm ; Elevator</t>
  </si>
  <si>
    <t xml:space="preserve">Carcasse: EP ; Tension de service: 630 N/mm ; Nombre de plis: 4 ; Revêtement supérieur: 2 mm ; Revêtement inférieur: 2 mm ; Largeur de bande: 700 mm ;  Sangle Elévatrice
</t>
  </si>
  <si>
    <t>EP700XXX800/4-2+2-ELEVATORSA</t>
  </si>
  <si>
    <t>EP 800/4-2+2-BB700 ELEVATOR</t>
  </si>
  <si>
    <t>21,049</t>
  </si>
  <si>
    <t>Bandweefseltype: EP ; Treksterkte: 800 N/mm ; Aantal inlagen: 4 ; Bovendek: 2 mm ; Onderdek: 2 mm ; Bandbreedte: 700 mm ; Elevator</t>
  </si>
  <si>
    <t>Gewebetype: EP ; Zugfestigkeit: 800 N/mm ; Anzahl Einlagen: 4 ; Oberdeck: 2 mm ; Unterdeck: 2 mm ; Gurtbreite: 700 mm ; Elevator</t>
  </si>
  <si>
    <t>Fabric type: EP ; Tensile strength: 800 N/mm ; Number of plies: 4 ; Topcover: 2 mm ; Bottomcover: 2 mm ; Beltwidth: 700 mm ; Elevator</t>
  </si>
  <si>
    <t xml:space="preserve">Carcasse: EP ; Tension de service: 800 N/mm ; Nombre de plis: 4 ; Revêtement supérieur: 2 mm ; Revêtement inférieur: 2 mm ; Largeur de bande: 700 mm ;  Sangle Elévatrice
</t>
  </si>
  <si>
    <t>EP720XXX1000/5-3+3-ELEVATORSA</t>
  </si>
  <si>
    <t>EP 1000/5-3+3-BB720 ELEVATOR</t>
  </si>
  <si>
    <t>27,920</t>
  </si>
  <si>
    <t>EP720XXX630/4-2+2-ELEVATORSA</t>
  </si>
  <si>
    <t>EP 630/4-2+2-BB720 ELEVATOR</t>
  </si>
  <si>
    <t>EP740XXX800/4-2+2-ELEVATORSA</t>
  </si>
  <si>
    <t>EP 800/4-2+2-BB740 ELEVATOR</t>
  </si>
  <si>
    <t>22,260</t>
  </si>
  <si>
    <t>EP750OVX250/2-3+1JO</t>
  </si>
  <si>
    <t>EP 250/2-3+1,BB750-O+V</t>
  </si>
  <si>
    <t>17,090</t>
  </si>
  <si>
    <t>Bandweefseltype: EP ; Treksterkte: 250 N/mm ; Aantal inlagen: 2 ; Bovendek: 3 mm ; Onderdek: 1 mm ; Bandbreedte: 750 mm ; Olie- en vetbestendige Kwaliteit</t>
  </si>
  <si>
    <t>Gewebetype: EP ; Zugfestigkeit: 250 N/mm ; Anzahl Einlagen: 2 ; Oberdeck: 3 mm ; Unterdeck: 1 mm ; Gurtbreite: 750 mm ; Öl und Fettbeständige Qualität</t>
  </si>
  <si>
    <t>Fabric type: EP ; Tensile strength: 250 N/mm ; Number of plies: 2 ; Topcover: 3 mm ; Bottomcover: 1 mm ; Beltwidth: 750 mm ; Oil and Grease Resistant Quality</t>
  </si>
  <si>
    <t>EP750OVX630/4-2+2-ELEVATORSA</t>
  </si>
  <si>
    <t>EP 630/4-2+2-BB750 ELEVATOR-OV</t>
  </si>
  <si>
    <t>EP750OVX800/4-2+2-ELEVATORSA</t>
  </si>
  <si>
    <t>EP 800/4-2+2-BB750 ELEVATOR-OV</t>
  </si>
  <si>
    <t>19,780</t>
  </si>
  <si>
    <t>EP750PRG400/3-3+2-MULTIVHY</t>
  </si>
  <si>
    <t>EP 400/3-3+2,BB750-Multi V profiel 6 mm O&amp;V</t>
  </si>
  <si>
    <t>30,720</t>
  </si>
  <si>
    <t>EP750PRG400/3-3+2-MULTIVSH</t>
  </si>
  <si>
    <t>23,660</t>
  </si>
  <si>
    <t>EP750PRL250/2-3+2-MULTIVSH</t>
  </si>
  <si>
    <t>EP 250/2-3+2,BB750-Multi V profiel 6 mm</t>
  </si>
  <si>
    <t>17,330</t>
  </si>
  <si>
    <t>EP750XXX1000/5-3+3-ELEVATORSA</t>
  </si>
  <si>
    <t>EP 1000/5-3+3-BB750 ELEVATOR</t>
  </si>
  <si>
    <t>EP750XXX250/2-3+1HY</t>
  </si>
  <si>
    <t>EP 250/2-3+1,BB750</t>
  </si>
  <si>
    <t>Bandweefseltype: EP ; Treksterkte: 250 N/mm ; Aantal inlagen: 2 ; Bovendek: 3 mm ; Onderdek: 1 mm ; Bandbreedte: 750 mm</t>
  </si>
  <si>
    <t>Gewebetype: EP ; Zugfestigkeit: 250 N/mm ; Anzahl Einlagen: 2 ; Oberdeck: 3 mm ; Unterdeck: 1 mm ; Gurtbreite: 750 mm</t>
  </si>
  <si>
    <t>Fabric type: EP ; Tensile strength: 250 N/mm ; Number of plies: 2 ; Topcover: 3 mm ; Bottomcover: 1 mm ; Beltwidth: 750 mm</t>
  </si>
  <si>
    <t>Carcasse: EP ; Résistance à la traction: 250 N/mm ; Nombre de plis: 2 ; Revêtement supérieur: 3 mm ; Revêtement inférieur: 1 mm ; Largeur de bande: 750 mm</t>
  </si>
  <si>
    <t>EP750XXX300/3-3+1½ZZ</t>
  </si>
  <si>
    <t>EP 300/3-3+1½,BB750</t>
  </si>
  <si>
    <t>EP750XXX500/3-5+1½KA</t>
  </si>
  <si>
    <t>EP 500/3-5+1½,BB750</t>
  </si>
  <si>
    <t>Bandweefseltype: EP ; Treksterkte: 500N/mm ; Aantal inlagen: 3 ; Bovendek: 5 mm ; Onderdek: 1½ mm ; Bandbreedte: 750 mm</t>
  </si>
  <si>
    <t>Gewebetype: EP ; Zugfestigkeit: 500 N/mm ; Anzahl Einlagen: 3 ; Oberdeck: 5 mm ; Unterdeck: 1½ mm ; Gurtbreite: 750 mm</t>
  </si>
  <si>
    <t>Fabric type: EP ; Tensile strength: 500 N/mm ; Number of plies: 3 ; Topcover: 5 mm ; Bottomcover: 1½ mm ; Beltwidth: 750 mm</t>
  </si>
  <si>
    <t>Carcasse: EP ; Résistance à la traction: 500 N/mm ; Nombre de plis: 3 ; Revêtement supérieur: 5 mm ; Revêtement inférieur: 1½ mm ; Largeur de bande: 750 mm</t>
  </si>
  <si>
    <t>EP750XXX500/3-8+3KA</t>
  </si>
  <si>
    <t>EP 500/3-8+3-BB750</t>
  </si>
  <si>
    <t>EP750XXX800/4-2+2-ELEVATORSA</t>
  </si>
  <si>
    <t>EP 800/4-2+2-BB750 ELEVATOR</t>
  </si>
  <si>
    <t>EP75OVG500/4-0+0-SAWMILLHY</t>
  </si>
  <si>
    <t>EP 500/4-0+0,BB75-O+V-Saw Mill</t>
  </si>
  <si>
    <t>2,814</t>
  </si>
  <si>
    <t>EP760OVX630/4-2+2-ELEVATORSA</t>
  </si>
  <si>
    <t>EP 630/4-2+2-BB760 ELEVATOR-OV</t>
  </si>
  <si>
    <t>EP760OVX800/4-2+2-ELEVATORSA</t>
  </si>
  <si>
    <t>EP 800/4-2+2-BB760 ELEVATOR-OV</t>
  </si>
  <si>
    <t>24,340</t>
  </si>
  <si>
    <t>EP780XXX630/4-2+2-ELEVATORSA</t>
  </si>
  <si>
    <t>EP 630/4-2+2-BB780 ELEVATOR</t>
  </si>
  <si>
    <t>EP780XXX800/4-2+2-ELEVATORSA</t>
  </si>
  <si>
    <t>EP 800/4-2+2-BB780 ELEVATOR</t>
  </si>
  <si>
    <t>23,460</t>
  </si>
  <si>
    <t>EP790OVX630/4-2+2-ELEVATORSA</t>
  </si>
  <si>
    <t>EP 630/4-2+2-BB790 ELEVATOR-OV</t>
  </si>
  <si>
    <t>21,370</t>
  </si>
  <si>
    <t>EP790XXX630/4-2+2-ELEVATORSA</t>
  </si>
  <si>
    <t>EP 630/4-2+2-BB790 ELEVATOR</t>
  </si>
  <si>
    <t>EP800GLY250/2-2+0HY</t>
  </si>
  <si>
    <t>EP 250/2-2+0,BB800-GLY</t>
  </si>
  <si>
    <t>Bandweefseltype: EP ; Treksterkte: 250 N/mm ; Aantal inlagen: 2 ; Bovendek: 2 mm ; Onderdek: 0 mm ; Bandbreedte: 800 mm</t>
  </si>
  <si>
    <t>Gewebetype: EP ; Zugfestigkeit: 250 N/mm ; Anzahl Einlagen: 2 ; Oberdeck: 2 mm ; Unterdeck: 0 mm ; Gurtbreite: 800 mm</t>
  </si>
  <si>
    <t>Fabric type: EP ; Tensile strength: 250 N/mm ; Number of plies: 2 ; Topcover: 2 mm ; Bottomcover: 0 mm ; Beltwidth: 800 mm</t>
  </si>
  <si>
    <t>Carcasse: EP ; Tension de service: 250 N/mm ; Nombre de plis: 2 ; Revêtement supérieur: 2 mm ; Revêtement inférieur: 0 mm ; Largeur de bande: 800 mm</t>
  </si>
  <si>
    <t>EP800GLY250/2-2+0JO</t>
  </si>
  <si>
    <t>10,120</t>
  </si>
  <si>
    <t>EP800GLY250/2-2+0ZZ</t>
  </si>
  <si>
    <t>9,250</t>
  </si>
  <si>
    <t>EP800GLY400/3-2+0HY</t>
  </si>
  <si>
    <t>EP 400/3-2+0,BB800-GLY</t>
  </si>
  <si>
    <t>Bandweefseltype: EP ; Treksterkte: 400 N/mm ; Aantal inlagen: 3 ; Bovendek: 2 mm ; Onderdek: 0 mm ; Bandbreedte: 800 mm</t>
  </si>
  <si>
    <t>Gewebetype: EP ; Zugfestigkeit: 400 N/mm ; Anzahl Einlagen: 3 ; Oberdeck: 2 mm ; Unterdeck: 0 mm ; Gurtbreite: 800 mm</t>
  </si>
  <si>
    <t>Fabric type: EP ; Tensile strength: 400 N/mm ; Number of plies: 3 ; Topcover: 2 mm ; Bottomcover: 0 mm ; Beltwidth: 800 mm</t>
  </si>
  <si>
    <t>Carcasse: EP ; Tension de service: 400 N/mm ; Nombre de plis: 3 ; Revêtement supérieur: 2 mm ; Revêtement inférieur: 0 mm ; Largeur de bande: 800 mm</t>
  </si>
  <si>
    <t>EP800GLY400/3-2+0JO</t>
  </si>
  <si>
    <t>13,120</t>
  </si>
  <si>
    <t>EP800GLY400/3-3+0HY</t>
  </si>
  <si>
    <t>EP 400/3-3+0,BB800-GLY</t>
  </si>
  <si>
    <t>19,360</t>
  </si>
  <si>
    <t>Bandweefseltype: EP ; Treksterkte: 400 N/mm ; Aantal inlagen: 3 ; Bovendek: 3 mm ; Onderdek: 0 mm ; Bandbreedte: 800 mm</t>
  </si>
  <si>
    <t>Gewebetype: EP ; Zugfestigkeit: 400 N/mm ; Anzahl Einlagen: 3 ; Oberdeck: 3 mm ; Unterdeck: 0 mm ; Gurtbreite: 800 mm</t>
  </si>
  <si>
    <t>Fabric type: EP ; Tensile strength: 400 N/mm ; Number of plies: 3 ; Topcover: 3 mm ; Bottomcover: 0 mm ; Beltwidth: 800 mm</t>
  </si>
  <si>
    <t>Carcasse: EP ; Tension de service: 400 N/mm ; Nombre de plis: 3 ; Revêtement supérieur: 3 mm ; Revêtement inférieur: 0 mm ; Largeur de bande: 800 mm</t>
  </si>
  <si>
    <t>EP800GLY400/3-3+0JO</t>
  </si>
  <si>
    <t>15,590</t>
  </si>
  <si>
    <t>EP800GLY500/4-6+0HY</t>
  </si>
  <si>
    <t>EP 500/4-6+0,BB800-GLY</t>
  </si>
  <si>
    <t>34,220</t>
  </si>
  <si>
    <t>Bandweefseltype: EP ; Treksterkte: 500 N/mm ; Aantal inlagen: 4 ; Bovendek: 6 mm ; Onderdek: 0 mm ; Bandbreedte: 800 mm</t>
  </si>
  <si>
    <t>Gewebetype: EP ; Zugfestigkeit: 500 N/mm ; Anzahl Einlagen: 4 ; Oberdeck: 6 mm ; Unterdeck: 0 mm ; Gurtbreite: 800 mm</t>
  </si>
  <si>
    <t>Fabric type: EP ; Tensile strength: 500 N/mm ; Number of plies: 4 ; Topcover: 6 mm ; Bottomcover: 0 mm ; Beltwidth: 800 mm</t>
  </si>
  <si>
    <t>Carcasse: EP ; Tension de service: 500 N/mm ; Nombre de plis: 4 ; Revêtement supérieur: 6 mm ; Revêtement inférieur: 0 mm ; Largeur de bande: 800 mm</t>
  </si>
  <si>
    <t>EP800GLY500/4-6+0JO</t>
  </si>
  <si>
    <t>24,470</t>
  </si>
  <si>
    <t>EP800HB400/3-4+2-150°SL</t>
  </si>
  <si>
    <t>EP 400/3-4+2,BB800,HB</t>
  </si>
  <si>
    <t>22,190</t>
  </si>
  <si>
    <t>EP800HB400/3-5+2-150°JO</t>
  </si>
  <si>
    <t>EP 400/3-5+2,BB800,HB</t>
  </si>
  <si>
    <t>20,130</t>
  </si>
  <si>
    <t>Bandweefseltype: EP ; Treksterkte: 400 N/mm ; Aantal inlagen: 3 ; Bovendek: 5 mm ; Onderdek: 2 mm ; Bandbreedte: 800 mm ; Hittebestendig 150°-170°</t>
  </si>
  <si>
    <t>Gewebetype: EP ; Zugfestigkeit: 400 N/mm ; Anzahl Einlagen: 3 ; Oberdeck: 5 mm ; Unterdeck: 2 mm ; Gurtbreite: 800 mm ; Hitzebeständig 150°-170°</t>
  </si>
  <si>
    <t>Fabric type: EP ; Tensile strength: 400 N/mm ; Number of plies: 3 ; Topcover: 5 mm ; Bottomcover: 2 mm ; Beltwidth: 800 mm ; Heat resistant 150°-170°</t>
  </si>
  <si>
    <t>EP800HB400/3-5+2-150°LS</t>
  </si>
  <si>
    <t>27,330</t>
  </si>
  <si>
    <t>EP800HB400/3-5+2-150°PH</t>
  </si>
  <si>
    <t>25,480</t>
  </si>
  <si>
    <t>EP800HB400/3-5+2-150°SA</t>
  </si>
  <si>
    <t>25,020</t>
  </si>
  <si>
    <t>EP800HB400/3-5+2-150°SL</t>
  </si>
  <si>
    <t>EP800HB500/4-5+2-200°PH</t>
  </si>
  <si>
    <t>EP 500/4-5+2,BB800,HB200º</t>
  </si>
  <si>
    <t>37,270</t>
  </si>
  <si>
    <t>Bandweefseltype: EP ; Treksterkte: 500 N/mm ; Aantal inlagen: 4 ; Bovendek: 5 mm ; Onderdek: 2 mm ; Bandbreedte: 800 mm ; Hittebestendig 180°-200°</t>
  </si>
  <si>
    <t>Gewebetype: EP ; Zugfestigkeit: 500 N/mm ; Anzahl Einlagen: 4 ; Oberdeck: 5 mm ; Unterdeck: 2 mm ; Gurtbreite: 800 mm ; Hitzebeständig 180°-200°</t>
  </si>
  <si>
    <t>Fabric type: EP ; Tensile strength: 500 N/mm ; Number of plies: 4 ; Topcover: 5 mm ; Bottomcover: 2 mm ; Beltwidth: 800 mm ; Heat resistant 180°-200°</t>
  </si>
  <si>
    <t>EP800HB500/4-5+2-200°SA</t>
  </si>
  <si>
    <t>EP800OVG250/2-2+0FF</t>
  </si>
  <si>
    <t>EP 250/2-2+0,BB800-GLY-O+V</t>
  </si>
  <si>
    <t>11,724</t>
  </si>
  <si>
    <t>Bandweefseltype: EP ; Treksterkte: 250 N/mm ; Aantal inlagen: 2 ; Bovendek: 2 mm ; Onderdek: 0 mm ; Bandbreedte: 800 mm ; Olie- en vetbestendige Kwaliteit</t>
  </si>
  <si>
    <t>Gewebetype: EP ; Zugfestigkeit: 250 N/mm ; Anzahl Einlagen: 2 ; Oberdeck: 2 mm ; Unterdeck: 0 mm ; Gurtbreite: 800 mm ; Öl und Fettbeständige Qualität</t>
  </si>
  <si>
    <t>Fabric type: EP ; Tensile strength: 250 N/mm ; Number of plies: 2 ; Topcover: 2 mm ; Bottomcover: 0 mm ; Beltwidth: 800 mm ; Oil and Grease Resistant Quality</t>
  </si>
  <si>
    <t>EP800OVG250/2-2+0HY</t>
  </si>
  <si>
    <t>14,550</t>
  </si>
  <si>
    <t>EP800OVG250/2-2+0JO</t>
  </si>
  <si>
    <t>EP800OVG250/2-2+0-MORHY</t>
  </si>
  <si>
    <t>EP 250/2-2+0,BB800-GLY-O+V-MOR QUALITY</t>
  </si>
  <si>
    <t>12,197</t>
  </si>
  <si>
    <t>EP800OVG250/2-2+0TT</t>
  </si>
  <si>
    <t>10,330</t>
  </si>
  <si>
    <t>EP800OVG400/3-2+0AR</t>
  </si>
  <si>
    <t>EP 400/3-2+0,BB800-GLY-O+V</t>
  </si>
  <si>
    <t>Bandweefseltype: EP ; Treksterkte: 400 N/mm ; Aantal inlagen: 3 ; Bovendek: 2 mm ; Onderdek: 0 mm ; Bandbreedte: 800 mm ; Olie- en vetbestendige Kwaliteit</t>
  </si>
  <si>
    <t>Gewebetype: EP ; Zugfestigkeit: 400 N/mm ; Anzahl Einlagen: 3 ; Oberdeck: 2 mm ; Unterdeck: 0 mm ; Gurtbreite: 800 mm ; Öl und Fettbeständige Qualität</t>
  </si>
  <si>
    <t>Fabric type: EP ; Tensile strength: 400 N/mm ; Number of plies: 3 ; Topcover: 2 mm ; Bottomcover: 0 mm ; Beltwidth: 800 mm ; Oil and Grease Resistant Quality</t>
  </si>
  <si>
    <t>EP800OVG400/3-2+0HY</t>
  </si>
  <si>
    <t>24,060</t>
  </si>
  <si>
    <t>EP800OVG400/3-2+0JO</t>
  </si>
  <si>
    <t>16,360</t>
  </si>
  <si>
    <t>EP800OVG400/3-3+0HY</t>
  </si>
  <si>
    <t>EP 400/3-3+0,BB800-GLY-O+V</t>
  </si>
  <si>
    <t>Bandweefseltype: EP ; Treksterkte: 400 N/mm ; Aantal inlagen: 3 ; Bovendek: 3 mm ; Onderdek: 0 mm ; Bandbreedte: 800 mm ; Olie- en vetbestendige Kwaliteit</t>
  </si>
  <si>
    <t>Gewebetype: EP ; Zugfestigkeit: 400 N/mm ; Anzahl Einlagen: 3 ; Oberdeck: 3 mm ; Unterdeck: 0 mm ; Gurtbreite: 800 mm ; Öl und Fettbeständige Qualität</t>
  </si>
  <si>
    <t>Fabric type: EP ; Tensile strength: 400 N/mm ; Number of plies: 3 ; Topcover: 3 mm ; Bottomcover: 0 mm ; Beltwidth: 800 mm ; Oil and Grease Resistant Quality</t>
  </si>
  <si>
    <t>EP800OVG400/3-3+0JO</t>
  </si>
  <si>
    <t>20,140</t>
  </si>
  <si>
    <t>EP800OVG400/3-3+0RP</t>
  </si>
  <si>
    <t>25,900</t>
  </si>
  <si>
    <t>EP800OVG500/4-0+0-SAWMILLHY</t>
  </si>
  <si>
    <t>EP 500/4-0+0,BB800-O+V-Saw Mill</t>
  </si>
  <si>
    <t>27,890</t>
  </si>
  <si>
    <t>Bandweefseltype: EP ; Treksterkte: 500 N/mm ; Aantal inlagen: 4 ; Bovendek: 0 mm ; Onderdek: 0 mm ; Bandbreedte: 800 mm ; Olie- en vetbestendige Kwaliteit</t>
  </si>
  <si>
    <t>Gewebetype: EP ; Zugfestigkeit: 500 N/mm ; Anzahl Einlagen: 4 ; Oberdeck: 0 mm ; Unterdeck: 0 mm ; Gurtbreite: 800 mm ; Öl und Fettbeständige Qualität</t>
  </si>
  <si>
    <t>Fabric type: EP ; Tensile strength: 500 N/mm ; Number of plies: 4 ; Topcover: 0 mm ; Bottomcover: 0 mm ; Beltwidth: 800 mm ; Oil and Grease Resistant Quality</t>
  </si>
  <si>
    <t>EP800OVG500/4-3+0FF</t>
  </si>
  <si>
    <t>EP 500/4-3+0,BB800-GLY-O+V</t>
  </si>
  <si>
    <t>30,300</t>
  </si>
  <si>
    <t>Bandweefseltype: EP ; Treksterkte: 500 N/mm ; Aantal inlagen: 4 ; Bovendek: 3 mm ; Onderdek: 0 mm ; Bandbreedte: 800 mm ; Olie- en vetbestendige Kwaliteit</t>
  </si>
  <si>
    <t>Gewebetype: EP ; Zugfestigkeit: 500 N/mm ; Anzahl Einlagen: 4 ; Oberdeck: 3 mm ; Unterdeck: 0 mm ; Gurtbreite: 800 mm ; Öl und Fettbeständige Qualität</t>
  </si>
  <si>
    <t>Fabric type: EP ; Tensile strength: 500 N/mm ; Number of plies: 4 ; Topcover: 3 mm ; Bottomcover: 0 mm ; Beltwidth: 800 mm ; Oil and Grease Resistant Quality</t>
  </si>
  <si>
    <t>EP800OVG500/4-3+0HY</t>
  </si>
  <si>
    <t>36,320</t>
  </si>
  <si>
    <t>EP800OVG500/4-3+0JO</t>
  </si>
  <si>
    <t>EP800OVG500/4-6+0JO</t>
  </si>
  <si>
    <t>EP 500/4-6+0,BB800-GLY-O+V</t>
  </si>
  <si>
    <t>30,210</t>
  </si>
  <si>
    <t>Fabric type: EP ; Tensile strength: 500 N/mm ; Number of plies: 4 ; Topcover: 6 mm ; Bottomcover: 0 mm ; Beltwidth: 800 mm ; Oil and Grease Resistant Quality</t>
  </si>
  <si>
    <t>EP800OVG630/5-2+0FF</t>
  </si>
  <si>
    <t>EP 630/4-3+0,BB800-GLY-O+V</t>
  </si>
  <si>
    <t>12,894</t>
  </si>
  <si>
    <t>Glijband, Olie- en vetbestendige Kwaliteit ; EP 630/5-2+0</t>
  </si>
  <si>
    <t>Gleitgurt, Öl und Fettbeständige Qualität ; EP 630/5-2+0</t>
  </si>
  <si>
    <t>Bareback, Oil and Grease Resistant Quality ; EP 630/5-2+0</t>
  </si>
  <si>
    <t>Bande à sole de glisse, Qualité résistant aux huiles et graisses ; EP  630/5-2+0</t>
  </si>
  <si>
    <t>Bandweefseltype: EP ; Treksterkte: 630 N/mm ; Aantal inlagen: 5 ; Bovendek: 2 mm ; Onderdek: 0 mm ; Bandbreedte: 800 mm ; Olie- en vetbestendige Kwaliteit</t>
  </si>
  <si>
    <t>Gewebetype: EP ; Zugfestigkeit: 630 N/mm ; Anzahl Einlagen: 5 ; Oberdeck: 2 mm ; Unterdeck: 0 mm ; Gurtbreite: 800 mm ; Öl und Fettbeständige Qualität</t>
  </si>
  <si>
    <t>Fabric type: EP ; Tensile strength: 630 N/mm ; Number of plies: 5 ; Topcover: 2 mm ; Bottomcover: 0 mm ; Beltwidth: 800 mm ; Oil and Grease Resistant Quality</t>
  </si>
  <si>
    <t>EP800OVX250/2-3+1HY</t>
  </si>
  <si>
    <t>EP 250/2-3+1,BB800-O+V</t>
  </si>
  <si>
    <t>22,760</t>
  </si>
  <si>
    <t>Bandweefseltype: EP ; Treksterkte: 250 N/mm ; Aantal inlagen: 2 ; Bovendek: 3 mm ; Onderdek: 1 mm ; Bandbreedte: 800 mm ; Olie- en vetbestendige Kwaliteit</t>
  </si>
  <si>
    <t>Gewebetype: EP ; Zugfestigkeit: 250 N/mm ; Anzahl Einlagen: 2 ; Oberdeck: 3 mm ; Unterdeck: 1 mm ; Gurtbreite: 800 mm ; Öl und Fettbeständige Qualität</t>
  </si>
  <si>
    <t>Fabric type: EP ; Tensile strength: 250 N/mm ; Number of plies: 2 ; Topcover: 3 mm ; Bottomcover: 1 mm ; Beltwidth: 800 mm ; Oil and Grease Resistant Quality</t>
  </si>
  <si>
    <t>EP800OVX250/2-3+1JO</t>
  </si>
  <si>
    <t>17,700</t>
  </si>
  <si>
    <t>EP800OVX400/3-3+1JO</t>
  </si>
  <si>
    <t>EP 400/3-3+1,BB800-O+V</t>
  </si>
  <si>
    <t>18,433</t>
  </si>
  <si>
    <t>EP800OVX400/3-3+2MORSH</t>
  </si>
  <si>
    <t>EP 400/3-3+2,BB800-O+V-MOR</t>
  </si>
  <si>
    <t>16,460</t>
  </si>
  <si>
    <t>EP800OVX400/3-4+2AR</t>
  </si>
  <si>
    <t>EP 400/3-4+2,BB800-O+V</t>
  </si>
  <si>
    <t>27,740</t>
  </si>
  <si>
    <t>Bandweefseltype: EP ; Treksterkte: 400 N/mm ; Aantal inlagen: 3 ; Bovendek: 4 mm ; Onderdek: 2 mm ; Bandbreedte: 800 mm ; Olie- en vetbestendige Kwaliteit</t>
  </si>
  <si>
    <t>Gewebetype: EP ; Zugfestigkeit: 400 N/mm ; Anzahl Einlagen: 3 ; Oberdeck: 4 mm ; Unterdeck: 2 mm ; Gurtbreite: 800 mm ; Öl und Fettbeständige Qualität</t>
  </si>
  <si>
    <t>Fabric type: EP ; Tensile strength: 400 N/mm ; Number of plies: 3 ; Topcover: 4 mm ; Bottomcover: 2 mm ; Beltwidth: 800 mm ; Oil and Grease Resistant Quality</t>
  </si>
  <si>
    <t>EP800OVX400/3-4+2FF</t>
  </si>
  <si>
    <t>23,440</t>
  </si>
  <si>
    <t>EP800OVX400/3-4+2JO</t>
  </si>
  <si>
    <t>20,120</t>
  </si>
  <si>
    <t>EP800OVX400/3-4+2PH</t>
  </si>
  <si>
    <t>19,700</t>
  </si>
  <si>
    <t>EP800OVX400/3-4+2RP</t>
  </si>
  <si>
    <t>23,200</t>
  </si>
  <si>
    <t>EP800OVX400/3-4+2SA</t>
  </si>
  <si>
    <t>EP800OVX400/3-4+2SH</t>
  </si>
  <si>
    <t>19,440</t>
  </si>
  <si>
    <t>EP800OVX400/3-4+2SL</t>
  </si>
  <si>
    <t>17,480</t>
  </si>
  <si>
    <t>EP800OVX400/3-4+2ZZ</t>
  </si>
  <si>
    <t>EP800OVX500/3-4+2MORSPECSH</t>
  </si>
  <si>
    <t>EP 500/3-4+2,BB800-O+V-MOR</t>
  </si>
  <si>
    <t>EP800OVX500/3-6+2PH</t>
  </si>
  <si>
    <t>EP 500/3-6+2,BB800-O+V</t>
  </si>
  <si>
    <t>24,140</t>
  </si>
  <si>
    <t>Bandweefseltype: EP ; Treksterkte: 500 N/mm ; Aantal inlagen: 3 ; Bovendek: 6 mm ; Onderdek: 2 mm ; Bandbreedte: 800 mm ; Olie- en vetbestendige Kwaliteit</t>
  </si>
  <si>
    <t>Gewebetype: EP ; Zugfestigkeit: 500 N/mm ; Anzahl Einlagen: 3 ; Oberdeck: 6 mm ; Unterdeck: 2 mm ; Gurtbreite: 800 mm ; Öl und Fettbeständige Qualität</t>
  </si>
  <si>
    <t>Fabric type: EP ; Tensile strength: 500 N/mm ; Number of plies: 3 ; Topcover: 6 mm ; Bottomcover: 2 mm ; Beltwidth: 800 mm ; Oil and Grease Resistant Quality</t>
  </si>
  <si>
    <t>EP800OVX500/3-6+2SA</t>
  </si>
  <si>
    <t>30,610</t>
  </si>
  <si>
    <t>EP800OVX500/4-5+2PH</t>
  </si>
  <si>
    <t>EP 500/4-5+2,BB800-O+V</t>
  </si>
  <si>
    <t>22,170</t>
  </si>
  <si>
    <t>EP800OVX800/4-2+2-ELEVATORSA</t>
  </si>
  <si>
    <t>EP 800/4-2+2-BB800 ELEVATOR-OV</t>
  </si>
  <si>
    <t>22,719</t>
  </si>
  <si>
    <t>Bandweefseltype: EP ; Treksterkte: 800 N/mm ; Aantal inlagen: 4 ; Bovendek: 2 mm ; Onderdek: 2 mm ; Bandbreedte: 800 mm ; Olie- en vetbestendige Kwaliteit ; Elevator</t>
  </si>
  <si>
    <t>Gewebetype: EP ; Zugfestigkeit: 800 N/mm ; Anzahl Einlagen: 4 ; Oberdeck: 2 mm ; Unterdeck: 2 mm ; Gurtbreite: 800 mm ; Öl und Fettbeständige Qualität ; Elevator</t>
  </si>
  <si>
    <t>Fabric type: EP ; Tensile strength: 800 N/mm ; Number of plies: 4 ; Topcover: 2 mm ; Bottomcover: 2 mm ; Beltwidth: 800 mm ; Oil and Grease Resistant Quality ; Elevator</t>
  </si>
  <si>
    <t xml:space="preserve">Carcasse: EP ; Tension de service: 800 N/mm ; Nombre de plis: 4 ; Revêtement supérieur: 2 mm ; Revêtement inférieur: 2 mm ; Largeur de bande: 800 mm ; Qualité résistante à l’huile et graisse ; Sangle Elévatrice
</t>
  </si>
  <si>
    <t>EP800PRG250/2-3+2-MULTIVHY</t>
  </si>
  <si>
    <t>EP 250/2-3+2,BB800-Multi V profiel 6 mm O&amp;V</t>
  </si>
  <si>
    <t>27,775</t>
  </si>
  <si>
    <t>Bandweefseltype: EP ; Treksterkte: 250 N/mm ; Aantal inlagen: 2 ; Bovendek: 3 mm ; Onderdek: 2 mm ; Bandbreedte: 800 mm ; Profiel hoogte: 6 mm ; Profiel breedte: Volledige bandbreedte ; Type: V6 ; Olie- en vetbestendige Kwaliteit</t>
  </si>
  <si>
    <t>Gewebetype: EP ; Zugfestigkeit: 250 N/mm ; Anzahl Einlagen: 2 ; Oberdeck: 3 mm ; Unterdeck: 2 mm ; Gurtbreite: 800 mm ; Profilhöhe: 6 mm ; Profilbreite: Komplette Gurtbreite ; Profiltyp: V6 ; Öl und Fettbeständige Qualität</t>
  </si>
  <si>
    <t>Fabric type: EP ; Tensile strength: 250 N/mm ; Number of plies: 2 ; Topcover: 3 mm ; Bottomcover: 2 mm ; Beltwidth: 800 mm ; Profile height: 6 mm ; Profile width: Full belt width ; Profile type: V6 ; Oil and Grease Resistant Quality</t>
  </si>
  <si>
    <t>Carcasse: EP ; Résistance à la traction: 250 N/mm ; Nombre de plis: 2 ; Revêtement supérieur: 3 mm ; Revêtement inférieur: 2 mm ; Largeur de bande: 800 mm ; Hauteur du profil: 6 mm ; Largeur du profil: Sur toute la largeur ; Type de profil: V6 ; Qualité résistant aux huiles et graisses</t>
  </si>
  <si>
    <t>EP800PRG400/3-3+1-C15P600HY</t>
  </si>
  <si>
    <t>EP 400/3-3+1,BB800-profiel C15P600 O&amp;V</t>
  </si>
  <si>
    <t>56,150</t>
  </si>
  <si>
    <t>42,340</t>
  </si>
  <si>
    <t>Bandweefseltype: EP ; Treksterkte: 400 N/mm ; Aantal inlagen: 3 ; Bovendek: 3 mm ; Onderdek: 1 mm ; Bandbreedte: 800 mm ; Profiel hoogte: 15 mm ; Profiel breedte: 600mm ; Type:C15P600 ; Olie- en vetbestendige Kwaliteit</t>
  </si>
  <si>
    <t>Gewebetype: EP ; Zugfestigkeit: 400 N/mm ; Anzahl Einlagen: 3 ; Oberdeck: 3 mm ; Unterdeck: 1 mm ; Gurtbreite: 800 mm ; Profilhöhe: 15 mm ; Profilbreite: 600mm ; Profiltyp: C15P600 ; Öl und Fettbeständige Qualität</t>
  </si>
  <si>
    <t>Fabric type: EP ; Tensile strength: 400 N/mm ; Number of plies: 3 ; Topcover: 3 mm ; Bottomcover: 1 mm ; Beltwidth: 800 mm ; Profile height: 15 mm ; Profile width: 600mm ; Profile type: C15P600 ; Oil and Grease Resistant Quality</t>
  </si>
  <si>
    <t>Carcasse: EP ; Résistance à la traction: 400 N/mm ; Nombre de plis: 3 ; Revêtement supérieur: 3 mm ; Revêtement inférieur: 1 mm ; Largeur de bande: 800 mm ; Hauteur du profil: 15 mm ; Largeur du profil: 600mm ; Type de profil: C15P600 ; Qualité résistant aux huiles et graisses</t>
  </si>
  <si>
    <t>EP800PRG400/3-3+1-C25P550HY</t>
  </si>
  <si>
    <t>EP 400/3-3+1½,BB800-profiel C25P550 O&amp;V</t>
  </si>
  <si>
    <t>60,600</t>
  </si>
  <si>
    <t>56,600</t>
  </si>
  <si>
    <t>Bandweefseltype: EP ; Treksterkte: 400 N/mm ; Aantal inlagen: 3 ; Bovendek: 3 mm ; Onderdek: 1½ mm ; Bandbreedte: 800 mm ; Profiel hoogte: 25 mm ; Profiel breedte: 550mm ; Type:C25P550 ; Olie- en vetbestendige Kwaliteit</t>
  </si>
  <si>
    <t>Gewebetype: EP ; Zugfestigkeit: 400 N/mm ; Anzahl Einlagen: 3 ; Oberdeck: 3 mm ; Unterdeck: 1½ mm ; Gurtbreite: 800 mm ; Profilhöhe: 25 mm ; Profilbreite: 550mm ; Profiltyp: C25P550 ; Öl und Fettbeständige Qualität</t>
  </si>
  <si>
    <t>Fabric type: EP ; Tensile strength: 400 N/mm ; Number of plies: 3 ; Topcover: 3 mm ; Bottomcover: 1½ mm ; Beltwidth: 800 mm ; Profile height: 25 mm ; Profile width: 550mm ; Profile type: C25P550 ; Oil and Grease Resistant Quality</t>
  </si>
  <si>
    <t>Carcasse: EP ; Résistance à la traction: 400 N/mm ; Nombre de plis: 3 ; Revêtement supérieur: 3 mm ; Revêtement inférieur: 1½ mm ; Largeur de bande: 800 mm ; Hauteur du profil: 25 mm ; Largeur du profil: 550mm ; Type de profil: C25P550 ; Qualité résistant aux huiles et graisses</t>
  </si>
  <si>
    <t>EP800PRG400/3-3+1-H58HY</t>
  </si>
  <si>
    <t>EP 400/3-3+1-BB800-profiel H58 O&amp;V</t>
  </si>
  <si>
    <t>61,620</t>
  </si>
  <si>
    <t>Chevron, Olie- en vetbestendige kwaliteit ; EP 400/3-3+1 met H58 profiel</t>
  </si>
  <si>
    <t>Chevron, Öl und Fettbeständige Qualität ; EP 400/3-3+1  mit H58 Profil</t>
  </si>
  <si>
    <t>Chevron, Oil and Grease Resistant Quality ; EP 400/3-3+1 with H58  profile</t>
  </si>
  <si>
    <t>Chevron, Qualité résistant aux huiles et graisses ; EP 400/3-3+1 avec H58  profil</t>
  </si>
  <si>
    <t>Bandweefseltype: EP ; Treksterkte: 400 N/mm ; Aantal inlagen: 3 ; Bovendek: 3 mm ; Onderdek: 1 mm ; Bandbreedte: 800 mm ; Profiel hoogte: 32 mm ; Profiel breedte: 580mm ; Type: H58 ; Olie- en vetbestendige Kwaliteit</t>
  </si>
  <si>
    <t>Gewebetype: EP ; Zugfestigkeit: 400 N/mm ; Anzahl Einlagen: 3 ; Oberdeck: 3 mm ; Unterdeck: 1 mm ; Gurtbreite: 800 mm ; Profilhöhe: 32 mm ; Profilbreite: 580mm ; Profiltyp: H58 ; Öl und Fettbeständige Qualität</t>
  </si>
  <si>
    <t>Fabric type: EP ; Tensile strength: 400 N/mm ; Number of plies: 3 ; Topcover: 3 mm ; Bottomcover: 1 mm ; Beltwidth: 800 mm ; Profile height: 32 mm ; Profile width: 580mm ; Profile type: H58 ; Oil and Grease Resistant Quality</t>
  </si>
  <si>
    <t>Carcasse: EP ; Résistance à la traction: 400 N/mm ; Nombre de plis: 3 ; Revêtement supérieur: 3 mm ; Revêtement inférieur: 1 mm ; Largeur de bande: 800 mm ; Hauteur du profil: 32 mm ; Largeur du profil: 580mm ; Type de profil: H58 ; Qualité résistant aux huiles et graisses</t>
  </si>
  <si>
    <t>EP800PRG400/3-3+1-H63HY</t>
  </si>
  <si>
    <t>EP 400/3-3+1,BB800-profiel H63 O&amp;V</t>
  </si>
  <si>
    <t>48,730</t>
  </si>
  <si>
    <t>Bandweefseltype: EP ; Treksterkte: 400 N/mm ; Aantal inlagen: 3 ; Bovendek: 3 mm ; Onderdek: 1 mm ; Bandbreedte: 800 mm ; Profiel hoogte: 32 mm ; Profiel breedte: 630mm ; Type: H63 ; Olie- en vetbestendige Kwaliteit</t>
  </si>
  <si>
    <t>Gewebetype: EP ; Zugfestigkeit: 400 N/mm ; Anzahl Einlagen: 3 ; Oberdeck: 3 mm ; Unterdeck: 1 mm ; Gurtbreite:800 mm ; Profilhöhe: 32 mm ; Profilbreite: 630mm ; Profiltyp: H63 ; Öl und Fettbeständige Qualität</t>
  </si>
  <si>
    <t>Fabric type: EP ; Tensile strength: 400 N/mm ; Number of plies: 3 ; Topcover: 3 mm ; Bottomcover: 1 mm ; Beltwidth: 800 mm ; Profile height: 32 mm ; Profile width: 630mm ; Profile type: H63 ; Oil and Grease Resistant Quality</t>
  </si>
  <si>
    <t>Carcasse: EP ; Résistance à la traction: 400 N/mm ; Nombre de plis: 3 ; Revêtement supérieur: 3 mm ; Revêtement inférieur: 1 mm ; Largeur de bande: 800 mm ; Hauteur du profil: 32 mm ; Largeur du profil: 630mm ; Type de profil: H63 ; Qualité résistant aux huiles et graisses</t>
  </si>
  <si>
    <t>EP800PRG400/3-3+1-L63HY</t>
  </si>
  <si>
    <t>EP 400/3-3+1,BB800-profiel L63 O&amp;V</t>
  </si>
  <si>
    <t>57,400</t>
  </si>
  <si>
    <t>45,690</t>
  </si>
  <si>
    <t>Bandweefseltype: EP ; Treksterkte: 400 N/mm ; Aantal inlagen: 3 ; Bovendek: 3 mm ; Onderdek: 1 mm ; Bandbreedte: 800 mm ; Profiel hoogte: 17 mm ; Profiel breedte: 630mm ; Type: L63 ; Olie- en vetbestendige Kwaliteit</t>
  </si>
  <si>
    <t>Gewebetype: EP ; Zugfestigkeit: 400 N/mm ; Anzahl Einlagen: 3 ; Oberdeck: 3 mm ; Unterdeck: 1 mm ; Gurtbreite: 800 mm ; Profilhöhe: 17 mm ; Profilbreite: 630mm ; Profiltyp: L63 ; Öl und Fettbeständige Qualität</t>
  </si>
  <si>
    <t>Fabric type: EP ; Tensile strength: 400 N/mm ; Number of plies: 3 ; Topcover: 3 mm ; Bottomcover: 1 mm ; Beltwidth: 800 mm ; Profile height: 17 mm ; Profile width: 630mm ; Profile type: L63 ; Oil and Grease Resistant Quality</t>
  </si>
  <si>
    <t>Carcasse: EP ; Résistance à la traction: 400 N/mm ; Nombre de plis: 3 ; Revêtement supérieur: 3 mm ; Revêtement inférieur: 1 mm ; Largeur de bande: 800 mm ; Hauteur du profil: 17 mm ; Largeur du profil: 630mm ; Type de profil: L63 ; Qualité résistant aux huiles et graisses</t>
  </si>
  <si>
    <t>EP800PRG400/3-3+2-MULTIVHY</t>
  </si>
  <si>
    <t>EP 400/3-3+2,BB800-Multi V profiel 6 mm O&amp;V</t>
  </si>
  <si>
    <t>32,770</t>
  </si>
  <si>
    <t>Bandweefseltype: EP ; Treksterkte: 400 N/mm ; Aantal inlagen: 3 ; Bovendek: 3 mm ; Onderdek: 2 mm ; Bandbreedte: 800 mm ; Profiel hoogte: 6 mm ; Profiel breedte: Volledige bandbreedte ; Type: V6 ; Olie- en vetbestendige Kwaliteit</t>
  </si>
  <si>
    <t>Gewebetype: EP ; Zugfestigkeit: 400 N/mm ; Anzahl Einlagen: 3 ; Oberdeck: 3 mm ; Unterdeck: 2 mm ; Gurtbreite: 800 mm ; Profilhöhe: 6 mm ; Profilbreite: Komplette Gurtbreite ; Profiltyp: V6 ; Öl und Fettbeständige Qualität</t>
  </si>
  <si>
    <t>Fabric type: EP ; Tensile strength: 400 N/mm ; Number of plies: 3 ; Topcover: 3 mm ; Bottomcover: 2 mm ; Beltwidth: 800 mm ; Profile height: 6 mm ; Profile width: Full belt width ; Profile type: V6 ; Oil and Grease Resistant Quality</t>
  </si>
  <si>
    <t>Carcasse: EP ; Résistance à la traction: 400 N/mm ; Nombre de plis: 3 ; Revêtement supérieur: 3 mm ; Revêtement inférieur: 2 mm ; Largeur de bande: 800 mm ; Hauteur du profil: 6 mm ; Largeur du profil: Sur toute la largeur ; Type de profil: V6 ; Qualité résistant aux huiles et graisses</t>
  </si>
  <si>
    <t>EP800PRG400/3-3+2-MULTIVSH</t>
  </si>
  <si>
    <t>EP800PRH250/2-3+1½-Y32P600HY</t>
  </si>
  <si>
    <t>EP 250/2-3+1½,BB800-profiel Y32P600</t>
  </si>
  <si>
    <t>40,103</t>
  </si>
  <si>
    <t>Chevron, Standaard kwaliteit ; EP 250/2-3+1½ met Y32P600 profiel</t>
  </si>
  <si>
    <t>Chevron, Standardqualität ; EP 250/2-3+1½ mit Y32P600 Profil</t>
  </si>
  <si>
    <t>Chevron, Standard Quality ; EP 250/2-3+1½ with Y32P600 profile</t>
  </si>
  <si>
    <t>Chevron, Qualité standard ; EP 250/2-3+1½ met Y32P600 profil</t>
  </si>
  <si>
    <t>Bandweefseltype: EP ; Treksterkte: 250 N/mm ; Aantal inlagen: 2 ; Bovendek: 3 mm ; Onderdek:  mm 1½ ; Bandbreedte: 800 mm ; Profiel hoogte: 32 mm ; Profiel breedte: 600 mm ; Profiel type: open</t>
  </si>
  <si>
    <t>Gewebetype: EP ; Zugfestigkeit: 250 N/mm ; Anzahl Einlagen: 2 ; Oberdeck: 3 mm ; Unterdeck: 1½ mm ; Gurtbreite: 800 mm ; Profilhöhe: 32 mm ; Profilbreite: 600 mm ; Profiltyp: offen</t>
  </si>
  <si>
    <t>Fabric type: EP ; Tensile strength: 250 N/mm ; Number of plies: 2 ; Topcover: 3 mm ; Bottomcover: 1½ mm ; Beltwidth: 800 mm ; Profile height: 32 mm ; Profile width: 600 mm ; Profile type: open</t>
  </si>
  <si>
    <t>Carcasse: EP ; Résistance à la traction: 250 N/mm ; Nombre de plis: 2 ; Revêtement supérieur: 3 mm ; Revêtement inférieur: 1½ mm ; Largeur de bande: 800 mm ; Hauteur du profil: 32 mm ; Largeur du profil: 600 mm ; Type de profil: Ouvert</t>
  </si>
  <si>
    <t>EP800PRH250/2-3+1-H63HY</t>
  </si>
  <si>
    <t>EP 250/2-3+1,BB800-profiel H63</t>
  </si>
  <si>
    <t>70,400</t>
  </si>
  <si>
    <t>35,070</t>
  </si>
  <si>
    <t>Bandweefseltype: EP ; Treksterkte: 250 N/mm ; Aantal inlagen: 2 ; Bovendek: 3 mm ; Onderdek:  mm 1 ; Bandbreedte: 800 mm ; Profiel hoogte: 32 mm ; Profiel breedte: 630 mm ; Profiel type: open</t>
  </si>
  <si>
    <t>Gewebetype: EP ; Zugfestigkeit: 250 N/mm ; Anzahl Einlagen: 2 ; Oberdeck: 3 mm ; Unterdeck: 1 mm ; Gurtbreite: 800 mm ; Profilhöhe: 32 mm ; Profilbreite: 630 mm ; Profiltyp: offen</t>
  </si>
  <si>
    <t>Fabric type: EP ; Tensile strength: 250 N/mm ; Number of plies: 2 ; Topcover: 3 mm ; Bottomcover: 1 mm ; Beltwidth: 800 mm ; Profile height: 32 mm ; Profile width: 630 mm ; Profile type: open</t>
  </si>
  <si>
    <t>Carcasse: EP ; Résistance à la traction: 250 N/mm ; Nombre de plis: 2 ; Revêtement supérieur: 3 mm ; Revêtement inférieur: 1 mm ; Largeur de bande: 800 mm ; Hauteur du profil: 32 mm ; Largeur du profil: 630 mm ; Type de profil: Ouvert</t>
  </si>
  <si>
    <t>EP800PRH250/2-3+1-H75DA</t>
  </si>
  <si>
    <t>EP 250/2-3+1,BB800-profiel H75</t>
  </si>
  <si>
    <t>71,250</t>
  </si>
  <si>
    <t>41,790</t>
  </si>
  <si>
    <t>Chevron, Standaard kwaliteit ; EP 250/2-3+1 met H75 profiel</t>
  </si>
  <si>
    <t>Chevron, Standardqualität ; EP 250/2-3+1 mit H75 Profil</t>
  </si>
  <si>
    <t>Chevron, Standard Quality ; EP 250/2-3+1 with H75 profile</t>
  </si>
  <si>
    <t>Chevron, Qualité standard ; EP 250/2-3+1 met H75 profil</t>
  </si>
  <si>
    <t>Bandweefseltype: EP ; Treksterkte: 250 N/mm ; Aantal inlagen: 2 ; Bovendek: 3 mm ; Onderdek:  mm 1 ; Bandbreedte: 800 mm ; Profiel hoogte: 32 mm ; Profiel breedte: 750 mm ; Profiel type: open</t>
  </si>
  <si>
    <t>Gewebetype: EP ; Zugfestigkeit: 250 N/mm ; Anzahl Einlagen: 2 ; Oberdeck: 3 mm ; Unterdeck: 1 mm ; Gurtbreite: 800 mm ; Profilhöhe: 32 mm ; Profilbreite: 750 mm ; Profiltyp: offen</t>
  </si>
  <si>
    <t>Fabric type: EP ; Tensile strength: 250 N/mm ; Number of plies: 2 ; Topcover: 3 mm ; Bottomcover: 1 mm ; Beltwidth: 800 mm ; Profile height: 32 mm ; Profile width: 750 mm ; Profile type: open</t>
  </si>
  <si>
    <t>Carcasse: EP ; Résistance à la traction: 250 N/mm ; Nombre de plis: 2 ; Revêtement supérieur: 3 mm ; Revêtement inférieur: 1 mm ; Largeur de bande: 800 mm ; Hauteur du profil: 32 mm ; Largeur du profil: 750 mm ; Type de profil: Ouvert</t>
  </si>
  <si>
    <t>EP800PRH250/2-3+1-H75HY</t>
  </si>
  <si>
    <t>EP800PRH250/2-3+1-H75TT</t>
  </si>
  <si>
    <t>EP800PRH400/3-3+1½-H58LB</t>
  </si>
  <si>
    <t>EP 400/3-3+1½-BB800-profiel H58</t>
  </si>
  <si>
    <t>39,270</t>
  </si>
  <si>
    <t>EP800PRH400/3-3+1½-H63LB</t>
  </si>
  <si>
    <t>EP 400/3-3+1½-BB800-profiel H63</t>
  </si>
  <si>
    <t>33,100</t>
  </si>
  <si>
    <t>EP800PRH400/3-3+1-H58HY</t>
  </si>
  <si>
    <t>EP 400/3-3+1-BB800-profiel H58</t>
  </si>
  <si>
    <t>46,600</t>
  </si>
  <si>
    <t>Bandweefseltype: EP ; Treksterkte: 400 N/mm ; Aantal inlagen: 3 ; Bovendek: 3 mm ; Onderdek:  mm 1 ; Bandbreedte: 800 mm ; Profiel hoogte: 32 mm ; Profiel breedte: 580 mm ; Profiel type: open</t>
  </si>
  <si>
    <t>Gewebetype: EP ; Zugfestigkeit: 400 N/mm ; Anzahl Einlagen: 3 ; Oberdeck: 3 mm ; Unterdeck: 1 mm ; Gurtbreite: 800 mm ; Profilhöhe: 32 mm ; Profilbreite: 580 mm ; Profiltyp: offen</t>
  </si>
  <si>
    <t>Fabric type: EP ; Tensile strength: 400 N/mm ; Number of plies: 3 ; Topcover: 3 mm ; Bottomcover: 1 mm ; Beltwidth: 800 mm ; Profile height: 32 mm ; Profile width: 580 mm ; Profile type: open</t>
  </si>
  <si>
    <t>Carcasse: EP ; Résistance à la traction: 400 N/mm ; Nombre de plis: 3 ; Revêtement supérieur: 3 mm ; Revêtement inférieur: 1 mm ; Largeur de bande: 800 mm ; Hauteur du profil: 32 mm ; Largeur du profil: 580 mm ; Type de profil: Ouvert</t>
  </si>
  <si>
    <t>EP800PRH400/3-3+1-H58PG</t>
  </si>
  <si>
    <t>35,370</t>
  </si>
  <si>
    <t>EP800PRH400/3-3+1-H63HY</t>
  </si>
  <si>
    <t>EP 400/3-3+1,BB800-profiel H63</t>
  </si>
  <si>
    <t>44,800</t>
  </si>
  <si>
    <t>Bandweefseltype: EP ; Treksterkte: 400 N/mm ; Aantal inlagen: 3 ; Bovendek: 3 mm ; Onderdek:  mm 1 ; Bandbreedte: 800 mm ; Profiel hoogte: 32 mm ; Profiel breedte: 630 mm ; Profiel type: open</t>
  </si>
  <si>
    <t>Gewebetype: EP ; Zugfestigkeit: 400 N/mm ; Anzahl Einlagen: 3 ; Oberdeck: 3 mm ; Unterdeck: 1 mm ; Gurtbreite: 800 mm ; Profilhöhe: 32 mm ; Profilbreite: 630 mm ; Profiltyp: offen</t>
  </si>
  <si>
    <t>Fabric type: EP ; Tensile strength: 400 N/mm ; Number of plies: 3 ; Topcover: 3 mm ; Bottomcover: 1 mm ; Beltwidth: 800 mm ; Profile height: 32 mm ; Profile width: 630 mm ; Profile type: open</t>
  </si>
  <si>
    <t>Carcasse: EP ; Résistance à la traction: 400 N/mm ; Nombre de plis: 3 ; Revêtement supérieur: 3 mm ; Revêtement inférieur: 1 mm ; Largeur de bande: 800 mm ; Hauteur du profil: 32 mm ; Largeur du profil: 630 mm ; Type de profil: Ouvert</t>
  </si>
  <si>
    <t>EP800PRH400/3-3+1-H75HY</t>
  </si>
  <si>
    <t>EP 400/3-3+1-BB800-profiel H75</t>
  </si>
  <si>
    <t>40,460</t>
  </si>
  <si>
    <t>Bandweefseltype: EP ; Treksterkte: 400 N/mm ; Aantal inlagen: 3 ; Bovendek: 3 mm ; Onderdek:  mm 1 ; Bandbreedte: 800 mm ; Profiel hoogte: 32 mm ; Profiel breedte: 750 mm ; Profiel type: open</t>
  </si>
  <si>
    <t>Gewebetype: EP ; Zugfestigkeit: 400 N/mm ; Anzahl Einlagen: 3 ; Oberdeck: 3 mm ; Unterdeck: 1 mm ; Gurtbreite: 800 mm ; Profilhöhe: 32 mm ; Profilbreite: 750 mm ; Profiltyp: offen</t>
  </si>
  <si>
    <t>Fabric type: EP ; Tensile strength: 400 N/mm ; Number of plies: 3 ; Topcover: 3 mm ; Bottomcover: 1 mm ; Beltwidth: 800 mm ; Profile height: 32 mm ; Profile width: 750 mm ; Profile type: open</t>
  </si>
  <si>
    <t>Carcasse: EP ; Résistance à la traction: 400 N/mm ; Nombre de plis: 3 ; Revêtement supérieur: 3 mm ; Revêtement inférieur: 1 mm ; Largeur de bande: 800 mm ; Hauteur du profil: 32 mm ; Largeur du profil: 750 mm ; Type de profil: Ouvert</t>
  </si>
  <si>
    <t>EP800PRH400/3-3+2-Y32P600HY</t>
  </si>
  <si>
    <t>EP 400/3-3+2,BB800-profiel Y32P600</t>
  </si>
  <si>
    <t>52,980</t>
  </si>
  <si>
    <t>Bandweefseltype: EP ; Treksterkte: 400 N/mm ; Aantal inlagen: 3 ; Bovendek: 3 mm ; Onderdek:  mm 2 ; Bandbreedte: 800 mm ; Profiel hoogte: 32 mm ; Profiel breedte: 600 mm ; Profiel type: gesloten Y</t>
  </si>
  <si>
    <t>Gewebetype: EP ; Zugfestigkeit: 400 N/mm ; Anzahl Einlagen: 3 ; Oberdeck: 3 mm ; Unterdeck: 2 mm ; Gurtbreite: 800 mm ; Profilhöhe: 32 mm ; Profilbreite: 600 mm ; Profiltyp: geschlossen Y</t>
  </si>
  <si>
    <t>Fabric type: EP ; Tensile strength: 400 N/mm ; Number of plies: 3 ; Topcover: 3 mm ; Bottomcover: 2 mm ; Beltwidth: 800 mm ; Profile height: 32 mm ; Profile width: 600 mm ; Profile type: closed Y</t>
  </si>
  <si>
    <t>Carcasse: EP ; Résistance à la traction: 400 N/mm ; Nombre de plis: 3 ; Revêtement supérieur: 3 mm ; Revêtement inférieur: 2 mm ; Largeur de bande: 800 mm ; Hauteur du profil: 32 mm ; Largeur du profil: 600 mm ; Type de profil: Y Fermé</t>
  </si>
  <si>
    <t>EP800PRH400/3-3+2-Y32P600JO</t>
  </si>
  <si>
    <t>Bandweefseltype: EP ; Treksterkte: 400 N/mm ; Aantal inlagen: 3 ; Bovendek: 3 mm ; Onderdek:  mm 2 ; Bandbreedte: 800 mm ; Profiel hoogte: 32 mm ; Profiel breedte: 600 mm ; Profiel type: open Y</t>
  </si>
  <si>
    <t>Gewebetype: EP ; Zugfestigkeit: 400 N/mm ; Anzahl Einlagen: 3 ; Oberdeck: 3 mm ; Unterdeck: 2 mm ; Gurtbreite: 800 mm ; Profilhöhe: 32 mm ; Profilbreite: 600 mm ; Profiltyp: offen Y</t>
  </si>
  <si>
    <t>Fabric type: EP ; Tensile strength: 400 N/mm ; Number of plies: 3 ; Topcover: 3 mm ; Bottomcover: 2 mm ; Beltwidth: 800 mm ; Profile height: 32 mm ; Profile width: 600 mm ; Profile type: open Y</t>
  </si>
  <si>
    <t>Carcasse: EP ; Résistance à la traction: 400 N/mm ; Nombre de plis: 3 ; Revêtement supérieur: 3 mm ; Revêtement inférieur: 2 mm ; Largeur de bande: 800 mm ; Hauteur du profil: 32 mm ; Largeur du profil: 600 mm ; Type de profil: Y Ouvert</t>
  </si>
  <si>
    <t>EP800PRH500/4-3+2-C32H58JO</t>
  </si>
  <si>
    <t>EP 500/4-3+2,BB800-profiel C32H58</t>
  </si>
  <si>
    <t>45,560</t>
  </si>
  <si>
    <t>Chevron, Standaard kwaliteit ; EP 500/4-3+2 met C32H58 profiel</t>
  </si>
  <si>
    <t>Chevron, Standardqualität ; EP 500/4-3+2 mit C32H58 Profil</t>
  </si>
  <si>
    <t>Chevron, Standard Quality ; EP 500/4-3+2 with C32H58 profile</t>
  </si>
  <si>
    <t>Chevron, Qualité standard ; EP 500/4-3+2 met C32H58 profil</t>
  </si>
  <si>
    <t>Bandweefseltype: EP ; Treksterkte: 500 N/mm ; Aantal inlagen: 4 ; Bovendek: 3 mm ; Onderdek:  mm 2 ; Bandbreedte: 800 mm ; Profiel hoogte: 32 mm ; Profiel breedte: 580 mm ; Profiel type: open</t>
  </si>
  <si>
    <t>Gewebetype: EP ; Zugfestigkeit: 500 N/mm ; Anzahl Einlagen: 4 ; Oberdeck: 3 mm ; Unterdeck: 2 mm ; Gurtbreite: 800 mm ; Profilhöhe: 32 mm ; Profilbreite: 580 mm ; Profiltyp: offen</t>
  </si>
  <si>
    <t>Fabric type: EP ; Tensile strength: 500 N/mm ; Number of plies: 4 ; Topcover: 3 mm ; Bottomcover: 2 mm ; Beltwidth: 800 mm ; Profile height: 32 mm ; Profile width: 580 mm ; Profile type: open</t>
  </si>
  <si>
    <t>Carcasse: EP ; Résistance à la traction: 500 N/mm ; Nombre de plis: 4 ; Revêtement supérieur: 3 mm ; Revêtement inférieur: 2 mm ; Largeur de bande: 800 mm ; Hauteur du profil: 32 mm ; Largeur du profil: 580 mm ; Type de profil: Ouvert</t>
  </si>
  <si>
    <t>EP800PRH500/4-3+2-Y32P600HY</t>
  </si>
  <si>
    <t>EP 500/4-3+2,BB800-profiel Y32P600</t>
  </si>
  <si>
    <t>54,940</t>
  </si>
  <si>
    <t>Chevron, Standaard kwaliteit ; EP 500/4-3+2 met Y32P600 profiel</t>
  </si>
  <si>
    <t>Chevron, Standardqualität ; EP 500/4-3+2 mit Y32P600 Profil</t>
  </si>
  <si>
    <t>Chevron, Standard Quality ; EP 500/4-3+2 with Y32P600 profile</t>
  </si>
  <si>
    <t>Chevron, Qualité standard ; EP 500/4-3+2 met Y32P600 profil</t>
  </si>
  <si>
    <t>Bandweefseltype: EP ; Treksterkte: 500 N/mm ; Aantal inlagen: 4 ; Bovendek: 3 mm ; Onderdek:  mm 2 ; Bandbreedte: 800 mm ; Profiel hoogte: 32 mm ; Profiel breedte: 600 mm ; Profiel type: open</t>
  </si>
  <si>
    <t>Gewebetype: EP ; Zugfestigkeit: 500 N/mm ; Anzahl Einlagen: 4 ; Oberdeck: 3 mm ; Unterdeck: 2 mm ; Gurtbreite: 800 mm ; Profilhöhe: 32 mm ; Profilbreite: 600 mm ; Profiltyp: offen</t>
  </si>
  <si>
    <t>Fabric type: EP ; Tensile strength: 500 N/mm ; Number of plies: 4 ; Topcover: 3 mm ; Bottomcover: 2 mm ; Beltwidth: 800 mm ; Profile height: 32 mm ; Profile width: 600 mm ; Profile type: open</t>
  </si>
  <si>
    <t>Carcasse: EP ; Résistance à la traction: 500 N/mm ; Nombre de plis: 4 ; Revêtement supérieur: 3 mm ; Revêtement inférieur: 2 mm ; Largeur de bande: 800 mm ; Hauteur du profil: 32 mm ; Largeur du profil: 600 mm ; Type de profil: Ouvert</t>
  </si>
  <si>
    <t>EP800PRL250/2-2+0-ZIG-3MMAR</t>
  </si>
  <si>
    <t>EP 250/2-2+0,BB800, Zig-Zag profiel 3 mm - Glij</t>
  </si>
  <si>
    <t>19,350</t>
  </si>
  <si>
    <t>EP800PRL250/2-3+1½-C15P385SH</t>
  </si>
  <si>
    <t>EP 250/2-3+1½,BB800-profiel C15P385</t>
  </si>
  <si>
    <t>49,550</t>
  </si>
  <si>
    <t>8,910</t>
  </si>
  <si>
    <t>Bandweefseltype: EP ; Treksterkte: 250 N/mm ; Aantal inlagen: 2 ; Bovendek: 3 mm ; Onderdek:  mm 1½ ; Bandbreedte: 800 mm ; Profiel hoogte: 15 mm ; Profiel breedte: 385 mm ; Profiel type: open V</t>
  </si>
  <si>
    <t>Gewebetype: EP ; Zugfestigkeit: 250 N/mm ; Anzahl Einlagen: 2 ; Oberdeck: 3 mm ; Unterdeck: 1½ mm ; Gurtbreite: 800 mm ; Profilhöhe: 15 mm ; Profilbreite: 385 mm ; Profiltyp: offen V</t>
  </si>
  <si>
    <t>Fabric type: EP ; Tensile strength: 250 N/mm ; Number of plies: 2 ; Topcover: 3 mm ; Bottomcover: 1½ mm ; Beltwidth: 800 mm ; Profile height: 15 mm ; Profile width: 385 mm ; Profile type: open V</t>
  </si>
  <si>
    <t>Carcasse: EP ; Résistance à la traction: 250 N/mm ; Nombre de plis: 2 ; Revêtement supérieur: 3 mm ; Revêtement inférieur: 1½ mm ; Largeur de bande: 800 mm ; Hauteur du profil: 15 mm ; Largeur du profil: 385 mm ; Type de profil: V Ouvert</t>
  </si>
  <si>
    <t>EP800PRL250/2-3+1½-C15P600FF</t>
  </si>
  <si>
    <t>EP 250/2-3+1½,BB800-profiel C15P600</t>
  </si>
  <si>
    <t>21,920</t>
  </si>
  <si>
    <t>Bandweefseltype: EP ; Treksterkte: 250 N/mm ; Aantal inlagen: 2 ; Bovendek: 3 mm ; Onderdek:  mm 1½ ; Bandbreedte: 800 mm ; Profiel hoogte: 15 mm ; Profiel breedte: 600 mm ; Profiel type: open V</t>
  </si>
  <si>
    <t>Gewebetype: EP ; Zugfestigkeit: 250 N/mm ; Anzahl Einlagen: 2 ; Oberdeck: 3 mm ; Unterdeck: 1½ mm ; Gurtbreite: 800 mm ; Profilhöhe: 15 mm ; Profilbreite: 600 mm ; Profiltyp: offen V</t>
  </si>
  <si>
    <t>Fabric type: EP ; Tensile strength: 250 N/mm ; Number of plies: 2 ; Topcover: 3 mm ; Bottomcover: 1½ mm ; Beltwidth: 800 mm ; Profile height: 15 mm ; Profile width: 600 mm ; Profile type: open V</t>
  </si>
  <si>
    <t>Carcasse: EP ; Résistance à la traction: 250 N/mm ; Nombre de plis: 2 ; Revêtement supérieur: 3 mm ; Revêtement inférieur: 1½ mm ; Largeur de bande: 800 mm ; Hauteur du profil: 15 mm ; Largeur du profil: 600 mm ; Type de profil: V Ouvert</t>
  </si>
  <si>
    <t>EP800PRL250/2-3+1½-C15P600JO</t>
  </si>
  <si>
    <t>EP800PRL250/2-3+1½-C15P600SH</t>
  </si>
  <si>
    <t>17,830</t>
  </si>
  <si>
    <t>EP800PRL250/2-3+1-L55JO</t>
  </si>
  <si>
    <t>EP 250/2-3+1,BB800-profiel L55</t>
  </si>
  <si>
    <t>Bandweefseltype: EP ; Treksterkte: 250 N/mm ; Aantal inlagen: 2 ; Bovendek: 3 mm ; Onderdek:  mm 1 ; Bandbreedte: 800 mm ; Profiel hoogte: 17 mm ; Profiel breedte: 550 mm ; Profiel type: open Y</t>
  </si>
  <si>
    <t>Gewebetype: EP ; Zugfestigkeit: 250 N/mm ; Anzahl Einlagen: 2 ; Oberdeck: 3 mm ; Unterdeck: 1 mm ; Gurtbreite: 800 mm ; Profilhöhe: 17 mm ; Profilbreite: 550 mm ; Profiltyp: offen Y</t>
  </si>
  <si>
    <t>Fabric type: EP ; Tensile strength: 250 N/mm ; Number of plies: 2 ; Topcover: 3 mm ; Bottomcover: 1 mm ; Beltwidth: 800 mm ; Profile height: 17 mm ; Profile width: 550 mm ; Profile type: open Y</t>
  </si>
  <si>
    <t>Carcasse: EP ; Résistance à la traction: 250 N/mm ; Nombre de plis: 2 ; Revêtement supérieur: 3 mm ; Revêtement inférieur: 1 mm ; Largeur de bande: 800 mm ; Hauteur du profil: 17 mm ; Largeur du profil: 550 mm ; Type de profil: Y Ouvert</t>
  </si>
  <si>
    <t>EP800PRL250/2-3+1-L63HY</t>
  </si>
  <si>
    <t>EP 250/2-3+1,BB800-profiel L63</t>
  </si>
  <si>
    <t>30,080</t>
  </si>
  <si>
    <t>Bandweefseltype: EP ; Treksterkte: 250 N/mm ; Aantal inlagen: 2 ; Bovendek: 3 mm ; Onderdek:  mm 1 ; Bandbreedte: 800 mm ; Profiel hoogte: 17 mm ; Profiel breedte: 630 mm ; Profiel type: open Y</t>
  </si>
  <si>
    <t>Gewebetype: EP ; Zugfestigkeit: 250 N/mm ; Anzahl Einlagen: 2 ; Oberdeck: 3 mm ; Unterdeck: 1 mm ; Gurtbreite: 800 mm ; Profilhöhe: 17 mm ; Profilbreite: 630 mm ; Profiltyp: offen Y</t>
  </si>
  <si>
    <t>Fabric type: EP ; Tensile strength: 250 N/mm ; Number of plies: 2 ; Topcover: 3 mm ; Bottomcover: 1 mm ; Beltwidth: 800 mm ; Profile height: 17 mm ; Profile width: 630 mm ; Profile type: open Y</t>
  </si>
  <si>
    <t>Carcasse: EP ; Résistance à la traction: 250 N/mm ; Nombre de plis: 2 ; Revêtement supérieur: 3 mm ; Revêtement inférieur: 1 mm ; Largeur de bande: 800 mm ; Hauteur du profil: 17 mm ; Largeur du profil: 630 mm ; Type de profil: Y Ouvert</t>
  </si>
  <si>
    <t>EP800PRL250/2-3+1-L63JO</t>
  </si>
  <si>
    <t>EP800PRL250/2-3+1-L63-TT</t>
  </si>
  <si>
    <t>22,379</t>
  </si>
  <si>
    <t>EP800PRL250/2-3+1-L75HY</t>
  </si>
  <si>
    <t>EP 250/2-3+1-BB800-profiel L75</t>
  </si>
  <si>
    <t>27,160</t>
  </si>
  <si>
    <t>Bandweefseltype: EP ; Treksterkte: 250 N/mm ; Aantal inlagen: 2 ; Bovendek: 3 mm ; Onderdek:  mm 1 ; Bandbreedte: 800 mm ; Profiel hoogte: 17 mm ; Profiel breedte: 750 mm ; Profiel type: open Y</t>
  </si>
  <si>
    <t>Gewebetype: EP ; Zugfestigkeit: 250 N/mm ; Anzahl Einlagen: 2 ; Oberdeck: 3 mm ; Unterdeck: 1 mm ; Gurtbreite: 800 mm ; Profilhöhe: 17 mm ; Profilbreite: 750 mm ; Profiltyp: offen Y</t>
  </si>
  <si>
    <t>Fabric type: EP ; Tensile strength: 250 N/mm ; Number of plies: 2 ; Topcover: 3 mm ; Bottomcover: 1 mm ; Beltwidth: 800 mm ; Profile height: 17 mm ; Profile width: 750 mm ; Profile type: open Y</t>
  </si>
  <si>
    <t>Carcasse: EP ; Résistance à la traction: 250 N/mm ; Nombre de plis: 2 ; Revêtement supérieur: 3 mm ; Revêtement inférieur: 1 mm ; Largeur de bande: 800 mm ; Hauteur du profil: 17 mm ; Largeur du profil: 750 mm ; Type de profil: Y Ouvert</t>
  </si>
  <si>
    <t>EP800PRL250/2-3+1-L75JO</t>
  </si>
  <si>
    <t>23,290</t>
  </si>
  <si>
    <t>EP800PRL250/2-3+1-L75-TT</t>
  </si>
  <si>
    <t>EP 250/2-3+1,BB800-profiel L75</t>
  </si>
  <si>
    <t>EP800PRL250/2-3+2-MULTIVHY</t>
  </si>
  <si>
    <t>EP 250/2-3+2,BB800-Multi V profiel 6 mm</t>
  </si>
  <si>
    <t>Bandweefseltype: EP ; Treksterkte: 250 N/mm ; Aantal inlagen: 2 ; Bovendek: 3 mm ; Onderdek: 2 mm ; Bandbreedte: 800 mm ; Profiel hoogte: 6 mm ; Profiel breedte: Volledige bandbreedte ; Type: V6</t>
  </si>
  <si>
    <t>Gewebetype: EP ; Zugfestigkeit: 250 N/mm ; Anzahl Einlagen: 2 ; Oberdeck: 3 mm ; Unterdeck: 2 mm ; Gurtbreite: 800 mm ; Profilhöhe: 6 mm ; Profilbreite: Komplette Gurtbreite ; Profiltyp: V6</t>
  </si>
  <si>
    <t>Fabric type: EP ; Tensile strength: 250 N/mm ; Number of plies: 2 ; Topcover: 3 mm ; Bottomcover: 2 mm ; Beltwidth: 800 mm ; Profile height: 6 mm ; Profile width: Full belt width ; Profile type: V6</t>
  </si>
  <si>
    <t>Carcasse: EP ; Résistance à la traction: 250 N/mm ; Nombre de plis: 2 ; Revêtement supérieur: 3 mm ; Revêtement inférieur: 2 mm ; Largeur de bande: 800 mm ; Hauteur du profil: 6 mm ; Largeur du profil: Sur toute la largeur ; Type de profil: V6</t>
  </si>
  <si>
    <t>EP800PRL250/2-3+2-MULTIVSH</t>
  </si>
  <si>
    <t>Bandweefseltype: EP ; Treksterkte: 250 N/mm ; Aantal inlagen: 2 ; Bovendek: 3 mm ; Onderdek: 2 mm ; Bandbreedte: 800 mm ; Profiel hoogte: 6 mm ; Profiel breedte: Volledige bandbreedte ; Type: V7</t>
  </si>
  <si>
    <t>Gewebetype: EP ; Zugfestigkeit: 250 N/mm ; Anzahl Einlagen: 2 ; Oberdeck: 3 mm ; Unterdeck: 2 mm ; Gurtbreite: 800 mm ; Profilhöhe: 6 mm ; Profilbreite: Komplette Gurtbreite ; Profiltyp: V7</t>
  </si>
  <si>
    <t>Fabric type: EP ; Tensile strength: 250 N/mm ; Number of plies: 2 ; Topcover: 3 mm ; Bottomcover: 2 mm ; Beltwidth: 800 mm ; Profile height: 6 mm ; Profile width: Full belt width ; Profile type: V7</t>
  </si>
  <si>
    <t>Carcasse: EP ; Résistance à la traction: 250 N/mm ; Nombre de plis: 2 ; Revêtement supérieur: 3 mm ; Revêtement inférieur: 2 mm ; Largeur de bande: 800 mm ; Hauteur du profil: 6 mm ; Largeur du profil: Sur toute la largeur ; Type de profil: V7</t>
  </si>
  <si>
    <t>EP800PRL400/3-3+1½-C13U600TA</t>
  </si>
  <si>
    <t>EP 400/3-3+1½,BB800-profiel U18</t>
  </si>
  <si>
    <t>29,870</t>
  </si>
  <si>
    <t>EP800PRL400/3-3+1½-C15P385FF</t>
  </si>
  <si>
    <t>EP 400/3-3+1½,BB800-profiel C15P385</t>
  </si>
  <si>
    <t>25,040</t>
  </si>
  <si>
    <t>Bandweefseltype: EP ; Treksterkte: 400 N/mm ; Aantal inlagen: 3 ; Bovendek: 3 mm ; Onderdek:  mm 1½ ; Bandbreedte: 800 mm ; Profiel hoogte: 15 mm ; Profiel breedte: 385 mm ; Profiel type: open V</t>
  </si>
  <si>
    <t>Gewebetype: EP ; Zugfestigkeit: 400 N/mm ; Anzahl Einlagen: 3 ; Oberdeck: 3 mm ; Unterdeck: 1½ mm ; Gurtbreite: 800 mm ; Profilhöhe: 15 mm ; Profilbreite: 385 mm ; Profiltyp: offen V</t>
  </si>
  <si>
    <t>Fabric type: EP ; Tensile strength: 400 N/mm ; Number of plies: 3 ; Topcover: 3 mm ; Bottomcover: 1½ mm ; Beltwidth: 800 mm ; Profile height: 15 mm ; Profile width: 385 mm ; Profile type: open V</t>
  </si>
  <si>
    <t>Carcasse: EP ; Résistance à la traction: 400 N/mm ; Nombre de plis: 3 ; Revêtement supérieur: 3 mm ; Revêtement inférieur: 1½ mm ; Largeur de bande: 800 mm ; Hauteur du profil: 15 mm ; Largeur du profil: 385 mm ; Type de profil: V Ouvert</t>
  </si>
  <si>
    <t>EP800PRL400/3-3+1½-C15P385HY</t>
  </si>
  <si>
    <t>EP800PRL400/3-3+1½-C15P385JO</t>
  </si>
  <si>
    <t>22,510</t>
  </si>
  <si>
    <t>EP800PRL400/3-3+1½-C15P385SH</t>
  </si>
  <si>
    <t>20,610</t>
  </si>
  <si>
    <t>EP800PRL400/3-3+1½-C15P600FF</t>
  </si>
  <si>
    <t>EP 400/3-3+1½,BB800-profiel C15P600</t>
  </si>
  <si>
    <t>EP800PRL400/3-3+1½-C15P600JO</t>
  </si>
  <si>
    <t>Bandweefseltype: EP ; Treksterkte: 400 N/mm ; Aantal inlagen: 3 ; Bovendek: 3 mm ; Onderdek:  mm 1½ ; Bandbreedte: 800 mm ; Profiel hoogte: 15 mm ; Profiel breedte: 600 mm ; Profiel type: open V</t>
  </si>
  <si>
    <t>Gewebetype: EP ; Zugfestigkeit: 400 N/mm ; Anzahl Einlagen: 3 ; Oberdeck: 3 mm ; Unterdeck: 1½ mm ; Gurtbreite: 800 mm ; Profilhöhe: 15 mm ; Profilbreite: 600 mm ; Profiltyp: offen V</t>
  </si>
  <si>
    <t>Fabric type: EP ; Tensile strength: 400 N/mm ; Number of plies: 3 ; Topcover: 3 mm ; Bottomcover: 1½ mm ; Beltwidth: 800 mm ; Profile height: 15 mm ; Profile width: 600 mm ; Profile type: open V</t>
  </si>
  <si>
    <t>Carcasse: EP ; Résistance à la traction: 400 N/mm ; Nombre de plis: 3 ; Revêtement supérieur: 3 mm ; Revêtement inférieur: 1½ mm ; Largeur de bande: 800 mm ; Hauteur du profil: 15 mm ; Largeur du profil: 600 mm ; Type de profil: V Ouvert</t>
  </si>
  <si>
    <t>EP800PRL400/3-3+1½-C15P600KA</t>
  </si>
  <si>
    <t>21,350</t>
  </si>
  <si>
    <t>EP800PRL400/3-3+1½-C15P600SH</t>
  </si>
  <si>
    <t>17,680</t>
  </si>
  <si>
    <t>EP800PRL400/3-3+1½-C15P600YO</t>
  </si>
  <si>
    <t>10,150</t>
  </si>
  <si>
    <t>EP800PRL400/3-3+1½-ES13½KA</t>
  </si>
  <si>
    <t>EP 400/3-3+1½,BB800-profiel ES13½</t>
  </si>
  <si>
    <t>21,620</t>
  </si>
  <si>
    <t>Bandweefseltype: EP ; Treksterkte: 400 N/mm ; Aantal inlagen: 3 ; Bovendek: 3 mm ; Onderdek:  mm 1½ ; Bandbreedte: 800 mm ; Profiel hoogte: 13½ mm ; Profiel breedte: Volledige bandbreedte ; Profiel type: Gesloten V</t>
  </si>
  <si>
    <t>Gewebetype: EP ; Zugfestigkeit: 400 N/mm ; Anzahl Einlagen: 3 ; Oberdeck: 3 mm ; Unterdeck: 1½ mm ; Gurtbreite: 800 mm ; Profilhöhe: 13½ mm ; Profilbreite: Komplette Gurtbreite ; Profiltyp: Geschlossen V</t>
  </si>
  <si>
    <t>Fabric type: EP ; Tensile strength: 400 N/mm ; Number of plies: 3 ; Topcover: 3 mm ; Bottomcover: 1½ mm ; Beltwidth: 800 mm ; Profile height: 13½ mm ; Profile width: Full belt width ; Profile type: Closed V</t>
  </si>
  <si>
    <t>Carcasse: EP ; Résistance à la traction: 400 N/mm ; Nombre de plis: 3 ; Revêtement supérieur: 3 mm ; Revêtement inférieur: 1½ mm ; Largeur de bande: 800 mm ; Hauteur du profil: 13½ mm ; Largeur du profil: Sur toute la largeur ; Type de profil: V Fermé</t>
  </si>
  <si>
    <t>EP800PRL400/3-3+1-L44FF</t>
  </si>
  <si>
    <t>EP 400/3-3+1,BB800-profiel L44</t>
  </si>
  <si>
    <t>Bandweefseltype: EP ; Treksterkte: 400 N/mm ; Aantal inlagen: 3 ; Bovendek: 3 mm ; Onderdek:  mm 1 ; Bandbreedte: 800 mm ; Profiel hoogte: 17 mm ; Profiel breedte: 440 mm ; Profiel type: open Y</t>
  </si>
  <si>
    <t>Gewebetype: EP ; Zugfestigkeit: 400 N/mm ; Anzahl Einlagen: 3 ; Oberdeck: 3 mm ; Unterdeck: 1 mm ; Gurtbreite: 800 mm ; Profilhöhe: 17 mm ; Profilbreite: 440 mm ; Profiltyp: offen Y</t>
  </si>
  <si>
    <t>Fabric type: EP ; Tensile strength: 400 N/mm ; Number of plies: 3 ; Topcover: 3 mm ; Bottomcover: 1 mm ; Beltwidth: 800 mm ; Profile height: 17 mm ; Profile width: 440 mm ; Profile type: open Y</t>
  </si>
  <si>
    <t>Carcasse: EP ; Résistance à la traction: 400 N/mm ; Nombre de plis: 3 ; Revêtement supérieur: 3 mm ; Revêtement inférieur: 1 mm ; Largeur de bande: 800 mm ; Hauteur du profil: 17 mm ; Largeur du profil: 440 mm ; Type de profil: Y Ouvert</t>
  </si>
  <si>
    <t>EP800PRL400/3-3+1-L44HY</t>
  </si>
  <si>
    <t>EP800PRL400/3-3+1-L44JO</t>
  </si>
  <si>
    <t>25,290</t>
  </si>
  <si>
    <t>EP800PRL400/3-3+1-L44KA</t>
  </si>
  <si>
    <t>27,190</t>
  </si>
  <si>
    <t>EP800PRL400/3-3+1-L55FF</t>
  </si>
  <si>
    <t>EP 400/3-3+1,BB800-profiel L55</t>
  </si>
  <si>
    <t>27,780</t>
  </si>
  <si>
    <t>Bandweefseltype: EP ; Treksterkte: 400 N/mm ; Aantal inlagen: 3 ; Bovendek: 3 mm ; Onderdek:  mm 1 ; Bandbreedte: 800 mm ; Profiel hoogte: 17 mm ; Profiel breedte: 550 mm ; Profiel type: open Y</t>
  </si>
  <si>
    <t>Gewebetype: EP ; Zugfestigkeit: 400 N/mm ; Anzahl Einlagen: 3 ; Oberdeck: 3 mm ; Unterdeck: 1 mm ; Gurtbreite: 800 mm ; Profilhöhe: 17 mm ; Profilbreite: 550 mm ; Profiltyp: offen Y</t>
  </si>
  <si>
    <t>Fabric type: EP ; Tensile strength: 400 N/mm ; Number of plies: 3 ; Topcover: 3 mm ; Bottomcover: 1 mm ; Beltwidth: 800 mm ; Profile height: 17 mm ; Profile width: 550 mm ; Profile type: open Y</t>
  </si>
  <si>
    <t>Carcasse: EP ; Résistance à la traction: 400 N/mm ; Nombre de plis: 3 ; Revêtement supérieur: 3 mm ; Revêtement inférieur: 1 mm ; Largeur de bande: 800 mm ; Hauteur du profil: 17 mm ; Largeur du profil: 550 mm ; Type de profil: Y Ouvert</t>
  </si>
  <si>
    <t>EP800PRL400/3-3+1-L55JO</t>
  </si>
  <si>
    <t>EP800PRL400/3-3+1-L63DA</t>
  </si>
  <si>
    <t>EP 400/3-3+1,BB800-profiel L63</t>
  </si>
  <si>
    <t>Bandweefseltype: EP ; Treksterkte: 400 N/mm ; Aantal inlagen: 3 ; Bovendek: 3 mm ; Onderdek:  mm 1 ; Bandbreedte: 800 mm ; Profiel hoogte: 17 mm ; Profiel breedte: 630 mm ; Profiel type: open Y</t>
  </si>
  <si>
    <t>Gewebetype: EP ; Zugfestigkeit: 400 N/mm ; Anzahl Einlagen: 3 ; Oberdeck: 3 mm ; Unterdeck: 1 mm ; Gurtbreite: 800 mm ; Profilhöhe: 17 mm ; Profilbreite: 630 mm ; Profiltyp: offen Y</t>
  </si>
  <si>
    <t>Fabric type: EP ; Tensile strength: 400 N/mm ; Number of plies: 3 ; Topcover: 3 mm ; Bottomcover: 1 mm ; Beltwidth: 800 mm ; Profile height: 17 mm ; Profile width: 630 mm ; Profile type: open Y</t>
  </si>
  <si>
    <t>Carcasse: EP ; Résistance à la traction: 400 N/mm ; Nombre de plis: 3 ; Revêtement supérieur: 3 mm ; Revêtement inférieur: 1 mm ; Largeur de bande: 800 mm ; Hauteur du profil: 17 mm ; Largeur du profil: 630 mm ; Type de profil: Y Ouvert</t>
  </si>
  <si>
    <t>EP800PRL400/3-3+1-L63FF</t>
  </si>
  <si>
    <t>EP800PRL400/3-3+1-L63HY</t>
  </si>
  <si>
    <t>EP800PRL400/3-3+1-L63JO</t>
  </si>
  <si>
    <t>25,280</t>
  </si>
  <si>
    <t>EP800PRL400/3-3+1-L63KA</t>
  </si>
  <si>
    <t>25,660</t>
  </si>
  <si>
    <t>EP800PRL400/3-3+1-L75HY</t>
  </si>
  <si>
    <t>EP 400/3-3+1,BB800-profiel L75</t>
  </si>
  <si>
    <t>60,250</t>
  </si>
  <si>
    <t>30,200</t>
  </si>
  <si>
    <t>Bandweefseltype: EP ; Treksterkte: 400 N/mm ; Aantal inlagen: 3 ; Bovendek: 3 mm ; Onderdek:  mm 1 ; Bandbreedte: 800 mm ; Profiel hoogte: 17 mm ; Profiel breedte: 750 mm ; Profiel type: open Y</t>
  </si>
  <si>
    <t>Gewebetype: EP ; Zugfestigkeit: 400 N/mm ; Anzahl Einlagen: 3 ; Oberdeck: 3 mm ; Unterdeck: 1 mm ; Gurtbreite: 800 mm ; Profilhöhe: 17 mm ; Profilbreite: 750 mm ; Profiltyp: offen Y</t>
  </si>
  <si>
    <t>Fabric type: EP ; Tensile strength: 400 N/mm ; Number of plies: 3 ; Topcover: 3 mm ; Bottomcover: 1 mm ; Beltwidth: 800 mm ; Profile height: 17 mm ; Profile width: 750 mm ; Profile type: open Y</t>
  </si>
  <si>
    <t>Carcasse: EP ; Résistance à la traction: 400 N/mm ; Nombre de plis: 3 ; Revêtement supérieur: 3 mm ; Revêtement inférieur: 1 mm ; Largeur de bande: 800 mm ; Hauteur du profil: 17 mm ; Largeur du profil: 750 mm ; Type de profil: Y Ouvert</t>
  </si>
  <si>
    <t>EP800PRL400/3-3+1-L75JO</t>
  </si>
  <si>
    <t>22,950</t>
  </si>
  <si>
    <t>EP800PRL400/3-3+2-MULTIVHY</t>
  </si>
  <si>
    <t>EP 400/3-3+2,BB800-Multi V profiel 6 mm</t>
  </si>
  <si>
    <t>36,510</t>
  </si>
  <si>
    <t>Bandweefseltype: EP ; Treksterkte: 400 N/mm ; Aantal inlagen: 3 ; Bovendek: 3 mm ; Onderdek: 2 mm ; Bandbreedte: 800 mm ; Profiel hoogte: 6 mm ; Profiel breedte: Volledige bandbreedte ; Type: V6</t>
  </si>
  <si>
    <t>Gewebetype: EP ; Zugfestigkeit: 400 N/mm ; Anzahl Einlagen: 3 ; Oberdeck: 3 mm ; Unterdeck: 2 mm ; Gurtbreite: 800 mm ; Profilhöhe: 6 mm ; Profilbreite: Komplette Gurtbreite ; Profiltyp: V6</t>
  </si>
  <si>
    <t>Fabric type: EP ; Tensile strength: 400 N/mm ; Number of plies: 3 ; Topcover: 3 mm ; Bottomcover: 2 mm ; Beltwidth: 800 mm ; Profile height: 6 mm ; Profile width: Full belt width ; Profile type: V6</t>
  </si>
  <si>
    <t>Carcasse: EP ; Résistance à la traction: 400 N/mm ; Nombre de plis: 3 ; Revêtement supérieur: 3 mm ; Revêtement inférieur: 2 mm ; Largeur de bande: 800 mm ; Hauteur du profil: 6 mm ; Largeur du profil: Sur toute la largeur ; Type de profil: V6</t>
  </si>
  <si>
    <t>EP800PRL400/3-3+2-MULTIVSH</t>
  </si>
  <si>
    <t>22,520</t>
  </si>
  <si>
    <t>Bandweefseltype: EP ; Treksterkte: 400 N/mm ; Aantal inlagen: 3 ; Bovendek: 3 mm ; Onderdek: 2 mm ; Bandbreedte: 800 mm ; Profiel hoogte: 6 mm ; Profiel breedte: Volledige bandbreedte ; Type: V7</t>
  </si>
  <si>
    <t>Gewebetype: EP ; Zugfestigkeit: 400 N/mm ; Anzahl Einlagen: 3 ; Oberdeck: 3 mm ; Unterdeck: 2 mm ; Gurtbreite: 800 mm ; Profilhöhe: 6 mm ; Profilbreite: Komplette Gurtbreite ; Profiltyp: V7</t>
  </si>
  <si>
    <t>Fabric type: EP ; Tensile strength: 400 N/mm ; Number of plies: 3 ; Topcover: 3 mm ; Bottomcover: 2 mm ; Beltwidth: 800 mm ; Profile height: 6 mm ; Profile width: Full belt width ; Profile type: V7</t>
  </si>
  <si>
    <t>Carcasse: EP ; Résistance à la traction: 400 N/mm ; Nombre de plis: 3 ; Revêtement supérieur: 3 mm ; Revêtement inférieur: 2 mm ; Largeur de bande: 800 mm ; Hauteur du profil: 6 mm ; Largeur du profil: Sur toute la largeur ; Type de profil: V7</t>
  </si>
  <si>
    <t>EP800PRL500/4-4+2-MULTIVJO</t>
  </si>
  <si>
    <t>EP 500/4-4+2,BB800-Multi V profiel 6 mm</t>
  </si>
  <si>
    <t>EP800PRM400/3-3+1½-C25P550+SH</t>
  </si>
  <si>
    <t>EP 400/3-3+1½,BB800-profiel C25P550+</t>
  </si>
  <si>
    <t>26,083</t>
  </si>
  <si>
    <t>Bandweefseltype: EP ; Treksterkte: 400 N/mm ; Aantal inlagen: 3 ; Bovendek: 3 mm ; Onderdek:  1½ mm ; Bandbreedte: 800 mm ; Profiel hoogte: 25 mm ; Profiel breedte: 550 mm ; Profiel type: open</t>
  </si>
  <si>
    <t>Gewebetype: EP ; Zugfestigkeit: 400 N/mm ; Anzahl Einlagen: 3 ; Oberdeck: 3 mm ; Unterdeck: 1½ mm ; Gurtbreite: 800 mm ; Profilhöhe: 25 mm ; Profilbreite: 550 mm ; Profiltyp: offen</t>
  </si>
  <si>
    <t>Fabric type: EP ; Tensile strength: 400 N/mm ; Number of plies: 3 ; Topcover: 3 mm ; Bottomcover: 1½ mm ; Beltwidth: 800 mm ; Profile height: 25 mm ; Profile width: 550 mm ; Profile type: open</t>
  </si>
  <si>
    <t>Carcasse: EP ; Résistance à la traction: 400 N/mm ; Nombre de plis: 3 ; Revêtement supérieur: 3 mm ; Revêtement inférieur: 1½ mm ; Largeur de bande: 800 mm ; Hauteur du profil: 25 mm ; Largeur du profil: 750 mm ; Type de profil: Ouvert</t>
  </si>
  <si>
    <t>EP800PRM400/3-3+1½-C25P550HY</t>
  </si>
  <si>
    <t>EP 400/3-3+1½,BB800-profiel C25P550</t>
  </si>
  <si>
    <t>35,900</t>
  </si>
  <si>
    <t>EP800PRM400/3-3+1½-C25P550JO</t>
  </si>
  <si>
    <t>27,820</t>
  </si>
  <si>
    <t>EP800PRM400/3-3+1½-C25P550KA</t>
  </si>
  <si>
    <t>24,310</t>
  </si>
  <si>
    <t>EP800PRM400/3-3+1½-C25P550LB</t>
  </si>
  <si>
    <t>36,920</t>
  </si>
  <si>
    <t>EP800PRM400/3-3+1½-C25P750HY</t>
  </si>
  <si>
    <t>EP 400/3-3+1½,BB800-profiel C25P750</t>
  </si>
  <si>
    <t>49,000</t>
  </si>
  <si>
    <t>32,650</t>
  </si>
  <si>
    <t>Bandweefseltype: EP ; Treksterkte: 400 N/mm ; Aantal inlagen: 3 ; Bovendek: 3 mm ; Onderdek:  1½ mm ; Bandbreedte: 800 mm ; Profiel hoogte: 25 mm ; Profiel breedte: 750 mm ; Profiel type: open</t>
  </si>
  <si>
    <t>Gewebetype: EP ; Zugfestigkeit: 400 N/mm ; Anzahl Einlagen: 3 ; Oberdeck: 3 mm ; Unterdeck: 1½ mm ; Gurtbreite: 800 mm ; Profilhöhe: 25 mm ; Profilbreite: 750 mm ; Profiltyp: offen</t>
  </si>
  <si>
    <t>Fabric type: EP ; Tensile strength: 400 N/mm ; Number of plies: 3 ; Topcover: 3 mm ; Bottomcover: 1½ mm ; Beltwidth: 800 mm ; Profile height: 25 mm ; Profile width: 750 mm ; Profile type: open</t>
  </si>
  <si>
    <t>EP800PRM400/3-3+1½-C25P750JO</t>
  </si>
  <si>
    <t>EP800PRM400/3-3+1½-C25P750SH</t>
  </si>
  <si>
    <t>18,258</t>
  </si>
  <si>
    <t>EP800SGG250/2-3+0HY</t>
  </si>
  <si>
    <t>EP 250/2-3+0,BB800, Supergrip/glijband</t>
  </si>
  <si>
    <t>13,340</t>
  </si>
  <si>
    <t>Bandweefseltype: EP ; Treksterkte: 250 N/mm ; Aantal inlagen: 2 ; Bovendek: 3 mm ; Onderdek: 0 mm ; Bandbreedte: 800 mm ; Supergrip / Rough Top Zwart</t>
  </si>
  <si>
    <t>Gewebetype: EP ; Zugfestigkeit: 250 N/mm ; Anzahl Einlagen: 2 ; Oberdeck: 3 mm ; Unterdeck: 0 mm ; Gurtbreite: 800 mm ; Supergrip / Rough Top Schwarz</t>
  </si>
  <si>
    <t>Fabric type: EP ; Tensile strength: 250 N/mm ; Number of plies: 2 ; Topcover: 3 mm ; Bottomcover: 0 mm ; Beltwidth: 800 mm ; Supergrip / Rough Top Black</t>
  </si>
  <si>
    <t>Carcasse: EP ; Tension de service: 250 N/mm ; Nombre de plis: 2 ; Revêtement supérieur: 3 mm ; Revêtement inférieur: 0 mm ; Largeur de bande: 800 mm ; Nid d'abeille Noir</t>
  </si>
  <si>
    <t>EP800SGG400/3-3+0HY</t>
  </si>
  <si>
    <t>EP 400/3-3+0,BB800, Supergrip/glijband</t>
  </si>
  <si>
    <t>Bandweefseltype: EP ; Treksterkte: 400 N/mm ; Aantal inlagen: 3 ; Bovendek: 3 mm ; Onderdek: 0 mm ; Bandbreedte: 800 mm ; Supergrip / Rough Top Zwart</t>
  </si>
  <si>
    <t>Gewebetype: EP ; Zugfestigkeit: 400 N/mm ; Anzahl Einlagen: 3 ; Oberdeck: 3 mm ; Unterdeck: 0 mm ; Gurtbreite: 800 mm ; Supergrip / Rough Top Schwarz</t>
  </si>
  <si>
    <t>Fabric type: EP ; Tensile strength: 400 N/mm ; Number of plies: 3 ; Topcover: 3 mm ; Bottomcover: 0 mm ; Beltwidth: 800 mm ; Supergrip / Rough Top Black</t>
  </si>
  <si>
    <t>Carcasse: EP ; Tension de service: 400 N/mm ; Nombre de plis: 3 ; Revêtement supérieur: 3 mm ; Revêtement inférieur: 0 mm ; Largeur de bande: 800 mm ; Nid d'abeille Noir</t>
  </si>
  <si>
    <t>EP800SGG630/4-3+0HY</t>
  </si>
  <si>
    <t>EP 630/4-3+0,BB800, Supergrip/glijband</t>
  </si>
  <si>
    <t>23,880</t>
  </si>
  <si>
    <t>EP800SGR250/2-3+1HY</t>
  </si>
  <si>
    <t>EP 250/2-3+1,BB800, Supergrip zwart</t>
  </si>
  <si>
    <t>Bandweefseltype: EP ; Treksterkte: 250 N/mm ; Aantal inlagen: 2 ; Bovendek: 3 mm ; Onderdek: 1 mm ; Bandbreedte: 800 mm ; Supergrip / Rough Top Zwart</t>
  </si>
  <si>
    <t>Gewebetype: EP ; Zugfestigkeit: 250 N/mm ; Anzahl Einlagen: 2 ; Oberdeck: 3 mm ; Unterdeck: 1 mm ; Gurtbreite: 800 mm ; Supergrip / Rough Top Schwarz</t>
  </si>
  <si>
    <t>Fabric type: EP ; Tensile strength: 250 N/mm ; Number of plies: 2 ; Topcover: 3 mm ; Bottomcover: 1 mm ; Beltwidth: 800 mm ; Supergrip / Rough Top Black</t>
  </si>
  <si>
    <t>Carcasse: EP ; Résistance à la traction: 250 N/mm ; Nombre de plis: 2 ; Revêtement supérieur: 3 mm ; Revêtement inférieur: 1 mm ; Largeur de bande: 800 mm ; Nid d'abeille Noir</t>
  </si>
  <si>
    <t>EP800SGR400/3-3+1HY</t>
  </si>
  <si>
    <t>EP 400/3-3+1,BB800, Supergrip zwart</t>
  </si>
  <si>
    <t>22,870</t>
  </si>
  <si>
    <t>Bandweefseltype: EP ; Treksterkte: 400 N/mm ; Aantal inlagen: 3 ; Bovendek: 3 mm ; Onderdek: 1 mm ; Bandbreedte: 800 mm ; Supergrip / Rough Top Zwart</t>
  </si>
  <si>
    <t>Fabric type: EP ; Tensile strength: 400 N/mm ; Number of plies: 3 ; Topcover: 3 mm ; Bottomcover: 1 mm ; Beltwidth: 800 mm ; Supergrip / Rough Top Black</t>
  </si>
  <si>
    <t>Carcasse: EP ; Résistance à la traction: 400 N/mm ; Nombre de plis: 3 ; Revêtement supérieur: 3 mm ; Revêtement inférieur: 1 mm ; Largeur de bande: 800 mm ; Nid d'abeille Noir</t>
  </si>
  <si>
    <t>EP800XXX100/1-1+1HY</t>
  </si>
  <si>
    <t>EP 100/1-1+1,BB800</t>
  </si>
  <si>
    <t>9,164</t>
  </si>
  <si>
    <t>Bandweefseltype: EP ; Treksterkte: 100 N/mm ; Aantal inlagen: 1 ; Bovendek: 1 mm ; Onderdek: 1 mm ; Bandbreedte: 800 mm</t>
  </si>
  <si>
    <t>Gewebetype: EP ; Zugfestigkeit: 100 N/mm ; Anzahl Einlagen: 1 ; Oberdeck: 1 mm ; Unterdeck: 1 mm ; Gurtbreite: 800 mm</t>
  </si>
  <si>
    <t>Fabric type: EP ; Tensile strength: 100 N/mm ; Number of plies: 1 ; Topcover: 1 mm ; Bottomcover: 1 mm ; Beltwidth: 800 mm</t>
  </si>
  <si>
    <t>Carcasse: EP ; Résistance à la traction: 100 N/mm ; Nombre de plis: 1 ; Revêtement supérieur: 1 mm ; Revêtement inférieur: 1 mm ; Largeur de bande: 800 mm</t>
  </si>
  <si>
    <t>EP800XXX1000/5-3+3-ELEVATORSA</t>
  </si>
  <si>
    <t>EP 1000/5-3+3-BB800 ELEVATOR</t>
  </si>
  <si>
    <t>30,380</t>
  </si>
  <si>
    <t>EP800XXX1600/4-2+2KA</t>
  </si>
  <si>
    <t>EP 1600/4-2+2,BB800</t>
  </si>
  <si>
    <t>EP800XXX200/2-2+1HY</t>
  </si>
  <si>
    <t>EP 200/2-2+1,BB800</t>
  </si>
  <si>
    <t>11,343</t>
  </si>
  <si>
    <t>Bandweefseltype: EP ; Treksterkte: 200 N/mm ; Aantal inlagen: 2 ; Bovendek: 2 mm ; Onderdek: 1 mm ; Bandbreedte: 800 mm</t>
  </si>
  <si>
    <t>Gewebetype: EP ; Zugfestigkeit: 200 N/mm ; Anzahl Einlagen: 2 ; Oberdeck: 2 mm ; Unterdeck: 1 mm ; Gurtbreite: 800 mm</t>
  </si>
  <si>
    <t>Fabric type: EP ; Tensile strength: 200 N/mm ; Number of plies: 2 ; Topcover: 2 mm ; Bottomcover: 1 mm ; Beltwidth: 800 mm</t>
  </si>
  <si>
    <t>Carcasse: EP ; Résistance à la traction: 200 N/mm ; Nombre de plis: 2 ; Revêtement supérieur: 2 mm ; Revêtement inférieur: 1 mm ; Largeur de bande: 800 mm</t>
  </si>
  <si>
    <t>EP800XXX200/2-2+1KA</t>
  </si>
  <si>
    <t>11,050</t>
  </si>
  <si>
    <t>EP800XXX250/2-3+1½-7.5SH</t>
  </si>
  <si>
    <t>EP 250/2-3+1½,BB800-7.5mm</t>
  </si>
  <si>
    <t>9,990</t>
  </si>
  <si>
    <t>EP800XXX250/2-3+1½KA</t>
  </si>
  <si>
    <t>EP 250/2-3+1½,BB800</t>
  </si>
  <si>
    <t>13,400</t>
  </si>
  <si>
    <t>Meerlaags, Slijtvast, Standaard kwaliteit ; EP 250/2-3+1½</t>
  </si>
  <si>
    <t>Mehrlagig, Abriebfest, Standardqualität ; EP 250/2-3+1½</t>
  </si>
  <si>
    <t>Multiply, Abrasion resistant, Standard Quality ; EP 250/2-3+1½</t>
  </si>
  <si>
    <t>Multiplis, Anti-abrasion, Qualité standard ; EP 250/2-3+1½</t>
  </si>
  <si>
    <t>Bandweefseltype: EP ; Treksterkte: 250 N/mm ; Aantal inlagen: 2 ; Bovendek: 3 mm ; Onderdek: 1½ mm ; Bandbreedte: 800 mm</t>
  </si>
  <si>
    <t>Gewebetype: EP ; Zugfestigkeit: 250 N/mm ; Anzahl Einlagen: 2 ; Oberdeck: 3 mm ; Unterdeck: 1½ mm ; Gurtbreite: 800 mm</t>
  </si>
  <si>
    <t>Fabric type: EP ; Tensile strength: 250 N/mm ; Number of plies: 2 ; Topcover: 3 mm ; Bottomcover: 1½ mm ; Beltwidth: 800 mm</t>
  </si>
  <si>
    <t>Carcasse: EP ; Résistance à la traction: 250 N/mm ; Nombre de plis: 2 ; Revêtement supérieur: 3 mm ; Revêtement inférieur: 1½ mm ; Largeur de bande: 800 mm</t>
  </si>
  <si>
    <t>EP800XXX250/2-3+1HY</t>
  </si>
  <si>
    <t>EP 250/2-3+1,BB800</t>
  </si>
  <si>
    <t>Bandweefseltype: EP ; Treksterkte: 250 N/mm ; Aantal inlagen: 2 ; Bovendek: 3 mm ; Onderdek: 1 mm ; Bandbreedte: 800 mm</t>
  </si>
  <si>
    <t>Gewebetype: EP ; Zugfestigkeit: 250 N/mm ; Anzahl Einlagen: 2 ; Oberdeck: 3 mm ; Unterdeck: 1 mm ; Gurtbreite: 800 mm</t>
  </si>
  <si>
    <t>Fabric type: EP ; Tensile strength: 250 N/mm ; Number of plies: 2 ; Topcover: 3 mm ; Bottomcover: 1 mm ; Beltwidth: 800 mm</t>
  </si>
  <si>
    <t>Carcasse: EP ; Résistance à la traction: 250 N/mm ; Nombre de plis: 2 ; Revêtement supérieur: 3 mm ; Revêtement inférieur: 1 mm ; Largeur de bande: 800 mm</t>
  </si>
  <si>
    <t>EP800XXX250/2-3+1JO</t>
  </si>
  <si>
    <t>EP800XXX250/2-3+1KA</t>
  </si>
  <si>
    <t>12,820</t>
  </si>
  <si>
    <t>EP800XXX250/2-3+1SH</t>
  </si>
  <si>
    <t>EP800XXX250/2-4+2KA</t>
  </si>
  <si>
    <t>EP 250/2-4+2,BB800</t>
  </si>
  <si>
    <t>14,180</t>
  </si>
  <si>
    <t>Bandweefseltype: EP ; Treksterkte: 250 N/mm ; Aantal inlagen: 2 ; Bovendek: 4 mm ; Onderdek: 2 mm ; Bandbreedte: 800 mm</t>
  </si>
  <si>
    <t>Gewebetype: EP ; Zugfestigkeit: 250 N/mm ; Anzahl Einlagen: 2 ; Oberdeck: 4 mm ; Unterdeck: 2 mm ; Gurtbreite: 800 mm</t>
  </si>
  <si>
    <t>Fabric type: EP ; Tensile strength: 250 N/mm ; Number of plies: 2 ; Topcover: 4 mm ; Bottomcover: 2 mm ; Beltwidth: 800 mm</t>
  </si>
  <si>
    <t>Carcasse: EP ; Résistance à la traction: 250 N/mm ; Nombre de plis: 2 ; Revêtement supérieur: 4 mm ; Revêtement inférieur: 2 mm ; Largeur de bande: 800 mm</t>
  </si>
  <si>
    <t>EP800XXX250/2-4+2SH</t>
  </si>
  <si>
    <t>13,963</t>
  </si>
  <si>
    <t>EP800XXX300/2-3+1KA</t>
  </si>
  <si>
    <t>EP 300/2-3+1,BB800</t>
  </si>
  <si>
    <t>12,440</t>
  </si>
  <si>
    <t>EP800XXX315/2-4+2KA</t>
  </si>
  <si>
    <t>EP 315/2-4+2,BB800</t>
  </si>
  <si>
    <t>Bandweefseltype: EP ; Treksterkte: 315 N/mm ; Aantal inlagen: 2 ; Bovendek: 4 mm ; Onderdek: 2 mm ; Bandbreedte: 800 mm</t>
  </si>
  <si>
    <t>Gewebetype: EP ; Zugfestigkeit: 315 N/mm ; Anzahl Einlagen: 2 ; Oberdeck: 4 mm ; Unterdeck: 2 mm ; Gurtbreite: 800 mm</t>
  </si>
  <si>
    <t>Fabric type: EP ; Tensile strength: 315 N/mm ; Number of plies: 2 ; Topcover: 4 mm ; Bottomcover: 2 mm ; Beltwidth: 800 mm</t>
  </si>
  <si>
    <t>Carcasse: EP ; Résistance à la traction: 315 N/mm ; Nombre de plis: 2 ; Revêtement supérieur: 4 mm ; Revêtement inférieur: 2 mm ; Largeur de bande: 800 mm</t>
  </si>
  <si>
    <t>EP800XXX315/2-4+2SH</t>
  </si>
  <si>
    <t>EP800XXX315/3-4+2FF</t>
  </si>
  <si>
    <t>EP 315/3-4+2,BB800</t>
  </si>
  <si>
    <t>38,000</t>
  </si>
  <si>
    <t>EP800XXX400/3-3+1½KA</t>
  </si>
  <si>
    <t>EP 400/3-3+1½,BB800</t>
  </si>
  <si>
    <t>Bandweefseltype: EP ; Treksterkte: 400N/mm ; Aantal inlagen: 3 ; Bovendek: 3 mm ; Onderdek: 1½ mm ; Bandbreedte: 800 mm</t>
  </si>
  <si>
    <t>Gewebetype: EP ; Zugfestigkeit: 400 N/mm ; Anzahl Einlagen: 3 ; Oberdeck: 3 mm ; Unterdeck: 1½ mm ; Gurtbreite: 800 mm</t>
  </si>
  <si>
    <t>Fabric type: EP ; Tensile strength: 400 N/mm ; Number of plies: 3 ; Topcover: 3 mm ; Bottomcover: 1½ mm ; Beltwidth: 800 mm</t>
  </si>
  <si>
    <t>Carcasse: EP ; Résistance à la traction: 400 N/mm ; Nombre de plis: 3 ; Revêtement supérieur: 3 mm ; Revêtement inférieur: 1½ mm ; Largeur de bande: 800 mm</t>
  </si>
  <si>
    <t>EP800XXX400/3-3+1½SH</t>
  </si>
  <si>
    <t>EP800XXX400/3-3+1KA</t>
  </si>
  <si>
    <t>EP 400/3-3+1,BB800</t>
  </si>
  <si>
    <t>13,180</t>
  </si>
  <si>
    <t>EP800XXX400/3-3+2-12MPASH</t>
  </si>
  <si>
    <t>EP 400/3-3+2,BB800, 12 mpa</t>
  </si>
  <si>
    <t>13,520</t>
  </si>
  <si>
    <t>EP800XXX400/3-4+2-16MPASH</t>
  </si>
  <si>
    <t>EP 400/3-4+2,BB800-130 mm³ and 16 MPa</t>
  </si>
  <si>
    <t>EP800XXX400/3-4+2-300SH</t>
  </si>
  <si>
    <t>EP 400/3-4+2,BB800 - 300 mm3</t>
  </si>
  <si>
    <t>14,390</t>
  </si>
  <si>
    <t>EP800XXX400/3-4+2CO</t>
  </si>
  <si>
    <t>EP 400/3-4+2,BB800</t>
  </si>
  <si>
    <t>Bandweefseltype: EP ; Treksterkte: 400N/mm ; Aantal inlagen: 3 ; Bovendek: 4 mm ; Onderdek: 2 mm ; Bandbreedte: 800 mm</t>
  </si>
  <si>
    <t>Gewebetype: EP ; Zugfestigkeit: 400 N/mm ; Anzahl Einlagen: 3 ; Oberdeck: 4 mm ; Unterdeck: 2 mm ; Gurtbreite: 800 mm</t>
  </si>
  <si>
    <t>Fabric type: EP ; Tensile strength: 400 N/mm ; Number of plies: 3 ; Topcover: 4 mm ; Bottomcover: 2 mm ; Beltwidth: 800 mm</t>
  </si>
  <si>
    <t>Carcasse: EP ; Résistance à la traction: 400 N/mm ; Nombre de plis: 3 ; Revêtement supérieur: 4 mm ; Revêtement inférieur: 2 mm ; Largeur de bande: 800 mm</t>
  </si>
  <si>
    <t>EP800XXX400/3-4+2DE</t>
  </si>
  <si>
    <t>12061, Rema Tip Top GmbH AG, Werk Desdorf</t>
  </si>
  <si>
    <t>25,580</t>
  </si>
  <si>
    <t>EP800XXX400/3-4+2-DIN-WSH</t>
  </si>
  <si>
    <t>EP 400/3-4+2,BB800-DIN-W</t>
  </si>
  <si>
    <t>16,270</t>
  </si>
  <si>
    <t>EP800XXX400/3-4+2FF</t>
  </si>
  <si>
    <t>EP800XXX400/3-4+2HU</t>
  </si>
  <si>
    <t>EP800XXX400/3-4+2HY</t>
  </si>
  <si>
    <t>19,340</t>
  </si>
  <si>
    <t>EP800XXX400/3-4+2JO</t>
  </si>
  <si>
    <t>EP800XXX400/3-4+2KA</t>
  </si>
  <si>
    <t>18,390</t>
  </si>
  <si>
    <t>EP800XXX400/3-4+2LS</t>
  </si>
  <si>
    <t>19,520</t>
  </si>
  <si>
    <t>EP800XXX400/3-4+2PH</t>
  </si>
  <si>
    <t>EP800XXX400/3-4+2QH</t>
  </si>
  <si>
    <t>18,210</t>
  </si>
  <si>
    <t>EP800XXX400/3-4+2RP</t>
  </si>
  <si>
    <t>EP800XXX400/3-4+2SA</t>
  </si>
  <si>
    <t>16,950</t>
  </si>
  <si>
    <t>EP800XXX400/3-4+2SH</t>
  </si>
  <si>
    <t>EP800XXX400/3-4+2YO</t>
  </si>
  <si>
    <t>8,250</t>
  </si>
  <si>
    <t>EP800XXX400/3-6+2CP</t>
  </si>
  <si>
    <t>EP 400/3-6+2,BB800</t>
  </si>
  <si>
    <t>18,240</t>
  </si>
  <si>
    <t>Bandweefseltype: EP ; Treksterkte: 400N/mm ; Aantal inlagen: 3 ; Bovendek: 6 mm ; Onderdek: 2 mm ; Bandbreedte: 800 mm</t>
  </si>
  <si>
    <t>Gewebetype: EP ; Zugfestigkeit: 400 N/mm ; Anzahl Einlagen: 3 ; Oberdeck: 6 mm ; Unterdeck: 2 mm ; Gurtbreite: 800 mm</t>
  </si>
  <si>
    <t>Fabric type: EP ; Tensile strength: 400 N/mm ; Number of plies: 3 ; Topcover: 6 mm ; Bottomcover: 2 mm ; Beltwidth: 800 mm</t>
  </si>
  <si>
    <t>Carcasse: EP ; Résistance à la traction: 400 N/mm ; Nombre de plis: 3 ; Revêtement supérieur: 6 mm ; Revêtement inférieur: 2 mm ; Largeur de bande: 800 mm</t>
  </si>
  <si>
    <t>EP800XXX400/3-6+2-DIN-WKA</t>
  </si>
  <si>
    <t>EP 400/3-6+2,BB800-DIN-W</t>
  </si>
  <si>
    <t>EP800XXX400/3-6+2-DIN-WSH</t>
  </si>
  <si>
    <t>EP800XXX400/3-6+2FF</t>
  </si>
  <si>
    <t>EP800XXX400/3-6+2HY</t>
  </si>
  <si>
    <t>EP800XXX400/3-6+2KA</t>
  </si>
  <si>
    <t>EP800XXX400/3-6+2PH</t>
  </si>
  <si>
    <t>21,700</t>
  </si>
  <si>
    <t>EP800XXX400/3-6+2SA</t>
  </si>
  <si>
    <t>20,170</t>
  </si>
  <si>
    <t>EP800XXX400/3-6+2SH</t>
  </si>
  <si>
    <t>EP800XXX400/3-8+2-DIN XKA</t>
  </si>
  <si>
    <t>EP 400/3-8+2,BB800-DIN X</t>
  </si>
  <si>
    <t>EP800XXX500/3-10+3KA</t>
  </si>
  <si>
    <t>EP 500/3-10+3,BB800</t>
  </si>
  <si>
    <t>24,440</t>
  </si>
  <si>
    <t>EP800XXX500/3-4+2KA</t>
  </si>
  <si>
    <t>EP 500/3-4+2,BB800</t>
  </si>
  <si>
    <t>EP800XXX500/3-5+1½KA</t>
  </si>
  <si>
    <t>EP 500/3-5+1½,BB800</t>
  </si>
  <si>
    <t>18,830</t>
  </si>
  <si>
    <t>Bandweefseltype: EP ; Treksterkte: 500N/mm ; Aantal inlagen: 3 ; Bovendek: 5 mm ; Onderdek: 1½ mm ; Bandbreedte: 800 mm</t>
  </si>
  <si>
    <t>Gewebetype: EP ; Zugfestigkeit: 500 N/mm ; Anzahl Einlagen: 3 ; Oberdeck: 5 mm ; Unterdeck: 1½ mm ; Gurtbreite: 800 mm</t>
  </si>
  <si>
    <t>Fabric type: EP ; Tensile strength: 500 N/mm ; Number of plies: 3 ; Topcover: 5 mm ; Bottomcover: 1½ mm ; Beltwidth: 800 mm</t>
  </si>
  <si>
    <t>Carcasse: EP ; Résistance à la traction: 500 N/mm ; Nombre de plis: 3 ; Revêtement supérieur: 5 mm ; Revêtement inférieur: 1½ mm ; Largeur de bande: 800 mm</t>
  </si>
  <si>
    <t>EP800XXX500/3-5+2KA</t>
  </si>
  <si>
    <t>EP 500/3-5+2,BB800</t>
  </si>
  <si>
    <t>EP800XXX500/3-6+2-DIN-WKA</t>
  </si>
  <si>
    <t>EP 500/3-6+2,BB800-DIN-W</t>
  </si>
  <si>
    <t>EP800XXX500/3-6+2FF</t>
  </si>
  <si>
    <t>EP 500/3-6+2,BB800</t>
  </si>
  <si>
    <t>20,830</t>
  </si>
  <si>
    <t>Bandweefseltype: EP ; Treksterkte: 500N/mm ; Aantal inlagen: 3 ; Bovendek: 6 mm ; Onderdek: 2 mm ; Bandbreedte: 800 mm</t>
  </si>
  <si>
    <t>Gewebetype: EP ; Zugfestigkeit: 500 N/mm ; Anzahl Einlagen: 3 ; Oberdeck: 6 mm ; Unterdeck: 2 mm ; Gurtbreite: 800 mm</t>
  </si>
  <si>
    <t>Fabric type: EP ; Tensile strength: 500 N/mm ; Number of plies: 3 ; Topcover: 6 mm ; Bottomcover: 2 mm ; Beltwidth: 800 mm</t>
  </si>
  <si>
    <t>Carcasse: EP ; Résistance à la traction: 500 N/mm ; Nombre de plis: 3 ; Revêtement supérieur: 6 mm ; Revêtement inférieur: 2 mm ; Largeur de bande: 800 mm</t>
  </si>
  <si>
    <t>EP800XXX500/3-6+2KA</t>
  </si>
  <si>
    <t>EP800XXX500/3-6+2PH</t>
  </si>
  <si>
    <t>23,630</t>
  </si>
  <si>
    <t>EP800XXX500/3-6+2QH</t>
  </si>
  <si>
    <t>EP800XXX500/3-6+2SH</t>
  </si>
  <si>
    <t>EP800XXX500/3-8+3KA</t>
  </si>
  <si>
    <t>EP 500/3-8+3,BB800</t>
  </si>
  <si>
    <t>22,050</t>
  </si>
  <si>
    <t>EP800XXX500/4-3+1KA</t>
  </si>
  <si>
    <t>EP 500/4-3+1,BB800</t>
  </si>
  <si>
    <t>EP800XXX500/4-4+2KA</t>
  </si>
  <si>
    <t>EP 500/4-4+2,BB800</t>
  </si>
  <si>
    <t>Bandweefseltype: EP ; Treksterkte: 500N/mm ; Aantal inlagen: 4 ; Bovendek: 4 mm ; Onderdek: 2 mm ; Bandbreedte: 800 mm</t>
  </si>
  <si>
    <t>Gewebetype: EP ; Zugfestigkeit: 500 N/mm ; Anzahl Einlagen: 4 ; Oberdeck: 4 mm ; Unterdeck: 2 mm ; Gurtbreite: 800 mm</t>
  </si>
  <si>
    <t>Fabric type: EP ; Tensile strength: 500 N/mm ; Number of plies: 4 ; Topcover: 4 mm ; Bottomcover: 2 mm ; Beltwidth: 800 mm</t>
  </si>
  <si>
    <t>Carcasse: EP ; Résistance à la traction: 500 N/mm ; Nombre de plis: 4 ; Revêtement supérieur: 4 mm ; Revêtement inférieur: 2 mm ; Largeur de bande: 800 mm</t>
  </si>
  <si>
    <t>EP800XXX500/4-5+2FF</t>
  </si>
  <si>
    <t>EP 500/4-5+2,BB800</t>
  </si>
  <si>
    <t>35,200</t>
  </si>
  <si>
    <t>20,920</t>
  </si>
  <si>
    <t>Bandweefseltype: EP ; Treksterkte: 500N/mm ; Aantal inlagen: 4 ; Bovendek: 5 mm ; Onderdek: 2 mm ; Bandbreedte: 800 mm</t>
  </si>
  <si>
    <t>Gewebetype: EP ; Zugfestigkeit: 500 N/mm ; Anzahl Einlagen: 4 ; Oberdeck: 5 mm ; Unterdeck: 2 mm ; Gurtbreite: 800 mm</t>
  </si>
  <si>
    <t>Fabric type: EP ; Tensile strength: 500 N/mm ; Number of plies: 4 ; Topcover: 5 mm ; Bottomcover: 2 mm ; Beltwidth: 800 mm</t>
  </si>
  <si>
    <t>Carcasse: EP ; Résistance à la traction: 500 N/mm ; Nombre de plis: 4 ; Revêtement supérieur: 5 mm ; Revêtement inférieur: 2 mm ; Largeur de bande: 800 mm</t>
  </si>
  <si>
    <t>EP800XXX500/4-5+2KA</t>
  </si>
  <si>
    <t>EP800XXX500/4-5+2SH</t>
  </si>
  <si>
    <t>EP800XXX630/3-3+2KA</t>
  </si>
  <si>
    <t>EP 630/3-3+2,BB800</t>
  </si>
  <si>
    <t>18,130</t>
  </si>
  <si>
    <t>EP800XXX630/3-3+2PH</t>
  </si>
  <si>
    <t>14,756</t>
  </si>
  <si>
    <t>EP800XXX630/3-3+2SH</t>
  </si>
  <si>
    <t>EP800XXX630/3-4+2-DIN-WKA</t>
  </si>
  <si>
    <t>EP 630/3-4+2,BB800-DIN-W</t>
  </si>
  <si>
    <t>EP800XXX630/3-6+2FF</t>
  </si>
  <si>
    <t>EP 630/3-6+2,BB800</t>
  </si>
  <si>
    <t>27,840</t>
  </si>
  <si>
    <t>Bandweefseltype: EP ; Treksterkte: 630N/mm ; Aantal inlagen: 3 ; Bovendek: 6 mm ; Onderdek: 2 mm ; Bandbreedte: 800 mm</t>
  </si>
  <si>
    <t>Gewebetype: EP ; Zugfestigkeit: 630 N/mm ; Anzahl Einlagen: 3 ; Oberdeck: 6 mm ; Unterdeck: 2 mm ; Gurtbreite: 800 mm</t>
  </si>
  <si>
    <t>Fabric type: EP ; Tensile strength: 630 N/mm ; Number of plies: 3 ; Topcover: 6 mm ; Bottomcover: 2 mm ; Beltwidth: 800 mm</t>
  </si>
  <si>
    <t>Carcasse: EP ; Résistance à la traction: 630 N/mm ; Nombre de plis: 3 ; Revêtement supérieur: 6 mm ; Revêtement inférieur: 2 mm ; Largeur de bande: 800 mm</t>
  </si>
  <si>
    <t>EP800XXX630/3-6+2KA</t>
  </si>
  <si>
    <t>EP800XXX630/3-6+2QH</t>
  </si>
  <si>
    <t>26,900</t>
  </si>
  <si>
    <t>EP800XXX630/3-8+3KA</t>
  </si>
  <si>
    <t>EP 630/3-8+3,BB800</t>
  </si>
  <si>
    <t>EP800XXX630/4-2+2-ELEVATORSA</t>
  </si>
  <si>
    <t>EP 630/4-2+2-BB800 ELEVATOR</t>
  </si>
  <si>
    <t>22,890</t>
  </si>
  <si>
    <t>Bandweefseltype: EP ; Treksterkte: 630 N/mm ; Aantal inlagen: 4 ; Bovendek: 2 mm ; Onderdek: 2 mm ; Bandbreedte: 800 mm ; Elevator</t>
  </si>
  <si>
    <t>Gewebetype: EP ; Zugfestigkeit: 630 N/mm ; Anzahl Einlagen: 4 ; Oberdeck: 2 mm ; Unterdeck: 2 mm ; Gurtbreite: 800 mm ; Elevator</t>
  </si>
  <si>
    <t>Fabric type: EP ; Tensile strength: 630 N/mm ; Number of plies: 4 ; Topcover: 2 mm ; Bottomcover: 2 mm ; Beltwidth: 800 mm ; Elevator</t>
  </si>
  <si>
    <t xml:space="preserve">Carcasse: EP ; Tension de service: 630 N/mm ; Nombre de plis: 4 ; Revêtement supérieur: 2 mm ; Revêtement inférieur: 2 mm ; Largeur de bande: 800 mm ;  Sangle Elévatrice
</t>
  </si>
  <si>
    <t>EP800XXX630/4-4+2-12MPASH</t>
  </si>
  <si>
    <t>EP 630/4-4+2,BB800, 12 mpa</t>
  </si>
  <si>
    <t>17,910</t>
  </si>
  <si>
    <t>EP800XXX630/4-4+2KA</t>
  </si>
  <si>
    <t>EP 630/4-4+2,BB800</t>
  </si>
  <si>
    <t>EP800XXX630/4-6+2+T50/20ELLB</t>
  </si>
  <si>
    <t>EP 630/4-6+2-BB800-eindloos met T50/20</t>
  </si>
  <si>
    <t>739,750</t>
  </si>
  <si>
    <t>EP800XXX630/4-6+2+T50/20-ELLB</t>
  </si>
  <si>
    <t>727,530</t>
  </si>
  <si>
    <t>EP800XXX630/4-6+2-16MPASH</t>
  </si>
  <si>
    <t>EP 630/4-6+2,BB800-130 mm³ and 16 MPa</t>
  </si>
  <si>
    <t>EP800XXX630/4-6+2CC</t>
  </si>
  <si>
    <t>EP 630/4-6+2,BB800</t>
  </si>
  <si>
    <t>25,380</t>
  </si>
  <si>
    <t>Bandweefseltype: EP ; Treksterkte: 630N/mm ; Aantal inlagen: 4 ; Bovendek: 6 mm ; Onderdek: 2 mm ; Bandbreedte: 800 mm</t>
  </si>
  <si>
    <t>Gewebetype: EP ; Zugfestigkeit: 630 N/mm ; Anzahl Einlagen: 4 ; Oberdeck: 6 mm ; Unterdeck: 2 mm ; Gurtbreite: 800 mm</t>
  </si>
  <si>
    <t>Fabric type: EP ; Tensile strength: 630 N/mm ; Number of plies: 4 ; Topcover: 6 mm ; Bottomcover: 2 mm ; Beltwidth: 800 mm</t>
  </si>
  <si>
    <t>Carcasse: EP ; Résistance à la traction: 630 N/mm ; Nombre de plis: 4 ; Revêtement supérieur: 6 mm ; Revêtement inférieur: 2 mm ; Largeur de bande: 800 mm</t>
  </si>
  <si>
    <t>EP800XXX630/4-6+2CO</t>
  </si>
  <si>
    <t>25,970</t>
  </si>
  <si>
    <t>EP800XXX630/4-6+2CP</t>
  </si>
  <si>
    <t>23,450</t>
  </si>
  <si>
    <t>EP800XXX630/4-6+2-DIN-KSA</t>
  </si>
  <si>
    <t>EP 630/4-6+2,BB800-DIN-K</t>
  </si>
  <si>
    <t>33,970</t>
  </si>
  <si>
    <t>EP800XXX630/4-6+2-DIN-WKA</t>
  </si>
  <si>
    <t>EP 630/4-6+2,BB800-DIN-W</t>
  </si>
  <si>
    <t>24,530</t>
  </si>
  <si>
    <t>EP800XXX630/4-6+2FF</t>
  </si>
  <si>
    <t>20,680</t>
  </si>
  <si>
    <t>EP800XXX630/4-6+2KA</t>
  </si>
  <si>
    <t>24,350</t>
  </si>
  <si>
    <t>EP800XXX630/4-6+2PH</t>
  </si>
  <si>
    <t>24,980</t>
  </si>
  <si>
    <t>EP800XXX630/4-6+2RP</t>
  </si>
  <si>
    <t>EP800XXX630/4-6+2SH</t>
  </si>
  <si>
    <t>21,460</t>
  </si>
  <si>
    <t>EP800XXX630/4-8+3-DIN-WKA</t>
  </si>
  <si>
    <t>EP 630/4-8+3,BB800-DIN-W</t>
  </si>
  <si>
    <t>EP800XXX630/4-8+3FF</t>
  </si>
  <si>
    <t>EP 630/4-8+3,BB800</t>
  </si>
  <si>
    <t>26,930</t>
  </si>
  <si>
    <t>Bandweefseltype: EP ; Treksterkte: 630N/mm ; Aantal inlagen: 4 ; Bovendek: 8 mm ; Onderdek: 3 mm ; Bandbreedte: 800 mm</t>
  </si>
  <si>
    <t>Gewebetype: EP ; Zugfestigkeit: 630 N/mm ; Anzahl Einlagen: 4 ; Oberdeck: 8 mm ; Unterdeck: 3 mm ; Gurtbreite: 800 mm</t>
  </si>
  <si>
    <t>Fabric type: EP ; Tensile strength: 630 N/mm ; Number of plies: 4 ; Topcover: 8 mm ; Bottomcover: 3 mm ; Beltwidth: 800 mm</t>
  </si>
  <si>
    <t>Carcasse: EP ; Résistance à la traction: 630 N/mm ; Nombre de plis: 4 ; Revêtement supérieur: 8 mm ; Revêtement inférieur: 3 mm ; Largeur de bande: 800 mm</t>
  </si>
  <si>
    <t>EP800XXX630/4-8+3KA</t>
  </si>
  <si>
    <t>28,830</t>
  </si>
  <si>
    <t>EP800XXX630/4-8+3SA</t>
  </si>
  <si>
    <t>28,840</t>
  </si>
  <si>
    <t>EP800XXX630/4-8+3SH</t>
  </si>
  <si>
    <t>EP800XXX800/3-4+2KA</t>
  </si>
  <si>
    <t>EP 800/3-4+2-BB800</t>
  </si>
  <si>
    <t>EP800XXX800/4-2+2-ELEVATORSA</t>
  </si>
  <si>
    <t>EP 800/4-2+2-BB800 ELEVATOR</t>
  </si>
  <si>
    <t>27,070</t>
  </si>
  <si>
    <t>Bandweefseltype: EP ; Treksterkte: 800 N/mm ; Aantal inlagen: 4 ; Bovendek: 2 mm ; Onderdek: 2 mm ; Bandbreedte: 800 mm ; Elevator</t>
  </si>
  <si>
    <t>Gewebetype: EP ; Zugfestigkeit: 800 N/mm ; Anzahl Einlagen: 4 ; Oberdeck: 2 mm ; Unterdeck: 2 mm ; Gurtbreite: 800 mm ; Elevator</t>
  </si>
  <si>
    <t>Fabric type: EP ; Tensile strength: 800 N/mm ; Number of plies: 4 ; Topcover: 2 mm ; Bottomcover: 2 mm ; Beltwidth: 800 mm ; Elevator</t>
  </si>
  <si>
    <t xml:space="preserve">Carcasse: EP ; Tension de service: 800 N/mm ; Nombre de plis: 4 ; Revêtement supérieur: 2 mm ; Revêtement inférieur: 2 mm ; Largeur de bande: 800 mm ;  Sangle Elévatrice
</t>
  </si>
  <si>
    <t>EP800XXX800/4-4+2KA</t>
  </si>
  <si>
    <t>EP 800/4-4+2,BB800</t>
  </si>
  <si>
    <t>EP800XXX800/4-4+2SH</t>
  </si>
  <si>
    <t>22,130</t>
  </si>
  <si>
    <t>EP800XXX800/4-6+2KA</t>
  </si>
  <si>
    <t>EP 800/4-6+2BB800</t>
  </si>
  <si>
    <t>22,250</t>
  </si>
  <si>
    <t>EP800XXX800/4-6+3KA</t>
  </si>
  <si>
    <t>EP 800/4-6+3-BB800</t>
  </si>
  <si>
    <t>24,940</t>
  </si>
  <si>
    <t>EP800XXX800/4-8+3KA</t>
  </si>
  <si>
    <t>EP 800/4-8+3,BB800</t>
  </si>
  <si>
    <t>30,430</t>
  </si>
  <si>
    <t>Bandweefseltype: EP ; Treksterkte: 800N/mm ; Aantal inlagen: 4 ; Bovendek: 8 mm ; Onderdek: 3 mm ; Bandbreedte: 800 mm</t>
  </si>
  <si>
    <t>Gewebetype: EP ; Zugfestigkeit: 800 N/mm ; Anzahl Einlagen: 4 ; Oberdeck: 8 mm ; Unterdeck: 3 mm ; Gurtbreite: 800 mm</t>
  </si>
  <si>
    <t>Fabric type: EP ; Tensile strength: 800 N/mm ; Number of plies: 4 ; Topcover: 8 mm ; Bottomcover: 3 mm ; Beltwidth: 800 mm</t>
  </si>
  <si>
    <t>Carcasse: EP ; Résistance à la traction: 800 N/mm ; Nombre de plis: 4 ; Revêtement supérieur: 8 mm ; Revêtement inférieur: 3 mm ; Largeur de bande: 800 mm</t>
  </si>
  <si>
    <t>EP800XXX800/5-6+3KA</t>
  </si>
  <si>
    <t>EP 800/5-6+3,BB800</t>
  </si>
  <si>
    <t>25,350</t>
  </si>
  <si>
    <t>EP815OVX800/4-2+2-ELEVATORSA</t>
  </si>
  <si>
    <t>EP 800/4-2+2-BB815 ELEVATOR-OV</t>
  </si>
  <si>
    <t>21,840</t>
  </si>
  <si>
    <t>EP850OVX630/4-2+2-ELEVATORSA</t>
  </si>
  <si>
    <t>EP 630/4-2+2-BB850 ELEVATOR-OV</t>
  </si>
  <si>
    <t>25,980</t>
  </si>
  <si>
    <t>EP850OVX800/4-2+2-ELEVATORSA</t>
  </si>
  <si>
    <t>EP 800/4-2+2-BB850 ELEVATOR-OV</t>
  </si>
  <si>
    <t>EP850PRH400/3-3+2-H63HY</t>
  </si>
  <si>
    <t>EP 400/3-3+2,BB850-profiel H63</t>
  </si>
  <si>
    <t>43,920</t>
  </si>
  <si>
    <t>EP850PRH400/3-3+2-Y32P600HY</t>
  </si>
  <si>
    <t>EP 400/3-3+2,BB850-profiel Y32P600-OPEN</t>
  </si>
  <si>
    <t>45,987</t>
  </si>
  <si>
    <t>EP850XXX1000/5-3+3-ELEVATORSA</t>
  </si>
  <si>
    <t>EP 1000/5-3+3-BB850 ELEVATOR</t>
  </si>
  <si>
    <t>EP850XXX250/2-3+1HY</t>
  </si>
  <si>
    <t>EP 250/2-3+1,BB850</t>
  </si>
  <si>
    <t>14,630</t>
  </si>
  <si>
    <t>Bandweefseltype: EP ; Treksterkte: 250 N/mm ; Aantal inlagen: 2 ; Bovendek: 3 mm ; Onderdek: 1 mm ; Bandbreedte: 850 mm</t>
  </si>
  <si>
    <t>Gewebetype: EP ; Zugfestigkeit: 250 N/mm ; Anzahl Einlagen: 2 ; Oberdeck: 3 mm ; Unterdeck: 1 mm ; Gurtbreite: 850 mm</t>
  </si>
  <si>
    <t>Fabric type: EP ; Tensile strength: 250 N/mm ; Number of plies: 2 ; Topcover: 3 mm ; Bottomcover: 1 mm ; Beltwidth: 850 mm</t>
  </si>
  <si>
    <t>Carcasse: EP ; Résistance à la traction: 250 N/mm ; Nombre de plis: 2 ; Revêtement supérieur: 3 mm ; Revêtement inférieur: 1 mm ; Largeur de bande: 850 mm</t>
  </si>
  <si>
    <t>EP850XXX630/4-6+2-DIN-KSA</t>
  </si>
  <si>
    <t>EP 630/4-6+2,BB850-DIN-K</t>
  </si>
  <si>
    <t>40,380</t>
  </si>
  <si>
    <t>EP850XXX800/4-2+2-ELEVATORSA</t>
  </si>
  <si>
    <t>EP 800/4-2+2-BB850 ELEVATOR</t>
  </si>
  <si>
    <t>EP875OVX630/4-2+2-ELEVATORSA</t>
  </si>
  <si>
    <t>EP 630/4-2+2-BB875 ELEVATOR-OV</t>
  </si>
  <si>
    <t>26,740</t>
  </si>
  <si>
    <t>EP880XXX630/3-4+2-DIN-WKA</t>
  </si>
  <si>
    <t>EP 630/3-4+2,BB880-DIN-W</t>
  </si>
  <si>
    <t>27,830</t>
  </si>
  <si>
    <t>EP900GLY400/3-3+0JO</t>
  </si>
  <si>
    <t>EP 400/3-3+0,BB900-GLY</t>
  </si>
  <si>
    <t>17,540</t>
  </si>
  <si>
    <t>Bandweefseltype: EP ; Treksterkte: 400 N/mm ; Aantal inlagen: 3 ; Bovendek: 3 mm ; Onderdek: 0 mm ; Bandbreedte: 900 mm</t>
  </si>
  <si>
    <t>Gewebetype: EP ; Zugfestigkeit: 400 N/mm ; Anzahl Einlagen: 3 ; Oberdeck: 3 mm ; Unterdeck: 0 mm ; Gurtbreite: 900 mm</t>
  </si>
  <si>
    <t>Fabric type: EP ; Tensile strength: 400 N/mm ; Number of plies: 3 ; Topcover: 3 mm ; Bottomcover: 0 mm ; Beltwidth: 900 mm</t>
  </si>
  <si>
    <t>Carcasse: EP ; Tension de service: 400 N/mm ; Nombre de plis: 3 ; Revêtement supérieur: 3 mm ; Revêtement inférieur: 0 mm ; Largeur de bande: 900 mm</t>
  </si>
  <si>
    <t>EP900OVG400/3-3+0HY</t>
  </si>
  <si>
    <t>EP 400/3-3+0,BB900-GLY-O+V</t>
  </si>
  <si>
    <t>27,490</t>
  </si>
  <si>
    <t>Bandweefseltype: EP ; Treksterkte: 400 N/mm ; Aantal inlagen: 3 ; Bovendek: 3 mm ; Onderdek: 0 mm ; Bandbreedte: 900 mm ; Olie- en vetbestendige Kwaliteit</t>
  </si>
  <si>
    <t>Gewebetype: EP ; Zugfestigkeit: 400 N/mm ; Anzahl Einlagen: 3 ; Oberdeck: 3 mm ; Unterdeck: 0 mm ; Gurtbreite: 900 mm ; Öl und Fettbeständige Qualität</t>
  </si>
  <si>
    <t>Fabric type: EP ; Tensile strength: 400 N/mm ; Number of plies: 3 ; Topcover: 3 mm ; Bottomcover: 0 mm ; Beltwidth: 900 mm ; Oil and Grease Resistant Quality</t>
  </si>
  <si>
    <t>EP900OVG500/4-0+0-SAWMILLHY</t>
  </si>
  <si>
    <t>EP 500/4-0+0,BB900-O+V-Saw Mill</t>
  </si>
  <si>
    <t>28,520</t>
  </si>
  <si>
    <t>Bandweefseltype: EP ; Treksterkte: 500 N/mm ; Aantal inlagen: 4 ; Bovendek: 0 mm ; Onderdek: 0 mm ; Bandbreedte: 900 mm ; Olie- en vetbestendige Kwaliteit</t>
  </si>
  <si>
    <t>Gewebetype: EP ; Zugfestigkeit: 500 N/mm ; Anzahl Einlagen: 4 ; Oberdeck: 0 mm ; Unterdeck: 0 mm ; Gurtbreite: 900 mm ; Öl und Fettbeständige Qualität</t>
  </si>
  <si>
    <t>Fabric type: EP ; Tensile strength: 500 N/mm ; Number of plies: 4 ; Topcover: 0 mm ; Bottomcover: 0 mm ; Beltwidth: 900 mm ; Oil and Grease Resistant Quality</t>
  </si>
  <si>
    <t>EP900OVG500/4-6+0JO</t>
  </si>
  <si>
    <t>EP 500/4-6+0,BB900-GLY-O+V</t>
  </si>
  <si>
    <t>33,990</t>
  </si>
  <si>
    <t>Bandweefseltype: EP ; Treksterkte: 500 N/mm ; Aantal inlagen: 4 ; Bovendek: 6 mm ; Onderdek: 0 mm ; Bandbreedte: 900 mm ; Olie- en vetbestendige Kwaliteit</t>
  </si>
  <si>
    <t>Gewebetype: EP ; Zugfestigkeit: 500 N/mm ; Anzahl Einlagen: 4 ; Oberdeck: 6 mm ; Unterdeck: 0 mm ; Gurtbreite: 900 mm ; Öl und Fettbeständige Qualität</t>
  </si>
  <si>
    <t>Fabric type: EP ; Tensile strength: 500 N/mm ; Number of plies: 4 ; Topcover: 6 mm ; Bottomcover: 0 mm ; Beltwidth: 900 mm ; Oil and Grease Resistant Quality</t>
  </si>
  <si>
    <t>EP900OVX1000/5-3+3-ELEVATORSA</t>
  </si>
  <si>
    <t>EP 1000/5-3+3-BB900 ELEVATOR-OV</t>
  </si>
  <si>
    <t>41,810</t>
  </si>
  <si>
    <t>EP900OVX250/2-3+1HY</t>
  </si>
  <si>
    <t>EP 250/2-3+1,BB900-O+V</t>
  </si>
  <si>
    <t>26,397</t>
  </si>
  <si>
    <t>Bandweefseltype: EP ; Treksterkte: 250 N/mm ; Aantal inlagen: 2 ; Bovendek: 3 mm ; Onderdek: 1 mm ; Bandbreedte: 900 mm ; Olie- en vetbestendige Kwaliteit</t>
  </si>
  <si>
    <t>Gewebetype: EP ; Zugfestigkeit: 250 N/mm ; Anzahl Einlagen: 2 ; Oberdeck: 3 mm ; Unterdeck: 1 mm ; Gurtbreite: 900 mm ; Öl und Fettbeständige Qualität</t>
  </si>
  <si>
    <t>Fabric type: EP ; Tensile strength: 250 N/mm ; Number of plies: 2 ; Topcover: 3 mm ; Bottomcover: 1 mm ; Beltwidth: 900 mm ; Oil and Grease Resistant Quality</t>
  </si>
  <si>
    <t>EP900OVX250/2-3+1JO</t>
  </si>
  <si>
    <t>EP900OVX630/4-2+2-ELEVATORSA</t>
  </si>
  <si>
    <t>EP 630/4-2+2-BB900 ELEVATOR-OV</t>
  </si>
  <si>
    <t>27,510</t>
  </si>
  <si>
    <t>Bandweefseltype: EP ; Treksterkte: 630 N/mm ; Aantal inlagen: 4 ; Bovendek: 2 mm ; Onderdek: 2 mm ; Bandbreedte: 900 mm ; Olie- en vetbestendige Kwaliteit ; Elevator</t>
  </si>
  <si>
    <t>Gewebetype: EP ; Zugfestigkeit: 630 N/mm ; Anzahl Einlagen: 4 ; Oberdeck: 2 mm ; Unterdeck: 2 mm ; Gurtbreite: 900 mm ; Öl und Fettbeständige Qualität ; Elevator</t>
  </si>
  <si>
    <t>Fabric type: EP ; Tensile strength: 630 N/mm ; Number of plies: 4 ; Topcover: 2 mm ; Bottomcover: 2 mm ; Beltwidth: 900 mm ; Oil and Grease Resistant Quality ; Elevator</t>
  </si>
  <si>
    <t xml:space="preserve">Carcasse: EP ; Tension de service: 630 N/mm ; Nombre de plis: 4 ; Revêtement supérieur: 2 mm ; Revêtement inférieur: 2 mm ; Largeur de bande: 900 mm ; Qualité résistante à l’huile et graisse ; Sangle Elévatrice
</t>
  </si>
  <si>
    <t>EP900OVX800/4-2+2-ELEVATORSA</t>
  </si>
  <si>
    <t>EP 800/4-2+2-BB900 ELEVATOR-OV</t>
  </si>
  <si>
    <t>25,567</t>
  </si>
  <si>
    <t>Bandweefseltype: EP ; Treksterkte: 800 N/mm ; Aantal inlagen: 4 ; Bovendek: 2 mm ; Onderdek: 2 mm ; Bandbreedte: 900 mm ; Olie- en vetbestendige Kwaliteit ; Elevator</t>
  </si>
  <si>
    <t>Gewebetype: EP ; Zugfestigkeit: 800 N/mm ; Anzahl Einlagen: 4 ; Oberdeck: 2 mm ; Unterdeck: 2 mm ; Gurtbreite: 900 mm ; Öl und Fettbeständige Qualität ; Elevator</t>
  </si>
  <si>
    <t>Fabric type: EP ; Tensile strength: 800 N/mm ; Number of plies: 4 ; Topcover: 2 mm ; Bottomcover: 2 mm ; Beltwidth: 900 mm ; Oil and Grease Resistant Quality ; Elevator</t>
  </si>
  <si>
    <t xml:space="preserve">Carcasse: EP ; Tension de service: 800 N/mm ; Nombre de plis: 4 ; Revêtement supérieur: 2 mm ; Revêtement inférieur: 2 mm ; Largeur de bande: 900 mm ; Qualité résistante à l’huile et graisse ; Sangle Elévatrice
</t>
  </si>
  <si>
    <t>EP900XXX250/2-3+1KA</t>
  </si>
  <si>
    <t>EP 250/2-3+1,BB900</t>
  </si>
  <si>
    <t>13,581</t>
  </si>
  <si>
    <t>Bandweefseltype: EP ; Treksterkte: 250 N/mm ; Aantal inlagen: 2 ; Bovendek: 3 mm ; Onderdek: 1 mm ; Bandbreedte: 900 mm</t>
  </si>
  <si>
    <t>Gewebetype: EP ; Zugfestigkeit: 250 N/mm ; Anzahl Einlagen: 2 ; Oberdeck: 3 mm ; Unterdeck: 1 mm ; Gurtbreite: 900 mm</t>
  </si>
  <si>
    <t>Fabric type: EP ; Tensile strength: 250 N/mm ; Number of plies: 2 ; Topcover: 3 mm ; Bottomcover: 1 mm ; Beltwidth: 900 mm</t>
  </si>
  <si>
    <t>Carcasse: EP ; Résistance à la traction: 250 N/mm ; Nombre de plis: 2 ; Revêtement supérieur: 3 mm ; Revêtement inférieur: 1 mm ; Largeur de bande: 900 mm</t>
  </si>
  <si>
    <t>EP900XXX400/3-4+2KA</t>
  </si>
  <si>
    <t>EP 400/3-4+2,BB900</t>
  </si>
  <si>
    <t>17,640</t>
  </si>
  <si>
    <t>Bandweefseltype: EP ; Treksterkte: 400N/mm ; Aantal inlagen: 3 ; Bovendek: 4 mm ; Onderdek: 2 mm ; Bandbreedte: 900 mm</t>
  </si>
  <si>
    <t>Gewebetype: EP ; Zugfestigkeit: 400 N/mm ; Anzahl Einlagen: 3 ; Oberdeck: 4 mm ; Unterdeck: 2 mm ; Gurtbreite: 900 mm</t>
  </si>
  <si>
    <t>Fabric type: EP ; Tensile strength: 400 N/mm ; Number of plies: 3 ; Topcover: 4 mm ; Bottomcover: 2 mm ; Beltwidth: 900 mm</t>
  </si>
  <si>
    <t>Carcasse: EP ; Résistance à la traction: 400 N/mm ; Nombre de plis: 3 ; Revêtement supérieur: 4 mm ; Revêtement inférieur: 2 mm ; Largeur de bande: 900 mm</t>
  </si>
  <si>
    <t>EP900XXX400/3-4+2SH</t>
  </si>
  <si>
    <t>17,110</t>
  </si>
  <si>
    <t>EP900XXX500/3-5+1½KA</t>
  </si>
  <si>
    <t>EP 500/3-5+1½,BB900</t>
  </si>
  <si>
    <t>18,450</t>
  </si>
  <si>
    <t>Bandweefseltype: EP ; Treksterkte: 500N/mm ; Aantal inlagen: 3 ; Bovendek: 5 mm ; Onderdek: 1½ mm ; Bandbreedte: 900 mm</t>
  </si>
  <si>
    <t>Gewebetype: EP ; Zugfestigkeit: 500 N/mm ; Anzahl Einlagen: 3 ; Oberdeck: 5 mm ; Unterdeck: 1½ mm ; Gurtbreite: 900 mm</t>
  </si>
  <si>
    <t>Fabric type: EP ; Tensile strength: 500 N/mm ; Number of plies: 3 ; Topcover: 5 mm ; Bottomcover: 1½ mm ; Beltwidth: 900 mm</t>
  </si>
  <si>
    <t>Carcasse: EP ; Résistance à la traction: 500 N/mm ; Nombre de plis: 3 ; Revêtement supérieur: 5 mm ; Revêtement inférieur: 1½ mm ; Largeur de bande: 900 mm</t>
  </si>
  <si>
    <t>EP900XXX500/4-4+2KA</t>
  </si>
  <si>
    <t>EP 500/4-4+2,BB900</t>
  </si>
  <si>
    <t>Bandweefseltype: EP ; Treksterkte: 500N/mm ; Aantal inlagen: 4 ; Bovendek: 4 mm ; Onderdek: 2 mm ; Bandbreedte: 900 mm</t>
  </si>
  <si>
    <t>Gewebetype: EP ; Zugfestigkeit: 500 N/mm ; Anzahl Einlagen: 4 ; Oberdeck: 4 mm ; Unterdeck: 2 mm ; Gurtbreite: 900 mm</t>
  </si>
  <si>
    <t>Fabric type: EP ; Tensile strength: 500 N/mm ; Number of plies: 4 ; Topcover: 4 mm ; Bottomcover: 2 mm ; Beltwidth: 900 mm</t>
  </si>
  <si>
    <t>Carcasse: EP ; Résistance à la traction: 500 N/mm ; Nombre de plis: 4 ; Revêtement supérieur: 4 mm ; Revêtement inférieur: 2 mm ; Largeur de bande: 900 mm</t>
  </si>
  <si>
    <t>EP900XXX630/4-2+2-ELEVATORSA</t>
  </si>
  <si>
    <t>EP 630/4-2+2-BB900 ELEVATOR</t>
  </si>
  <si>
    <t>23,310</t>
  </si>
  <si>
    <t>Bandweefseltype: EP ; Treksterkte: 630 N/mm ; Aantal inlagen: 4 ; Bovendek: 2 mm ; Onderdek: 2 mm ; Bandbreedte: 900 mm ; Elevator</t>
  </si>
  <si>
    <t>Gewebetype: EP ; Zugfestigkeit: 630 N/mm ; Anzahl Einlagen: 4 ; Oberdeck: 2 mm ; Unterdeck: 2 mm ; Gurtbreite: 900 mm ; Elevator</t>
  </si>
  <si>
    <t>Fabric type: EP ; Tensile strength: 630 N/mm ; Number of plies: 4 ; Topcover: 2 mm ; Bottomcover: 2 mm ; Beltwidth: 900 mm ; Elevator</t>
  </si>
  <si>
    <t xml:space="preserve">Carcasse: EP ; Tension de service: 630 N/mm ; Nombre de plis: 4 ; Revêtement supérieur: 2 mm ; Revêtement inférieur: 2 mm ; Largeur de bande: 900 mm ;  Sangle Elévatrice
</t>
  </si>
  <si>
    <t>EP900XXX630/4-5+2-DIN-YKA</t>
  </si>
  <si>
    <t>EP 630/4-5+2,BB900 - DIN-Y</t>
  </si>
  <si>
    <t>24,660</t>
  </si>
  <si>
    <t>EP900XXX630/4-5+2KA</t>
  </si>
  <si>
    <t>EP 630/4-5+2,BB900</t>
  </si>
  <si>
    <t>EP900XXX630/4-6+2KA</t>
  </si>
  <si>
    <t>EP 630/4-6+2,BB900</t>
  </si>
  <si>
    <t>27,400</t>
  </si>
  <si>
    <t>Bandweefseltype: EP ; Treksterkte: 630N/mm ; Aantal inlagen: 4 ; Bovendek: 6 mm ; Onderdek: 2 mm ; Bandbreedte: 900 mm</t>
  </si>
  <si>
    <t>Gewebetype: EP ; Zugfestigkeit: 630 N/mm ; Anzahl Einlagen: 4 ; Oberdeck: 6 mm ; Unterdeck: 2 mm ; Gurtbreite: 900 mm</t>
  </si>
  <si>
    <t>Fabric type: EP ; Tensile strength: 630 N/mm ; Number of plies: 4 ; Topcover: 6 mm ; Bottomcover: 2 mm ; Beltwidth: 900 mm</t>
  </si>
  <si>
    <t>Carcasse: EP ; Résistance à la traction: 630 N/mm ; Nombre de plis: 4 ; Revêtement supérieur: 6 mm ; Revêtement inférieur: 2 mm ; Largeur de bande: 900 mm</t>
  </si>
  <si>
    <t>EP900XXX800/4-10+3ZZ</t>
  </si>
  <si>
    <t>EP 800/4-10+3, BB900</t>
  </si>
  <si>
    <t>EP900XXX800/4-2+2-ELEVATORSA</t>
  </si>
  <si>
    <t>EP 800/4-2+2-BB900 ELEVATOR</t>
  </si>
  <si>
    <t>Bandweefseltype: EP ; Treksterkte: 800 N/mm ; Aantal inlagen: 4 ; Bovendek: 2 mm ; Onderdek: 2 mm ; Bandbreedte: 900 mm ; Elevator</t>
  </si>
  <si>
    <t>Gewebetype: EP ; Zugfestigkeit: 800 N/mm ; Anzahl Einlagen: 4 ; Oberdeck: 2 mm ; Unterdeck: 2 mm ; Gurtbreite: 900 mm ; Elevator</t>
  </si>
  <si>
    <t>Fabric type: EP ; Tensile strength: 800 N/mm ; Number of plies: 4 ; Topcover: 2 mm ; Bottomcover: 2 mm ; Beltwidth: 900 mm ; Elevator</t>
  </si>
  <si>
    <t xml:space="preserve">Carcasse: EP ; Tension de service: 800 N/mm ; Nombre de plis: 4 ; Revêtement supérieur: 2 mm ; Revêtement inférieur: 2 mm ; Largeur de bande: 900 mm ;  Sangle Elévatrice
</t>
  </si>
  <si>
    <t>EP914XXX630/4-6+2-DIN-KSA</t>
  </si>
  <si>
    <t>EP 630/4-6+2,BB914-DIN-K</t>
  </si>
  <si>
    <t>39,750</t>
  </si>
  <si>
    <t>EP920XXX630/4-2+2-ELEVATORSA</t>
  </si>
  <si>
    <t>EP 630/4-2+2-BB920 ELEVATOR</t>
  </si>
  <si>
    <t>26,310</t>
  </si>
  <si>
    <t>EP930OVX800/4-2+2-ELEVATORSA</t>
  </si>
  <si>
    <t>EP 800/4-2+2-BB930 ELEVATOR-OV</t>
  </si>
  <si>
    <t>22,390</t>
  </si>
  <si>
    <t>EP940XXX630/4-2+2-ELEVATORSA</t>
  </si>
  <si>
    <t>EP 630/4-2+2-BB940 ELEVATOR</t>
  </si>
  <si>
    <t>27,180</t>
  </si>
  <si>
    <t>EP950OVX800/4-2+2-ELEVATORSA</t>
  </si>
  <si>
    <t>EP 800/4-2+2-BB950 ELEVATOR-OV</t>
  </si>
  <si>
    <t>30,420</t>
  </si>
  <si>
    <t>EP950XXX1000/5-3+3-ELEVATORSA</t>
  </si>
  <si>
    <t>EP 1000/5-3+3-BB950 ELEVATOR</t>
  </si>
  <si>
    <t>EP950XXX630/4-2+2-ELEVATORSA</t>
  </si>
  <si>
    <t>EP 630/4-2+2-BB950 ELEVATOR</t>
  </si>
  <si>
    <t>EP950XXX800/4-2+2-ELEVATORSA</t>
  </si>
  <si>
    <t>EP 800/4-2+2-BB950 ELEVATOR</t>
  </si>
  <si>
    <t>EP960OVX800/4-2+2-ELEVATORSA</t>
  </si>
  <si>
    <t>EP 800/4-2+2-BB960 ELEVATOR-OV</t>
  </si>
  <si>
    <t>EP960XXX400/3-4+2-DIN-WKA</t>
  </si>
  <si>
    <t>EP 400/3-4+2,BB960-DIN-W</t>
  </si>
  <si>
    <t>EP960XXX630/3-4+2-DIN-WKA</t>
  </si>
  <si>
    <t>EP 630/3-4+2,BB960-DIN-W</t>
  </si>
  <si>
    <t>30,360</t>
  </si>
  <si>
    <t>EP970OVX630/4-2+2-ELEVATORSA</t>
  </si>
  <si>
    <t>EP 630/4-2+2-BB970 ELEVATOR-OV</t>
  </si>
  <si>
    <t>29,650</t>
  </si>
  <si>
    <t>EP980XXX800/4-2+2-ELEVATORSA</t>
  </si>
  <si>
    <t>EP 800/4-2+2-BB980 ELEVATOR</t>
  </si>
  <si>
    <t>27,050</t>
  </si>
  <si>
    <t>FLATDISK-125X2-GRIT14BJ</t>
  </si>
  <si>
    <t>Flat Disk Ø 125 x 2 mm, AH 22 mm, grit 14</t>
  </si>
  <si>
    <t>37,900</t>
  </si>
  <si>
    <t>FLATDISK-125X2-GRIT16BJ</t>
  </si>
  <si>
    <t>Flat Disk Ø 125 x 2 mm, AH 22 mm, grit 16</t>
  </si>
  <si>
    <t>36,290</t>
  </si>
  <si>
    <t>FLATDISK-125X2-GRIT18BJ</t>
  </si>
  <si>
    <t>Flat Disk Ø 125 x 2 mm, AH 22 mm, grit 18</t>
  </si>
  <si>
    <t>28,230</t>
  </si>
  <si>
    <t>05-03_Buffing Tools</t>
  </si>
  <si>
    <t>Koper platte schijf ; Ø 125 x 2 mm, AH 22 mm, grit 18</t>
  </si>
  <si>
    <t>Kupfer Flachrauscheiben ; Ø 125 x 2 mm, AH 22 mm, Korngröße 18</t>
  </si>
  <si>
    <t>Copper Flat disc ; Ø 125 x 2 mm, AH 22 mm, grit 18</t>
  </si>
  <si>
    <t>Disque carbure en cuivre, disque plat ; Ø 125 x 2 mm, AH 22 mm, grit 18</t>
  </si>
  <si>
    <t>Voor het opruwen van rubber oppervlakken</t>
  </si>
  <si>
    <t>Zum Aufrauen Gummi-Oberflächen</t>
  </si>
  <si>
    <t>For grinding of rubber surfaces</t>
  </si>
  <si>
    <t>Pour rendre rugueux la surface en caoutchouc</t>
  </si>
  <si>
    <t>Schleifwerkzeug</t>
  </si>
  <si>
    <t>FLATDISK-125X2-GRIT23BJ</t>
  </si>
  <si>
    <t>Flat Disk Ø 125 x 2 mm, AH 22 mm, grit 23</t>
  </si>
  <si>
    <t>27,450</t>
  </si>
  <si>
    <t>Koper platte schijf ; Ø 125 x 2 mm, AH 22 mm, grit 23</t>
  </si>
  <si>
    <t>Kupfer Flachrauscheiben ; Ø 125 x 2 mm, AH 22 mm, grit 23</t>
  </si>
  <si>
    <t>Copper Flat disc ; Ø 125 x 2 mm, AH 22 mm, grit 23</t>
  </si>
  <si>
    <t>Disque carbure en cuivre, disque plat ; Ø 125 x 2 mm, AH 22 mm, grit 23</t>
  </si>
  <si>
    <t>FLATDISK-175X2-GRIT16BJ</t>
  </si>
  <si>
    <t>Flat Disk Ø 175 x 2 mm, AH 22 mm, grit 16</t>
  </si>
  <si>
    <t>52,840</t>
  </si>
  <si>
    <t>FLATDISK-175X2-GRIT18BJ</t>
  </si>
  <si>
    <t>Flat Disk Ø 175 x 2 mm, AH 22 mm, grit 18</t>
  </si>
  <si>
    <t>42,330</t>
  </si>
  <si>
    <t>Koper platte schijf ; Ø 175 x 2 mm, AH 22 mm, grit 18</t>
  </si>
  <si>
    <t>Kupfer Flachrauscheiben ; Ø 175 x 2 mm, AH 22 mm, grit 18</t>
  </si>
  <si>
    <t>Copper Flat disc ; Ø 175 x 2 mm, AH 22 mm, grit 18</t>
  </si>
  <si>
    <t>Disque carbure en cuivre, disque plat ; Ø 175 x 2 mm, AH 22 mm, grit 18</t>
  </si>
  <si>
    <t>FLATDISK-175X2-GRIT23BJ</t>
  </si>
  <si>
    <t>Flat Disk Ø 175 x 2 mm, AH 22 mm, grit 23</t>
  </si>
  <si>
    <t>38,470</t>
  </si>
  <si>
    <t>Koper platte schijf ; Ø 175 x 2 mm, AH 22 mm, grit 23</t>
  </si>
  <si>
    <t>Kupfer Flachrauscheiben ; Ø 175 x 2 mm, AH 22 mm, grit 23</t>
  </si>
  <si>
    <t>Copper Flat disc ; Ø 175 x 2 mm, AH 22 mm, grit 23</t>
  </si>
  <si>
    <t>Disque carbure en cuivre, disque plat ; Ø 175 x 2 mm, AH 22 mm, grit 23</t>
  </si>
  <si>
    <t>FLEXCO-ALLIGATOR-600MMTS</t>
  </si>
  <si>
    <t>Flexco Alligator RS125 - 600 mm</t>
  </si>
  <si>
    <t>FLEXCO-CLIP-650MMLE</t>
  </si>
  <si>
    <t>Flexco clip - 650 mm</t>
  </si>
  <si>
    <t>58,680</t>
  </si>
  <si>
    <t>FLEXCO-DRAAD-1000MMLE</t>
  </si>
  <si>
    <t>Flexco Draad Ø 6,30mm- 1000 mm nylon/staal</t>
  </si>
  <si>
    <t>20,160</t>
  </si>
  <si>
    <t>FLEXCO-NIETEN-7-10MMLE</t>
  </si>
  <si>
    <t>Flexco Nieten Staal - Banddikte 7-10 mm</t>
  </si>
  <si>
    <t>94,080</t>
  </si>
  <si>
    <t>FLEXCO-RIVET-1000MMLE</t>
  </si>
  <si>
    <t>Flexco Rivet - 1000 mm staal</t>
  </si>
  <si>
    <t>58,200</t>
  </si>
  <si>
    <t>FLEXCO-SCHRAPER-EZP1-1000LE</t>
  </si>
  <si>
    <t>Flexco bandschraper EZP1-1000</t>
  </si>
  <si>
    <t>657,000</t>
  </si>
  <si>
    <t>FLEXCO-SCHRAPER-EZP1-800LE</t>
  </si>
  <si>
    <t>Flexco bandschraper EZP1-800</t>
  </si>
  <si>
    <t>575,400</t>
  </si>
  <si>
    <t>FLUI-REX55-ZLL-04-1400KT</t>
  </si>
  <si>
    <t>FLUI-REX55-ROOD-10.000X1.400X04-zonder lijmlaag-00811703</t>
  </si>
  <si>
    <t>12075, KTR Kunststofftechnik Rodenberg GmbH</t>
  </si>
  <si>
    <t>58,520</t>
  </si>
  <si>
    <t>FLUI-REX55-ZLL-06-1400KT</t>
  </si>
  <si>
    <t>FLUI-REX55-ROOD-10.000X1.400X06-zonder lijmlaag-00811705</t>
  </si>
  <si>
    <t>72,570</t>
  </si>
  <si>
    <t>FLUI-REX55-ZLL-08-1400KT</t>
  </si>
  <si>
    <t>FLUI-REX55-ROOD-10.000X1.400X08-zonder lijmlaag-00811707</t>
  </si>
  <si>
    <t>87,020</t>
  </si>
  <si>
    <t>FLUI-REX55-ZLL-10-1400KT</t>
  </si>
  <si>
    <t>FLUI-REX55-ROOD-10.000X1.400X10-zonder lijmlaag-00811709</t>
  </si>
  <si>
    <t>101,070</t>
  </si>
  <si>
    <t>FLUI-REX65B-MLL-04-1400KT</t>
  </si>
  <si>
    <t>FLUI-REX65-ROOD-10.000X1.400X04-met lijmlaag-00801775</t>
  </si>
  <si>
    <t>12091, Tip Top Oberflachenschutz Elbe GmbH</t>
  </si>
  <si>
    <t>78,370</t>
  </si>
  <si>
    <t>09-10_FLUI-REX Polyurethane</t>
  </si>
  <si>
    <t>FLUI-REX Polyurethane Rood ; 65° Shore A met lijmlaag</t>
  </si>
  <si>
    <t>FLUI-REX Polyurethan Rot ; 65° Shore A mit Klebeschicht</t>
  </si>
  <si>
    <t>FLUI-REX Polyurethane Red ; 65° Shore A with bonding layer</t>
  </si>
  <si>
    <t>FLUI-REX Polyurethane Rouge ; 65° Shore A avec face adhésive</t>
  </si>
  <si>
    <t>Lengte: 10.000 mm ; Breedte: 1.400 mm ; Dikte: 4 mm ; Met lijmlaag ; Kleur: Rood ; Hardheid: 65° Shore A ; 100% modulus: 2,1 Mpa ; 300% modulus: 4,5 Mpa ; Treksterkte: 15 Mpa ; Rek bij breuk: 530% ; Hoekscheursterkte: 70 KN/m ; Slijtage: 30 mm³</t>
  </si>
  <si>
    <t>Länge: 10.000 mm; Breite: 1.400 mm ; Stärke: 4 mm ; Mit Klebeschicht ; Farbe: Rot ; Härte: 65° Shore A ; 100 % Modul: 2,1 MPa ; 300 % Modul: 4,5 MPa ; Zugfestigkeit: 15 Mpa ; Bruchdehnung: 530 %; Winkelreißfestigkeit: 70 KN/m ; Abrieb: 30 mm³</t>
  </si>
  <si>
    <t>Length: 10.000 mm; Width: 1.400 mm ; Thickness: 4 mm ; With bonding layer ; Colour: Red ; Hardness: 65° Shore A ; 100% Modulus: 2,1 MPa ; 300% Modulus: 4,5 MPa ; Tensile Strength: 15 MPa ; Elongation at break: 530% ; Angle tear strength: 70 KN/m ; Abrasion: 30 mm³</t>
  </si>
  <si>
    <t>Longueur : 10.000 mm ; Largeur : 1.400 mm ; Épaisseur : 4 mm ; Avec face adhésive ; Couleur : Rouge ; Dureté : 65° Shore A ; 100% Module : 2,1 MPa ; 300% Module : 4,5 MPa ; Résistance à la traction : 15 MPa ; Allongement à la rupture : 530% ; Résistance à la déchirure angulaire : 70 KN/m ; Abrasion : 30 mm³</t>
  </si>
  <si>
    <t xml:space="preserve">Uitstekende slijtvastheid ; Zeer grote trek- en scheur sterkte ; Elasticiteit is zeer groot ; Dempend vermogen is zeer groot ; Ook bij lage temperaturen een goede mechanische sterkte ; UV bestendig ; </t>
  </si>
  <si>
    <t>079</t>
  </si>
  <si>
    <t>073</t>
  </si>
  <si>
    <t>Flui-Tec rot</t>
  </si>
  <si>
    <t>FLUI-REX65B-MLL-06-1400KT</t>
  </si>
  <si>
    <t>FLUI-REX65-ROOD-10.000X1.400X06-met lijmlaag-00801726</t>
  </si>
  <si>
    <t>88,850</t>
  </si>
  <si>
    <t>FLUI-REX Polyurethane Rot ; 65° Shore A met Klebeschicht</t>
  </si>
  <si>
    <t>Lengte: 10.000 mm ; Breedte: 1.400 mm ; Dikte: 6 mm ; Met lijmlaag ; Kleur: Rood ; Hardheid: 65° Shore A ; 100% modulus: 2,1 Mpa ; 300% modulus: 4,5 Mpa ; Treksterkte: 15 Mpa ; Rek bij breuk: 530% ; Hoekscheursterkte: 70 KN/m ; Slijtage: 30 mm³</t>
  </si>
  <si>
    <t>Länge: 10.000 mm; Breite: 1.400 mm ; Stärke: 6 mm ; Mit Kleberschicht ; Farbe: Rot ; Härte: 65° Shore A ; 100 % Modul: 2,1 MPa ; 300 % Modul: 4,5 MPa ; Zugfestigkeit: 15 Mpa ; Bruchdehnung: 530 %; Winkelreißfestigkeit: 70 KN/m ; Abrieb: 30 mm³</t>
  </si>
  <si>
    <t>Length: 10.000 mm; Width: 1.400 mm ; Thickness: 6 mm ; With bonding layer ; Colour: Red ; Hardness: 65° Shore A ; 100% Modulus: 2,1 MPa ; 300% Modulus: 4,5 MPa ; Tensile Strength: 15 MPa ; Elongation at break: 530% ; Angle tear strength: 70 KN/m ; Abrasion: 30 mm³</t>
  </si>
  <si>
    <t>Longueur : 10.000 mm ; Largeur : 1.400 mm ; Épaisseur : 6 mm ; Avec face adhésive ; Couleur : Rouge ; Dureté : 65° Shore A ; 100% Module : 2,1 MPa ; 300% Module : 4,5 MPa ; Résistance à la traction : 15 MPa ; Allongement à la rupture : 530% ; Résistance à la déchirure angulaire : 70 KN/m ; Abrasion : 30 mm³</t>
  </si>
  <si>
    <t>FLUI-REX65B-MLL-08-1400KT</t>
  </si>
  <si>
    <t>FLUI-REX65-ROOD-10.000X1.400X08-met lijmlaag-00801728</t>
  </si>
  <si>
    <t>97,800</t>
  </si>
  <si>
    <t>Lengte: 10.000 mm ; Breedte: 1.400 mm ; Dikte: 8 mm ; Met lijmlaag ; Kleur: Rood ; Hardheid: 65° Shore A ; 100% modulus: 2,1 Mpa ; 300% modulus: 4,5 Mpa ; Treksterkte: 15 Mpa ; Rek bij breuk: 530% ; Hoekscheursterkte: 70 KN/m ; Slijtage: 30 mm³</t>
  </si>
  <si>
    <t>Länge: 10.000 mm; Breite: 1.400 mm ; Stärke: 8 mm ; Mit Kleberschicht ; Farbe: Rot ; Härte: 65° Shore A ; 100 % Modul: 2,1 MPa ; 300 % Modul: 4,5 MPa ; Zugfestigkeit: 15 Mpa ; Bruchdehnung: 530 %; Winkelreißfestigkeit: 70 KN/m ; Abrieb: 30 mm³</t>
  </si>
  <si>
    <t>Length: 10.000 mm; Width: 1.400 mm ; Thickness: 8 mm ; With bonding layer ; Colour: Red ; Hardness: 65° Shore A ; 100% Modulus: 2,1 MPa ; 300% Modulus: 4,5 MPa ; Tensile Strength: 15 MPa ; Elongation at break: 530% ; Angle tear strength: 70 KN/m ; Abrasion: 30 mm³</t>
  </si>
  <si>
    <t>Longueur : 10.000 mm ; Largeur : 1.400 mm ; Épaisseur : 8 mm ; Avec face adhésive ; Couleur : Rouge ; Dureté : 65° Shore A ; 100% Module : 2,1 MPa ; 300% Module : 4,5 MPa ; Résistance à la traction : 15 MPa ; Allongement à la rupture : 530% ; Résistance à la déchirure angulaire : 70 KN/m ; Abrasion : 30 mm³</t>
  </si>
  <si>
    <t>FLUI-REX65B-MLL-10-1400KT</t>
  </si>
  <si>
    <t>FLUI-REX65-ROOD-10.000X1.400X10-met lijmlaag-00801730</t>
  </si>
  <si>
    <t>111,780</t>
  </si>
  <si>
    <t>Lengte: 10.000 mm ; Breedte: 1.400 mm ; Dikte: 10 mm ; Met lijmlaag ; Kleur: Rood ; Hardheid: 65° Shore A ; 100% modulus: 2,1 Mpa ; 300% modulus: 4,5 Mpa ; Treksterkte: 15 Mpa ; Rek bij breuk: 530% ; Hoekscheursterkte: 70 KN/m ; Slijtage: 30 mm³</t>
  </si>
  <si>
    <t>Länge: 10.000 mm; Breite: 1.400 mm ; Stärke: 10 mm ; Mit Kleberschicht ; Farbe: Rot ; Härte: 65° Shore A ; 100 % Modul: 2,1 MPa ; 300 % Modul: 4,5 MPa ; Zugfestigkeit: 15 Mpa ; Bruchdehnung: 530 %; Winkelreißfestigkeit: 70 KN/m ; Abrieb: 30 mm³</t>
  </si>
  <si>
    <t>Length: 10.000 mm; Width: 1.400 mm ; Thickness: 10 mm ; With bonding layer ; Colour: Red ; Hardness: 65° Shore A ; 100% Modulus: 2,1 MPa ; 300% Modulus: 4,5 MPa ; Tensile Strength: 15 MPa ; Elongation at break: 530% ; Angle tear strength: 70 KN/m ; Abrasion: 30 mm³</t>
  </si>
  <si>
    <t>Longueur : 10.000 mm ; Largeur : 1.400 mm ; Épaisseur : 10 mm ; Avec face adhésive ; Couleur : Rouge ; Dureté : 65° Shore A ; 100% Module : 2,1 MPa ; 300% Module : 4,5 MPa ; Résistance à la traction : 15 MPa ; Allongement à la rupture : 530% ; Résistance à la déchirure angulaire : 70 KN/m ; Abrasion : 30 mm³</t>
  </si>
  <si>
    <t>FLUI-REX65B-MLL-15-1400KT</t>
  </si>
  <si>
    <t>FLUI-REX65-ROOD-10.000X1.400X15-met lijmlaag-00801732</t>
  </si>
  <si>
    <t>167,200</t>
  </si>
  <si>
    <t>Lengte: 10.000 mm ; Breedte: 1.400 mm ; Dikte: 15 mm ; Met lijmlaag ; Kleur: Rood ; Hardheid: 65° Shore A ; 100% modulus: 2,1 Mpa ; 300% modulus: 4,5 Mpa ; Treksterkte: 15 Mpa ; Rek bij breuk: 530% ; Hoekscheursterkte: 70 KN/m ; Slijtage: 30 mm³</t>
  </si>
  <si>
    <t>Länge: 10.000 mm; Breite: 1.400 mm ; Stärke: 15 mm ; Mit Kleberschicht ; Farbe: Rot ; Härte: 65° Shore A ; 100 % Modul: 2,1 MPa ; 300 % Modul: 4,5 MPa ; Zugfestigkeit: 15 Mpa ; Bruchdehnung: 530 %; Winkelreißfestigkeit: 70 KN/m ; Abrieb: 30 mm³</t>
  </si>
  <si>
    <t>Length: 10.000 mm; Width: 1.400 mm ; Thickness: 15 mm ; With bonding layer ; Colour: Red ; Hardness: 65° Shore A ; 100% Modulus: 2,1 MPa ; 300% Modulus: 4,5 MPa ; Tensile Strength: 15 MPa ; Elongation at break: 530% ; Angle tear strength: 70 KN/m ; Abrasion: 30 mm³</t>
  </si>
  <si>
    <t>Longueur : 10.000 mm ; Largeur : 1.400 mm ; Épaisseur : 15 mm ; Avec face adhésive ; Couleur : Rouge ; Dureté : 65° Shore A ; 100% Module : 2,1 MPa ; 300% Module : 4,5 MPa ; Résistance à la traction : 15 MPa ; Allongement à la rupture : 530% ; Résistance à la déchirure angulaire : 70 KN/m ; Abrasion : 30 mm³</t>
  </si>
  <si>
    <t>FLUI-REX65-ZLL-04-1400KT</t>
  </si>
  <si>
    <t>FLUI-REX65-ROOD-10.000X1.400X04-zonder lijmlaag-00801703</t>
  </si>
  <si>
    <t>74,660</t>
  </si>
  <si>
    <t>FLUI-REX65-ZLL-06-1400KT</t>
  </si>
  <si>
    <t>FLUI-REX65-ROOD-10.000X1.400X06-zonder lijmlaag-00801705</t>
  </si>
  <si>
    <t>77,340</t>
  </si>
  <si>
    <t>FLUI-REX65-ZLL-08-1400KT</t>
  </si>
  <si>
    <t>FLUI-REX65-ROOD-10.000X1.400X08-zonder lijmlaag-00801707</t>
  </si>
  <si>
    <t>86,460</t>
  </si>
  <si>
    <t>FLUI-REX65-ZLL-10-1400KT</t>
  </si>
  <si>
    <t>FLUI-REX65-ROOD-10.000X1.400X10-zonder lijmlaag-00801709</t>
  </si>
  <si>
    <t>105,350</t>
  </si>
  <si>
    <t>FLUI-REX65-ZLL-15-1400KT</t>
  </si>
  <si>
    <t>FLUI-REX65-ROOD-10.000X1.400X15-zonder lijmlaag-</t>
  </si>
  <si>
    <t>FLUI-REX80B-MLL-08-1400KT</t>
  </si>
  <si>
    <t>FLUI-REX80-GROEN-10.000X1.400X08-met lijmlaag</t>
  </si>
  <si>
    <t>FLUI-REX90B-MLL-04-1400KT</t>
  </si>
  <si>
    <t>FLUI-REX90-ROOD-10.000X1.400X04-met lijmlaag</t>
  </si>
  <si>
    <t>76,650</t>
  </si>
  <si>
    <t>FLUI-REX Polyurethane Rood ; 90° Shore A met lijmlaag</t>
  </si>
  <si>
    <t>FLUI-REX Polyurethane Rot ; 90° Shore A met Klebeschicht</t>
  </si>
  <si>
    <t>FLUI-REX Polyurethane Red ; 90° Shore A with bonding layer</t>
  </si>
  <si>
    <t>FLUI-REX Polyurethane Rouge ; 90° Shore A avec face adhésive</t>
  </si>
  <si>
    <t>Lengte: 10.000 mm ; Breedte: 1.400 mm ; Dikte: 4 mm ; Met lijmlaag ; Kleur: Rood ; Hardheid: 90° Shore A ; 100% modulus: 8,2 Mpa ; 300% modulus: 14,2 Mpa ; Treksterkte: 15 Mpa ; Rek bij breuk: 330% ; Hoekscheursterkte: 38 KN/m ; Slijtage: 45 mm³</t>
  </si>
  <si>
    <t>Länge: 10.000 mm; Breite: 1.400 mm ; Stärke: 4 mm ; Mit Kleberschicht ; Farbe: Rot ; Härte: 90° Shore A ; 100 % Modul: 8,2 MPa ; 300 % Modul: 14,2 MPa ; Zugfestigkeit: 15 Mpa ; Bruchdehnung: 330 %; Winkelreißfestigkeit: 38 KN/m ; Abrieb: 45 mm³</t>
  </si>
  <si>
    <t>Length: 10.000 mm; Width: 1.400 mm ; Thickness: 4 mm ; With bonding layer ; Colour: Red ; Hardness: 90° Shore A ; 100% Modulus: 8,2 MPa ; 300% Modulus: 14,2 MPa ; Tensile Strength: 15 MPa ; Elongation at break: 330% ; Angle tear strength: 38 KN/m ; Abrasion: 45 mm³</t>
  </si>
  <si>
    <t>Longueur : 10.000 mm ; Largeur : 1.400 mm ; Épaisseur : 4 mm ; Avec face adhésive ; Couleur : Rouge ; Dureté : 90° Shore A ; 100% Module : 8,2 MPa ; 300% Module : 14,2 MPa ; Résistance à la traction : 15 MPa ; Allongement à la rupture : 330% ; Résistance à la déchirure angulaire : 38 KN/m ; Abrasion : 45 mm³</t>
  </si>
  <si>
    <t>FLUI-REX90B-MLL-06-1400KT</t>
  </si>
  <si>
    <t>FLUI-REX90-ROOD-10.000X1.400X06-met lijmlaag-00801846</t>
  </si>
  <si>
    <t>86,700</t>
  </si>
  <si>
    <t>Lengte: 10.000 mm ; Breedte: 1.400 mm ; Dikte: 6 mm ; Met lijmlaag ; Kleur: Rood ; Hardheid: 90° Shore A ; 100% modulus: 8,2 Mpa ; 300% modulus: 14,2 Mpa ; Treksterkte: 15 Mpa ; Rek bij breuk: 330% ; Hoekscheursterkte: 38 KN/m ; Slijtage: 45 mm³</t>
  </si>
  <si>
    <t>Länge: 10.000 mm; Breite: 1.400 mm ; Stärke: 6 mm ; Mit Kleberschicht ; Farbe: Rot ; Härte: 90° Shore A ; 100 % Modul: 8,2 MPa ; 300 % Modul: 14,2 MPa ; Zugfestigkeit: 15 Mpa ; Bruchdehnung: 330 %; Winkelreißfestigkeit: 38 KN/m ; Abrieb: 45 mm³</t>
  </si>
  <si>
    <t>Length: 10.000 mm; Width: 1.400 mm ; Thickness: 6 mm ; With bonding layer ; Colour: Red ; Hardness: 90° Shore A ; 100% Modulus: 8,2 MPa ; 300% Modulus: 14,2 MPa ; Tensile Strength: 15 MPa ; Elongation at break: 330% ; Angle tear strength: 38 KN/m ; Abrasion: 45 mm³</t>
  </si>
  <si>
    <t>Longueur : 10.000 mm ; Largeur : 1.400 mm ; Épaisseur : 6 mm ; Avec face adhésive ; Couleur : Rouge ; Dureté : 90° Shore A ; 100% Module : 8,2 MPa ; 300% Module : 14,2 MPa ; Résistance à la traction : 15 MPa ; Allongement à la rupture : 330% ; Résistance à la déchirure angulaire : 38 KN/m ; Abrasion : 45 mm³</t>
  </si>
  <si>
    <t>FLUI-REX90B-MLL-10-1400KT</t>
  </si>
  <si>
    <t>FLUI-REX90-ROOD-10.000X1.400X10-met lijmlaag-00801857</t>
  </si>
  <si>
    <t>118,510</t>
  </si>
  <si>
    <t>Lengte: 10.000 mm ; Breedte: 1.400 mm ; Dikte: 10 mm ; Met lijmlaag ; Kleur: Rood ; Hardheid: 90° Shore A ; 100% modulus: 8,2 Mpa ; 300% modulus: 14,2 Mpa ; Treksterkte: 15 Mpa ; Rek bij breuk: 330% ; Hoekscheursterkte: 38 KN/m ; Slijtage: 45 mm³</t>
  </si>
  <si>
    <t>Länge: 10.000 mm; Breite: 1.400 mm ; Stärke: 10 mm ; Mit Kleberschicht ; Farbe: Rot ; Härte: 90° Shore A ; 100 % Modul: 8,2 MPa ; 300 % Modul: 14,2 MPa ; Zugfestigkeit: 15 Mpa ; Bruchdehnung: 330 %; Winkelreißfestigkeit: 38 KN/m ; Abrieb: 45 mm³</t>
  </si>
  <si>
    <t>Length: 10.000 mm; Width: 1.400 mm ; Thickness: 10 mm ; With bonding layer ; Colour: Red ; Hardness: 90° Shore A ; 100% Modulus: 8,2 MPa ; 300% Modulus: 14,2 MPa ; Tensile Strength: 15 MPa ; Elongation at break: 330% ; Angle tear strength: 38 KN/m ; Abrasion: 45 mm³</t>
  </si>
  <si>
    <t>Longueur : 10.000 mm ; Largeur : 1.400 mm ; Épaisseur : 10 mm ; Avec face adhésive ; Couleur : Rouge ; Dureté : 90° Shore A ; 100% Module : 8,2 MPa ; 300% Module : 14,2 MPa ; Résistance à la traction : 15 MPa ; Allongement à la rupture : 330% ; Résistance à la déchirure angulaire : 38 KN/m ; Abrasion : 45 mm³</t>
  </si>
  <si>
    <t>FLUI-REX90B-MLL-20-1200KT</t>
  </si>
  <si>
    <t>FLUI-REX90-ROOD-3.000X1.200X20-met lijmlaag</t>
  </si>
  <si>
    <t>961,800</t>
  </si>
  <si>
    <t>FLUI-REX90B-MLL-20-1400KT</t>
  </si>
  <si>
    <t>FLUI-REX90-ROOD-2.000X1.400X20-met lijmlaag- 13500104</t>
  </si>
  <si>
    <t>512,400</t>
  </si>
  <si>
    <t>FLUI-REX90-ZLL-10-1400KT</t>
  </si>
  <si>
    <t>FLUI-REX90-ROOD-10.000X1.400X10-zonder lijmlaag-00801829</t>
  </si>
  <si>
    <t>98,300</t>
  </si>
  <si>
    <t>FOURTHANE-RED-00130001FT</t>
  </si>
  <si>
    <t>Fourthane Red 0,75 kg</t>
  </si>
  <si>
    <t>12080, Comercializadora Fourthane LTDA</t>
  </si>
  <si>
    <t>95,670</t>
  </si>
  <si>
    <t>07-02_Fourthane</t>
  </si>
  <si>
    <t>Fourthane Red ; 0,75kg</t>
  </si>
  <si>
    <t>Inhoud van de Red Line Kit: ; Fourthane® hars, katalysator, primer en reinigingsmiddel</t>
  </si>
  <si>
    <t>Inhalt des Red Line Kits: ; Fourthane®-Polymer-Lösung, Härter, Primer und Reinigungsmittel</t>
  </si>
  <si>
    <t>Content of Red Line kit: ; Fourthane® Resin, Catalyst, Primer and Cleaning Agent</t>
  </si>
  <si>
    <t>Contenu du kit Red Line: ; Fourthane® Resin, Catalyst, Primer et Agent de nettoyage</t>
  </si>
  <si>
    <t>Fourthane Repair Kit RED is ontworpen voor het zware werk, met hoge bestendigheid tegen scheuren, impact en slijtage. Hiermee kunnen transportbanden in één uur of minder worden gerepareerd. Het is gemakkelijk aan te brengen en heeft een uitstekende hechting op het rubber.</t>
  </si>
  <si>
    <t>Fourthane Repair Kit RED ist für anspruchsvolle Anwendungen mit hoher Scher-, Schlag- und Abriebfestigkeit ausgelegt. Es ermöglicht Reparaturen an Förderbändern in einer Stunde oder weniger. Es ist einfach anzuwenden und hat eine ausgezeichnete Haftung auf dem Gummi.</t>
  </si>
  <si>
    <t>Fourthane Repair Kit RED is designed for heavy duty work, with high resistance to shearing, impact and abrasion. ; It allows making repairs to conveyor belts in an hour or less.  ; It is easy to apply and has excellent adherence to the rubber</t>
  </si>
  <si>
    <t>Le kit de réparation Fourthane RED est conçu pour les travaux lourds, avec une résistance élevée au cisaillement, aux chocs et à l’abrasion. Il permet d’effectuer des réparations sur des bandes transporteuses en une heure ou moins. Il est facile à appliquer et possède une excellente adhérence au caoutchouc.</t>
  </si>
  <si>
    <t>Reparaties in één uur of minder ; Eenvoudig te gebruiken ; Ontworpen voor gebruik op locatie</t>
  </si>
  <si>
    <t>Reparaturen in einer Stunde oder weniger ; Einfach zu verwenden ; Entwickelt für den Einsatz vor Ort</t>
  </si>
  <si>
    <t>Repairs in an hour or less ; Easy to apply ; Designed to be used in the field</t>
  </si>
  <si>
    <t>Réparations dans une heure ou moins ; Facile à appliquer ; Conçu pour être utilisé sur place du client</t>
  </si>
  <si>
    <t>Fourthane, Snel reparatiesysteem voor transportbanden</t>
  </si>
  <si>
    <t>Fourthane, Schnelles Reparatursystem für Fördergurte</t>
  </si>
  <si>
    <t>Fourthane, Fast Repair System for Conveyor Belts</t>
  </si>
  <si>
    <t>Fourthane, Système de réparation rapide pour bandes transporteuses</t>
  </si>
  <si>
    <t>FOURTHANE-RED-00130002FT ; PERMAFLEX-STARTERKIT200MLST</t>
  </si>
  <si>
    <t>cold repair / sonstige</t>
  </si>
  <si>
    <t>FOURTHANE-RED-00130002FT</t>
  </si>
  <si>
    <t>Fourthane Red 0,3 kg</t>
  </si>
  <si>
    <t>Fourthane Red ; 0,3 kg</t>
  </si>
  <si>
    <t>Fourthane Repair Kit RED ist für schwere Arbeiten mit hoher Scher-, Schlag- und Abriebfestigkeit ausgelegt. Es ermöglicht Reparaturen an Förderbändern in einer Stunde oder weniger. Es ist einfach anzuwenden und hat eine ausgezeichnete Haftung auf dem Gummi.</t>
  </si>
  <si>
    <t>Fourthane, Schnelles Reparatursystem für Fördergurten</t>
  </si>
  <si>
    <t>FOURTHANE-RED-00130001FT ; PERMAFLEX-STARTERKIT200MLST</t>
  </si>
  <si>
    <t>FTK-MASTER CLEANER-1000FK</t>
  </si>
  <si>
    <t>FTK - Master cleaner - 1000 - Complete</t>
  </si>
  <si>
    <t>12062, FTK Förderband Technik Kilian GmbH</t>
  </si>
  <si>
    <t>411,000</t>
  </si>
  <si>
    <t>FTK-MASTER CLEANER-1200FK</t>
  </si>
  <si>
    <t>FTK - Master cleaner - 1200 - Complete</t>
  </si>
  <si>
    <t>455,900</t>
  </si>
  <si>
    <t>FTK-MASTER CLEANER-500FK</t>
  </si>
  <si>
    <t>FTK - Master cleaner - 500 - Complete</t>
  </si>
  <si>
    <t>287,900</t>
  </si>
  <si>
    <t>FTK-MASTER CLEANER-650FK</t>
  </si>
  <si>
    <t>FTK - Master cleaner - 650 - Complete</t>
  </si>
  <si>
    <t>339,900</t>
  </si>
  <si>
    <t>FTK-MASTER CLEANER-800FK</t>
  </si>
  <si>
    <t>FTK - Master cleaner - 800 - Complete</t>
  </si>
  <si>
    <t>342,900</t>
  </si>
  <si>
    <t>FTK-PRIMARY CLEANER-1.000FK</t>
  </si>
  <si>
    <t>FTK - Primary cleaner - 1.000 - Complete</t>
  </si>
  <si>
    <t>656,000</t>
  </si>
  <si>
    <t>FTK-PRIMARY CLEANER-1.200FK</t>
  </si>
  <si>
    <t>FTK - Primary cleaner - 1.200 - Complete</t>
  </si>
  <si>
    <t>739,000</t>
  </si>
  <si>
    <t>FTK-PRIMARY CLEANER-1.400FK</t>
  </si>
  <si>
    <t>FTK - Primary cleaner - 1.400 - Complete</t>
  </si>
  <si>
    <t>837,000</t>
  </si>
  <si>
    <t>FTK-PRIMARY CLEANER-1.800FK</t>
  </si>
  <si>
    <t>FTK - Primary cleaner - 1.800 - Complete</t>
  </si>
  <si>
    <t>1.150,000</t>
  </si>
  <si>
    <t>GASMETING</t>
  </si>
  <si>
    <t>115,000</t>
  </si>
  <si>
    <t>59, Gasmetingen</t>
  </si>
  <si>
    <t>GB-TEC200-1200X200X33CH</t>
  </si>
  <si>
    <t>GB-TEC200 Glidebars, afm: 1.200x200x33 mm-00801605</t>
  </si>
  <si>
    <t>52,640</t>
  </si>
  <si>
    <t>GB-TEC300-1200X300X33CH</t>
  </si>
  <si>
    <t>GB-TEC300 Glidebars, afm: 1.200x300x33 mm-00801609</t>
  </si>
  <si>
    <t>77,380</t>
  </si>
  <si>
    <t>GEESINK-1080150624RE</t>
  </si>
  <si>
    <t>Polyamide-1080150624-Geesink Kiggen</t>
  </si>
  <si>
    <t>45,500</t>
  </si>
  <si>
    <t>12004, Reca Plastics GmbH</t>
  </si>
  <si>
    <t>GEESINKK-1080150453RE</t>
  </si>
  <si>
    <t>PUR-1080150453-Geesink Kiggen</t>
  </si>
  <si>
    <t>GEESINKK-1080150619LI</t>
  </si>
  <si>
    <t>Polyamide-1080150619-Geesink Kiggen</t>
  </si>
  <si>
    <t>84,290</t>
  </si>
  <si>
    <t>12056, Licharz GmbH</t>
  </si>
  <si>
    <t>60,500</t>
  </si>
  <si>
    <t>GEESINKK-1080150619RE</t>
  </si>
  <si>
    <t>54,300</t>
  </si>
  <si>
    <t>GEESINKK-1080150620LI</t>
  </si>
  <si>
    <t>Polyamide-1080150620-Geesink Kiggen</t>
  </si>
  <si>
    <t>25,920</t>
  </si>
  <si>
    <t>GEESINKK-1080150620RE</t>
  </si>
  <si>
    <t>GEESINKK-1080150914RE</t>
  </si>
  <si>
    <t>Polyurethaan-1080150914-Geesink Kiggen</t>
  </si>
  <si>
    <t>32,240</t>
  </si>
  <si>
    <t>26,200</t>
  </si>
  <si>
    <t>GEESINKK-1080150915RE</t>
  </si>
  <si>
    <t>Polyurethaan-1080150915-Geesink Kiggen</t>
  </si>
  <si>
    <t>GLIDEBARS-BLAUW-1220X200X32CH</t>
  </si>
  <si>
    <t>Glidebars, afm: 1.220x200x32 mm-blauw</t>
  </si>
  <si>
    <t>53,970</t>
  </si>
  <si>
    <t>09-05_Impact &amp; Glide Bars</t>
  </si>
  <si>
    <t>Glidebar Blauw ; 1.220x200x32 mm</t>
  </si>
  <si>
    <t>Gleitbalken Blau ; 1.220x200x32 mm</t>
  </si>
  <si>
    <t>Glidebar Blue ; 1.220x200x32 mm</t>
  </si>
  <si>
    <t>Barres glissantes Bleu ; 1.220x200x32 mm</t>
  </si>
  <si>
    <t>Lengte: 1.220 mm ; Breedte: 200 mm ; Hoogte: 32 mm</t>
  </si>
  <si>
    <t>Länge: 1.220 mm ; Breite: 200 mm ; Höhe: 32 mm</t>
  </si>
  <si>
    <t>Length: 1.220 mm ; Width: 200 mm ; Height: 32 mm</t>
  </si>
  <si>
    <t>Longueur: 1.220 mm ; Largeur: 200 mm ; Hauteur: 32 mm</t>
  </si>
  <si>
    <t>De Impact- en glide bars hebben een zeer goede elastische rubberen kern die de maximale impact absorbeert om kostbare punctie schade aan de transportband te beperken. Door de goede absorptie verminderd effectief het morsen tijdens het storten van het materiaal op de transportband. ; De harde toplaag van UHWMPE heeft een extreem lage wrijvingscoëfficiënt en vermindert de wrijvingskracht en warmte met de transportband oppervlakte aanzienlijk. De bars zijn voorzien van een sterk geëxtrudeerd aluminium T-slot profiel met T-bouten die zorgen voor een makkelijke, snelle en veilige montage aan de installatie. De impact bars reduceren ook zeer goed geluid en trillingen bij het beladen van de transportband.</t>
  </si>
  <si>
    <r>
      <t xml:space="preserve">Die Prall- und Gleitbalken haben einen </t>
    </r>
    <r>
      <rPr>
        <sz val="10"/>
        <color rgb="FFFF0000"/>
        <rFont val="Arial"/>
        <family val="2"/>
      </rPr>
      <t>hochelastischen</t>
    </r>
    <r>
      <rPr>
        <sz val="10"/>
        <color indexed="8"/>
        <rFont val="Arial"/>
        <family val="2"/>
      </rPr>
      <t xml:space="preserve"> Gummikern, der den maximalen Einschlag absorbiert, um kostspielige Stichschäden am Förderband zu begrenzen. Die gute Absorption reduziert effektiv das Verschütten während des Schüttens des Materials auf das Förderband. ; Die harte Deckschicht aus UHWMPE hat einen extrem niedrigen Reibungskoeffizienten und reduziert die Reibungskraft und Wärme mit der Förderbandoberfläche erheblich. Die Balken sind mit einem starken T-Nut-Profil aus extrudiertem Aluminium mit T-Bolzen versehen, die eine einfache, schnelle und sichere Montage an der Installation gewährleisten. Auch beim Beladen des Förderbandes reduzieren die Prallleisten Geräusche und Vibrationen sehr gut.</t>
    </r>
  </si>
  <si>
    <t>The Impact and Glide bars have a very good elastic rubber core that absorbs the maximum impact to limit costly puncture damage to the conveyor belt. The good absorption effectively reduces spillage during the pouring of the material onto the conveyor belt. ; The hard top layer of UHWMPE has an extremely low coefficient of friction and significantly reduces the friction force and heat with the conveyor belt surface. The bars are provided with a strong extruded aluminum T-slot profile with T-bolts that ensure easy, fast and safe mounting to the installation. The impact bars also reduce noise and vibration very well when loading the conveyor belt.</t>
  </si>
  <si>
    <t>Les barres Impact et Glide ont un très bon noyau en caoutchouc élastique qui absorbe le maximum d'impact pour limiter les dommages de perforation coûteux à la bande transporteuse. La bonne absorption réduit efficacement les déversements lors du versement du matériau sur la bande transporteuse. ; La couche supérieure dure d'UHWMPE a un coefficient de frottement extrêmement faible et réduit considérablement la force de frottement et la chaleur avec la surface de la bande transporteuse. Les barres sont munies d'un profilé en T en aluminium extrudé solide avec des boulons en T qui assurent un montage facile, rapide et sûr à l'installation. Les barres d'impact réduisent également très bien le bruit et les vibrations lors du chargement de la bande transporteuse.</t>
  </si>
  <si>
    <t>Schokabsorberend rubber, basis (kern) ; Oppervlak polyethyleen voor lage wrijving ; Snelle installatie met T-bouten</t>
  </si>
  <si>
    <t>Stoßabsorbierender Gummi, Basis (Kern) ; Polyethylen-Oberfläche für geringe Reibung ; Schnelle Installation mit T-Bolzen</t>
  </si>
  <si>
    <t>Shock-absorbing rubber, base (core) ; Polyethylene surface for low friction ; Quick installation with T-bolts</t>
  </si>
  <si>
    <t>Caoutchouc absorbant les chocs, base (noyau) ; Surface en polyéthylène pour un faible frottement ; Installation rapide avec des boulons en T</t>
  </si>
  <si>
    <t>Impact- en glide bars bieden ondersteuning aan de gehele breedte en lengte van transportband bij het laadgebied. Het absorbeert de impactenergie op de transportband aanzienlijk en verlaagt hiermee de slijtage aan de transportband.</t>
  </si>
  <si>
    <t>Prall- und Gleitbalken stützen das Förderband im Ladebereich über die gesamte Breite und Länge ab. Es absorbiert die Aufprallenergie am Förderband erheblich und reduziert so den Verschleiß des Förderbandes.</t>
  </si>
  <si>
    <t>Impact and glide bars support the entire width and length of the conveyor belt at the loading area. It significantly absorbs the impact energy on the conveyor belt and thus reduces wear on the conveyor belt.</t>
  </si>
  <si>
    <t>Les barres d'impact et de glissement supportent toute la largeur et la longueur de la bande transporteuse au niveau de la zone de chargement. Il absorbe considérablement l'énergie d'impact sur la bande transporteuse et réduit ainsi l'usure de la bande transporteuse.</t>
  </si>
  <si>
    <t>IMPACTBOUTEN-M16X40CH ; GLIDEBARS-BLAUW-1220X250X32CH ; GLIDEBARS-BLAUW-1220X300X32CH</t>
  </si>
  <si>
    <t>011</t>
  </si>
  <si>
    <t>Prallbalken</t>
  </si>
  <si>
    <t>GLIDEBARS-BLAUW-1220X250X32CH</t>
  </si>
  <si>
    <t>Glidebars, afm: 1.220x250x32 mm-blauw</t>
  </si>
  <si>
    <t>57,650</t>
  </si>
  <si>
    <t>Glidebar Blauw ; 1.220x250x32 mm</t>
  </si>
  <si>
    <t>Gleitbalk Blau ; 1.220x250x32 mm</t>
  </si>
  <si>
    <t>Glidebar Blue ; 1.220x250x32 mm</t>
  </si>
  <si>
    <t>Barres glissantes Bleu ; 1.220x250x32 mm</t>
  </si>
  <si>
    <t>Lengte: 1.220 mm ; Breedte: 250 mm ; Hoogte: 32 mm</t>
  </si>
  <si>
    <t>Länge: 1.220 mm ; Breite: 250 mm ; Höhe: 32 mm</t>
  </si>
  <si>
    <t>Length: 1.220 mm ; Width: 250 mm ; Height: 32 mm</t>
  </si>
  <si>
    <t>Longueur: 1.220 mm ; Largeur: 250 mm ; Hauteur: 32 mm</t>
  </si>
  <si>
    <t>Die Prall- und Gleitbalken haben einen sehr guten elastischen Gummikern, der den maximalen Einschlag absorbiert, um kostspielige Stichschäden am Förderband zu begrenzen. Die gute Absorption reduziert effektiv das Verschütten während des Schüttens des Materials auf das Förderband. ; Die harte Deckschicht aus UHWMPE hat einen extrem niedrigen Reibungskoeffizienten und reduziert die Reibungskraft und Wärme mit der Förderbandoberfläche erheblich. Die Balken sind mit einem starken T-Nut-Profil aus extrudiertem Aluminium mit T-Bolzen versehen, die eine einfache, schnelle und sichere Montage an der Installation gewährleisten. Auch beim Beladen des Förderbandes reduzieren die Prallleisten Geräusche und Vibrationen sehr gut.</t>
  </si>
  <si>
    <t>IMPACTBOUTEN-M16X40CH ; GLIDEBARS-BLAUW-1220X200X32CH ; GLIDEBARS-BLAUW-1220X300X32CH</t>
  </si>
  <si>
    <t>GLIDEBARS-BLAUW-1220X300X32CH</t>
  </si>
  <si>
    <t>Glidebars, afm: 1.220x300x32 mm-blauw</t>
  </si>
  <si>
    <t>63,870</t>
  </si>
  <si>
    <t>Glidebar Blauw ; 1.220x300x32 mm</t>
  </si>
  <si>
    <t>Gleitbalk Blau ; 1.220x300x32 mm</t>
  </si>
  <si>
    <t>Glidebar Blue ; 1.220x300x32 mm</t>
  </si>
  <si>
    <t>Barres glissantes Bleu ; 1.220x300x32 mm</t>
  </si>
  <si>
    <t>Lengte: 1.220 mm ; Breedte: 300 mm ; Hoogte: 32 mm</t>
  </si>
  <si>
    <t>Länge: 1.220 mm ; Breite: 300 mm ; Höhe: 32 mm</t>
  </si>
  <si>
    <t>Length: 1.220 mm ; Width: 300 mm ; Height: 32 mm</t>
  </si>
  <si>
    <t>Longueur: 1.220 mm ; Largeur: 300 mm ; Hauteur: 32 mm</t>
  </si>
  <si>
    <t xml:space="preserve">IMPACTBOUTEN-M16X40CH ; GLIDEBARS-BLAUW-1220X200X32CH ; GLIDEBARS-BLAUW-1220X250X32CH </t>
  </si>
  <si>
    <t>GOLFRAND-M100BT</t>
  </si>
  <si>
    <t>Golfrand-M100</t>
  </si>
  <si>
    <t>12008, B&amp;T Transflex S.R.L.</t>
  </si>
  <si>
    <t>12,020</t>
  </si>
  <si>
    <t>09-02_Sidewalls</t>
  </si>
  <si>
    <t>Golfrand ; M100</t>
  </si>
  <si>
    <t>Wellenkanten ; M100</t>
  </si>
  <si>
    <t>Sidewall ; M100</t>
  </si>
  <si>
    <t>Bords de Contenance ; M100</t>
  </si>
  <si>
    <t>Lengte: maximaal 250.000 mm ; Hoogte: 100 mm ; Dikte: 6 mm ; Voet: 50 mm</t>
  </si>
  <si>
    <t>Länge: maximal 250.000 mm ; Höhe: 100 mm ; Stärke: 6 mm ; Fuß: 50 mm</t>
  </si>
  <si>
    <t>Length: maximal 250.000 mm ; Height: 100 mm ; Thickness: 6 mm ; Base: 50 mm</t>
  </si>
  <si>
    <t>Longueur: maximal 250.000 mm ; Hauteur: 100 mm ; Épaisseur: 6 mm ; Base: 50 mm</t>
  </si>
  <si>
    <t>Kleur: zwart ; Rubber: SBR ; Hardheid: 60 ± 5 Shore A ; Dichtheid: 1,12 g/cm³ ; Treksterkte: ± 18 Mpa ; Rek bij breuk: &gt; 350 % ; Werktemperatuur: - 10°C to +50°C ; Rubberkwaliteit: Normaal</t>
  </si>
  <si>
    <t>Farbe: Schwarz ; Gummi: SBR ; Härte: 60 ± 5 Shore A ; Dichte:  ± 1,12 g/cm³ ; Zugfestigkeit: ± 18 MPa ; Bruchdehnung: &gt; 350 % ; Arbeitstemperatur: - 10 °C bis +50 °C ; Gummiqualität: Normal</t>
  </si>
  <si>
    <t>Color: Black ; Rubber: SBR ; Hardness: 60 ± 5 Shore A ; Density: ± 1,12 g/cm³ ; Tensile strength: ± 18 MPa ; Elongation at Break: &gt; 350 % ; Working temperature: - 10°C to +50°C ; Rubber Quality: Normal</t>
  </si>
  <si>
    <t>Couleur: noire ; Caoutchouc : SBR ; Dureté : 60 ± 5 Shore A ; Densité : ± 1,12 g/cm³ ; Résistance à la traction : ± 18 MPa ; Allongement à la rupture : &gt; 350 % ; Température de fonctionnement: - 10°C à +50°C ; Qualité du caoutchouc : normale</t>
  </si>
  <si>
    <t>Gegolfd rubber profiel, in de lengte te plaatsen op rubberen transportbanden. ; Geproduceerd volgens ISO- en DIN-normen.</t>
  </si>
  <si>
    <t>Gewelltes Gummiprofil, längs auf Gummiförderbänder aufzulegen. ; Produziert nach ISO- und DIN-Normen.</t>
  </si>
  <si>
    <t>Corrugated rubber profile, to be placed lengthways on rubber conveyor belts. ; Produced according to ISO and DIN standards.</t>
  </si>
  <si>
    <t>Profil en caoutchouc ondulé, à placer dans le sens de la longueur sur les bandes transporteuses en caoutchouc. ; Produit selon les normes ISO et DIN.</t>
  </si>
  <si>
    <t>Wellkante</t>
  </si>
  <si>
    <t>GOLFRAND-M120BT</t>
  </si>
  <si>
    <t>Golfrand-M120</t>
  </si>
  <si>
    <t>Golfrand ; M120</t>
  </si>
  <si>
    <t>Wellenkanten ; M120</t>
  </si>
  <si>
    <t>Sidewall ; M120</t>
  </si>
  <si>
    <t>Bords de Contenance ; M120</t>
  </si>
  <si>
    <t>Lengte: maximaal 200.000 mm ; Hoogte: 120 mm ; Dikte: 6 mm ; Voet: 50 mm</t>
  </si>
  <si>
    <t>Länge: maximal 200.000 mm ; Höhe: 120 mm ; Stärke: 6 mm ; Fuß: 50 mm</t>
  </si>
  <si>
    <t>Length: maximal 200.000 mm ; Height: 120 mm ; Thickness: 6 mm ; Base: 50 mm</t>
  </si>
  <si>
    <t>Longueur: maximal 200.000 mm ; Hauteur: 120 mm ; Épaisseur: 6 mm ; Base: 50 mm</t>
  </si>
  <si>
    <t>GOLFRAND-M120PH</t>
  </si>
  <si>
    <t>GOLFRAND-M160-WEEFBT</t>
  </si>
  <si>
    <t>Golfrand-M160-Met Weefsel</t>
  </si>
  <si>
    <t>GOLFRAND-M40BF</t>
  </si>
  <si>
    <t>Golfrand-M40</t>
  </si>
  <si>
    <t>19,000</t>
  </si>
  <si>
    <t>12033, Qingdao Best Friend Rubber and Plastic Co., Ltd.</t>
  </si>
  <si>
    <t>4,800</t>
  </si>
  <si>
    <t>Golfrand ; M40</t>
  </si>
  <si>
    <t>Wellenkanten ; M40</t>
  </si>
  <si>
    <t>Sidewall ; M40</t>
  </si>
  <si>
    <t>Bords de Contenance ; M40</t>
  </si>
  <si>
    <t>Lengte: maximaal 500.000 mm ; Hoogte: 40 mm ; Dikte: 4 mm ; Voet: 29 mm</t>
  </si>
  <si>
    <t>Länge: maximal 500.000 mm ; Höhe: 40 mm ; Stärke: 4 mm ; Fuß: 29 mm</t>
  </si>
  <si>
    <t>Length: maximal 500.000 mm ; Height: 40 mm ; Thickness: 4 mm ; Base: 29 mm</t>
  </si>
  <si>
    <t>Longueur: maximal 500.000 mm ; Hauteur: 40 mm ; Épaisseur: 4 mm ; Base: 29 mm</t>
  </si>
  <si>
    <t>GOLFRAND-M40BT</t>
  </si>
  <si>
    <t>6,070</t>
  </si>
  <si>
    <t>GOLFRAND-M40CO</t>
  </si>
  <si>
    <t>5,200</t>
  </si>
  <si>
    <t>GOLFRAND-M40RP</t>
  </si>
  <si>
    <t>8,450</t>
  </si>
  <si>
    <t>GOLFRAND-M60BF</t>
  </si>
  <si>
    <t>Golfrand-M60</t>
  </si>
  <si>
    <t>5,400</t>
  </si>
  <si>
    <t>Golfrand ; M60</t>
  </si>
  <si>
    <t>Wellenkanten ; M60</t>
  </si>
  <si>
    <t>Sidewall ; M60</t>
  </si>
  <si>
    <t>Bords de Contenance ; M60</t>
  </si>
  <si>
    <t>Lengte: maximaal 400.000 mm ; Hoogte: 60 mm ; Dikte: 6 mm ; Voet: 50 mm</t>
  </si>
  <si>
    <t>Länge: maximal 500.000 mm ; Höhe: 60 mm ; Stärke: 6 mm ; Fuß: 50 mm</t>
  </si>
  <si>
    <t>Length: maximal 400.000 mm ; Height: 60 mm ; Thickness: 6 mm ; Base: 50 mm</t>
  </si>
  <si>
    <t>Longueur: maximal 400.000 mm ; Hauteur: 60 mm ; Épaisseur: 6 mm ; Base: 50 mm</t>
  </si>
  <si>
    <t>GOLFRAND-M60BT</t>
  </si>
  <si>
    <t>7,190</t>
  </si>
  <si>
    <t>GOLFRAND-M60CO</t>
  </si>
  <si>
    <t>6,210</t>
  </si>
  <si>
    <t>GOLFRAND-M60PH</t>
  </si>
  <si>
    <t>5,860</t>
  </si>
  <si>
    <t>GOLFRAND-M80BF</t>
  </si>
  <si>
    <t>Golfrand-M80</t>
  </si>
  <si>
    <t>6,600</t>
  </si>
  <si>
    <t>Golfrand ; M80</t>
  </si>
  <si>
    <t>Wellenkanten ; M80</t>
  </si>
  <si>
    <t>Sidewall ; M80</t>
  </si>
  <si>
    <t>Bords de Contenance ; M80</t>
  </si>
  <si>
    <t>Lengte: maximaal 300.000 mm ; Hoogte: 80 mm ; Dikte: 6 mm ; Voet: 50 mm</t>
  </si>
  <si>
    <t>Länge: maximal 300.000 mm ; Höhe: 80 mm ; Stärke: 6 mm ; Fuß: 50 mm</t>
  </si>
  <si>
    <t>Length: maximal 300.000 mm ; Height: 80 mm ; Thickness: 6 mm ; Base: 50 mm</t>
  </si>
  <si>
    <t>Longueur: maximal 300.000 mm ; Hauteur: 80 mm ; Épaisseur: 6 mm ; Base: 50 mm</t>
  </si>
  <si>
    <t>GOLFRAND-M80BT</t>
  </si>
  <si>
    <t>9,650</t>
  </si>
  <si>
    <t>GOLFRAND-M80PH</t>
  </si>
  <si>
    <t>7,160</t>
  </si>
  <si>
    <t>GOLFRAND-MOR-M60LB</t>
  </si>
  <si>
    <t>Golfrand-M60-MOR</t>
  </si>
  <si>
    <t>GP-REX45B-ROOD-08CH</t>
  </si>
  <si>
    <t>GP-REX45B-ROOD-08mm</t>
  </si>
  <si>
    <t>43,150</t>
  </si>
  <si>
    <t>04-04_Mini Diamond Red</t>
  </si>
  <si>
    <t>GP-REX45B Rood 8 mm ; Mini ruit trommelbekleding met lijmlaag</t>
  </si>
  <si>
    <t>GP-REX45B Rot 8 mm ; Mini Raute Trommelbelag mit Kontaktschicht</t>
  </si>
  <si>
    <t>GP-REX45B Red 8 mm ; Mini diamond drum lagging with bondinglayer</t>
  </si>
  <si>
    <t>GP-REX45B Rouge 8 mm ; Mini losange garnissage du tambour avec face adhésive</t>
  </si>
  <si>
    <t>Met lijmlaag ; Lengte 10.000 mm ; Breedte 2.000 mm ; Dikte 8 mm ; Afmetingen ruit: ; * Breedte 35 mm ; * Lengte 18 mm ; * Hoogte 3 mm ; Slijtvast rubber &lt; 110 mm³ ; Kleur: rood ; Shore-hardheid ± 40° - 45° ; Treksterkte 20 N./mm² ; Rek 650%; Soortelijk gewicht 1,12</t>
  </si>
  <si>
    <t>Mit Kontaktschicht ; Länge 10.000 mm ; Breite 2.000 mm ; Stärke 8 mm ;  Abmessungen Raute: ; * Breite 35 mm ; * Länge 18 mm ; * Höhe 3 mm ; Abriebfestes Verschleißgummi &lt; 110mm³ ; Farbe: Rot ; Shore Härte ± 40° - 45° ; Reißfestigkeit 20 N./mm² ; Reißdehnung 650 % ; Spezifisches Gewicht 1,12</t>
  </si>
  <si>
    <t>With bonding layer ; Length 10.000 mm ; Width 2.000 mm ; Thickness 8 mm ; Dimensions Diamond: ; * Width 35 mm ; * Lenght 18 mm ; * Height 3 mm ; Wear resistant rubber &lt; 110 mm³ ; Colour: Red ; Shore Hardness ± 40° - 45° ; Tensile Strength 20 N./mm² ; Elongation 650 % ; Specific weight 1,12</t>
  </si>
  <si>
    <t>Avec face adhésive ; Longeur 10.000 mm ; Largeur 2.000 mm ; Épaisseur 8 mm ; Dimensions losange: ; * Largeur 35 mm ; * Longueur 18 mm ; * Hauteur 3 mm ; Caoutchouc anti abrasion &lt; 110 mm³ ; Couleur: Rouge ; Dureté Shore ± 40° - 45° ; Résistance à la rupture 20 N./mm² ; Allongement 650 % ; Poids spécifique 1,12</t>
  </si>
  <si>
    <t>Mini diamant trommelbekleding, te gebruiken voor het aandrijven van trommels die werken in zeer natte en vochtige toepassingen om de grip op de transportband te maximaliseren. ; Een gemengde natuurrubbersamenstelling met uitstekende treksterkte en slijtvastheid. ; Geproduceerd volgens ISO- en DIN-normen. ; De bedrijfstemperaturen voor langere periodes liggen tussen -30 °C en +80 °C en voor korte periodes tussen -55 °C en +90 °C.</t>
  </si>
  <si>
    <t>Mini-Rauten-Trommelbelag zur Auskleidung von Antriebstrommeln, die in sehr nassen und feuchten Umgebungen betrieben werden, um die Haftung mit dem Förderband zu maximieren. ; Eine gemischte Naturkautschukmischung mit ausgezeichneter Zugfestigkeit und Abriebfestigkeit. ; Hergestellt nach ISO- und DIN-Normen. ; Die Betriebstemperaturen liegen längerfristig zwischen -30 °C und +80 °C und kurzzeitig zwischen -55 °C und +90 °C.</t>
  </si>
  <si>
    <t>Mini diamond drum lagging, to be used to line drive pulleys operating in very wet and moist applications for maximizing of the grip with the conveyor belt. ; A blended natural rubber compound with excellent tensile strength and abrasion resistance. ; Produced according to ISO and DIN standards. ; The operating temperatures for longer periods suggested between -30 °C to +80 °C and for short periods could be -55 °C to +90°C.</t>
  </si>
  <si>
    <t>Mini revêtement de tambour diamanté, à utiliser pour aligner les poulies d'entraînement fonctionnant dans des applications très humides et humides pour maximiser l'adhérence avec la bande transporteuse. ; Un composé de caoutchouc naturel mélangé avec une excellente résistance à la traction et à l'abrasion. ; Produit selon les normes ISO et DIN. ; Les températures de fonctionnement pour des périodes plus longues suggérées entre -30 °C et +80 °C et pour de courtes périodes pourraient être de -55 °C à +90 °C.</t>
  </si>
  <si>
    <t>Vermindert het slippen tussen de band en trommel ; Verbetert en stabiliseert de wrijvingscoëfficiënt ; Afvoeren van vocht en vuil ; Beschermt de trommel tegen slijtage en corrosie ; Voorkomt materiaalophoping ; Positieve invloed op bandgeleiding</t>
  </si>
  <si>
    <t>Reduziert Schlupf zwischen Band und Trommel ; Verbessert und stabilisiert den Reibungskoeffizienten ; Abtransport von Feuchtigkeit und Schmutz ; Schützt die Trommel vor Verschleiß und Korrosion ; Verhindert Materialaufbau ; Positiver Einfluss auf Bandlauf</t>
  </si>
  <si>
    <t>Reduces slippage between belt and pulley ;  Improves and stabilizes coefficient of friction ;  Evacuation of moisture and dirt ;  Protects the pulley against wear and corrosion ; Prevents material build-up ; Positive influence on belt tracking</t>
  </si>
  <si>
    <t>Réduit le glissement entre la courroie et la tambour ; Améliore et stabilise le coefficient de frottement ; Évacuation de l'humidité et de la saleté ; Protège la poulie contre l'usure et la corrosion ; Empêche l'accumulation de matériaux ; Influence positive sur l'alignement de la bande</t>
  </si>
  <si>
    <t>RAU-T40 rot m. VKS</t>
  </si>
  <si>
    <t>GP-REX45B-ROOD-10CH</t>
  </si>
  <si>
    <t>GP-REX45B-ROOD-10mm</t>
  </si>
  <si>
    <t>53,910</t>
  </si>
  <si>
    <t>GP-REX45B Rood 10 mm ; Mini ruit trommelbekleding met lijmlaag</t>
  </si>
  <si>
    <t>GP-REX45B Rot 10 mm ; Mini Raute Trommelbelag mit Kontaktschicht</t>
  </si>
  <si>
    <t>GP-REX45B Red 10 mm ; Mini diamond drum lagging with bondinglayer</t>
  </si>
  <si>
    <t>GP-REX45B Rouge 10 mm ; Mini losange garnissage du tambour avec face adhésive</t>
  </si>
  <si>
    <t>Met lijmlaag ; Lengte 10.000 mm ; Breedte 2.000 mm ; Dikte 10 mm ; Afmetingen ruit: ; * Breedte 35 mm ; * Lengte 18 mm ; * Hoogte 3 mm ; Slijtvast rubber &lt; 110 mm³ ; Kleur: rood ; Shore-hardheid ± 40° - 45° ; Treksterkte 20 N./mm² ; Rek 650%; Soortelijk gewicht 1,12</t>
  </si>
  <si>
    <t>Mit Kontaktschicht ; Länge 10.000 mm ; Breite 2.000 mm ; Stärke 10 mm ;  Abmessungen Raute: ; * Breite 35 mm ; * Länge 18 mm ; * Höhe 3 mm ; Abriebfestes Verschleißgummi &lt; 110mm³ ; Farbe: Rot ; Shore Härte ± 40° - 45° ; Reißfestigkeit 20 N./mm² ; Reißdehnung 650 % ; Spezifisches Gewicht 1,12</t>
  </si>
  <si>
    <t>With bonding layer ; Length 10.000 mm ; Width 2.000 mm ; Thickness 10 mm ; Dimensions Diamond: ; * Width 35 mm ; * Lenght 18 mm ; * Height 3 mm ; Wear resistant rubber &lt; 110 mm³ ; Colour: Red ; Shore Hardness ± 40° - 45° ; Tensile Strength 20 N./mm² ; Elongation 650 % ; Specific weight 1,12</t>
  </si>
  <si>
    <t>Avec face adhésive ; Longeur 10.000 mm ; Largeur 2.000 mm ; Épaisseur 10 mm ; Dimensions losange: ; * Largeur 35 mm ; * Longuer 18 mm ; * Hauteur 3 mm ; Caoutchouc anti abrasion &lt; 110 mm³ ; Couleur: Rouge ; Dureté Shore ± 40° - 45° ; Résistance à la rupture 20 N./mm² ; Allongement 650 % ; Poids spécifique 1,12</t>
  </si>
  <si>
    <t>GP-REX45B-ROOD-10-TS</t>
  </si>
  <si>
    <t>50,563</t>
  </si>
  <si>
    <t>Met lijmlaag ; Lengte 10.000 mm ; Breedte 2.000 mm ; Dikte 10 mm ; Afmetingen ruit: ; * Breedte 35 mm ; * Lengte 18 mm ; * Hoogte 3 mm ; Slijtvast rubber &lt; 110 mm³ ; Kleur: rood ; Shore-hardheid ± 40° - 45° ; Treksterkte 20 N./mm² ; Rek 650%; Soortelijk gewicht 1,13</t>
  </si>
  <si>
    <t>Mit Kontaktschicht ; Länge 10.000 mm ; Breite 2.000 mm ; Stärke 10 mm ;  Abmessungen Raute: ; * Breite 35 mm ; * Länge 18 mm ; * Höhe 3 mm ; Abriebfestes Verschleißgummi &lt; 110mm³ ; Farbe: Rot ; Shore Härte ± 40° - 45° ; Reißfestigkeit 20 N./mm² ; Reißdehnung 650 % ; Spezifisches Gewicht 1,13</t>
  </si>
  <si>
    <t>With bonding layer ; Length 10.000 mm ; Width 2.000 mm ; Thickness 10 mm ; Dimensions Diamond: ; * Width 35 mm ; * Lenght 18 mm ; * Height 3 mm ; Wear resistant rubber &lt; 110 mm³ ; Colour: Red ; Shore Hardness ± 40° - 45° ; Tensile Strength 20 N./mm² ; Elongation 650 % ; Specific weight 1,13</t>
  </si>
  <si>
    <t>Avec face adhésive ; Longeur 10.000 mm ; Largeur 2.000 mm ; Épaisseur 10 mm ; Dimensions losange: ; * Largeur 35 mm ; * Longuer 18 mm ; * Hauteur 3 mm ; Caoutchouc anti abrasion &lt; 110 mm³ ; Couleur: Rouge ; Dureté Shore ± 40° - 45° ; Résistance à la rupture 20 N./mm² ; Allongement 650 % ; Poids spécifique 1,13</t>
  </si>
  <si>
    <t>Trommelbelag 50 shore</t>
  </si>
  <si>
    <t>GP-REX45B-ROOD-12-TS</t>
  </si>
  <si>
    <t>GP-REX45B-ROOD-12mm</t>
  </si>
  <si>
    <t>63,417</t>
  </si>
  <si>
    <t>GP-REX45B Rood 12 mm ; Mini ruit trommelbekleding met lijmlaag</t>
  </si>
  <si>
    <t>GP-REX45B Rot 12 mm ; Mini Raute Trommelbelag mit Kontaktschicht</t>
  </si>
  <si>
    <t>GP-REX45B Red 12 mm ; Mini diamond drum lagging with bondinglayer</t>
  </si>
  <si>
    <t>GP-REX45B Rouge 12 mm ; Mini losange garnissage du tambour avec face adhésive</t>
  </si>
  <si>
    <t>Met lijmlaag ; Lengte 10.000 mm ; Breedte 2.000 mm ; Dikte 12 mm ; Afmetingen ruit: ; * Breedte 35 mm ; * Lengte 18 mm ; * Hoogte 3 mm ; Slijtvast rubber &lt; 110 mm³ ; Kleur: rood ; Shore-hardheid ± 40° - 45° ; Treksterkte 20 N./mm² ; Rek 650%; Soortelijk gewicht 1,12</t>
  </si>
  <si>
    <t>Mit Kontaktschicht ; Länge 10.000 mm ; Breite 2.000 mm ; Stärke 12 mm ;  Abmessungen Raute: ; * Breite 35 mm ; * Länge 18 mm ; * Höhe 3 mm ; Abriebfestes Verschleißgummi &lt; 110mm³ ; Farbe: Rot ; Shore Härte ± 40° - 45° ; Reißfestigkeit 20 N./mm² ; Reißdehnung 650 % ; Spezifisches Gewicht 1,12</t>
  </si>
  <si>
    <t>With bonding layer ; Length 10.000 mm ; Width 2.000 mm ; Thickness 12 mm ; Dimensions Diamond: ; * Width 35 mm ; * Lenght 18 mm ; * Height 3 mm ; Wear resistant rubber &lt; 110 mm³ ; Colour: Red ; Shore Hardness ± 40° - 45° ; Tensile Strength 20 N./mm² ; Elongation 650 % ; Specific weight 1,12</t>
  </si>
  <si>
    <t>Avec face adhésive ; Longeur 10.000 mm ; Largeur 2.000 mm ; Épaisseur 12 mm ; Dimensions losange: ; * Largeur 35 mm ; * Longuer 18 mm ; * Hauteur 3 mm ; Caoutchouc anti abrasion &lt; 110 mm³ ; Couleur: Rouge ; Dureté Shore ± 40° - 45° ; Résistance à la rupture 20 N./mm² ; Allongement 650 % ; Poids spécifique 1,12</t>
  </si>
  <si>
    <t>GP-REX55B-BLAUW-06-CA</t>
  </si>
  <si>
    <t>GP-REX55B-BLAUW-06mm</t>
  </si>
  <si>
    <t>57,960</t>
  </si>
  <si>
    <t>12050, Cannon Belts B.V.</t>
  </si>
  <si>
    <t>76,500</t>
  </si>
  <si>
    <t>04-05_Mini Diamond Blue</t>
  </si>
  <si>
    <t>GP-REX55B Blauw 6 mm ; Mini ruit trommelbekleding met lijmlaag</t>
  </si>
  <si>
    <t>GP-REX55B Blau 6 mm ; Mini Raute Trommelbelag mit Kontaktschicht</t>
  </si>
  <si>
    <t>GP-REX55B Blue 6 mm ; Mini diamond drum lagging with bondinglayer</t>
  </si>
  <si>
    <t>GP-REX55B Bleu 6 mm ; Mini losange garnissage du tambour avec face adhésive</t>
  </si>
  <si>
    <t>Met lijmlaag ; Lengte 10.000 mm ; Breedte 2.000 mm ; Dikte 6 mm ; Afmetingen ruit: ; * Breedte 35 mm ; * Lengte 18 mm ; * Hoogte 3 mm ; Slijtvast rubber &lt; 170 mm³ ; Kleur: Blauw ; Shore-hardheid ± 50° - 55° ; Treksterkte 17 N./mm² ; Rek 600%; Soortelijk gewicht 1,10</t>
  </si>
  <si>
    <t>Mit Kontaktschicht ; Länge 10.000 mm ; Breite 2.000 mm ; Stärke 6 mm ;  Abmessungen Raute: ; * Breite 35 mm ; * Länge 18 mm ; * Höhe 3 mm ; Abriebfestes Verschleißgummi &lt; 170mm³ ; Farbe: Blau ; Shore Härte ± 50° - 55° ; Reißfestigkeit 17 N./mm² ; Reißdehnung 600 % ; Spezifisches Gewicht 1,10</t>
  </si>
  <si>
    <t>With bonding layer ; Length 10.000 mm ; Width 2.000 mm ; Thickness 6 mm ; Dimensions Diamond: ; * Width 35 mm ; * Lenght 18 mm ; * Height 3 mm ; Wear resistant rubber &lt; 170 mm³ ; Colour: Blue ; Shore Hardness ± 50° - 55° ; Tensile Strength 17 N./mm² ; Elongation 600 % ; Specific weight 1,10</t>
  </si>
  <si>
    <t>Avec face adhésive ; Longeur 10.000 mm ; Largeur 2.000 mm ; Épaisseur 6 mm ; Dimensions losange: ; * Largeur 35 mm ; * Longuer 18 mm ; * Hauteur 3 mm ; Caoutchouc anti abrasion &lt; 170 mm³ ; Couleur: Bleu ; Dureté Shore ± 50° - 55° ; Résistance à la rupture 17 N./mm² ; Allongement 600 % ; Poids spécifique 1,10</t>
  </si>
  <si>
    <t>GP-REX55B-BLAUW-06CH</t>
  </si>
  <si>
    <t>34,660</t>
  </si>
  <si>
    <t>017</t>
  </si>
  <si>
    <t>REMAGRIP 60 w. ÖL LEB</t>
  </si>
  <si>
    <t>GP-REX55B-BLAUW-06ZA</t>
  </si>
  <si>
    <t>31,020</t>
  </si>
  <si>
    <t>GP-REX55B-BLAUW-07ZE</t>
  </si>
  <si>
    <t>GP-REX55B-BLAUW-07mm</t>
  </si>
  <si>
    <t>12057, Zenith Rubber Europe Co-op. U.A.</t>
  </si>
  <si>
    <t>33,760</t>
  </si>
  <si>
    <t>GP-REX55B Blauw 7 mm ; Mini ruit trommelbekleding met lijmlaag</t>
  </si>
  <si>
    <t>GP-REX55B Blau 7 mm ; Mini Raute Trommelbelag mit Kontaktschicht</t>
  </si>
  <si>
    <t>GP-REX55B Blue 7 mm ; Mini diamond drum lagging with bondinglayer</t>
  </si>
  <si>
    <t>GP-REX55B Bleu 7 mm ; Mini losange garnissage du tambour avec face adhésive</t>
  </si>
  <si>
    <t>Met lijmlaag ; Lengte 10.000 mm ; Breedte 2.000 mm ; Dikte 7 mm ; Afmetingen ruit: ; * Breedte 35 mm ; * Lengte 18 mm ; * Hoogte 3 mm ; Slijtvast rubber &lt; 170 mm³ ; Kleur: Blauw ; Shore-hardheid ± 50° - 55° ; Treksterkte 17 N./mm² ; Rek 600%; Soortelijk gewicht 1,11</t>
  </si>
  <si>
    <t>Mit Kontaktschicht ; Länge 10.000 mm ; Breite 2.000 mm ; Stärke 7 mm ;  Abmessungen Raute: ; * Breite 35 mm ; * Länge 18 mm ; * Höhe 3 mm ; Abriebfestes Verschleißgummi &lt; 170mm³ ; Farbe: Blau ; Shore Härte ± 50° - 55° ; Reißfestigkeit 17 N./mm² ; Reißdehnung 600 % ; Spezifisches Gewicht 1,11</t>
  </si>
  <si>
    <t>With bonding layer ; Length 10.000 mm ; Width 2.000 mm ; Thickness 7 mm ; Dimensions Diamond: ; * Width 35 mm ; * Lenght 18 mm ; * Height 3 mm ; Wear resistant rubber &lt; 170 mm³ ; Colour: Blue ; Shore Hardness ± 50° - 55° ; Tensile Strength 17 N./mm² ; Elongation 600 % ; Specific weight 1,11</t>
  </si>
  <si>
    <t>Avec face adhésive ; Longeur 10.000 mm ; Largeur 2.000 mm ; Épaisseur 7 mm ; Dimensions losange: ; * Largeur 35 mm ; * Longuer 18 mm ; * Hauteur 3 mm ; Caoutchouc anti abrasion &lt; 170 mm³ ; Couleur: Bleu ; Dureté Shore ± 50° - 55° ; Résistance à la rupture 17 N./mm² ; Allongement 600 % ; Poids spécifique 1,11</t>
  </si>
  <si>
    <t>GP-REX55B-BLAUW-08CH</t>
  </si>
  <si>
    <t>GP-REX55B-BLAUW-08mm</t>
  </si>
  <si>
    <t>45,262</t>
  </si>
  <si>
    <t>GP-REX55B Blauw 8 mm ; Mini ruit trommelbekleding met lijmlaag</t>
  </si>
  <si>
    <t>GP-REX55B Blau 8 mm ; Mini Raute Trommelbelag mit Kontaktschicht</t>
  </si>
  <si>
    <t>GP-REX55B Blue 8 mm ; Mini diamond drum lagging with bondinglayer</t>
  </si>
  <si>
    <t>GP-REX55B Bleu 8 mm ; Mini losange garnissage du tambour avec face adhésive</t>
  </si>
  <si>
    <t>Met lijmlaag ; Lengte 10.000 mm ; Breedte 2.000 mm ; Dikte 8 mm ; Afmetingen ruit: ; * Breedte 35 mm ; * Lengte 18 mm ; * Hoogte 3 mm ; Slijtvast rubber &lt; 170 mm³ ; Kleur: Blauw ; Shore-hardheid ± 50° - 55° ; Treksterkte 17 N./mm² ; Rek 600%; Soortelijk gewicht 1,09</t>
  </si>
  <si>
    <t>Mit Kontaktschicht ; Länge 10.000 mm ; Breite 2.000 mm ; Stärke 8 mm ;  Abmessungen Raute: ; * Breite 35 mm ; * Länge 18 mm ; * Höhe 3 mm ; Abriebfestes Verschleißgummi &lt; 170mm³ ; Farbe: Blau ; Shore Härte ± 50° - 55° ; Reißfestigkeit 17 N./mm² ; Reißdehnung 600 % ; Spezifisches Gewicht 1,09</t>
  </si>
  <si>
    <t>With bonding layer ; Length 10.000 mm ; Width 2.000 mm ; Thickness 8 mm ; Dimensions Diamond: ; * Width 35 mm ; * Lenght 18 mm ; * Height 3 mm ; Wear resistant rubber &lt; 170 mm³ ; Colour: Blue ; Shore Hardness ± 50° - 55° ; Tensile Strength 17 N./mm² ; Elongation 600 % ; Specific weight 1,09</t>
  </si>
  <si>
    <t>Avec face adhésive ; Longeur 10.000 mm ; Largeur 2.000 mm ; Épaisseur 8 mm ; Dimensions losange: ; * Largeur 35 mm ; * Longuer 18 mm ; * Hauteur 3 mm ; Caoutchouc anti abrasion &lt; 170 mm³ ; Couleur: Bleu ; Dureté Shore ± 50° - 55° ; Résistance à la rupture 17 N./mm² ; Allongement 600 % ; Poids spécifique 1,09</t>
  </si>
  <si>
    <t>GP-REX55B-BLAUW-08ZA</t>
  </si>
  <si>
    <t>41,250</t>
  </si>
  <si>
    <t>Met lijmlaag ; Lengte 10.000 mm ; Breedte 2.000 mm ; Dikte 8 mm ; Afmetingen ruit: ; * Breedte 35 mm ; * Lengte 18 mm ; * Hoogte 3 mm ; Slijtvast rubber &lt; 170 mm³ ; Kleur: Blauw ; Shore-hardheid ± 50° - 55° ; Treksterkte 17 N./mm² ; Rek 600%; Soortelijk gewicht 1,10</t>
  </si>
  <si>
    <t>Mit Kontaktschicht ; Länge 10.000 mm ; Breite 2.000 mm ; Stärke 8 mm ;  Abmessungen Raute: ; * Breite 35 mm ; * Länge 18 mm ; * Höhe 3 mm ; Abriebfestes Verschleißgummi &lt; 170mm³ ; Farbe: Blau ; Shore Härte ± 50° - 55° ; Reißfestigkeit 17 N./mm² ; Reißdehnung 600 % ; Spezifisches Gewicht 1,10</t>
  </si>
  <si>
    <t>With bonding layer ; Length 10.000 mm ; Width 2.000 mm ; Thickness 8 mm ; Dimensions Diamond: ; * Width 35 mm ; * Lenght 18 mm ; * Height 3 mm ; Wear resistant rubber &lt; 170 mm³ ; Colour: Blue ; Shore Hardness ± 50° - 55° ; Tensile Strength 17 N./mm² ; Elongation 600 % ; Specific weight 1,10</t>
  </si>
  <si>
    <t>Avec face adhésive ; Longeur 10.000 mm ; Largeur 2.000 mm ; Épaisseur 8 mm ; Dimensions losange: ; * Largeur 35 mm ; * Longuer 18 mm ; * Hauteur 3 mm ; Caoutchouc anti abrasion &lt; 170 mm³ ; Couleur: Bleu ; Dureté Shore ± 50° - 55° ; Résistance à la rupture 17 N./mm² ; Allongement 600 % ; Poids spécifique 1,10</t>
  </si>
  <si>
    <t>GP-REX55B-BLAUW-10ZE</t>
  </si>
  <si>
    <t>GP-REX55B-BLAUW-10mm</t>
  </si>
  <si>
    <t>GP-REX55B Blauw 10 mm ; Mini ruit trommelbekleding met lijmlaag</t>
  </si>
  <si>
    <t>GP-REX55B Blau 10 mm ; Mini Raute Trommelbelag mit Kontaktschicht</t>
  </si>
  <si>
    <t>GP-REX55B Blue 10 mm ; Mini diamond drum lagging with bondinglayer</t>
  </si>
  <si>
    <t>GP-REX55B Bleu 10 mm ; Mini losange garnissage du tambour avec face adhésive</t>
  </si>
  <si>
    <t>Met lijmlaag ; Lengte 10.000 mm ; Breedte 2.000 mm ; Dikte 10 mm ; Afmetingen ruit: ; * Breedte 35 mm ; * Lengte 18 mm ; * Hoogte 3 mm ; Slijtvast rubber &lt; 170 mm³ ; Kleur: Blauw ; Shore-hardheid ± 50° - 55° ; Treksterkte 17 N./mm² ; Rek 600%; Soortelijk gewicht 1,10</t>
  </si>
  <si>
    <t>Mit Kontaktschicht ; Länge 10.000 mm ; Breite 2.000 mm ; Stärke 10 mm ;  Abmessungen Raute: ; * Breite 35 mm ; * Länge 18 mm ; * Höhe 3 mm ; Abriebfestes Verschleißgummi &lt; 170mm³ ; Farbe: Blau ; Shore Härte ± 50° - 55° ; Reißfestigkeit 17 N./mm² ; Reißdehnung 600 % ; Spezifisches Gewicht 1,10</t>
  </si>
  <si>
    <t>With bonding layer ; Length 10.000 mm ; Width 2.000 mm ; Thickness 10 mm ; Dimensions Diamond: ; * Width 35 mm ; * Lenght 18 mm ; * Height 3 mm ; Wear resistant rubber &lt; 170 mm³ ; Colour: Blue ; Shore Hardness ± 50° - 55° ; Tensile Strength 17 N./mm² ; Elongation 600 % ; Specific weight 1,10</t>
  </si>
  <si>
    <t>Avec face adhésive ; Longeur 10.000 mm ; Largeur 2.000 mm ; Épaisseur 10 mm ; Dimensions losange: ; * Largeur 35 mm ; * Longuer 18 mm ; * Hauteur 3 mm ; Caoutchouc anti abrasion &lt; 170 mm³ ; Couleur: Bleu ; Dureté Shore ± 50° - 55° ; Résistance à la rupture 17 N./mm² ; Allongement 600 % ; Poids spécifique 1,10</t>
  </si>
  <si>
    <t>GP-REX55B-GROEN-06CH</t>
  </si>
  <si>
    <t>GP-REX55B-GROEN-06mm</t>
  </si>
  <si>
    <t>GP-REX55B-WIT-06ZA</t>
  </si>
  <si>
    <t>GP-REX55B-WIT-mini-ruit dik 6 mm</t>
  </si>
  <si>
    <t>39,620</t>
  </si>
  <si>
    <t>04-06_Mini Diamond White</t>
  </si>
  <si>
    <t>GP-REX55B Wit 6 mm ; Mini ruit trommelbekleding met lijmlaag</t>
  </si>
  <si>
    <t>GP-REX55B Weiß 6 mm ; Mini Raute Trommelbelag mit Kontaktschicht</t>
  </si>
  <si>
    <t>GP-REX55B White 6 mm ; Mini diamond drum lagging with bondinglayer</t>
  </si>
  <si>
    <t>GP-REX55B Blanc 6 mm ; Mini losange garnissage du tambour avec face adhésive</t>
  </si>
  <si>
    <t>Met lijmlaag ; Voedselkwaliteit ; Lengte 10.000 mm ; Breedte 2.000 mm ; Dikte 6 mm ; Afmetingen ruit: ; * Breedte 35 mm ; * Lengte 18 mm ; * Hoogte 3 mm ; Slijtvast rubber &lt; 190 mm³ ; Kleur: Wit ; Shore-hardheid ± 50° - 55° ; Treksterkte 15,1 N./mm² ; Rek 675%; Soortelijk gewicht 1,23</t>
  </si>
  <si>
    <t>Mit Kontaktschicht ; Lebensmittel Qualität ; Länge 10.000 mm ; Breite 2.000 mm ; Stärke 6 mm ;  Abmessungen Raute: ; * Breite 35 mm ; * Länge 18 mm ; * Höhe 3 mm ; Abriebfestes Verschleißgummi &lt; 190mm³ ; Farbe: Weiß ; Shore Härte ± 50° - 55° ; Reißfestigkeit 15,1 N./mm² ; Reißdehnung 675 % ; Spezifisches Gewicht 1,23</t>
  </si>
  <si>
    <t>With bonding layer ; Food quality ; Length 10.000 mm ; Width 2.000 mm ; Thickness 6 mm ; Dimensions Diamond: ; * Width 35 mm ; * Lenght 18 mm ; * Height 3 mm ; Wear resistant rubber &lt; 190 mm³ ; Colour: White ; Shore Hardness ± 50° - 55° ; Tensile Strength 15,1 N./mm² ; Elongation 675 % ; Specific weight 1,23</t>
  </si>
  <si>
    <t>Avec face adhésive ; Qualité alimentaire ; Longeur ; 10.000 mm ; Largeur 2.000 mm ; Épaisseur 6 mm ; Dimensions losange: ; * Largeur 35 mm ; * Longuer 18 mm ; * Hauteur 3 mm ; Caoutchouc anti abrasion &lt; 190 mm³ ; Couleur: Blanc ; Dureté Shore ± 50° - 55° ; Résistance à la rupture 15,1 N./mm² ; Allongement 675 % ; Poids spécifique 1,23</t>
  </si>
  <si>
    <t>Mini diamant trommelbekleding, te gebruiken voor het aandrijven van trommels die in voedseltoepassingen worden gebruikt om de grip op de transportband te maximaliseren. ; Een gemengde natuurrubbersamenstelling met uitstekende treksterkte en slijtvastheid. ; Geproduceerd volgens ISO- en DIN-normen. ; De bedrijfstemperaturen voor langere periodes liggen tussen -30 °C en +80 °C en voor korte periodes tussen -55 °C en +90 °C.</t>
  </si>
  <si>
    <t>Mini-Rauten-Trommelbelag, der zur Auskleidung von Antriebstrommeln in Lebensmittelanwendungen verwendet wird, um die Haftung mit dem Förderband zu maximieren. ; Eine gemischte Naturkautschukmischung mit ausgezeichneter Zugfestigkeit und Abriebfestigkeit. ; Hergestellt nach ISO- und DIN-Normen. ; Die Betriebstemperaturen liegen längerfristig zwischen -30 °C und +80 °C und kurzzeitig zwischen -55 °C und +90 °C.</t>
  </si>
  <si>
    <t>Mini diamond drum lagging, to be used to line drive pulleys operating in food applications for maximizing of the grip with the conveyor belt. ; A blended natural rubber compound with excellent tensile strength and abrasion resistance. ; Produced according to ISO and DIN standards. ; The operating temperatures for longer periods suggested between -30 °C to +80 °C and for short periods could be -55 °C to +90°C.</t>
  </si>
  <si>
    <t>Mini revêtement de tambour diamanté, à utiliser pour aligner les poulies d'entraînement fonctionnant dans les applications alimentaires pour maximiser l'adhérence avec la bande transporteuse. ; Un composé de caoutchouc naturel mélangé avec une excellente résistance à la traction et à l'abrasion. ; Produit selon les normes ISO et DIN. ; Les températures de fonctionnement pour des périodes plus longues suggérées entre -30 °C et +80 °C et pour de courtes périodes pourraient être de -55 °C à +90 °C.</t>
  </si>
  <si>
    <t>GP-REX55B-WIT-08ZA</t>
  </si>
  <si>
    <t>GP-REX55B-WIT-mini-ruit dik 8 mm</t>
  </si>
  <si>
    <t>GP-REX55B Wit 8 mm ; Mini ruit trommelbekleding met lijmlaag</t>
  </si>
  <si>
    <t>GP-REX55B Weiß 8 mm ; Mini Raute Trommelbelag mit Kontaktschicht</t>
  </si>
  <si>
    <t>GP-REX55B White 8 mm ; Mini diamond drum lagging with bondinglayer</t>
  </si>
  <si>
    <t>GP-REX55B Blanc 8 mm ; Mini losange garnissage du tambour avec face adhésive</t>
  </si>
  <si>
    <t>Met lijmlaag ; Voedselkwaliteit ; Lengte 10.000 mm ; Breedte 2.000 mm ; Dikte 8 mm ; Afmetingen ruit: ; * Breedte 35 mm ; * Lengte 18 mm ; * Hoogte 3 mm ; Slijtvast rubber &lt; 190 mm³ ; Kleur: Wit ; Shore-hardheid ± 50° - 55° ; Treksterkte 15,1 N./mm² ; Rek 675%; Soortelijk gewicht 1,22</t>
  </si>
  <si>
    <t>Mit Kontaktschicht ; Lebensmittel Qualität ; Länge 10.000 mm ; Breite 2.000 mm ; Stärke 8 mm ;  Abmessungen Raute: ; * Breite 35 mm ; * Länge 18 mm ; * Höhe 3 mm ; Abriebfestes Verschleißgummi &lt; 190mm³ ; Farbe: Weiß ; Shore Härte ± 50° - 55° ; Reißfestigkeit 15,1 N./mm² ; Reißdehnung 675 % ; Spezifisches Gewicht 1,22</t>
  </si>
  <si>
    <t>With bonding layer ; Food quality ; Length 10.000 mm ; Width 2.000 mm ; Thickness 8 mm ; Dimensions Diamond: ; * Width 35 mm ; * Lenght 18 mm ; * Height 3 mm ; Wear resistant rubber &lt; 190 mm³ ; Colour: White ; Shore Hardness ± 50° - 55° ; Tensile Strength 15,1 N./mm² ; Elongation 675 % ; Specific weight 1,22</t>
  </si>
  <si>
    <t>Avec face adhésive ; Qaulité alimentaire ; Longeur ; 10.000 mm ; Largeur 2.000 mm ; Épaisseur 8 mm ; Dimensions losange: ; * Largeur 35 mm ; * Longuer 18 mm ; * Hauteur 3 mm ; Caoutchouc anti abrasion &lt; 190 mm³ ; Couleur: Blanc ; Dureté Shore ± 50° - 55° ; Résistance à la rupture 15,1 N./mm² ; Allongement 675 % ; Poids spécifique 1,22</t>
  </si>
  <si>
    <t>GP-REX55B-WIT-08ZE</t>
  </si>
  <si>
    <t>Met lijmlaag ; Voedselkwaliteit ; Lengte 10.000 mm ; Breedte 2.000 mm ; Dikte 8 mm ; Afmetingen ruit: ; * Breedte 35 mm ; * Lengte 18 mm ; * Hoogte 3 mm ; Slijtvast rubber &lt; 190 mm³ ; Kleur: Wit ; Shore-hardheid ± 50° - 55° ; Treksterkte 15,1 N./mm² ; Rek 675%; Soortelijk gewicht 1,23</t>
  </si>
  <si>
    <t>Mit Kontaktschicht ; Lebensmittel Qualität ; Länge 10.000 mm ; Breite 2.000 mm ; Stärke 8 mm ;  Abmessungen Raute: ; * Breite 35 mm ; * Länge 18 mm ; * Höhe 3 mm ; Abriebfestes Verschleißgummi &lt; 190mm³ ; Farbe: Weiß ; Shore Härte ± 50° - 55° ; Reißfestigkeit 15,1 N./mm² ; Reißdehnung 675 % ; Spezifisches Gewicht 1,23</t>
  </si>
  <si>
    <t>With bonding layer ; Food quality ; Length 10.000 mm ; Width 2.000 mm ; Thickness 8 mm ; Dimensions Diamond: ; * Width 35 mm ; * Lenght 18 mm ; * Height 3 mm ; Wear resistant rubber &lt; 190 mm³ ; Colour: White ; Shore Hardness ± 50° - 55° ; Tensile Strength 15,1 N./mm² ; Elongation 675 % ; Specific weight 1,23</t>
  </si>
  <si>
    <t>Avec face adhésive ; Qaulité alimentaire ; Longeur ; 10.000 mm ; Largeur 2.000 mm ; Épaisseur 8 mm ; Dimensions losange: ; * Largeur 35 mm ; * Longuer 18 mm ; * Hauteur 3 mm ; Caoutchouc anti abrasion &lt; 190 mm³ ; Couleur: Blanc ; Dureté Shore ± 50° - 55° ; Résistance à la rupture 15,1 N./mm² ; Allongement 675 % ; Poids spécifique 1,23</t>
  </si>
  <si>
    <t>GP-REX55B-WIT-10DE</t>
  </si>
  <si>
    <t>GP-REX55B-WIT-mini-ruit dik 10 mm</t>
  </si>
  <si>
    <t>87,400</t>
  </si>
  <si>
    <t>GP-REX55B Wit 10 mm ; Mini ruit trommelbekleding met lijmlaag</t>
  </si>
  <si>
    <t>GP-REX55B Weiß 10 mm ; Mini Raute Trommelbelag mit Kontaktschicht</t>
  </si>
  <si>
    <t>GP-REX55B White 10 mm ; Mini diamond drum lagging with bondinglayer</t>
  </si>
  <si>
    <t>GP-REX55B Blanc 10 mm ; Mini losange garnissage du tambour avec face adhésive</t>
  </si>
  <si>
    <t>Met lijmlaag ; Voedselkwaliteit ; Lengte 10.000 mm ; Breedte 2.000 mm ; Dikte 10 mm ; Afmetingen ruit: ; * Breedte 35 mm ; * Lengte 18 mm ; * Hoogte 3 mm ; Slijtvast rubber &lt; 190 mm³ ; Kleur: Wit ; Shore-hardheid ± 50° - 55° ; Treksterkte 15,1 N./mm² ; Rek 675%; Soortelijk gewicht 1,23</t>
  </si>
  <si>
    <t>Mit Kontaktschicht ; Lebensmittel Qualität ; Länge 10.000 mm ; Breite 2.000 mm ; Stärke 10 mm ;  Abmessungen Raute: ; * Breite 35 mm ; * Länge 18 mm ; * Höhe 3 mm ; Abriebfestes Verschleißgummi &lt; 190mm³ ; Farbe: Weiß ; Shore Härte ± 50° - 55° ; Reißfestigkeit 15,1 N./mm² ; Reißdehnung 675 % ; Spezifisches Gewicht 1,23</t>
  </si>
  <si>
    <t>With bonding layer ; Food quality ; Length 10.000 mm ; Width 2.000 mm ; Thickness 10 mm ; Dimensions Diamond: ; * Width 35 mm ; * Lenght 18 mm ; * Height 3 mm ; Wear resistant rubber &lt; 190 mm³ ; Colour: White ; Shore Hardness ± 50° - 55° ; Tensile Strength 15,1 N./mm² ; Elongation 675 % ; Specific weight 1,23</t>
  </si>
  <si>
    <t>Avec face adhésive ; Qaulité alimentaire ; Longeur ; 10.000 mm ; Largeur 2.000 mm ; Épaisseur 10 mm ; Dimensions losange: ; * Largeur 35 mm ; * Longuer 18 mm ; * Hauteur 3 mm ; Caoutchouc anti abrasion &lt; 190 mm³ ; Couleur: Blanc ; Dureté Shore ± 50° - 55° ; Résistance à la rupture 15,1 N./mm² ; Allongement 675 % ; Poids spécifique 1,23</t>
  </si>
  <si>
    <t>GP-REX55B-WIT-10ZA</t>
  </si>
  <si>
    <t>64,610</t>
  </si>
  <si>
    <t>Met lijmlaag ; Voedselkwaliteit ; Lengte 10.000 mm ; Breedte 2.000 mm ; Dikte 10 mm ; Afmetingen ruit: ; * Breedte 35 mm ; * Lengte 18 mm ; * Hoogte 3 mm ; Slijtvast rubber &lt; 190 mm³ ; Kleur: Wit ; Shore-hardheid ± 50° - 55° ; Treksterkte 15,1 N./mm² ; Rek 675%; Soortelijk gewicht 1,24</t>
  </si>
  <si>
    <t>Mit Kontaktschicht ; Lebensmittel Qualität ; Länge 10.000 mm ; Breite 2.000 mm ; Stärke 10 mm ;  Abmessungen Raute: ; * Breite 35 mm ; * Länge 18 mm ; * Höhe 3 mm ; Abriebfestes Verschleißgummi &lt; 190mm³ ; Farbe: Weiß ; Shore Härte ± 50° - 55° ; Reißfestigkeit 15,1 N./mm² ; Reißdehnung 675 % ; Spezifisches Gewicht 1,24</t>
  </si>
  <si>
    <t>With bonding layer ; Food quality ; Length 10.000 mm ; Width 2.000 mm ; Thickness 10 mm ; Dimensions Diamond: ; * Width 35 mm ; * Lenght 18 mm ; * Height 3 mm ; Wear resistant rubber &lt; 190 mm³ ; Colour: White ; Shore Hardness ± 50° - 55° ; Tensile Strength 15,1 N./mm² ; Elongation 675 % ; Specific weight 1,24</t>
  </si>
  <si>
    <t>Avec face adhésive ; Qaulité alimentaire ; Longeur ; 10.000 mm ; Largeur 2.000 mm ; Épaisseur 10 mm ; Dimensions losange: ; * Largeur 35 mm ; * Longuer 18 mm ; * Hauteur 3 mm ; Caoutchouc anti abrasion &lt; 190 mm³ ; Couleur: Blanc ; Dureté Shore ± 50° - 55° ; Résistance à la rupture 15,1 N./mm² ; Allongement 675 % ; Poids spécifique 1,24</t>
  </si>
  <si>
    <t>GP-REX55B-WIT-DWARSRIB-08ZE</t>
  </si>
  <si>
    <t>GP-REX55B-WIT-Dwarsrib-08 mm</t>
  </si>
  <si>
    <t>65,680</t>
  </si>
  <si>
    <t>04-07_Grooved White</t>
  </si>
  <si>
    <t>GP-REX50B Wit 8 mm ; Dwarsrib trommelbekleding met lijmlaag</t>
  </si>
  <si>
    <t>GP-REX50B Weiß 8 mm ; Querrillen Trommelbelag mit Kontaktschicht</t>
  </si>
  <si>
    <t>GP-REX50B White 8 mm ; Cross-Rib drum lagging with bondinglayer</t>
  </si>
  <si>
    <t>GP-REX50B Blanc 8 mm ; Ranuré garnissage du tambour avec face adhésive</t>
  </si>
  <si>
    <t>Met lijmlaag ; Dwarrib profiel ; Voedselkwaliteit ; Lengte 10.000 mm ; Breedte 2.000 mm ; Dikte 8 mm ; Afmetingen rib: ; * Breedte 16 mm x 8 mm ; * Hoogte 3 mm ; Slijtvast rubber &lt; 120 mm³ ; Kleur: Wit ; Shore-hardheid ± 50° - 55° ; Treksterkte 12 N./mm² ; Rek 400% ; Soortelijk gewicht 1,22</t>
  </si>
  <si>
    <t>Mit Kontaktschicht ; Querrillen Profile ; Lebensmittel Qualität ; Länge 10.000 mm ; Breite 2.000 mm ; Stärke 8 mm ;  Abmessungen Rillen: ; * Breite 16 mm x 8 mm ; * Höhe 3 mm ; Abriebfestes Verschleißgummi &lt; 120mm³ ; Farbe: Weiß ; Shore Härte ± 50° - 55° ; Reißfestigkeit 12 N./mm² ; Reißdehnung 400 % ; Spezifisches Gewicht 1,22</t>
  </si>
  <si>
    <t>With bonding layer ; Grooved ; Food quality ; Length 10.000 mm ; Width 2.000 mm ; Thickness 8 mm ; Dimensions groove: ; * Width 16 mm x 8 mm ; * Height 3 mm ; Wear resistant rubber &lt; 120 mm³ ; Colour: White ; Shore Hardness ± 50° - 55° ; Tensile Strength 12 N./mm² ; Elongation 400 % ; Specific weight 1,22</t>
  </si>
  <si>
    <t>Avec face adhésive ; Ranuré ; Qaulité alimentaire ; Longeur ; 10.000 mm ; Largeur 2.000 mm ; Épaisseur 8 mm ; Dimensions Ranuré: ; * Largeur 16 mm x 8 mm ; * Hauteur 3 mm ; Caoutchouc anti abrasion &lt; 120 mm³ ; Couleur: Blanc ; Dureté Shore ± 50° - 55° ; Résistance à la rupture 12 N./mm² ; Allongement 400 % ; Poids spécifique 1,22</t>
  </si>
  <si>
    <t>Dwarsrib trommelbekleding, te gebruiken voor het aandrijven van trommels die in voedseltoepassingen worden gebruikt om de grip op de transportband te maximaliseren. ; Een gemengde natuurrubbersamenstelling met uitstekende treksterkte en slijtvastheid. ; Geproduceerd volgens ISO- en DIN-normen. ; De bedrijfstemperaturen voor langere periodes liggen tussen -30 °C en +80 °C en voor korte periodes tussen -55 °C en +90 °C.</t>
  </si>
  <si>
    <t>Querrillen Trommelbelag, der zur Auskleidung von Antriebstrommeln in Lebensmittelanwendungen verwendet wird, um die Haftung mit dem Förderband zu maximieren. ; Eine gemischte Naturkautschukmischung mit ausgezeichneter Zugfestigkeit und Abriebfestigkeit. ; Hergestellt nach ISO- und DIN-Normen. ; Die Betriebstemperaturen liegen längerfristig zwischen -30 °C und +80 °C und kurzzeitig zwischen -55 °C und +90 °C.</t>
  </si>
  <si>
    <t>Grooved drum lagging, to be used to line drive pulleys operating in food applications for maximizing of the grip with the conveyor belt. ; A blended natural rubber compound with excellent tensile strength and abrasion resistance. ; Produced according to ISO and DIN standards. ; The operating temperatures for longer periods suggested between -30 °C to +80 °C and for short periods could be -55 °C to +90°C.</t>
  </si>
  <si>
    <t>Ranuré de tambour diamanté, à utiliser pour aligner les poulies d'entraînement fonctionnant dans les applications alimentaires pour maximiser l'adhérence avec la bande transporteuse. ; Un composé de caoutchouc naturel mélangé avec une excellente résistance à la traction et à l'abrasion. ; Produit selon les normes ISO et DIN. ; Les températures de fonctionnement pour des périodes plus longues suggérées entre -30 °C et +80 °C et pour de courtes périodes pourraient être de -55 °C à +90 °C.</t>
  </si>
  <si>
    <t>GP-REX60B/2-ZWART-SQUARE-08LCH</t>
  </si>
  <si>
    <t>GP-REX60B/2-ZWART-08mm-LOW Square profile</t>
  </si>
  <si>
    <t>33,060</t>
  </si>
  <si>
    <t>GP-REX60B-ZWART-06CH</t>
  </si>
  <si>
    <t>GP-REX60B-ZWART-06mm</t>
  </si>
  <si>
    <t>04-01_Mini Diamond Black</t>
  </si>
  <si>
    <t>GP-REX60B Zwart 6 mm ; Mini ruit trommelbekleding met lijmlaag</t>
  </si>
  <si>
    <t>GP-REX60B Schwarz 6 mm ; Mini Raute Trommelbelag mit Kontaktschicht</t>
  </si>
  <si>
    <t>GP-REX60B Black 6 mm ; Mini diamond drum lagging with bondinglayer</t>
  </si>
  <si>
    <t>GP-REX60B Noir 6 mm ; Mini losange garnissage du tambour avec face adhésive</t>
  </si>
  <si>
    <t>Met lijmlaag ; Lengte 10.000 mm ; Breedte 2.000 mm ; Dikte 6 mm ; Afmetingen ruit: ; * Breedte 35 mm ; * Lengte 18 mm ; * Hoogte 3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</si>
  <si>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2.000 mm ; Stärke 6 mm ;  Abmessungen Raute: ; * Breite 35 mm ; * Länge 18 mm ; * Höhe 3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</si>
  <si>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2.000 mm ; Thickness 6 mm ; Dimensions Diamond: ; * Width 35 mm ; * Lenght 18 mm ; * Height 3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</si>
  <si>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2.000 mm ; Épaisseur 6 mm ; Dimensions losange: ; * Largeur 35 mm ; * Longuer 18 mm ; * Hauteur 3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</si>
  <si>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Mini diamant trommelbekleding, om de grip op de transportband te maximaliseren. ; Een gemengde natuurrubbersamenstelling met uitstekende treksterkte en slijtvastheid. ; Geproduceerd volgens ISO- en DIN-normen. ; De bedrijfstemperaturen voor langere periodes liggen tussen -30 °C en +80 °C en voor korte periodes tussen -55 °C en +90 °C.</t>
  </si>
  <si>
    <t>Mini-Rauten-Trommelbelag zur Auskleidung von Antriebstrommeln, um die Haftung mit dem Förderband zu maximieren. ; Eine gemischte Naturkautschukmischung mit ausgezeichneter Zugfestigkeit und Abriebfestigkeit. ; Hergestellt nach ISO- und DIN-Normen. ; Die Betriebstemperaturen liegen längerfristig zwischen -30 °C und +80 °C und kurzzeitig zwischen -55 °C und +90 °C.</t>
  </si>
  <si>
    <t>Mini diamond drum lagging, to be used to line drive pulleys for maximizing of the grip with the conveyor belt. ; A blended natural rubber compound with excellent tensile strength and abrasion resistance. ; Produced according to ISO and DIN standards. ; The operating temperatures for longer periods suggested between -30 °C to +80 °C and for short periods could be -55 °C to +90°C.</t>
  </si>
  <si>
    <t>Mini revêtement de tambour diamanté, pour maximiser l'adhérence avec la bande transporteuse. ; Un composé de caoutchouc naturel mélangé avec une excellente résistance à la traction et à l'abrasion. ; Produit selon les normes ISO et DIN. ; Les températures de fonctionnement pour des périodes plus longues suggérées entre -30 °C et +80 °C et pour de courtes périodes pourraient être de -55 °C à +90 °C.</t>
  </si>
  <si>
    <t>RAU-T60 schwarz m. VKS</t>
  </si>
  <si>
    <t>GP-REX60B-ZWART-08-250CH</t>
  </si>
  <si>
    <t>GP-REX60B-ZWART-08mm-Abrasion 250 mm3</t>
  </si>
  <si>
    <t>31,830</t>
  </si>
  <si>
    <t>GP-REX60B-ZWART-08CH</t>
  </si>
  <si>
    <t>GP-REX60B-ZWART-08mm</t>
  </si>
  <si>
    <t>35,400</t>
  </si>
  <si>
    <t>GP-REX60B Zwart 8 mm ; Mini ruit trommelbekleding met lijmlaag</t>
  </si>
  <si>
    <t>GP-REX60B Schwarz 8 mm ; Mini Raute Trommelbelag mit Kontaktschicht</t>
  </si>
  <si>
    <t>GP-REX60B Black 8 mm ; Mini diamond drum lagging with bondinglayer</t>
  </si>
  <si>
    <t>GP-REX60B Noir 8 mm ; Mini losange garnissage du tambour avec face adhésive</t>
  </si>
  <si>
    <t>Met lijmlaag ; Lengte 10.000 mm ; Breedte 2.000 mm ; Dikte 8 mm ; Afmetingen ruit: ; * Breedte 35 mm ; * Lengte 18 mm ; * Hoogte 3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</si>
  <si>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2.000 mm ; Stärke 8 mm ;  Abmessungen Raute: ; * Breite 35 mm ; * Länge 18 mm ; * Höhe 3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</si>
  <si>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2.000 mm ; Thickness 8 mm ; Dimensions Diamond: ; * Width 35 mm ; * Lenght 18 mm ; * Height 3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</si>
  <si>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2.000 mm ; Épaisseur 8 mm ; Dimensions losange: ; * Largeur 35 mm ; * Longuer 18 mm ; * Hauteur 3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</si>
  <si>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GP-REX60B-ZWART-08ZA</t>
  </si>
  <si>
    <t>38,800</t>
  </si>
  <si>
    <t>GP-REX60B-ZWART-10CH</t>
  </si>
  <si>
    <t>GP-REX60B-ZWART-10mm</t>
  </si>
  <si>
    <t>GP-REX60B Zwart 10 mm ; Mini ruit trommelbekleding met lijmlaag</t>
  </si>
  <si>
    <t>GP-REX60B Schwarz 10 mm ; Mini Raute Trommelbelag mit Kontaktschicht</t>
  </si>
  <si>
    <t>GP-REX60B Black 10 mm ; Mini diamond drum lagging with bondinglayer</t>
  </si>
  <si>
    <t>GP-REX60B Noir 10 mm ; Mini losange garnissage du tambour avec face adhésive</t>
  </si>
  <si>
    <t>Met lijmlaag ; Lengte 10.000 mm ; Breedte 2.000 mm ; Dikte 10 mm ; Afmetingen ruit: ; * Breedte 35 mm ; * Lengte 18 mm ; * Hoogte 3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</si>
  <si>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2.000 mm ; Stärke 10 mm ;  Abmessungen Raute: ; * Breite 35 mm ; * Länge 18 mm ; * Höhe 3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</si>
  <si>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2.000 mm ; Thickness 10 mm ; Dimensions Diamond: ; * Width 35 mm ; * Lenght 18 mm ; * Height 3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</si>
  <si>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2.000 mm ; Épaisseur 10 mm ; Dimensions losange: ; * Largeur 35 mm ; * Longuer 18 mm ; * Hauteur 3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</si>
  <si>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GP-REX60B-ZWART-10ZA</t>
  </si>
  <si>
    <t>42,000</t>
  </si>
  <si>
    <t>GP-REX60B-ZWART-12CH</t>
  </si>
  <si>
    <t>GP-REX60B-ZWART-12mm</t>
  </si>
  <si>
    <t>GP-REX60B Zwart 12 mm ; Mini ruit trommelbekleding met lijmlaag</t>
  </si>
  <si>
    <t>GP-REX60B Schwarz 12 mm ; Mini Raute Trommelbelag mit Kontaktschicht</t>
  </si>
  <si>
    <t>GP-REX60B Black 12 mm ; Mini diamond drum lagging with bondinglayer</t>
  </si>
  <si>
    <t>GP-REX60B Noir 12 mm ; Mini losange garnissage du tambour avec face adhésive</t>
  </si>
  <si>
    <t>Met lijmlaag ; Lengte 10.000 mm ; Breedte 2.000 mm ; Dikte12 mm ; Afmetingen ruit: ; * Breedte 35 mm ; * Lengte 18 mm ; * Hoogte 3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</si>
  <si>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2.000 mm ; Stärke 12 mm ;  Abmessungen Raute: ; * Breite 35 mm ; * Länge 18 mm ; * Höhe 3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</si>
  <si>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2.000 mm ; Thickness 12 mm ; Dimensions Diamond: ; * Width 35 mm ; * Lenght 18 mm ; * Height 3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</si>
  <si>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2.000 mm ; Épaisseur 12 mm ; Dimensions losange: ; * Largeur 35 mm ; * Longuer 18 mm ; * Hauteur 3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</si>
  <si>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GP-REX60B-ZWART-1400-10CH</t>
  </si>
  <si>
    <t>GP-REX60B-ZWART-1400-10mm</t>
  </si>
  <si>
    <t>42,870</t>
  </si>
  <si>
    <t>Met lijmlaag ; Lengte 10.000 mm ; Breedte 1,400 mm ; Dikte 10 mm ; Afmetingen ruit: ; * Breedte 35 mm ; * Lengte 18 mm ; * Hoogte 3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</si>
  <si>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1,400 mm ; Stärke 10 mm ;  Abmessungen Raute: ; * Breite 35 mm ; * Länge 18 mm ; * Höhe 3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</si>
  <si>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1,400 mm ; Thickness 10 mm ; Dimensions Diamond: ; * Width 35 mm ; * Lenght 18 mm ; * Height 3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</si>
  <si>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1,400 mm ; Épaisseur 10 mm ; Dimensions losange: ; * Largeur 35 mm ; * Longuer 18 mm ; * Hauteur 3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</si>
  <si>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GP-REX60B-ZWART-1500-10CH</t>
  </si>
  <si>
    <t>GP-REX60B-ZWART-1500-10mm</t>
  </si>
  <si>
    <t>41,680</t>
  </si>
  <si>
    <t>Met lijmlaag ; Lengte 10.000 mm ; Breedte 1,500 mm ; Dikte 10 mm ; Afmetingen ruit: ; * Breedte 35 mm ; * Lengte 18 mm ; * Hoogte 3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</si>
  <si>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1.500 mm ; Stärke 10 mm ;  Abmessungen Raute: ; * Breite 35 mm ; * Länge 18 mm ; * Höhe 3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</si>
  <si>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1.500 mm ; Thickness 10 mm ; Dimensions Diamond: ; * Width 35 mm ; * Lenght 18 mm ; * Height 3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</si>
  <si>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1.500 mm ; Épaisseur 10 mm ; Dimensions losange: ; * Largeur 35 mm ; * Longuer 18 mm ; * Hauteur 3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</si>
  <si>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GP-REX60B-ZWART-15CH</t>
  </si>
  <si>
    <t>GP-REX60B-ZWART-15mm</t>
  </si>
  <si>
    <t>59,060</t>
  </si>
  <si>
    <t>GP-REX60B Zwart 15 mm ; Mini ruit trommelbekleding met lijmlaag</t>
  </si>
  <si>
    <t>GP-REX60B Schwarz 15 mm ; Mini Raute Trommelbelag mit Kontaktschicht</t>
  </si>
  <si>
    <t>GP-REX60B Black 15 mm ; Mini diamond drum lagging with bondinglayer</t>
  </si>
  <si>
    <t>GP-REX60B Noir 15 mm ; Mini losange garnissage du tambour avec face adhésive</t>
  </si>
  <si>
    <t>Met lijmlaag ; Lengte 10.000 mm ; Breedte 2.000 mm ; Dikte 15 mm ; Afmetingen ruit: ; * Breedte 35 mm ; * Lengte 18 mm ; * Hoogte 3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</si>
  <si>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2.000 mm ; Stärke 15 mm ;  Abmessungen Raute: ; * Breite 35 mm ; * Länge 18 mm ; * Höhe 3 mm ; Abriebfestes Verschleißgummi &lt; 130mm³ ; Farbe: Schwarz ; Shore Härte ± 60° - 65° ; Reißfestigkeit 15 N./mm² ; Reißdehnung 490 % ; Spezifisches Gewicht 1,14 ; Oberflächenwiderstand: 4,1*10⁴Ω ; Reibungskoeffizient: ; * 0,40-0,45 (trocken) ; * 0,33-0,38 (Nass) ; * 0,22-0,30 (Feuchter Lehm)</t>
  </si>
  <si>
    <t>GP-REX60B-ZWART-15-TT</t>
  </si>
  <si>
    <t>53,854</t>
  </si>
  <si>
    <t>GP-REX60B-ZWART-1600-08CH</t>
  </si>
  <si>
    <t>GP-REX60B-ZWART-1600-08mm</t>
  </si>
  <si>
    <t>34,430</t>
  </si>
  <si>
    <t>Met lijmlaag ; Lengte 10.000 mm ; Breedte 1,600 mm ; Dikte 8 mm ; Afmetingen ruit: ; * Breedte 35 mm ; * Lengte 18 mm ; * Hoogte 3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</si>
  <si>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1.600 mm ; Stärke 8 mm ;  Abmessungen Raute: ; * Breite 35 mm ; * Länge 18 mm ; * Höhe 3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</si>
  <si>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1.600 mm ; Thickness 8 mm ; Dimensions Diamond: ; * Width 35 mm ; * Lenght 18 mm ; * Height 3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</si>
  <si>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1.600 mm ; Épaisseur 8 mm ; Dimensions losange: ; * Largeur 35 mm ; * Longuer 18 mm ; * Hauteur 3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</si>
  <si>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GP-REX60B-ZWART-1600-10CH</t>
  </si>
  <si>
    <t>GP-REX60B-ZWART-1600-10mm</t>
  </si>
  <si>
    <t>41,280</t>
  </si>
  <si>
    <t>Met lijmlaag ; Lengte 10.000 mm ; Breedte 1.600 mm ; Dikte 10 mm ; Afmetingen ruit: ; * Breedte 35 mm ; * Lengte 18 mm ; * Hoogte 3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</si>
  <si>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1.600 mm ; Stärke 10 mm ;  Abmessungen Raute: ; * Breite 35 mm ; * Länge 18 mm ; * Höhe 3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</si>
  <si>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1.600 mm ; Thickness 10 mm ; Dimensions Diamond: ; * Width 35 mm ; * Lenght 18 mm ; * Height 3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</si>
  <si>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1.600 mm ; Épaisseur 10 mm ; Dimensions losange: ; * Largeur 35 mm ; * Longuer 18 mm ; * Hauteur 3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</si>
  <si>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GP-REX60B-ZWART-1800-08CH</t>
  </si>
  <si>
    <t>GP-REX60B-ZWART-1800-08mm</t>
  </si>
  <si>
    <t>34,090</t>
  </si>
  <si>
    <t>Met lijmlaag ; Lengte 10.000 mm ; Breedte 1.800 mm ; Dikte 8 mm ; Afmetingen ruit: ; * Breedte 35 mm ; * Lengte 18 mm ; * Hoogte 3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</si>
  <si>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1.800 mm ; Stärke 8 mm ;  Abmessungen Raute: ; * Breite 35 mm ; * Länge 18 mm ; * Höhe 3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</si>
  <si>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1.800 mm ; Thickness 8 mm ; Dimensions Diamond: ; * Width 35 mm ; * Lenght 18 mm ; * Height 3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</si>
  <si>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1.800 mm ; Épaisseur 8 mm ; Dimensions losange: ; * Largeur 35 mm ; * Longuer 18 mm ; * Hauteur 3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</si>
  <si>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GP-REX60B-ZWART-1800-10CH</t>
  </si>
  <si>
    <t>GP-REX60B-ZWART-1800-10mm</t>
  </si>
  <si>
    <t>40,890</t>
  </si>
  <si>
    <t>Met lijmlaag ; Lengte 10.000 mm ; Breedte 1.800 mm ; Dikte 10 mm ; Afmetingen ruit: ; * Breedte 35 mm ; * Lengte 18 mm ; * Hoogte 3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</si>
  <si>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1.800 mm ; Stärke 10 mm ;  Abmessungen Raute: ; * Breite 35 mm ; * Länge 18 mm ; * Höhe 3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</si>
  <si>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1.800 mm ; Thickness 10 mm ; Dimensions Diamond: ; * Width 35 mm ; * Lenght 18 mm ; * Height 3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</si>
  <si>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1.800 mm ; Épaisseur 10 mm ; Dimensions losange: ; * Largeur 35 mm ; * Longuer 18 mm ; * Hauteur 3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</si>
  <si>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GP-REX60B-ZWART-MAXI-10CH</t>
  </si>
  <si>
    <t>GP-REX60B-ZWART-10mm-MAXI-ruit</t>
  </si>
  <si>
    <t>39,100</t>
  </si>
  <si>
    <t>04-03_Maxi Diamond Black</t>
  </si>
  <si>
    <t>GP-REX60B Zwart 10 mm ; Maxi ruit trommelbekleding met lijmlaag</t>
  </si>
  <si>
    <t>GP-REX60B Schwarz 10 mm ; Maxi Raute Trommelbelag mit Kontaktschicht</t>
  </si>
  <si>
    <t>GP-REX60B Black 10 mm ; Maxi diamond drum lagging with bondinglayer</t>
  </si>
  <si>
    <t>GP-REX60B Noir 10 mm ; Maxi losange garnissage du tambour avec face adhésive</t>
  </si>
  <si>
    <t>Met lijmlaag ; Lengte 10.000 mm ; Breedte 2.000 mm ; Dikte 10 mm ; Afmetingen ruit: ; * Breedte 86 mm ; * Lengte 50 mm ; * Hoogte 3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</si>
  <si>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2.000 mm ; Stärke 10 mm ;  Abmessungen Raute: ; * Breite 86 mm ; * Länge 50 mm ; * Höhe 3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</si>
  <si>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2.000 mm ; Thickness 10 mm ; Dimensions Diamond: ; * Width 86 mm ; * Lenght 50 mm ; * Height 3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</si>
  <si>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2.000 mm ; Épaisseur 10 mm ; Dimensions losange: ; * Largeur 86 mm ; * Longuer 50 mm ; * Hauteur 3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</si>
  <si>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Maxi diamant trommelbekleding, om de grip op de transportband te maximaliseren. ; Een gemengde natuurrubbersamenstelling met uitstekende treksterkte en slijtvastheid. ; Geproduceerd volgens ISO- en DIN-normen. ; De bedrijfstemperaturen voor langere periodes liggen tussen -30 °C en +80 °C en voor korte periodes tussen -55 °C en +90 °C.</t>
  </si>
  <si>
    <t>Maxi-Rauten-Trommelbelag zur Auskleidung von Antriebstrommeln, um die Haftung mit dem Förderband zu maximieren. ; Eine gemischte Naturkautschukmischung mit ausgezeichneter Zugfestigkeit und Abriebfestigkeit. ; Hergestellt nach ISO- und DIN-Normen. ; Die Betriebstemperaturen liegen längerfristig zwischen -30 °C und +80 °C und kurzzeitig zwischen -55 °C und +90 °C.</t>
  </si>
  <si>
    <t>Maxi diamond drum lagging, to be used to line drive pulleys for maximizing of the grip with the conveyor belt. ; A blended natural rubber compound with excellent tensile strength and abrasion resistance. ; Produced according to ISO and DIN standards. ; The operating temperatures for longer periods suggested between -30 °C to +80 °C and for short periods could be -55 °C to +90°C.</t>
  </si>
  <si>
    <t>Maxi revêtement de tambour diamanté, pour maximiser l'adhérence avec la bande transporteuse. ; Un composé de caoutchouc naturel mélangé avec une excellente résistance à la traction et à l'abrasion. ; Produit selon les normes ISO et DIN. ; Les températures de fonctionnement pour des périodes plus longues suggérées entre -30 °C et +80 °C et pour de courtes périodes pourraient être de -55 °C à +90 °C.</t>
  </si>
  <si>
    <t>GP-REX60B-ZWART-MAXI-12CH</t>
  </si>
  <si>
    <t>GP-REX60B-ZWART-12mm-MAXI-ruit</t>
  </si>
  <si>
    <t>49,590</t>
  </si>
  <si>
    <t>GP-REX60B Zwart 12 mm ; Maxi ruit trommelbekleding met lijmlaag</t>
  </si>
  <si>
    <t>GP-REX60B Schwarz 12 mm ; Maxi Raute Trommelbelag mit Kontaktschicht</t>
  </si>
  <si>
    <t>GP-REX60B Black 12 mm ; Maxi diamond drum lagging with bondinglayer</t>
  </si>
  <si>
    <t>GP-REX60B Noir 12 mm ; Maxi losange garnissage du tambour avec face adhésive</t>
  </si>
  <si>
    <t>Met lijmlaag ; Lengte 10.000 mm ; Breedte 2.000 mm ; Dikte 12 mm ; Afmetingen ruit: ; * Breedte 86 mm ; * Lengte 50 mm ; * Hoogte 3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</si>
  <si>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2.000 mm ; Stärke 12 mm ;  Abmessungen Raute: ; * Breite 86 mm ; * Länge 50 mm ; * Höhe 3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</si>
  <si>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2.000 mm ; Thickness 12 mm ; Dimensions Diamond: ; * Width 86 mm ; * Lenght 50 mm ; * Height 3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</si>
  <si>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2.000 mm ; Épaisseur 12 mm ; Dimensions losange: ; * Largeur 86 mm ; * Longuer 50 mm ; * Hauteur 3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</si>
  <si>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GP-REX60B-ZWART-MAXI-15CH</t>
  </si>
  <si>
    <t>GP-REX60B-ZWART-15mm-MAXI-ruit</t>
  </si>
  <si>
    <t>61,730</t>
  </si>
  <si>
    <t>GP-REX60B Zwart 15 mm ; Maxi ruit trommelbekleding met lijmlaag</t>
  </si>
  <si>
    <t>GP-REX60B Schwarz 15 mm ; Maxi Raute Trommelbelag mit Kontaktschicht</t>
  </si>
  <si>
    <t>GP-REX60B Black 15 mm ; Maxi diamond drum lagging with bondinglayer</t>
  </si>
  <si>
    <t>GP-REX60B Noir 15 mm ; Maxi losange garnissage du tambour avec face adhésive</t>
  </si>
  <si>
    <t>Met lijmlaag ; Lengte 10.000 mm ; Breedte 2.000 mm ; Dikte 15 mm ; Afmetingen ruit: ; * Breedte 86 mm ; * Lengte 50 mm ; * Hoogte 3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</si>
  <si>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2.000 mm ; Stärke 15 mm ;  Abmessungen Raute: ; * Breite 86 mm ; * Länge 50 mm ; * Höhe 3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</si>
  <si>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2.000 mm ; Thickness 15 mm ; Dimensions Diamond: ; * Width 86 mm ; * Lenght 50 mm ; * Height 3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</si>
  <si>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2.000 mm ; Épaisseur 15 mm ; Dimensions losange: ; * Largeur 86 mm ; * Longuer 50 mm ; * Hauteur 3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</si>
  <si>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GP-REX60B-ZWART-MAXI-15-TA</t>
  </si>
  <si>
    <t>Trommelbelag 60 shore, Maxiprofil</t>
  </si>
  <si>
    <t>GP-REX60B-ZWART-MAXI-15ZA</t>
  </si>
  <si>
    <t>53,030</t>
  </si>
  <si>
    <t>GP-REX60B-ZWART-O&amp;G-06CH</t>
  </si>
  <si>
    <t>GP-REX60B-ZWART-O&amp;G-06mm</t>
  </si>
  <si>
    <t>37,020</t>
  </si>
  <si>
    <t>04-02_Mini Diamond Black Oil Resistant</t>
  </si>
  <si>
    <t>GP-REX60B Olie- en vetbestendige Kwaliteit, Zwart 6 mm ; Mini ruit trommelbekleding met lijmlaag</t>
  </si>
  <si>
    <t>GP-REX60B Öl und Fettbeständige Qualität, Schwarz 6 mm ; Mini Raute Trommelbelag mit Kontaktschicht</t>
  </si>
  <si>
    <t>GP-REX60B Oil and Grease Resistant Quality, Black 6 mm ; Mini diamond drum lagging with bondinglayer</t>
  </si>
  <si>
    <t>GP-REX60B Qualité résistant aux huiles et graisses, Noir 6 mm ; Mini losange garnissage du tambour avec face adhésive</t>
  </si>
  <si>
    <t>Met lijmlaag ; Olie- en vetbestendige Kwaliteit ;  Lengte 10.000 mm ; Breedte 2.000 mm ; Dikte 6 mm ; Afmetingen ruit: ; * Breedte 35 mm ; * Lengte 18 mm ; * Hoogte 3 mm ; Slijtvast rubber &lt; 120 mm³ ; Kleur: zwart ; Shore-hardheid ± 60° - 65° ; Treksterkte 18 N./mm² ; Rek 500% ; Soortelijk gewicht 1,16 ; Oppervlakte werstand: 4,1*10⁴Ω ; Wrijvingscoëfficiënt: ; * 0,40-0,45 (Droog) ; * 0,33-0,38 (nat) ; * 0,22-0,30 (vochtige klei)</t>
  </si>
  <si>
    <t>Mit Kontaktschicht ; Öl und Fettbeständige Qualität ; Länge 10.000 mm ; Breite 2.000 mm ; Stärke 6 mm ;  Abmessungen Raute: ; * Breite 35 mm ; * Länge 18 mm ; * Höhe 3 mm ; Abriebfestes Verschleißgummi &lt; 120mm³ ; Farbe: Schwarz ; Shore Härte ± 60° - 65° ; Reißfestigkeit 18 N./mm² ; Reißdehnung 500 % ; Spezifisches Gewicht 1,16 ; Oberflächenwiderstand: 4,1*10⁴Ω ; Reibungskoeffizient: ; * 0,40-0,45 (trocken) ; * 0,33-0,38 (Nass) ; * 0,22-0,30 (Feuchter Lehm)</t>
  </si>
  <si>
    <t>With bonding layer ; Oil and Grease Resistant Quality ; Length 10.000 mm ; Width 2.000 mm ; Thickness 6 mm ; Dimensions Diamond: ; * Width 35 mm ; * Lenght 18 mm ; * Height 3 mm ; Wear resistant rubber &lt; 120 mm³ ; Colour: Black ; Shore Hardness ± 60° - 65° ; Tensile Strength 18 N./mm² ; Elongation 500 % ; Specific weight 1,16 ; Surface Resistance: 4,1*10⁴Ω ; Frictional Coefficient: ; * 0,40-0,45 (Dry) ; * 0,33-0,38 (Wet) * 0,22-0,30 (Moist Clay)</t>
  </si>
  <si>
    <t>Avec face adhésive ; Qualité résistant aux huiles et graisses ; Longeur 10.000 mm ; Largeur 2.000 mm ; Épaisseur 6 mm ; Dimensions losange: ; * Largeur 35 mm ; * Longuer 18 mm ; * Hauteur 3 mm ; Caoutchouc anti abrasion &lt; 120 mm³ ; Couleur: Noir ; Dureté Shore ± 60° - 65° ; Résistance à la rupture 18 N./mm² ; Allongement 500 % ; Poids spécifique 1,16 ; Résistance superficielle: 4,1*10⁴Ω ; Coefficient de frottement: ; * 0,40-0,45 (sec) ; * 0,33-0,38 (humide) ; * 0,22-0,30 (argile humide)</t>
  </si>
  <si>
    <t>Vermindert het slippen tussen de band en trommel ; Verbetert en stabiliseert de wrijvingscoëfficiënt ; Afvoeren van vocht en vuil ; Beschermt de trommel tegen slijtage en corrosie ; Voorkomt materiaalophoping ; Positieve invloed op bandgeleiding ; Goede antistatische eigenschappen</t>
  </si>
  <si>
    <t>Reduziert Schlupf zwischen Band und Trommel ; Verbessert und stabilisiert den Reibungskoeffizienten ; Abtransport von Feuchtigkeit und Schmutz ; Schützt die Trommel vor Verschleiß und Korrosion ; Verhindert Materialaufbau ; Positiver Einfluss auf Bandlauf ; Gute antistatische Eigenschaft</t>
  </si>
  <si>
    <t>Reduces slippage between belt and pulley ;  Improves and stabilizes coefficient of friction ;  Evacuation of moisture and dirt ;  Protects the pulley against wear and corrosion ; Prevents material build-up ; Positive influence on belt tracking ; Good antistatic property</t>
  </si>
  <si>
    <t>Réduit le glissement entre la courroie et la tambour ; Améliore et stabilise le coefficient de frottement ; Évacuation de l'humidité et de la saleté ; Protège la poulie contre l'usure et la corrosion ; Empêche l'accumulation de matériaux ; Influence positive sur l'alignement de la bande ; Bonne propriété antistatique</t>
  </si>
  <si>
    <t>Trommelbel Sonstiges</t>
  </si>
  <si>
    <t>GP-REX60B-ZWART-O&amp;G-08CH</t>
  </si>
  <si>
    <t>GP-REX60B-ZWART-O&amp;G-08mm</t>
  </si>
  <si>
    <t>GP-REX60B Olie- en vetbestendige Kwaliteit, Zwart 8 mm ; Mini ruit trommelbekleding met lijmlaag</t>
  </si>
  <si>
    <t>GP-REX60B Öl und Fettbeständige Qualität, Schwarz 8 mm ; Mini Raute Trommelbelag mit Kontaktschicht</t>
  </si>
  <si>
    <t>GP-REX60B Oil and Grease Resistant Quality, Black 8 mm ; Mini diamond drum lagging with bondinglayer</t>
  </si>
  <si>
    <t>GP-REX60B Qualité résistant aux huiles et graisses, Noir 8 mm ; Mini losange garnissage du tambour avec face adhésive</t>
  </si>
  <si>
    <t>Met lijmlaag ; Olie- en vetbestendige Kwaliteit ;  Lengte 10.000 mm ; Breedte 2.000 mm ; Dikte 8 mm ; Afmetingen ruit: ; * Breedte 35 mm ; * Lengte 18 mm ; * Hoogte 3 mm ; Slijtvast rubber &lt; 120 mm³ ; Kleur: zwart ; Shore-hardheid ± 60° - 65° ; Treksterkte 18 N./mm² ; Rek 500% ; Soortelijk gewicht 1,16 ; Oppervlakte werstand: 4,1*10⁴Ω ; Wrijvingscoëfficiënt: ; * 0,40-0,45 (Droog) ; * 0,33-0,38 (nat) ; * 0,22-0,30 (vochtige klei)</t>
  </si>
  <si>
    <t>Mit Kontaktschicht ; Öl und Fettbeständige Qualität ; Länge 10.000 mm ; Breite 2.000 mm ; Stärke 8 mm ;  Abmessungen Raute: ; * Breite 35 mm ; * Länge 18 mm ; * Höhe 3 mm ; Abriebfestes Verschleißgummi &lt; 120mm³ ; Farbe: Schwarz ; Shore Härte ± 60° - 65° ; Reißfestigkeit 18 N./mm² ; Reißdehnung 500 % ; Spezifisches Gewicht 1,16 ; Oberflächenwiderstand: 4,1*10⁴Ω ; Reibungskoeffizient: ; * 0,40-0,45 (trocken) ; * 0,33-0,38 (Nass) ; * 0,22-0,30 (Feuchter Lehm)</t>
  </si>
  <si>
    <t>With bonding layer ; Oil and Grease Resistant Quality ; Length 10.000 mm ; Width 2.000 mm ; Thickness 8 mm ; Dimensions Diamond: ; * Width 35 mm ; * Lenght 18 mm ; * Height 3 mm ; Wear resistant rubber &lt; 120 mm³ ; Colour: Black ; Shore Hardness ± 60° - 65° ; Tensile Strength 18 N./mm² ; Elongation 500 % ; Specific weight 1,16 ; Surface Resistance: 4,1*10⁴Ω ; Frictional Coefficient: ; * 0,40-0,45 (Dry) ; * 0,33-0,38 (Wet) * 0,22-0,30 (Moist Clay)</t>
  </si>
  <si>
    <t>Avec face adhésive ; Qualité résistant aux huiles et graisses ; Longeur 10.000 mm ; Largeur 2.000 mm ; Épaisseur 8 mm ; Dimensions losange: ; * Largeur 35 mm ; * Longuer 18 mm ; * Hauteur 3 mm ; Caoutchouc anti abrasion &lt; 120 mm³ ; Couleur: Noir ; Dureté Shore ± 60° - 65° ; Résistance à la rupture 18 N./mm² ; Allongement 500 % ; Poids spécifique 1,16 ; Résistance superficielle: 4,1*10⁴Ω ; Coefficient de frottement: ; * 0,40-0,45 (sec) ; * 0,33-0,38 (humide) ; * 0,22-0,30 (argile humide)</t>
  </si>
  <si>
    <t>GP-REX60B-ZWART-O&amp;G-10CH</t>
  </si>
  <si>
    <t>GP-REX60B-ZWART-O&amp;G-10mm</t>
  </si>
  <si>
    <t>56,942</t>
  </si>
  <si>
    <t>GP-REX60B Olie- en vetbestendige Kwaliteit, Zwart 10 mm ; Mini ruit trommelbekleding met lijmlaag</t>
  </si>
  <si>
    <t>GP-REX60B Öl und Fettbeständige Qualität, Schwarz 10 mm ; Mini Raute Trommelbelag mit Kontaktschicht</t>
  </si>
  <si>
    <t>GP-REX60B Oil and Grease Resistant Quality, Black 10 mm ; Mini diamond drum lagging with bondinglayer</t>
  </si>
  <si>
    <t>GP-REX60B Qualité résistant aux huiles et graisses, Noir 10 mm ; Mini losange garnissage du tambour avec face adhésive</t>
  </si>
  <si>
    <t>Met lijmlaag ; Olie- en vetbestendige Kwaliteit ;  Lengte 10.000 mm ; Breedte 2.000 mm ; Dikte 10 mm ; Afmetingen ruit: ; * Breedte 35 mm ; * Lengte 18 mm ; * Hoogte 3 mm ; Slijtvast rubber &lt; 120 mm³ ; Kleur: zwart ; Shore-hardheid ± 60° - 65° ; Treksterkte 18 N./mm² ; Rek 500% ; Soortelijk gewicht 1,16 ; Oppervlakte werstand: 4,1*10⁴Ω ; Wrijvingscoëfficiënt: ; * 0,40-0,45 (Droog) ; * 0,33-0,38 (nat) ; * 0,22-0,30 (vochtige klei)</t>
  </si>
  <si>
    <t>Mit Kontaktschicht ; Öl und Fettbeständige Qualität ; Länge 10.000 mm ; Breite 2.000 mm ; Stärke 10 mm ;  Abmessungen Raute: ; * Breite 35 mm ; * Länge 18 mm ; * Höhe 3 mm ; Abriebfestes Verschleißgummi &lt; 120mm³ ; Farbe: Schwarz ; Shore Härte ± 60° - 65° ; Reißfestigkeit 18 N./mm² ; Reißdehnung 500 % ; Spezifisches Gewicht 1,16 ; Oberflächenwiderstand: 4,1*10⁴Ω ; Reibungskoeffizient: ; * 0,40-0,45 (trocken) ; * 0,33-0,38 (Nass) ; * 0,22-0,30 (Feuchter Lehm)</t>
  </si>
  <si>
    <t>With bonding layer ; Oil and Grease Resistant Quality ; Length 10.000 mm ; Width 2.000 mm ; Thickness 10 mm ; Dimensions Diamond: ; * Width 35 mm ; * Lenght 18 mm ; * Height 3 mm ; Wear resistant rubber &lt; 120 mm³ ; Colour: Black ; Shore Hardness ± 60° - 65° ; Tensile Strength 18 N./mm² ; Elongation 500 % ; Specific weight 1,16 ; Surface Resistance: 4,1*10⁴Ω ; Frictional Coefficient: ; * 0,40-0,45 (Dry) ; * 0,33-0,38 (Wet) * 0,22-0,30 (Moist Clay)</t>
  </si>
  <si>
    <t>Avec face adhésive ; Qualité résistant aux huiles et graisses ; Longeur 10.000 mm ; Largeur 2.000 mm ; Épaisseur 10 mm ; Dimensions losange: ; * Largeur 35 mm ; * Longuer 18 mm ; * Hauteur 3 mm ; Caoutchouc anti abrasion &lt; 120 mm³ ; Couleur: Noir ; Dureté Shore ± 60° - 65° ; Résistance à la rupture 18 N./mm² ; Allongement 500 % ; Poids spécifique 1,16 ; Résistance superficielle: 4,1*10⁴Ω ; Coefficient de frottement: ; * 0,40-0,45 (sec) ; * 0,33-0,38 (humide) ; * 0,22-0,30 (argile humide)</t>
  </si>
  <si>
    <t>GP-REX60B-ZWART-O&amp;G-12CH</t>
  </si>
  <si>
    <t>GP-REX60B-ZWART-O&amp;G-12mm</t>
  </si>
  <si>
    <t>68,380</t>
  </si>
  <si>
    <t>GP-REX60B Olie- en vetbestendige Kwaliteit, Zwart 12 mm ; Mini ruit trommelbekleding met lijmlaag</t>
  </si>
  <si>
    <t>GP-REX60B Öl und Fettbeständige Qualität, Schwarz 12 mm ; Mini Raute Trommelbelag mit Kontaktschicht</t>
  </si>
  <si>
    <t>GP-REX60B Oil and Grease Resistant Quality, Black 12 mm ; Mini diamond drum lagging with bondinglayer</t>
  </si>
  <si>
    <t>GP-REX60B Qualité résistant aux huiles et graisses, Noir 12 mm ; Mini losange garnissage du tambour avec face adhésive</t>
  </si>
  <si>
    <t>Met lijmlaag ; Olie- en vetbestendige Kwaliteit ;  Lengte 10.000 mm ; Breedte 2.000 mm ; Dikte 12 mm ; Afmetingen ruit: ; * Breedte 35 mm ; * Lengte 18 mm ; * Hoogte 3 mm ; Slijtvast rubber &lt; 120 mm³ ; Kleur: zwart ; Shore-hardheid ± 60° - 65° ; Treksterkte 18 N./mm² ; Rek 500% ; Soortelijk gewicht 1,16 ; Oppervlakte werstand: 4,1*10⁴Ω ; Wrijvingscoëfficiënt: ; * 0,40-0,45 (Droog) ; * 0,33-0,38 (nat) ; * 0,22-0,30 (vochtige klei)</t>
  </si>
  <si>
    <t>Mit Kontaktschicht ; Öl und Fettbeständige Qualität ; Länge 10.000 mm ; Breite 2.000 mm ; Stärke 12 mm ;  Abmessungen Raute: ; * Breite 35 mm ; * Länge 18 mm ; * Höhe 3 mm ; Abriebfestes Verschleißgummi &lt; 120mm³ ; Farbe: Schwarz ; Shore Härte ± 60° - 65° ; Reißfestigkeit 18 N./mm² ; Reißdehnung 500 % ; Spezifisches Gewicht 1,16 ; Oberflächenwiderstand: 4,1*10⁴Ω ; Reibungskoeffizient: ; * 0,40-0,45 (trocken) ; * 0,33-0,38 (Nass) ; * 0,22-0,30 (Feuchter Lehm)</t>
  </si>
  <si>
    <t>With bonding layer ; Oil and Grease Resistant Quality ; Length 10.000 mm ; Width 2.000 mm ; Thickness 12 mm ; Dimensions Diamond: ; * Width 35 mm ; * Lenght 18 mm ; * Height 3 mm ; Wear resistant rubber &lt; 120 mm³ ; Colour: Black ; Shore Hardness ± 60° - 65° ; Tensile Strength 18 N./mm² ; Elongation 500 % ; Specific weight 1,16 ; Surface Resistance: 4,1*10⁴Ω ; Frictional Coefficient: ; * 0,40-0,45 (Dry) ; * 0,33-0,38 (Wet) * 0,22-0,30 (Moist Clay)</t>
  </si>
  <si>
    <t>Avec face adhésive ; Qualité résistant aux huiles et graisses ; Longeur 10.000 mm ; Largeur 2.000 mm ; Épaisseur 12 mm ; Dimensions losange: ; * Largeur 35 mm ; * Longuer 18 mm ; * Hauteur 3 mm ; Caoutchouc anti abrasion &lt; 120 mm³ ; Couleur: Noir ; Dureté Shore ± 60° - 65° ; Résistance à la rupture 18 N./mm² ; Allongement 500 % ; Poids spécifique 1,16 ; Résistance superficielle: 4,1*10⁴Ω ; Coefficient de frottement: ; * 0,40-0,45 (sec) ; * 0,33-0,38 (humide) ; * 0,22-0,30 (argile humide)</t>
  </si>
  <si>
    <t>GP-REX60B-ZWART-SQUARE-08CH</t>
  </si>
  <si>
    <t>GP-REX60B-ZWART-08mm-Square profile</t>
  </si>
  <si>
    <t>35,420</t>
  </si>
  <si>
    <t>04-12_Mini Square Black</t>
  </si>
  <si>
    <t>GP-REX60B Zwart 8 mm ; Mini vierkant trommelbekleding met lijmlaag</t>
  </si>
  <si>
    <t>GP-REX60B Schwarz 8 mm ; Mini Quadrat Trommelbelag mit Kontaktschicht</t>
  </si>
  <si>
    <t>GP-REX60B Black 8 mm ; Mini Square drum lagging with bondinglayer</t>
  </si>
  <si>
    <t>GP-REX60B Noir 8 mm ; Mini carré garnissage du tambour avec face adhésive</t>
  </si>
  <si>
    <t>Met lijmlaag ; Lengte 10.000 mm ; Breedte 2.000 mm ; Dikte 8 mm ; Afmetingen vierkant: ; * Breedte 24 mm ; * Lengte 24 mm ; * Hoogte 4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</si>
  <si>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2.000 mm ; Stärke 8 mm ;  Abmessungen Quadrat: ; * Breite 24 mm ; * Länge 24 mm ; * Höhe 4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</si>
  <si>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2.000 mm ; Thickness 8 mm ; Dimensions Square: ; * Width 24 mm ; * Lenght 24 mm ; * Height 4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</si>
  <si>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2.000 mm ; Épaisseur 8 mm ; Dimensions carré: ; * Largeur 24 mm ; * Longuer 24 mm ; * Hauteur 4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</si>
  <si>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Mini vierkant trommelbekleding, om de grip op de transportband te maximaliseren. ; Een gemengde natuurrubbersamenstelling met uitstekende treksterkte en slijtvastheid. ; Geproduceerd volgens ISO- en DIN-normen. ; De bedrijfstemperaturen voor langere periodes liggen tussen -30 °C en +80 °C en voor korte periodes tussen -55 °C en +90 °C.</t>
  </si>
  <si>
    <r>
      <t xml:space="preserve">Mini Quadrat Trommelbelag zur Auskleidung von Antriebstrommeln, um die Haftung mit dem Förderband zu maximieren. </t>
    </r>
    <r>
      <rPr>
        <sz val="10"/>
        <color rgb="FFFF0000"/>
        <rFont val="Arial"/>
        <family val="2"/>
      </rPr>
      <t>; Eine Naturkautschukmischung</t>
    </r>
    <r>
      <rPr>
        <sz val="10"/>
        <color indexed="8"/>
        <rFont val="Arial"/>
        <family val="2"/>
      </rPr>
      <t xml:space="preserve"> mit ausgezeichneter Zugfestigkeit und Abriebfestigkeit. ; Hergestellt nach ISO- und DIN-Normen. ; Die Betriebstemperaturen liegen längerfristig zwischen -30 °C und +80 °C und kurzzeitig zwischen -55 °C und +90 °C.</t>
    </r>
  </si>
  <si>
    <t>Mini Square drum lagging, to be used to line drive pulleys for maximizing of the grip with the conveyor belt. ; A blended natural rubber compound with excellent tensile strength and abrasion resistance. ; Produced according to ISO and DIN standards. ; The operating temperatures for longer periods suggested between -30 °C to +80 °C and for short periods could be -55 °C to +90°C.</t>
  </si>
  <si>
    <t>Mini revêtement de tambour carré, pour maximiser l'adhérence avec la bande transporteuse. ; Un composé de caoutchouc naturel mélangé avec une excellente résistance à la traction et à l'abrasion. ; Produit selon les normes ISO et DIN. ; Les températures de fonctionnement pour des périodes plus longues suggérées entre -30 °C et +80 °C et pour de courtes périodes pourraient être de -55 °C à +90 °C.</t>
  </si>
  <si>
    <t>GP-REX60B-ZWART-SQUARE-08ZE</t>
  </si>
  <si>
    <t>Mini Quadrat Trommelbelag zur Auskleidung von Antriebstrommeln, um die Haftung mit dem Förderband zu maximieren. ; Eine gemischte Naturkautschukmischung mit ausgezeichneter Zugfestigkeit und Abriebfestigkeit. ; Hergestellt nach ISO- und DIN-Normen. ; Die Betriebstemperaturen liegen längerfristig zwischen -30 °C und +80 °C und kurzzeitig zwischen -55 °C und +90 °C.</t>
  </si>
  <si>
    <t>GP-REX60B-ZWART-SQUARE-10CH</t>
  </si>
  <si>
    <t>GP-REX60B-ZWART-10mm-Square profile</t>
  </si>
  <si>
    <t>43,950</t>
  </si>
  <si>
    <t>GP-REX60B Zwart 10 mm ; Mini vierkant trommelbekleding met lijmlaag</t>
  </si>
  <si>
    <t>GP-REX60B Schwarz 10 mm ; Mini Quadrat Trommelbelag mit Kontaktschicht</t>
  </si>
  <si>
    <t>GP-REX60B Black 10 mm ; Mini Square drum lagging with bondinglayer</t>
  </si>
  <si>
    <t>GP-REX60B Noir 10 mm ; Mini carré garnissage du tambour avec face adhésive</t>
  </si>
  <si>
    <t>Met lijmlaag ; Lengte 10.000 mm ; Breedte 2.000 mm ; Dikte 10 mm ; Afmetingen vierkant: ; * Breedte 24 mm ; * Lengte 24 mm ; * Hoogte 4 mm ; Slijtvast rubber &lt; 130 mm³ ; Kleur: zwart ; Shore-hardheid ± 60° - 65° ; Treksterkte 15 N./mm² ; Rek 490% ; Soortelijk gewicht 1,14 ; Oppervlakte weerstand: 4,1*10⁴Ω ; Wrijvingscoëfficiënt: ; * 0,40-0,45 (Droog) ; * 0,33-0,38 (nat) ; * 0,22-0,30 (vochtige klei)</t>
  </si>
  <si>
    <t>Mit Kontaktschicht ; Länge 10.000 mm ; Breite 2.000 mm ; Stärke 10 mm ;  Abmessungen Quadrat: ; * Breite 24 mm ; * Länge 24 mm ; * Höhe 4 mm ; Abriebfestes Verschleißgummi &lt; 130mm³ ; Farbe: Schwarz ; Shore Härte ± 60° - 65° ; Reißfestigkeit 15 N./mm² ; Reißdehnung 490 % ; Spezifisches Gewicht 1,14 ; Oberflächenwiderstand: 4,1*10⁴Ω ; Reibungskoeffizient: ; * 0,40-0,45 (trocken) ; * 0,33-0,38 (Nass) ; * 0,22-0,30 (Feuchter Lehm)</t>
  </si>
  <si>
    <t>With bonding layer ; Length 10.000 mm ; Width 2.000 mm ; Thickness 10 mm ; Dimensions Square: ; * Width 24 mm ; * Lenght 24 mm ; * Height 4 mm ; Wear resistant rubber &lt; 130 mm³ ; Colour: Black ; Shore Hardness ± 60° - 65° ; Tensile Strength 15 N./mm² ; Elongation 490 % ; Specific weight 1,14 ; Surface Resistance: 4,1*10⁴Ω ; Frictional Coefficient: ; * 0,40-0,45 (Dry) ; * 0,33-0,38 (Wet) * 0,22-0,30 (Moist Clay)</t>
  </si>
  <si>
    <t>Avec face adhésive ; Longeur 10.000 mm ; Largeur 2.000 mm ; Épaisseur 10 mm ; Dimensions carré: ; * Largeur 24 mm ; * Longuer 24 mm ; * Hauteur 4 mm ; Caoutchouc anti abrasion &lt; 130 mm³ ; Couleur: Noir ; Dureté Shore ± 60° - 65° ; Résistance à la rupture 15 N./mm² ; Allongement 490 % ; Poids spécifique 1,14 ; Résistance superficielle: 4,1*10⁴Ω ; Coefficient de frottement: ; * 0,40-0,45 (sec) ; * 0,33-0,38 (humide) ; * 0,22-0,30 (argile humide)</t>
  </si>
  <si>
    <t>GP-REX60B-ZWART-SQUARE-10ZE</t>
  </si>
  <si>
    <t>38,284</t>
  </si>
  <si>
    <t>HANDLING WAGUZZ</t>
  </si>
  <si>
    <t>Handling Wagu</t>
  </si>
  <si>
    <t>97, Doorbelasting WAGU</t>
  </si>
  <si>
    <t>HI-TEC35-GEEL-MLL-10-1800ZA</t>
  </si>
  <si>
    <t>HI-TEC35-Speciaal-geel-10-met lijmlaag-00805223</t>
  </si>
  <si>
    <t>HI-TEC35-GEEL-ZLL-08-1400ZA</t>
  </si>
  <si>
    <t>HI-TEC35-Speciaal-geel-08-zonder lijmlaag-00805215</t>
  </si>
  <si>
    <t>HI-TEC35-GEEL-ZLL-10-1800ZA</t>
  </si>
  <si>
    <t>HI-TEC35-Speciaal-geel-10-zonder lijmlaag-00805224</t>
  </si>
  <si>
    <t>42,240</t>
  </si>
  <si>
    <t>HI-TEC35-ROOD-ZLL-02-1400ZA</t>
  </si>
  <si>
    <t>HI-TEC35-Speciaal-rood-02-zonder lijmlaag-00805240</t>
  </si>
  <si>
    <t>8,810</t>
  </si>
  <si>
    <t>HI-TEC35-ROOD-ZLL-03-1400ZA</t>
  </si>
  <si>
    <t>HI-TEC35-Speciaal-rood-03-zonder lijmlaag-00805241</t>
  </si>
  <si>
    <t>13,210</t>
  </si>
  <si>
    <t>HI-TEC35-ROOD-ZLL-04-1400ZA</t>
  </si>
  <si>
    <t>HI-TEC35-Speciaal-rood-04-zonder lijmlaag-00805242</t>
  </si>
  <si>
    <t>HI-TEC35-ROOD-ZLL-05-1400ZA</t>
  </si>
  <si>
    <t>HI-TEC35-Speciaal-rood-05-zonder lijmlaag-00805243</t>
  </si>
  <si>
    <t>HI-TEC35-ROOD-ZLL-06-1200ZA</t>
  </si>
  <si>
    <t>HI-TEC35-Speciaal-rood-06-zonder lijmlaag-00805244</t>
  </si>
  <si>
    <t>HI-TEC35-ROOD-ZLL-06-1400ZA</t>
  </si>
  <si>
    <t>HI-TEC35-Speciaal-rood-06-zonder lijmlaag-00805256</t>
  </si>
  <si>
    <t>HI-TEC35-ROOD-ZLL-10-2000CH</t>
  </si>
  <si>
    <t>HI-TEC35-Speciaal-rood-10-zonder lijmlaag-00808010</t>
  </si>
  <si>
    <t>1,420</t>
  </si>
  <si>
    <t>HI-TEC35-WIT-ZLL-02-1400ZA</t>
  </si>
  <si>
    <t>HI-TEC35-Speciaal-wit-02-zonder lijmlaag-00805270</t>
  </si>
  <si>
    <t>8,880</t>
  </si>
  <si>
    <t>HI-TEC35-WIT-ZLL-03-1400ZA</t>
  </si>
  <si>
    <t>HI-TEC35-Speciaal-wit-03-zonder lijmlaag-00805271</t>
  </si>
  <si>
    <t>13,320</t>
  </si>
  <si>
    <t>HI-TEC35-WIT-ZLL-04-1400ZA</t>
  </si>
  <si>
    <t>HI-TEC35-Speciaal-wit-04-zonder lijmlaag-00805272</t>
  </si>
  <si>
    <t>HI-TEC35-WIT-ZLL-1,6-1400ZA</t>
  </si>
  <si>
    <t>HI-TEC35-Speciaal-wit-1,6-zonder lijmlaag-00805281</t>
  </si>
  <si>
    <t>7,100</t>
  </si>
  <si>
    <t>HI-TEC35-WIT-ZLL-10-1400ZA</t>
  </si>
  <si>
    <t>HI-TEC35-Speciaal-wit-10-zonder lijmlaag-00805276</t>
  </si>
  <si>
    <t>43,570</t>
  </si>
  <si>
    <t>HI-TEC35-ZWART-ZLL-02-1400ZA</t>
  </si>
  <si>
    <t>HI-TEC35-Speciaal-zwart-02-zonder lijmlaag-00805300</t>
  </si>
  <si>
    <t>7,960</t>
  </si>
  <si>
    <t>HI-TEC35-ZWART-ZLL-03-1400ZA</t>
  </si>
  <si>
    <t>HI-TEC35-Speciaal-zwart-03-zonder lijmlaag-00805301</t>
  </si>
  <si>
    <t>11,940</t>
  </si>
  <si>
    <t>HI-TEC35-ZWART-ZLL-06-1400ZA</t>
  </si>
  <si>
    <t>HI-TEC35-Speciaal-zwart-06-zonder lijmlaag-00805304</t>
  </si>
  <si>
    <t>0,110</t>
  </si>
  <si>
    <t>HI-TEC40-BEIGE-ZLL-05-2000ZE</t>
  </si>
  <si>
    <t>HI-TEC40-rood-05-zonder lijmlaag</t>
  </si>
  <si>
    <t>28,240</t>
  </si>
  <si>
    <t>HI-TEC40B-ROOD-MLL-04-1400ZA</t>
  </si>
  <si>
    <t>HI-TEC40-rood-04-met lijmlaag-00801004</t>
  </si>
  <si>
    <t>23,940</t>
  </si>
  <si>
    <t>HI-TEC40B-ROOD-MLL-04-1500ZA</t>
  </si>
  <si>
    <t>HI-TEC40-rood-04-met lijmlaag-00803004</t>
  </si>
  <si>
    <t>HI-TEC40B-ROOD-MLL-04-1800ZA</t>
  </si>
  <si>
    <t>HI-TEC40-rood-06-met lijmlaag-00808056</t>
  </si>
  <si>
    <t>HI-TEC40B-ROOD-MLL-05-1500ZA</t>
  </si>
  <si>
    <t>HI-TEC40-rood-05-met lijmlaag-00803005</t>
  </si>
  <si>
    <t>26,830</t>
  </si>
  <si>
    <t>HI-TEC40B-ROOD-MLL-06-1400ZA</t>
  </si>
  <si>
    <t>HI-TEC40-rood-06-met lijmlaag-00801021</t>
  </si>
  <si>
    <t>35,810</t>
  </si>
  <si>
    <t>HI-TEC40B-ROOD-MLL-06-1800ZA</t>
  </si>
  <si>
    <t>HI-TEC40-rood-06-met lijmlaag-00801008</t>
  </si>
  <si>
    <t>33,610</t>
  </si>
  <si>
    <t>HI-TEC40B-ROOD-MLL-06-2000CH</t>
  </si>
  <si>
    <t>HI-TEC40-rood-06-met lijmlaag-00808057</t>
  </si>
  <si>
    <t>30,840</t>
  </si>
  <si>
    <t>HI-TEC40B-ROOD-MLL-08-1400ZA</t>
  </si>
  <si>
    <t>HI-TEC40-rood-08-met lijmlaag-00801022</t>
  </si>
  <si>
    <t>41,260</t>
  </si>
  <si>
    <t>HI-TEC40B-ROOD-MLL-08-1800ZA</t>
  </si>
  <si>
    <t>HI-TEC40-rood-08-met lijmlaag-008010..</t>
  </si>
  <si>
    <t>HI-TEC40B-ROOD-MLL-08-2000CH</t>
  </si>
  <si>
    <t>HI-TEC40-rood-08-met lijmlaag-00808150</t>
  </si>
  <si>
    <t>39,420</t>
  </si>
  <si>
    <t>HI-TEC40B-ROOD-MLL-10-1400ZA</t>
  </si>
  <si>
    <t>HI-TEC40-rood-10-met lijmlaag-00801023</t>
  </si>
  <si>
    <t>HI-TEC40B-ROOD-MLL-10-2000CH</t>
  </si>
  <si>
    <t>HI-TEC40-rood-10-met lijmlaag-00803098</t>
  </si>
  <si>
    <t>47,590</t>
  </si>
  <si>
    <t>HI-TEC40B-ROOD-MLL-12-1400ZA</t>
  </si>
  <si>
    <t>HI-TEC40-rood-12-met lijmlaag-00801024</t>
  </si>
  <si>
    <t>59,900</t>
  </si>
  <si>
    <t>HI-TEC40B-ROOD-MLL-15-1400ZA</t>
  </si>
  <si>
    <t>HI-TEC40-rood-15-met lijmlaag-00801025</t>
  </si>
  <si>
    <t>HI-TEC40B-ROOD-MLL-15-1800ZA</t>
  </si>
  <si>
    <t>HI-TEC40-rood-15-met lijmlaag-00801033</t>
  </si>
  <si>
    <t>61,390</t>
  </si>
  <si>
    <t>HI-TEC40B-ROOD-MLL-15-2000CH</t>
  </si>
  <si>
    <t>HI-TEC40-rood-15-met lijmlaag-00808042</t>
  </si>
  <si>
    <t>72,810</t>
  </si>
  <si>
    <t>HI-TEC40B-ROOD-MLL-20-1400ZA</t>
  </si>
  <si>
    <t>HI-TEC40-rood-20-met lijmlaag-00801026</t>
  </si>
  <si>
    <t>96,200</t>
  </si>
  <si>
    <t>HI-TEC40B-ROOD-MLL-20-2000CH</t>
  </si>
  <si>
    <t>HI-TEC40-rood-20-met lijmlaag-00803099</t>
  </si>
  <si>
    <t>93,350</t>
  </si>
  <si>
    <t>HI-TEC40B-ROOD-MLL-30-1400ZA</t>
  </si>
  <si>
    <t>HI-TEC40-rood-30-met lijmlaag-00801028</t>
  </si>
  <si>
    <t>158,980</t>
  </si>
  <si>
    <t>HI-TEC40B-ROOD-MLL-30-2000CH</t>
  </si>
  <si>
    <t>HI-TEC40-rood-30-met lijmlaag-00808043</t>
  </si>
  <si>
    <t>174,220</t>
  </si>
  <si>
    <t>HI-TEC40-ROOD-ZLL-03-1400ZA</t>
  </si>
  <si>
    <t>HI-TEC40-rood-03-zonder lijmlaag-00805914</t>
  </si>
  <si>
    <t>13,610</t>
  </si>
  <si>
    <t>HI-TEC40-ROOD-ZLL-04-1400ZA</t>
  </si>
  <si>
    <t>HI-TEC40-rood-04-zonder lijmlaag 00805915</t>
  </si>
  <si>
    <t>HI-TEC40-ROOD-ZLL-05-1400ZA</t>
  </si>
  <si>
    <t>HI-TEC40-rood-05-zonder lijmlaag-00805916</t>
  </si>
  <si>
    <t>HI-TEC40-ROOD-ZLL-06-1400ZA</t>
  </si>
  <si>
    <t>HI-TEC40-rood-06-zonder lijmlaag-00801000</t>
  </si>
  <si>
    <t>HI-TEC40-ROOD-ZLL-06-2000CH</t>
  </si>
  <si>
    <t>HI-TEC40-rood-06-zonder lijmlaag-00808041</t>
  </si>
  <si>
    <t>24,750</t>
  </si>
  <si>
    <t>HI-TEC40-ROOD-ZLL-08-1400ZA</t>
  </si>
  <si>
    <t>HI-TEC40-rood-08-zonder lijmlaag-00801001</t>
  </si>
  <si>
    <t>37,180</t>
  </si>
  <si>
    <t>HI-TEC40-ROOD-ZLL-08-1800ZA</t>
  </si>
  <si>
    <t>HI-TEC40-rood-08-zonder lijmlaag-00801011</t>
  </si>
  <si>
    <t>40,030</t>
  </si>
  <si>
    <t>HI-TEC40-ROOD-ZLL-08-2000CH</t>
  </si>
  <si>
    <t>HI-TEC40-rood-08-zonder lijmlaag-00808058</t>
  </si>
  <si>
    <t>34,840</t>
  </si>
  <si>
    <t>HI-TEC40-ROOD-ZLL-10-1400ZA</t>
  </si>
  <si>
    <t>HI-TEC40-rood-10-zonder lijmlaag-00801002</t>
  </si>
  <si>
    <t>40,420</t>
  </si>
  <si>
    <t>HI-TEC40-ROOD-ZLL-10-1800ZA</t>
  </si>
  <si>
    <t>HI-TEC40-rood-10-zonder lijmlaag-00801012</t>
  </si>
  <si>
    <t>41,780</t>
  </si>
  <si>
    <t>HI-TEC40-ROOD-ZLL-10-2000CH</t>
  </si>
  <si>
    <t>HI-TEC40-rood-10-zonder lijmlaag</t>
  </si>
  <si>
    <t>HI-TEC40-ROOD-ZLL-12-1400ZA</t>
  </si>
  <si>
    <t>HI-TEC40-rood-12-zonder lijmlaag-00801003</t>
  </si>
  <si>
    <t>53,240</t>
  </si>
  <si>
    <t>HI-TEC40-ROOD-ZLL-15-1400ZA</t>
  </si>
  <si>
    <t>HI-TEC40-rood-15-zonder lijmlaag-00801004</t>
  </si>
  <si>
    <t>83,210</t>
  </si>
  <si>
    <t>HI-TEC40-ROOD-ZLL-15-1800ZA</t>
  </si>
  <si>
    <t>HI-TEC40-rood-15-zonder lijmlaag-00801013</t>
  </si>
  <si>
    <t>63,940</t>
  </si>
  <si>
    <t>HI-TEC40-ROOD-ZLL-20-1400ZA</t>
  </si>
  <si>
    <t>HI-TEC40-rood-20-zonder lijmlaag-00801005</t>
  </si>
  <si>
    <t>85,230</t>
  </si>
  <si>
    <t>HI-TEC40-ROOD-ZLL-20-1800ZA</t>
  </si>
  <si>
    <t>HI-TEC40-rood-20-zonder lijmlaag-00801899</t>
  </si>
  <si>
    <t>81,030</t>
  </si>
  <si>
    <t>HI-TEC40-ROOD-ZLL-20-2000CH</t>
  </si>
  <si>
    <t>HI-TEC40-rood-20-zonder lijmlaag-00805901</t>
  </si>
  <si>
    <t>104,890</t>
  </si>
  <si>
    <t>HI-TEC40-ROOD-ZLL-25-1400ZA</t>
  </si>
  <si>
    <t>HI-TEC40-rood-25-zonder lijmlaag-00801006</t>
  </si>
  <si>
    <t>HI-TEC60B-ZWART-MLL-03-1400ZA</t>
  </si>
  <si>
    <t>HI-TEC60-zwart-03-met lijmlaag-00803024</t>
  </si>
  <si>
    <t>19,540</t>
  </si>
  <si>
    <t>HI-TEC60B-ZWART-MLL-03-2000CH</t>
  </si>
  <si>
    <t>HI-TEC60-zwart-03-met lijmlaag-00803028</t>
  </si>
  <si>
    <t>HI-TEC60B-ZWART-MLL-04-1400ZA</t>
  </si>
  <si>
    <t>HI-TEC60-zwart-04-met lijmlaag-00801060</t>
  </si>
  <si>
    <t>18,510</t>
  </si>
  <si>
    <t>HI-TEC60B-ZWART-MLL-04-2000CH</t>
  </si>
  <si>
    <t>HI-TEC60-zwart-04-met lijmlaag-00807004</t>
  </si>
  <si>
    <t>20,720</t>
  </si>
  <si>
    <t>HI-TEC60B-ZWART-MLL-05-1400ZA</t>
  </si>
  <si>
    <t>HI-TEC60-zwart-05-met lijmlaag-00801967</t>
  </si>
  <si>
    <t>HI-TEC60B-ZWART-MLL-05-1500ZA</t>
  </si>
  <si>
    <t>HI-TEC60-zwart-05-met lijmlaag-00801078</t>
  </si>
  <si>
    <t>HI-TEC60B-ZWART-MLL-05-2000CH</t>
  </si>
  <si>
    <t>HI-TEC60-zwart-05-met lijmlaag-00805405</t>
  </si>
  <si>
    <t>HI-TEC60B-ZWART-MLL-06-1400ZA</t>
  </si>
  <si>
    <t>HI-TEC60-zwart-06-met lijmlaag-00801061</t>
  </si>
  <si>
    <t>27,770</t>
  </si>
  <si>
    <t>HI-TEC60B-ZWART-MLL-06-1800ZA</t>
  </si>
  <si>
    <t>HI-TEC60-zwart-06-met lijmlaag-00801898</t>
  </si>
  <si>
    <t>HI-TEC60B-ZWART-MLL-06-2000CH</t>
  </si>
  <si>
    <t>HI-TEC60-zwart-06-met lijmlaag-00801079</t>
  </si>
  <si>
    <t>27,170</t>
  </si>
  <si>
    <t>HI-TEC60B-ZWART-MLL-08-1400ZA</t>
  </si>
  <si>
    <t>HI-TEC60-zwart-08-met lijmlaag-00801062</t>
  </si>
  <si>
    <t>31,950</t>
  </si>
  <si>
    <t>HI-TEC60B-ZWART-MLL-08-1800ZA</t>
  </si>
  <si>
    <t>HI-TEC60-zwart-08-met lijmlaag-00801071</t>
  </si>
  <si>
    <t>HI-TEC60B-ZWART-MLL-08-2000CH</t>
  </si>
  <si>
    <t>HI-TEC60-zwart-08-met lijmlaag-00801966</t>
  </si>
  <si>
    <t>HI-TEC60B-ZWART-MLL-10-1400ZA</t>
  </si>
  <si>
    <t>HI-TEC60-zwart-10-met lijmlaag-00801063</t>
  </si>
  <si>
    <t>33,580</t>
  </si>
  <si>
    <t>HI-TEC60B-ZWART-MLL-10-1800ZA</t>
  </si>
  <si>
    <t>HI-TEC60-zwart-10-met lijmlaag-00801072</t>
  </si>
  <si>
    <t>HI-TEC60B-ZWART-MLL-10-2000CH</t>
  </si>
  <si>
    <t>HI-TEC60-zwart-10-met lijmlaag-00801965</t>
  </si>
  <si>
    <t>38,110</t>
  </si>
  <si>
    <t>HI-TEC60B-ZWART-MLL-12-1400ZA</t>
  </si>
  <si>
    <t>HI-TEC60-zwart-12-met lijmlaag-00801064</t>
  </si>
  <si>
    <t>HI-TEC60B-ZWART-MLL-12-2000CH</t>
  </si>
  <si>
    <t>HI-TEC60-zwart-12-met lijmlaag-00801080</t>
  </si>
  <si>
    <t>44,050</t>
  </si>
  <si>
    <t>HI-TEC60B-ZWART-MLL-15-1400ZA</t>
  </si>
  <si>
    <t>HI-TEC60-zwart-15-met lijmlaag-00801065</t>
  </si>
  <si>
    <t>47,740</t>
  </si>
  <si>
    <t>HI-TEC60B-ZWART-MLL-15-1800ZA</t>
  </si>
  <si>
    <t>HI-TEC60-zwart-15-met lijmlaag-00801073</t>
  </si>
  <si>
    <t>53,060</t>
  </si>
  <si>
    <t>HI-TEC60B-ZWART-MLL-15-2000CH</t>
  </si>
  <si>
    <t>HI-TEC60-zwart-15-met lijmlaag-00801987</t>
  </si>
  <si>
    <t>51,350</t>
  </si>
  <si>
    <t>HI-TEC60B-ZWART-MLL-20-1400ZA</t>
  </si>
  <si>
    <t>HI-TEC60-zwart-20-met lijmlaag-00801066</t>
  </si>
  <si>
    <t>55,990</t>
  </si>
  <si>
    <t>HI-TEC60B-ZWART-MLL-20-1800ZA</t>
  </si>
  <si>
    <t>HI-TEC60-zwart-20-met lijmlaag-00801074</t>
  </si>
  <si>
    <t>59,790</t>
  </si>
  <si>
    <t>HI-TEC60B-ZWART-MLL-20-2000CH</t>
  </si>
  <si>
    <t>HI-TEC60-zwart-20-met lijmlaag-00801070</t>
  </si>
  <si>
    <t>66,260</t>
  </si>
  <si>
    <t>HI-TEC60B-ZWART-MLL-25-1800ZA</t>
  </si>
  <si>
    <t>HI-TEC60-zwart-25-met lijmlaag-00801075</t>
  </si>
  <si>
    <t>82,430</t>
  </si>
  <si>
    <t>HI-TEC60B-ZWART-MLL-30-1400ZA</t>
  </si>
  <si>
    <t>HI-TEC60-zwart-30-met lijmlaag-00801068</t>
  </si>
  <si>
    <t>82,870</t>
  </si>
  <si>
    <t>HI-TEC60B-ZWART-MLL-30-1800ZA</t>
  </si>
  <si>
    <t>HI-TEC60-zwart-30-met lijmlaag-00801076</t>
  </si>
  <si>
    <t>84,570</t>
  </si>
  <si>
    <t>HI-TEC60B-ZWART-MLL-30-2000CH</t>
  </si>
  <si>
    <t>HI-TEC60-zwart-30-met lijmlaag-00803009</t>
  </si>
  <si>
    <t>97,970</t>
  </si>
  <si>
    <t>HI-TEC60B-ZW-MLL-08-O&amp;V-2000CH</t>
  </si>
  <si>
    <t>HI-TEC60B-zwart-08-met lijmlaag O&amp;V-00803645</t>
  </si>
  <si>
    <t>43,460</t>
  </si>
  <si>
    <t>HI-TEC60B-ZW-MLL-10-O&amp;V-2000CH</t>
  </si>
  <si>
    <t>HI-TEC60B-zwart-10-met lijmlaag O&amp;V-00801892</t>
  </si>
  <si>
    <t>55,230</t>
  </si>
  <si>
    <t>HI-TEC60-ZWART-GEWEB-03-1400ZA</t>
  </si>
  <si>
    <t>HI-TEC60-zwart-03-zonder lijmlaag-Gewebe</t>
  </si>
  <si>
    <t>HI-TEC60-ZWART-ZLL-03-2000CH</t>
  </si>
  <si>
    <t>HI-TEC60-zwart-03-zonder lijmlaag-00803031</t>
  </si>
  <si>
    <t>16,500</t>
  </si>
  <si>
    <t>HI-TEC60-ZWART-ZLL-04-1400ZA</t>
  </si>
  <si>
    <t>HI-TEC60-zwart-04-zonder lijmlaag</t>
  </si>
  <si>
    <t>HI-TEC60-ZWART-ZLL-05-1400ZA</t>
  </si>
  <si>
    <t>HI-TEC60-zwart-05-zonder lijmlaag-00801985</t>
  </si>
  <si>
    <t>19,560</t>
  </si>
  <si>
    <t>HI-TEC60-ZWART-ZLL-05-2000CH</t>
  </si>
  <si>
    <t>HI-TEC60-zwart-05-zonder lijmlaag-00805002</t>
  </si>
  <si>
    <t>HI-TEC60-ZWART-ZLL-06-1400ZA</t>
  </si>
  <si>
    <t>HI-TEC60-zwart-06-zonder lijmlaag-00801041</t>
  </si>
  <si>
    <t>HI-TEC60-ZWART-ZLL-06-1800ZA</t>
  </si>
  <si>
    <t>HI-TEC60-zwart-06-zonder lijmlaag-00080200</t>
  </si>
  <si>
    <t>17,950</t>
  </si>
  <si>
    <t>HI-TEC60-ZWART-ZLL-06-2000CH</t>
  </si>
  <si>
    <t>HI-TEC60-zwart-06-zonder lijmlaag-00801988</t>
  </si>
  <si>
    <t>HI-TEC60-ZWART-ZLL-08-1400ZA</t>
  </si>
  <si>
    <t>HI-TEC60-zwart-08-zonder lijmlaag-00801062</t>
  </si>
  <si>
    <t>29,060</t>
  </si>
  <si>
    <t>HI-TEC60-ZWART-ZLL-08-1800ZA</t>
  </si>
  <si>
    <t>HI-TEC60-zwart-08-zonder lijmlaag-00801051</t>
  </si>
  <si>
    <t>HI-TEC60-ZWART-ZLL-08-2000CH</t>
  </si>
  <si>
    <t>HI-TEC60-zwart-08-zonder lijmlaag-00801057</t>
  </si>
  <si>
    <t>HI-TEC60-ZWART-ZLL-10-1400ZA</t>
  </si>
  <si>
    <t>HI-TEC60-zwart-10-zonder lijmlaag-00801043</t>
  </si>
  <si>
    <t>28,850</t>
  </si>
  <si>
    <t>HI-TEC60-ZWART-ZLL-10-1800ZA</t>
  </si>
  <si>
    <t>HI-TEC60-zwart-10-zonder lijmlaag-00801052</t>
  </si>
  <si>
    <t>19,810</t>
  </si>
  <si>
    <t>HI-TEC60-ZWART-ZLL-10-2000CH</t>
  </si>
  <si>
    <t>HI-TEC60-zwart-10-zonder lijmlaag-00801058</t>
  </si>
  <si>
    <t>HI-TEC60-ZWART-ZLL-12-1400ZA</t>
  </si>
  <si>
    <t>HI-TEC60-zwart-12-zonder lijmlaag-00801044</t>
  </si>
  <si>
    <t>30,100</t>
  </si>
  <si>
    <t>HI-TEC60-ZWART-ZLL-12-2000CH</t>
  </si>
  <si>
    <t>HI-TEC60-zwart-12-zonder lijmlaag-00801989</t>
  </si>
  <si>
    <t>39,950</t>
  </si>
  <si>
    <t>HI-TEC60-ZWART-ZLL-15-1400ZA</t>
  </si>
  <si>
    <t>HI-TEC60-zwart-15-zonder lijmlaag-00801045</t>
  </si>
  <si>
    <t>34,560</t>
  </si>
  <si>
    <t>HI-TEC60-ZWART-ZLL-15-1800ZA</t>
  </si>
  <si>
    <t>HI-TEC60-zwart-15-zonder lijmlaag-00801053</t>
  </si>
  <si>
    <t>30,500</t>
  </si>
  <si>
    <t>HI-TEC60-ZWART-ZLL-15-2000CH</t>
  </si>
  <si>
    <t>HI-TEC60-zwart-15-zonder lijmlaag-00801969</t>
  </si>
  <si>
    <t>51,020</t>
  </si>
  <si>
    <t>HI-TEC60-ZWART-ZLL-20-1400ZA</t>
  </si>
  <si>
    <t>HI-TEC60-zwart-20-zonder lijmlaag-00801046</t>
  </si>
  <si>
    <t>HI-TEC60-ZWART-ZLL-20-2000CH</t>
  </si>
  <si>
    <t>HI-TEC60-zwart-20-zonder lijmlaag-00801059</t>
  </si>
  <si>
    <t>65,760</t>
  </si>
  <si>
    <t>HI-TEC60-ZWART-ZLL-25-1400ZA</t>
  </si>
  <si>
    <t>HI-TEC60-zwart-25-zonder lijmlaag-00801047</t>
  </si>
  <si>
    <t>81,900</t>
  </si>
  <si>
    <t>HI-TEC60-ZWART-ZLL-25-1800ZA</t>
  </si>
  <si>
    <t>HI-TEC60-zwart-25-zonder lijmlaag-00801055</t>
  </si>
  <si>
    <t>HI-TEC60-ZWART-ZLL-30-1400ZA</t>
  </si>
  <si>
    <t>HI-TEC60-zwart-30-zonder lijmlaag-00801048</t>
  </si>
  <si>
    <t>94,590</t>
  </si>
  <si>
    <t>HI-TEC60-ZWART-ZLL-30-2000CH</t>
  </si>
  <si>
    <t>HI-TEC60-zwart-30-zonder lijmlaag-00807011</t>
  </si>
  <si>
    <t>102,300</t>
  </si>
  <si>
    <t>HI-TEC60-ZW-ZLL-08-O&amp;V-1500CH</t>
  </si>
  <si>
    <t>HI-TEC60-zwart-08-zonder lijmlaag O&amp;V-00803633</t>
  </si>
  <si>
    <t>HI-TEC60-ZW-ZLL-10-O&amp;V-2000CH</t>
  </si>
  <si>
    <t>HI-TEC60-zwart-10-zonder lijmlaag O&amp;V-00803634</t>
  </si>
  <si>
    <t>50,320</t>
  </si>
  <si>
    <t>HI-TEC70/S-ZWART-ZLL-06-1800ZA</t>
  </si>
  <si>
    <t>HI-TEC70 SUPER-zwart-06-zonder lijmlaag-000862810</t>
  </si>
  <si>
    <t>23,470</t>
  </si>
  <si>
    <t>HI-TEC70B-ZWART-MLL-06-2000CH</t>
  </si>
  <si>
    <t>HI-TEC70-zwart-06-met lijmlaag-00801079</t>
  </si>
  <si>
    <t>IMPACTBARS-1200X100X50-ORJ-SCH</t>
  </si>
  <si>
    <t>Impact bars, afm: 1.200x100x50 mm-oranje</t>
  </si>
  <si>
    <t>84,000</t>
  </si>
  <si>
    <t>31,880</t>
  </si>
  <si>
    <t>IMPACTBARS-X-BLW-1220X100X50CH</t>
  </si>
  <si>
    <t>Impact bars, afm: 1.220x100x50 mm-blauw</t>
  </si>
  <si>
    <t>34,310</t>
  </si>
  <si>
    <t>Impactbar Blauw ; 1.220x100x50 mm</t>
  </si>
  <si>
    <t>Prallbalben Blau ; 1.220x100x50 mm</t>
  </si>
  <si>
    <t>Impactbar Blue ; 1.220x100x50 mm</t>
  </si>
  <si>
    <t>Barres D'impact Bleu ; 1.220x100x50 mm</t>
  </si>
  <si>
    <t>Lengte: 1.220 mm ; Breedte: 100 mm ; Hoogte: 50 mm</t>
  </si>
  <si>
    <t>Länge: 1.220 mm ; Breite: 100 mm ; Höhe: 50 mm</t>
  </si>
  <si>
    <t>Length: 1.220 mm ; Width: 100 mm ; Height: 50 mm</t>
  </si>
  <si>
    <t>Longueur: 1.220 mm ; Largeur: 100 mm ; Hauteur: 50 mm</t>
  </si>
  <si>
    <t>IMPACTBOUTEN-M16X40CH ; IMPACTBARS-X-ORA-1220X100X50CH ; IMPACTBARS-X-BLW-1220X100X75CH ; IMPACTBARS-X-BLW-1500X100X50CH</t>
  </si>
  <si>
    <t>010</t>
  </si>
  <si>
    <t>Unislide-Balken</t>
  </si>
  <si>
    <t>IMPACTBARS-X-BLW-1220X100X75CH</t>
  </si>
  <si>
    <t>Impact bars, afm: 1.220x100x75 mm-blauw</t>
  </si>
  <si>
    <t>Impactbar Blauw ; 1.220x100x75 mm</t>
  </si>
  <si>
    <t>Schlagabsorberbalk Blau ; 1.220x100x75 mm</t>
  </si>
  <si>
    <t>Impactbar Blue ; 1.220x100x75 mm</t>
  </si>
  <si>
    <t>Barres D'impact Bleu ; 1.220x100x75 mm</t>
  </si>
  <si>
    <t>Lengte: 1.220 mm ; Breedte: 100 mm ; Hoogte: 75 mm</t>
  </si>
  <si>
    <t>Länge: 1.220 mm ; Breite: 100 mm ; Höhe: 75 mm</t>
  </si>
  <si>
    <t>Length: 1.220 mm ; Width: 100 mm ; Height: 75 mm</t>
  </si>
  <si>
    <t>Longueur: 1.220 mm ; Largeur: 100 mm ; Hauteur: 75 mm</t>
  </si>
  <si>
    <t>IMPACTBOUTEN-M16X40CH ; IMPACTBARS-X-ORA-1220X100X75CH ; IMPACTBARS-X-BLW-1500X100X75CH ; IMPACTBARS-X-ORA-1500X100X75CH</t>
  </si>
  <si>
    <t>IMPACTBARS-X-BLW-1500X100X50CH</t>
  </si>
  <si>
    <t>Impact bars, afm: 1.500x100x50 mm-blauw</t>
  </si>
  <si>
    <t>109,000</t>
  </si>
  <si>
    <t>38,120</t>
  </si>
  <si>
    <t>Impactbar Blauw ; 1.500x100x50 mm</t>
  </si>
  <si>
    <t>Schlagabsorberbalk Blau ; 1.500x100x50 mm</t>
  </si>
  <si>
    <t>Impactbar Blue ; 1.500x100x50 mm</t>
  </si>
  <si>
    <t>Barres D'impact Bleu ; 1.500x100x50 mm</t>
  </si>
  <si>
    <t>Lengte: 1.500 mm ; Breedte: 100 mm ; Hoogte: 50 mm</t>
  </si>
  <si>
    <t>Länge: 1.500 mm ; Breite: 100 mm ; Höhe: 50 mm</t>
  </si>
  <si>
    <t>Length: 1.500 mm ; Width: 100 mm ; Height: 50 mm</t>
  </si>
  <si>
    <t>Longueur: 1.500 mm ; Largeur: 100 mm ; Hauteur: 50 mm</t>
  </si>
  <si>
    <t>IMPACTBOUTEN-M16X40CH ; IMPACTBARS-X-BLW-1500X100X75CH ; IMPACTBARS-X-BLW-1220X100X50CH ; IMPACTBARS-X-ORA-1220X100X50CH</t>
  </si>
  <si>
    <t>IMPACTBARS-X-BLW-1500X100X75CH</t>
  </si>
  <si>
    <t>Impact bars, afm: 1.500x100x75 mm-blauw</t>
  </si>
  <si>
    <t>45,470</t>
  </si>
  <si>
    <t>Impactbar Blauw ; 1.500x100x75 mm</t>
  </si>
  <si>
    <t>Schlagabsorberbalk Blau ; 1.500x100x75 mm</t>
  </si>
  <si>
    <t>Impactbar Blue ; 1.500x100x75 mm</t>
  </si>
  <si>
    <t>Barres D'impact Bleu ; 1.500x100x75 mm</t>
  </si>
  <si>
    <t>Lengte: 1.500 mm ; Breedte: 100 mm ; Hoogte: 75 mm</t>
  </si>
  <si>
    <t>Länge: 1.500 mm ; Breite: 100 mm ; Höhe: 75 mm</t>
  </si>
  <si>
    <t>Length: 1.500 mm ; Width: 100 mm ; Height: 75 mm</t>
  </si>
  <si>
    <t>Longueur: 1.500 mm ; Largeur: 100 mm ; Hauteur: 75 mm</t>
  </si>
  <si>
    <t>IMPACTBOUTEN-M16X40CH ; IMPACTBARS-X-ORA-1500X100X75CH ; IMPACTBARS-X-BLW-1220X100X75CH ; IMPACTBARS-X-ORA-1220X100X75CH</t>
  </si>
  <si>
    <t>IMPACTBARS-X-ORA-1220X100X50CH</t>
  </si>
  <si>
    <t>Impact bars, afm: 1.220x100x50 mm-oranje</t>
  </si>
  <si>
    <t>31,920</t>
  </si>
  <si>
    <t>Impactbar Oranje ; 1.220x100x50 mm</t>
  </si>
  <si>
    <t>Schlagabsorberbalk Orange ; 1.220x100x50 mm</t>
  </si>
  <si>
    <t>Impactbar Orange ; 1.220x100x50 mm</t>
  </si>
  <si>
    <t>Barres D'impact Orange ; 1.220x100x50 mm</t>
  </si>
  <si>
    <t>IMPACTBOUTEN-M16X40CH ; IMPACTBARS-X-BLW-1220X100X50CH ; IMPACTBARS-X-BLW-1500X100X50CH ; IMPACTBARS-X-ORA-1220X100X75CH</t>
  </si>
  <si>
    <t>IMPACTBARS-X-ORA-1220X100X75CH</t>
  </si>
  <si>
    <t>Impact bars, afm: 1.220x100x75 mm-oranje</t>
  </si>
  <si>
    <t>38,140</t>
  </si>
  <si>
    <t>Impactbar Oranje ; 1.220x100x75 mm</t>
  </si>
  <si>
    <t>Schlagabsorberbalk Orange ; 1.220x100x75 mm</t>
  </si>
  <si>
    <t>Impactbar Orange ; 1.220x100x75 mm</t>
  </si>
  <si>
    <t>Barres D'impact Orange ; 1.220x100x75 mm</t>
  </si>
  <si>
    <t>IMPACTBOUTEN-M16X40CH ; IMPACTBARS-X-BLW-1220X100X75CH ; IMPACTBARS-X-ORA-1500X100X75CH ; IMPACTBARS-X-BLW-1500X100X75CH</t>
  </si>
  <si>
    <t>IMPACTBARS-X-ORA-1500X100X75CH</t>
  </si>
  <si>
    <t>Impact bars, afm: 1.500x100x75 mm-oranje</t>
  </si>
  <si>
    <t>42,800</t>
  </si>
  <si>
    <t>Impactbar Oranje ; 1.500x100x75 mm</t>
  </si>
  <si>
    <t>Schlagabsorberbalk Orange ; 1.500x100x75 mm</t>
  </si>
  <si>
    <t>Impactbar Orange ; 1.500x100x75 mm</t>
  </si>
  <si>
    <t>Barres D'impact Orange ; 1.500x100x75 mm</t>
  </si>
  <si>
    <t>IMPACTBOUTEN-M16X40CH ; IMPACTBARS-X-BLW-1500X100X75CH ; IMPACTBARS-X-ORA-1220X100X75CH ; IMPACTBARS-X-BLW-1220X100X75CH</t>
  </si>
  <si>
    <t>IMPACTBOUTEN-M12X60CH</t>
  </si>
  <si>
    <t>Impactbouten M12 x 60 mm</t>
  </si>
  <si>
    <t>0,850</t>
  </si>
  <si>
    <t>0,940</t>
  </si>
  <si>
    <t>IMPACTBOUTEN-M16X40CH</t>
  </si>
  <si>
    <t>Impactbouten M16 x 40 mm</t>
  </si>
  <si>
    <t>0,890</t>
  </si>
  <si>
    <t>Bouten ; M16 x 40 mm</t>
  </si>
  <si>
    <t>Bolzen ; M16 x 40 mm</t>
  </si>
  <si>
    <t>Bolts ; M16 x 40 mm</t>
  </si>
  <si>
    <t>Boulons ; M16 x 40 mm</t>
  </si>
  <si>
    <t>Bout: M16, oppervlakte verzinkt, sterkte 8,8 ; Vierkante plaat: 35 x 35 x 6 mm ; Lengte bout: 46 mm ; Sluitring: Dikte ± 3 mm (+0/ -0,5 mm) ; Moer: M16, zelfborgend</t>
  </si>
  <si>
    <t>Bolzen: M16, Oberfläche verzinkt, Festigkeit 8.8 ; Vierkantplatte: 35 x 35 x 6 mm ; Länge Bolzen: 46 mm ; Unterlegscheibe: Dicke ± 3 mm (+0/ -0,5 mm) ; Mutter: M16, selbstsichernd</t>
  </si>
  <si>
    <t>Bolt: M16, surface zinc plated, strength 8.8 ; Square plate: 35 x 35 x 6 mm ; Length bolt: 46 mm ; Washer: Thickness ± 3 mm (+0/ -0,5 mm) ; Nut: M16, self-locking</t>
  </si>
  <si>
    <t>Boulon : M16, surface zinguée, résistance 8.8 ; Plaque carrée : 35 x 35 x 6 mm ; Longueur du boulon : 46 mm ; Rondelle : Épaisseur ± 3 mm (+0/ -0,5 mm) ; Écrou : M16, autobloquant</t>
  </si>
  <si>
    <t xml:space="preserve">To fasten T-REX Impact Bars and Glide Bars. </t>
  </si>
  <si>
    <t xml:space="preserve">IMPACTBARS-X-BLW-1220X100X50CH ; IMPACTBARS-X-ORA-1500X100X75CH ; GLIDEBARS-BLAUW-1220X300X32CH ; GLIDEBARS-BLAUW-1220X200X32CH </t>
  </si>
  <si>
    <t>Befestigungen</t>
  </si>
  <si>
    <t>IMPACTBOUTEN-M16X60CH</t>
  </si>
  <si>
    <t>Impactbouten M16 x 60 mm</t>
  </si>
  <si>
    <t>0,930</t>
  </si>
  <si>
    <t>INSPECTION-DOOR-30X30KR</t>
  </si>
  <si>
    <t>Inspection Door+Screen 30x30 mm</t>
  </si>
  <si>
    <t>174,500</t>
  </si>
  <si>
    <t>12-04_Inspection Door + Screen</t>
  </si>
  <si>
    <t>Inspectiedeur + Scherm ; 30x30 mm</t>
  </si>
  <si>
    <t>Inspektionsluke ; 30x30 mm</t>
  </si>
  <si>
    <t>Inspektionstür + Schirm ; 30x30 mm</t>
  </si>
  <si>
    <t>Porte d'inspection + écran ; 30x30 mm</t>
  </si>
  <si>
    <t>INSPECTION-DOOR-30X45KR</t>
  </si>
  <si>
    <t>Inspection Door+Screen 30x45 mm</t>
  </si>
  <si>
    <t>190,000</t>
  </si>
  <si>
    <t>Inspectiedeur + Scherm ; 30x45 mm</t>
  </si>
  <si>
    <t>Inspection Door + Screen ; 30x45 mm</t>
  </si>
  <si>
    <t>Inspektionstür + Schirm ; 30x45 mm</t>
  </si>
  <si>
    <t>Porte d'inspection + écran ; 30x45 mm</t>
  </si>
  <si>
    <t>INSPECTION-DOOR-45X60KR</t>
  </si>
  <si>
    <t>Inspection Door+Screen 45x60 mm</t>
  </si>
  <si>
    <t>227,500</t>
  </si>
  <si>
    <t>Inspectiedeur + Scherm ; 45x60 mm</t>
  </si>
  <si>
    <t>Inspection Door + Screen ; 45x60 mm</t>
  </si>
  <si>
    <t>Inspektionstür + Schirm ; 45x60 mm</t>
  </si>
  <si>
    <t>Porte d'inspection + écran ; 45x60 mm</t>
  </si>
  <si>
    <t>INSPECTION-DOOR-60X60KR</t>
  </si>
  <si>
    <t>Inspection Door+Screen 60x60 mm</t>
  </si>
  <si>
    <t>466,000</t>
  </si>
  <si>
    <t>Inspectiedeur + Scherm ; 60x60 mm</t>
  </si>
  <si>
    <t>Inspection Door + Screen ; 60x60 mm</t>
  </si>
  <si>
    <t>Inspektionstür + Schirm ; 60x60 mm</t>
  </si>
  <si>
    <t>Porte d'inspection + écran ; 60x60 mm</t>
  </si>
  <si>
    <t>INSPECTION-DOOR-60X90KR</t>
  </si>
  <si>
    <t>Inspection Door+Screen 60x90 mm</t>
  </si>
  <si>
    <t>640,000</t>
  </si>
  <si>
    <t>Inspectiedeur + Scherm ; 60x90 mm</t>
  </si>
  <si>
    <t>Inspection Door + Screen ; 60x90 mm</t>
  </si>
  <si>
    <t>Inspektionstür + Schirm ; 60x90 mm</t>
  </si>
  <si>
    <t>Porte d'inspection + écran ; 60x90 mm</t>
  </si>
  <si>
    <t>KEERTROMMEL UIT MASSIEF 2440</t>
  </si>
  <si>
    <t>type BAS keertrommel uit massief Ø80</t>
  </si>
  <si>
    <t>41, TQ-rollen</t>
  </si>
  <si>
    <t>12002, Tempo Trommels &amp; Rollen</t>
  </si>
  <si>
    <t>182,750</t>
  </si>
  <si>
    <t>KEERTROMMEL UIT MASSIEF 2750</t>
  </si>
  <si>
    <t>202,850</t>
  </si>
  <si>
    <t>KEERTROMMEL UIT MASSIEF 2750XL</t>
  </si>
  <si>
    <t>type BAS keertrommel uit massief Ø90</t>
  </si>
  <si>
    <t>149,150</t>
  </si>
  <si>
    <t>KEERTROMMEL UIT MASSIEF 3175</t>
  </si>
  <si>
    <t>230,400</t>
  </si>
  <si>
    <t>KEERTROMMEL UIT MASSIEF 3175XL</t>
  </si>
  <si>
    <t>286,650</t>
  </si>
  <si>
    <t>KERNKLOS-11,5CMZZ</t>
  </si>
  <si>
    <t>Kernklos - gat vierkant 11,5 cm</t>
  </si>
  <si>
    <t>17326, Globspeed Jarroslaw Zajac</t>
  </si>
  <si>
    <t>2,600</t>
  </si>
  <si>
    <t>KILOPRIJS-01ZZ</t>
  </si>
  <si>
    <t>Kiloprijs-01</t>
  </si>
  <si>
    <t>0,175</t>
  </si>
  <si>
    <t>KILOPRIJS-02ZZ</t>
  </si>
  <si>
    <t>Kiloprijs-02</t>
  </si>
  <si>
    <t>0,900</t>
  </si>
  <si>
    <t>KLOKRIEMSCHROEVEN-M10X40TS</t>
  </si>
  <si>
    <t>Klokriemschroeven M10 x 40 mm</t>
  </si>
  <si>
    <t>0,500</t>
  </si>
  <si>
    <t>0,450</t>
  </si>
  <si>
    <t>KLOKRIEMSCHROEVEN-M10X40VA</t>
  </si>
  <si>
    <t>12043, VAV Aandrijvingen B.V.</t>
  </si>
  <si>
    <t>0,220</t>
  </si>
  <si>
    <t>KLOKRIEMSCHROEVEN-M10X45TS</t>
  </si>
  <si>
    <t>Klokriemschroeven M10 x 45 mm (Elevator Bolts)</t>
  </si>
  <si>
    <t>0,750</t>
  </si>
  <si>
    <t>KLOKRIEMSCHROEVEN-M12X40VA</t>
  </si>
  <si>
    <t>Klokriemschroeven M12 x 40 mm</t>
  </si>
  <si>
    <t>0,800</t>
  </si>
  <si>
    <t>KLOKRIEMSCHROEVEN-M12X50VA</t>
  </si>
  <si>
    <t>Klokriemschroeven M12 x 50 mm</t>
  </si>
  <si>
    <t>KORTINGZZ</t>
  </si>
  <si>
    <t>Korting</t>
  </si>
  <si>
    <t>89, Projectkortingen</t>
  </si>
  <si>
    <t>KROZMET-CAGE-800KR</t>
  </si>
  <si>
    <t>T-Rex Return Idler Cage 800 (Krozmet)</t>
  </si>
  <si>
    <t>68,110</t>
  </si>
  <si>
    <t>KUNSTSTOFFEN-BEWERKINGZZ</t>
  </si>
  <si>
    <t>Kunststoffen-bewerking</t>
  </si>
  <si>
    <t>LABYRINT-6202/Ø12-ZWARTTE</t>
  </si>
  <si>
    <t>labyrinth - t.b.v. 6202 2RS</t>
  </si>
  <si>
    <t>0,470</t>
  </si>
  <si>
    <t>15, Overige rollen &amp; trommels</t>
  </si>
  <si>
    <t>0,200</t>
  </si>
  <si>
    <t>LASPAKKET-COLD-BB1600TOT2400ZZ</t>
  </si>
  <si>
    <t>Laspakket COLD vanaf BB1600 tot BB2400 mm</t>
  </si>
  <si>
    <t>61, Variant artikelen</t>
  </si>
  <si>
    <t>LASPAKKET-COLD-BB250TOT800ZZ</t>
  </si>
  <si>
    <t>Laspakket COLD vanaf BB250 tot BB800 mm</t>
  </si>
  <si>
    <t>LASPAKKET-COLD-BB800TOT1600ZZ</t>
  </si>
  <si>
    <t>Laspakket COLD vanaf BB800 tot BB1600 mm</t>
  </si>
  <si>
    <t>LASPAKKET-HOT-BB1600TOT2400ZZ</t>
  </si>
  <si>
    <t>Laspakket HOT vanaf BB1600 tot BB2400 mm</t>
  </si>
  <si>
    <t>LASPAKKET-HOT-BB250TOT800ZZ</t>
  </si>
  <si>
    <t>Laspakket HOT vanaf BB250 tot BB800 mm</t>
  </si>
  <si>
    <t>LASPAKKET-HOT-BB800TOT1600ZZ</t>
  </si>
  <si>
    <t>Laspakket HOT vanaf BB800 tot BB1600 mm</t>
  </si>
  <si>
    <t>LASPAKKET-TFLEX-BB1600TO2400ZZ</t>
  </si>
  <si>
    <t>Laspakket TFLEX vanaf BB1600 tot BB2400 mm</t>
  </si>
  <si>
    <t>LASPAKKET-TFLEX-BB250TOT800ZZ</t>
  </si>
  <si>
    <t>Laspakket TFLEX vanaf BB250 tot BB800 mm</t>
  </si>
  <si>
    <t>LASPAKKET-TFLEX-BB800TOT1600ZZ</t>
  </si>
  <si>
    <t>Laspakket TFLEX vanaf BB800 tot BB1600 mm</t>
  </si>
  <si>
    <t>LINA-REX38-ROOD-02CH</t>
  </si>
  <si>
    <t>LINA-REX38-ROOD-02</t>
  </si>
  <si>
    <t>03-10_LINA-REX</t>
  </si>
  <si>
    <t xml:space="preserve">LINA-REX38 Rood 2 mm ; 95% Natuurlijk rubber </t>
  </si>
  <si>
    <t>LINA-REX38 Rot 2 mm ; 95 % Naturkautschuk</t>
  </si>
  <si>
    <t>LINA-REX38 Red 2 mm ;  95% natural rubber</t>
  </si>
  <si>
    <t>LINA-REX38 Rouge 2 mm ; 95% caoutchouc naturel</t>
  </si>
  <si>
    <t>Zonder lijmlaag ; Met weefselafdruk ; Slijtvast rubber &lt; 70 mm³ ; Kleur: Rood ; Shore-hardheid ± 38° ; Treksterkte 24 N./mm²; Rek 720%; Soortelijk gewicht 1,06</t>
  </si>
  <si>
    <r>
      <t xml:space="preserve">Ohne Kontaktschicht ; Mit Gewebe </t>
    </r>
    <r>
      <rPr>
        <sz val="10"/>
        <color rgb="FFFF0000"/>
        <rFont val="Arial"/>
        <family val="2"/>
      </rPr>
      <t>abdrück</t>
    </r>
    <r>
      <rPr>
        <sz val="10"/>
        <color indexed="8"/>
        <rFont val="Arial"/>
        <family val="2"/>
      </rPr>
      <t xml:space="preserve"> ; Abrieb &lt; 70mm³ ; Farbe: Rot ; Shore Härte ± 38° ; Reißfestigkeit 24 N./mm² ; Reißdehnung 720 % ; Spezifisches Gewicht 1,06</t>
    </r>
  </si>
  <si>
    <t>Without bonding layer ; With fabric imprint ; Wear resistant rubber &lt; 70 mm³ ; Colour: Red ; Shore Hardness ± 38° ; Tensile Strength 24 N./mm² ; Elongation 720 % ; Specific weight 1,06</t>
  </si>
  <si>
    <t>Sans face adhésive ; Avec empreinte de textile ; Caoutchouc anti abrasion &lt; 70 mm³ ; Couleur: Rouge ; Dureté Shore ± 38° ; Résistance à la rupture 24 N./mm² ; Allongement 720 % ; Poids spécifique 1,06</t>
  </si>
  <si>
    <t>Een natuurlijke rubbermix met een uitstekende treksterkte en weerstand tegen slijtage in natte omstandigheden ; LINA-REX-producten worden gebruikt als rubberen bekledingsmateriaal om aankoeken, slijtage en impact te voorkomen in een breed scala aan toepassingen ; Geproduceerd volgens ISO- en DIN-normen</t>
  </si>
  <si>
    <t>Eine Naturkautschukmischung mit ausgezeichneter Zugfestigkeit und Abriebfestigkeit bei Nässe ; LINA-REX-Produkte werden als Gummierungsmaterial gegen Anbacken, Abrieb und Schlag in den unterschiedlichsten Anwendungen eingesetzt ; Produziert nach ISO- und DIN-Normen</t>
  </si>
  <si>
    <t>A blended natural rubber compound with excellent tensile strength and wet abrasion resistance ; LINA-REX products are used as rubber lining material against caking, abrasion and impact in a wide variety of applications ; Produced according to ISO and DIN standards</t>
  </si>
  <si>
    <t>Un composé de caoutchouc naturel mélangé avec une excellente résistance à la rupture et à l'abrasion ; Les produits Lina-Rex sont utilisés comme matériel de revêtement en caoutchouc contre l'agglomération, l'abrasion et les chocs dans une grande variété d'applications ; Produit selon les normes ISO et DIN</t>
  </si>
  <si>
    <t>Hohe Leistung bei feiner Schlammabrieb ; Hervorragende Schnitt- und Reißfestigkeit ; Hohe Belastbarkeit und niedriger Modul</t>
  </si>
  <si>
    <t xml:space="preserve">High performance in fine slurry abrasion ;  Excellent resistance to cutting and tearing ; High resilience and low modulus </t>
  </si>
  <si>
    <t>VS Premium Sonstiges</t>
  </si>
  <si>
    <t>LINA-REX38-ROOD-03CH</t>
  </si>
  <si>
    <t>LINA-REX38-ROOD-03</t>
  </si>
  <si>
    <t>18,970</t>
  </si>
  <si>
    <t xml:space="preserve">LINA-REX38 Rood 3 mm ; 95% Natuurlijk rubber </t>
  </si>
  <si>
    <t>LINA-REX38 Rot 3 mm ; 95 % Naturkautschuk</t>
  </si>
  <si>
    <t>LINA-REX38 Red 3 mm ; 95% natural rubber</t>
  </si>
  <si>
    <t>LINA-REX38 Rouge 3 mm ; 95% caoutchouc naturel</t>
  </si>
  <si>
    <t>Ohne Kontaktschicht ; Mit Gewebe eindrück ; Abrieb &lt; 70mm³ ; Farbe: Rot ; Shore Härte ± 38° ; Reißfestigkeit 24 N./mm² ; Reißdehnung 720 % ; Spezifisches Gewicht 1,06</t>
  </si>
  <si>
    <t>LINA-REX38-ROOD-04CH</t>
  </si>
  <si>
    <t>LINA-REX38-ROOD-04</t>
  </si>
  <si>
    <t>26,230</t>
  </si>
  <si>
    <t xml:space="preserve">LINA-REX38 Rood 4 mm ; 95% Natuurlijk rubber </t>
  </si>
  <si>
    <t>LINA-REX38 Rot 4 mm ; 95 % Naturkautschuk</t>
  </si>
  <si>
    <t>LINA-REX38 Red 4 mm  ; 95% natural rubber</t>
  </si>
  <si>
    <t>LINA-REX38 Rouge 4 mm ; 95% caoutchouc naturel</t>
  </si>
  <si>
    <t>LINA-REX38-ROOD-05CH</t>
  </si>
  <si>
    <t>LINA-REX38-ROOD-05</t>
  </si>
  <si>
    <t>32,120</t>
  </si>
  <si>
    <t xml:space="preserve">LINA-REX38 Rood 5 mm ; 95% Natuurlijk rubber </t>
  </si>
  <si>
    <t>LINA-REX38 Rot 5 mm ; 95 % Naturkautschuk</t>
  </si>
  <si>
    <t>LINA-REX38 Red 5 mm ; 95% natural rubber</t>
  </si>
  <si>
    <t>LINA-REX38 Rouge 5 mm ; 95% caoutchouc naturel</t>
  </si>
  <si>
    <t>LINA-REX38-ROOD-06CH</t>
  </si>
  <si>
    <t>LINA-REX38-ROOD-06</t>
  </si>
  <si>
    <t>36,660</t>
  </si>
  <si>
    <t xml:space="preserve">LINA-REX38 Rood 6 mm ; 95% Natuurlijk rubber </t>
  </si>
  <si>
    <t>LINA-REX38 Rot 6 mm ; 95 % Naturkautschuk</t>
  </si>
  <si>
    <t>LINA-REX38 Red 6 mm ; 95% natural rubber</t>
  </si>
  <si>
    <t>LINA-REX38 Rouge 6 mm ; 95% caoutchouc naturel</t>
  </si>
  <si>
    <t>LINA-REX38-ROOD-08CH</t>
  </si>
  <si>
    <t>LINA-REX38-ROOD-08</t>
  </si>
  <si>
    <t>48,780</t>
  </si>
  <si>
    <t xml:space="preserve">LINA-REX38 Rood 8 mm ; 95% Natuurlijk rubber </t>
  </si>
  <si>
    <t>LINA-REX38 Rot 8 mm ; 95 % Naturkautschuk</t>
  </si>
  <si>
    <t>LINA-REX38 Red 8 mm ; 95% natural rubber</t>
  </si>
  <si>
    <t>LINA-REX38 Rouge 8 mm ; 95% caoutchouc naturel</t>
  </si>
  <si>
    <t>LINA-REX38-ROOD-08ZE</t>
  </si>
  <si>
    <t>51,039</t>
  </si>
  <si>
    <t>Verschleißschutz 35 Shore</t>
  </si>
  <si>
    <t>LINA-REX38-ROOD-1,5ZE</t>
  </si>
  <si>
    <t>LINA-REX38-ROOD-1,5</t>
  </si>
  <si>
    <t>10,392</t>
  </si>
  <si>
    <t xml:space="preserve">LINA-REX38 Rood 1,5 mm ; 95% Natuurlijk rubber </t>
  </si>
  <si>
    <t>LINA-REX38 Rot 1,5 mm ; 95 % Naturkautschuk</t>
  </si>
  <si>
    <t>LINA-REX38 Red 1,5 mm ; 95% natural rubber</t>
  </si>
  <si>
    <t>LINA-REX38 Rouge 1,5 mm ; 95% caoutchouc naturel</t>
  </si>
  <si>
    <t>LINA-REX38-ROOD-10CH</t>
  </si>
  <si>
    <t>LINA-REX38-ROOD-10</t>
  </si>
  <si>
    <t>58,120</t>
  </si>
  <si>
    <t xml:space="preserve">LINA-REX38 Rood 10 mm ; 95% Natuurlijk rubber </t>
  </si>
  <si>
    <t>LINA-REX38 Rot 10 mm ; 95 % Naturkautschuk</t>
  </si>
  <si>
    <t>LINA-REX38 Red 10 mm ; 95% natural rubber</t>
  </si>
  <si>
    <t>LINA-REX38 Rouge 10 mm ; 95% caoutchouc naturel</t>
  </si>
  <si>
    <t>LINA-REX38-ROOD-15CH</t>
  </si>
  <si>
    <t>LINA-REX38-ROOD-15</t>
  </si>
  <si>
    <t>87,190</t>
  </si>
  <si>
    <t xml:space="preserve">LINA-REX38 Rood 15 mm ; 95% Natuurlijk rubber </t>
  </si>
  <si>
    <t>LINA-REX38 Rot 15 mm ; 95 % Naturkautschuk</t>
  </si>
  <si>
    <t>LINA-REX38 Red 15 mm ; 95% natural rubber</t>
  </si>
  <si>
    <t>LINA-REX38 Rouge 15 mm ; 95% caoutchouc naturel</t>
  </si>
  <si>
    <t>LINA-REX38-ROOD-20CH</t>
  </si>
  <si>
    <t>LINA-REX38-ROOD-20</t>
  </si>
  <si>
    <t>122,360</t>
  </si>
  <si>
    <t xml:space="preserve">LINA-REX38 Rood 20 mm ; 95% Natuurlijk rubber </t>
  </si>
  <si>
    <t>LINA-REX38 Rot 20 mm ; 95 % Naturkautschuk</t>
  </si>
  <si>
    <t>LINA-REX38 Red 20 mm ; 95% natural rubber</t>
  </si>
  <si>
    <t>LINA-REX38 Rouge 20 mm ; 95% caoutchouc naturel</t>
  </si>
  <si>
    <t>LINA-REX50-ROOD-08ZE</t>
  </si>
  <si>
    <t>LINA-REX50-ROOD-08</t>
  </si>
  <si>
    <t>54,706</t>
  </si>
  <si>
    <t>LINA-REX60-ROOD-08ZE</t>
  </si>
  <si>
    <t>LINA-REX60-ROOD-08</t>
  </si>
  <si>
    <t>52,157</t>
  </si>
  <si>
    <t>MAFERDI-PUR80-120X220X30RE</t>
  </si>
  <si>
    <t>Polyurethaan-PUR80-oker-120x220x30-Maferdi</t>
  </si>
  <si>
    <t>12,750</t>
  </si>
  <si>
    <t>MANUFLEX-V-PUR-0650-HM-3TS</t>
  </si>
  <si>
    <t>Bandafschraper V-PUR, BB650, HM-3</t>
  </si>
  <si>
    <t>1.252,250</t>
  </si>
  <si>
    <t>805,000</t>
  </si>
  <si>
    <t>MEENEMER-BLOK110BK</t>
  </si>
  <si>
    <t>Meenemer Blok 110</t>
  </si>
  <si>
    <t>16055, Brillanten-Kley GmbH</t>
  </si>
  <si>
    <t>09-01_Cleats</t>
  </si>
  <si>
    <t>Meenemer ; Blok TB 110</t>
  </si>
  <si>
    <t>Stollen ; Dick TB 110</t>
  </si>
  <si>
    <t>Cleats ; Thick TB 110</t>
  </si>
  <si>
    <t>Tasseaux ; Épais TB 110</t>
  </si>
  <si>
    <t>Lengte: 4.000 mm ; Hoogte: 110 mm ; Dikte: 10 mm ; Voet: 110 mm</t>
  </si>
  <si>
    <t>Länge: 4.000 mm ; Höhe: 110 mm ; Stärke: 10 mm ; Fuß: 110 mm</t>
  </si>
  <si>
    <t>Length: 4.000 mm ; Height: 110 mm ; Thickness: 10 mm ; Base: 110 mm</t>
  </si>
  <si>
    <t>Longueur: 4.000 mm ; Hauteur: 110 mm ; Épaisseur: 10 mm ; Base: 110 mm</t>
  </si>
  <si>
    <t>Kleur: zwart ; Rubber: SBR ; Hardheid: 65 ± 5 Shore A ; Dichtheid: 1,27 ± 0,03 g/cm³ ; Treksterkte: &gt; 10 Mpa ; Rek bij breuk: &gt; 300 % ; Rubberkwaliteit: Normaal</t>
  </si>
  <si>
    <t>Farbe: Schwarz ; Gummi: SBR ; Härte: 65 ± 5 Shore A ; Dichte: 1,27 ± 0,03 g/cm³ ; Zugfestigkeit: &gt; 10 MPa ; Bruchdehnung: &gt; 300 % ; Gummiqualität: Normal</t>
  </si>
  <si>
    <t>Color: Black ; Rubber: SBR ; Hardness: 65 ± 5 Shore A ; Density: 1,27 ± 0,03 g/cm³ ; Tensile strength: &gt; 10 MPa ; Elongation at Break: &gt; 300 % ; Rubber Quality: Normal</t>
  </si>
  <si>
    <t>Couleur: noire ; Caoutchouc : SBR ; Dureté : 65 ± 5 Shore A ; Densité : 1,27 ± 0,03 g/cm³ ; Résistance à la traction : &gt; 10 MPa ; Allongement à la rupture : &gt; 300 % ; Qualité du caoutchouc : normale</t>
  </si>
  <si>
    <t>Rubber profiel, te plaatsen op rubberen transportbanden. ; Geproduceerd volgens ISO- en DIN-normen.</t>
  </si>
  <si>
    <t>Gummiprofil zum Auflegen auf Gummiförderbänder. ; Produziert nach ISO- und DIN-Normen.</t>
  </si>
  <si>
    <t>Extruded rubber profile, to be placed on rubber conveyor belts. ; Produced according to ISO and DIN standards.</t>
  </si>
  <si>
    <t>Profilé en caoutchouc extrudé, à placer sur des bandes transporteuses en caoutchouc. ; Produit selon les normes ISO et DIN.</t>
  </si>
  <si>
    <t>012</t>
  </si>
  <si>
    <t>Stollen</t>
  </si>
  <si>
    <t>MEENEMER-BLOK140BK</t>
  </si>
  <si>
    <t>Meenemer Blok 140</t>
  </si>
  <si>
    <t>28,600</t>
  </si>
  <si>
    <t>Meenemer ; Blok TB 140</t>
  </si>
  <si>
    <t>Stollen ; Dick TB 140</t>
  </si>
  <si>
    <t>Cleats ; Thick TB 140</t>
  </si>
  <si>
    <t>Tasseaux ; Épais TB 140</t>
  </si>
  <si>
    <t>Lengte: 3.800 mm ; Hoogte: 140 mm ; Dikte: 10 mm ; Voet: 140 mm</t>
  </si>
  <si>
    <t>Länge: 3.800 mm ; Höhe: 140 mm ; Stärke: 10 mm ; Fuß: 140 mm</t>
  </si>
  <si>
    <t>Length: 3.800 mm ; Height: 140 mm ; Thickness: 10 mm ; Base: 140 mm</t>
  </si>
  <si>
    <t>Longueur: 3.800 mm ; Hauteur: 140 mm ; Épaisseur: 10 mm ; Base: 140 mm</t>
  </si>
  <si>
    <t>MEENEMER-BLOK20BK</t>
  </si>
  <si>
    <t>Meenemer Blok 20</t>
  </si>
  <si>
    <t>Meenemer ; Blok TB 20</t>
  </si>
  <si>
    <t>Stollen ; Dick TB 20</t>
  </si>
  <si>
    <t>Cleats ; Thick TB 20</t>
  </si>
  <si>
    <t>Tasseaux ; Épais TB 20</t>
  </si>
  <si>
    <t>Lengte: 4.000 mm ; Hoogte: 25 mm ; Dikte: 11 mm ; Voet: 35 mm</t>
  </si>
  <si>
    <t>Länge: 4.000 mm ; Höhe: 25 mm ; Stärke: 11 mm ; Fuß: 35 mm</t>
  </si>
  <si>
    <t>Length: 4.000 mm ; Height: 25 mm ; Thickness: 11 mm ; Base: 35 mm</t>
  </si>
  <si>
    <t>Longueur: 4.000 mm ; Hauteur: 25 mm ; Épaisseur: 11 mm ; Base: 35 mm</t>
  </si>
  <si>
    <t>MEENEMER-BLOK25BK</t>
  </si>
  <si>
    <t>Meenemer Blok 25</t>
  </si>
  <si>
    <t>3,250</t>
  </si>
  <si>
    <t>Meenemer ; Blok TB 25</t>
  </si>
  <si>
    <t>Stollen ; Dick TB 25</t>
  </si>
  <si>
    <t>Cleats ; Thick TB 25</t>
  </si>
  <si>
    <t>Tasseaux ; Épais TB 25</t>
  </si>
  <si>
    <t>MEENEMER-BLOK30BK</t>
  </si>
  <si>
    <t>Meenemer Blok 30</t>
  </si>
  <si>
    <t>Meenemer ; Blok TB 30</t>
  </si>
  <si>
    <t>Stollen ; Dick TB 30</t>
  </si>
  <si>
    <t>Cleats ; Thick TB 30</t>
  </si>
  <si>
    <t>Tasseaux ; Épais TB 30</t>
  </si>
  <si>
    <t>Lengte: 4.000 mm ; Hoogte: 30 mm ; Dikte: 15 mm ; Voet: 80 mm</t>
  </si>
  <si>
    <t>Länge: 4.000 mm ; Höhe: 30 mm ; Stärke: 15 mm ; Fuß: 80 mm</t>
  </si>
  <si>
    <t>Length: 4.000 mm ; Height: 30 mm ; Thickness: 15 mm ; Base: 80 mm</t>
  </si>
  <si>
    <t>Longueur: 4.000 mm ; Hauteur: 30 mm ; Épaisseur: 15 mm ; Base: 80 mm</t>
  </si>
  <si>
    <t>MEENEMER-BLOK40BK</t>
  </si>
  <si>
    <t>Meenemer Blok 40</t>
  </si>
  <si>
    <t>7,200</t>
  </si>
  <si>
    <t>Meenemer ; Blok TB 40</t>
  </si>
  <si>
    <t>Stollen ; Dick TB 40</t>
  </si>
  <si>
    <t>Cleats ; Thick TB 40</t>
  </si>
  <si>
    <t>Tasseaux ; Épais TB 40</t>
  </si>
  <si>
    <t>Lengte: 4.000 mm ; Hoogte: 40 mm ; Dikte: 10 mm ; Voet: 80 mm</t>
  </si>
  <si>
    <t>Länge: 4.000 mm ; Höhe: 40 mm ; Stärke: 10 mm ; Fuß: 80 mm</t>
  </si>
  <si>
    <t>Length: 4.000 mm ; Height: 40 mm ; Thickness: 10 mm ; Base: 80 mm</t>
  </si>
  <si>
    <t>Longueur: 4.000 mm ; Hauteur: 40 mm ; Épaisseur: 10 mm ; Base: 80 mm</t>
  </si>
  <si>
    <t>MEENEMER-BLOK60BK</t>
  </si>
  <si>
    <t>Meenemer Blok 60</t>
  </si>
  <si>
    <t>7,400</t>
  </si>
  <si>
    <t>Meenemer ; Blok TB 60</t>
  </si>
  <si>
    <t>Stollen ; Dick TB 60</t>
  </si>
  <si>
    <t>Cleats ; Thick TB 60</t>
  </si>
  <si>
    <t>Tasseaux ; Épais TB 60</t>
  </si>
  <si>
    <t>Lengte: 4.000 mm ; Hoogte: 60 mm ; Dikte: 10 mm ; Voet: 80 mm</t>
  </si>
  <si>
    <t>Länge: 4.000 mm ; Höhe: 60 mm ; Stärke: 10 mm ; Fuß: 80 mm</t>
  </si>
  <si>
    <t>Length: 4.000 mm ; Height: 60 mm ; Thickness: 10 mm ; Base: 80 mm</t>
  </si>
  <si>
    <t>Longueur: 4.000 mm ; Hauteur: 60 mm ; Épaisseur: 10 mm ; Base: 80 mm</t>
  </si>
  <si>
    <t>MEENEMER-BLOK75BK</t>
  </si>
  <si>
    <t>Meenemer Blok 75</t>
  </si>
  <si>
    <t>8,950</t>
  </si>
  <si>
    <t>Meenemer ; Blok TB 75</t>
  </si>
  <si>
    <t>Stollen ; Dick TB 75</t>
  </si>
  <si>
    <t>Cleats ; Thick TB 75</t>
  </si>
  <si>
    <t>Tasseaux ; Épais TB 75</t>
  </si>
  <si>
    <t>Lengte: 4.000 mm ; Hoogte: 75 mm ; Dikte: 10 mm ; Voet: 80 mm</t>
  </si>
  <si>
    <t>Länge: 4.000 mm ; Höhe: 75 mm ; Stärke: 10 mm ; Fuß: 80 mm</t>
  </si>
  <si>
    <t>Length: 4.000 mm ; Height: 75 mm ; Thickness: 10 mm ; Base: 80 mm</t>
  </si>
  <si>
    <t>Longueur: 4.000 mm ; Hauteur: 75 mm ; Épaisseur: 10 mm ; Base: 80 mm</t>
  </si>
  <si>
    <t>MEENEMER-BLOK-MASSIEF40BK</t>
  </si>
  <si>
    <t>Meenemer Blok massief 40</t>
  </si>
  <si>
    <t>Meenemer ; Blok massief TBK 40</t>
  </si>
  <si>
    <t>Stollen ; Block TBK 40</t>
  </si>
  <si>
    <t>Cleats ; Heavy duty TBK 40</t>
  </si>
  <si>
    <t>Tasseaux ; Épais Bloc TBK 40</t>
  </si>
  <si>
    <t>Lengte: 4.000 mm ; Hoogte: 38 mm ; Dikte: 36 mm ; Voet: 76 mm</t>
  </si>
  <si>
    <t>Länge: 4.000 mm ; Höhe: 38 mm ; Stärke: 36 mm ; Fuß: 76 mm</t>
  </si>
  <si>
    <t>Length: 4.000 mm ; Height: 38 mm ; Thickness: 36 mm ; Base: 76 mm</t>
  </si>
  <si>
    <t>Longueur: 4.000 mm ; Hauteur: 40 mm ; Épaisseur: 36 mm ; Base: 76 mm</t>
  </si>
  <si>
    <t>MEENEMER-BLOK-MASSIEF60BK</t>
  </si>
  <si>
    <t>Meenemer Blok massief 60</t>
  </si>
  <si>
    <t>Meenemer ; Blok massief TBK 60</t>
  </si>
  <si>
    <t>Stollen ; Block TBK 60</t>
  </si>
  <si>
    <t>Cleats ; Heavy duty TBK 60</t>
  </si>
  <si>
    <t>Tasseaux ; Épais Bloc TBK 60</t>
  </si>
  <si>
    <t>Lengte: 4.000 mm ; Hoogte: 58 mm ; Dikte: 30 mm ; Voet: 100 mm</t>
  </si>
  <si>
    <t>Länge: 4.000 mm ; Höhe: 58 mm ; Stärke: 30 mm ; Fuß: 100 mm</t>
  </si>
  <si>
    <t>Length: 4.000 mm ; Height: 58 mm ; Thickness: 30 mm ; Base: 100 mm</t>
  </si>
  <si>
    <t>Longueur: 4.000 mm ; Hauteur: 58 mm ; Épaisseur: 30 mm ; Base: 100 mm</t>
  </si>
  <si>
    <t>MEENEMER-SCHUIN-TS110BK</t>
  </si>
  <si>
    <t>Meenemer Schuin 110</t>
  </si>
  <si>
    <t>Meenemer ; Schuin TS 110</t>
  </si>
  <si>
    <t>Stollen ; Geneigt TS 110</t>
  </si>
  <si>
    <t>Cleats ; Inclined TS 110</t>
  </si>
  <si>
    <t>Tasseaux ; Inclinés TS 110</t>
  </si>
  <si>
    <t>Lengte: 4.000 mm ; Hoogte: 110 mm ; Dikte: 5 mm ; Voet: 105 mm</t>
  </si>
  <si>
    <t>Länge: 4.000 mm ; Höhe: 110 mm ; Stärke: 6 mm ; Fuß: 105 mm</t>
  </si>
  <si>
    <t>Length: 4.000 mm ; Height: 110 mm ; Thickness: 6 mm ; Base: 105 mm</t>
  </si>
  <si>
    <t>Longueur: 4.000 mm ; Hauteur: 110 mm ; Épaisseur: 6 mm ; Base: 105 mm</t>
  </si>
  <si>
    <t>MEENEMER-SCHUIN-TS35BK</t>
  </si>
  <si>
    <t>Meenemer Schuin 35</t>
  </si>
  <si>
    <t>Meenemer ; Schuin TS 35</t>
  </si>
  <si>
    <t>Stollen ; Geneigt TS 35</t>
  </si>
  <si>
    <t>Cleats ; Inclined TS 35</t>
  </si>
  <si>
    <t>Tasseaux ; Inclinés TS 35</t>
  </si>
  <si>
    <t>Lengte: 4.000 mm ; Hoogte: 35 mm ; Dikte: 4 mm ; Voet: 55 mm</t>
  </si>
  <si>
    <t>Länge: 4.000 mm ; Höhe: 35 mm ; Stärke: 4 mm ; Fuß: 55 mm</t>
  </si>
  <si>
    <t>Length: 4.000 mm ; Height: 35 mm ; Thickness: 4 mm ; Base: 55 mm</t>
  </si>
  <si>
    <t>Longueur: 4.000 mm ; Hauteur: 35 mm ; Épaisseur: 4 mm ; Base: 55 mm</t>
  </si>
  <si>
    <t>MEENEMER-SCHUIN-TS60BK</t>
  </si>
  <si>
    <t>Meenemer Schuin 60</t>
  </si>
  <si>
    <t>Meenemer ; Schuin TS 60</t>
  </si>
  <si>
    <t>Stollen ; Geneigt TS 60</t>
  </si>
  <si>
    <t>Cleats ; Inclined TS 60</t>
  </si>
  <si>
    <t>Tasseaux ; Inclinés TS 60</t>
  </si>
  <si>
    <t>Lengte: 4.000 mm ; Hoogte: 60 mm ; Dikte: 4 mm ; Voet: 80 mm</t>
  </si>
  <si>
    <t>Länge: 4.000 mm ; Höhe: 60 mm ; Stärke: 4 mm ; Fuß: 80 mm</t>
  </si>
  <si>
    <t>Length: 4.000 mm ; Height: 60 mm ; Thickness: 4 mm ; Base: 80 mm</t>
  </si>
  <si>
    <t>Longueur: 4.000 mm ; Hauteur: 60 mm ; Épaisseur: 4 mm ; Base: 80 mm</t>
  </si>
  <si>
    <t>MEENEMER-SCHUIN-TS80BK</t>
  </si>
  <si>
    <t>Meenemer Schuin 80</t>
  </si>
  <si>
    <t>Meenemer ; Schuin TS 80</t>
  </si>
  <si>
    <t>Stollen ; Geneigt TS 80</t>
  </si>
  <si>
    <t>Cleats ; Inclined TS 80</t>
  </si>
  <si>
    <t>Tasseaux ; Inclinés TS 80</t>
  </si>
  <si>
    <t>Lengte: 4.000 mm ; Hoogte: 80 mm ; Dikte: 3 mm ; Voet: 115 mm</t>
  </si>
  <si>
    <t>Länge: 4.000 mm ; Höhe: 80 mm ; Stärke: 3 mm ; Fuß: 115 mm</t>
  </si>
  <si>
    <t>Length: 4.000 mm ; Height: 80 mm ; Thickness: 3 mm ; Base: 115 mm</t>
  </si>
  <si>
    <t>Longueur: 4.000 mm ; Hauteur: 60 mm ; Épaisseur: 3 mm ; Base: 80 mm</t>
  </si>
  <si>
    <t>MEENEMER-T100BK</t>
  </si>
  <si>
    <t>Meenemer T 100</t>
  </si>
  <si>
    <t>Meenemer ; Recht T 100</t>
  </si>
  <si>
    <t>Stollen ; Gerade T 100</t>
  </si>
  <si>
    <t>Cleats ; Straight T 100</t>
  </si>
  <si>
    <t>Tasseaux ; Droits T 100</t>
  </si>
  <si>
    <t>Lengte: 4.000 mm ; Hoogte: 100 mm ; Dikte: 7 mm ; Voet: 110 mm</t>
  </si>
  <si>
    <t>Länge: 4.000 mm ; Höhe: 100 mm ; Stärke: 7 mm ; Fuß: 110 mm</t>
  </si>
  <si>
    <t>Length: 4.000 mm ; Height: 100 mm ; Thickness: 7 mm ; Base: 110 mm</t>
  </si>
  <si>
    <t>Longueur: 4.000 mm ; Hauteur: 100 mm ; Épaisseur: 7 mm ; Base: 110 mm</t>
  </si>
  <si>
    <t>MEENEMER-T110BK</t>
  </si>
  <si>
    <t>Meenemer T 110</t>
  </si>
  <si>
    <t>Meenemer ; Recht T 110</t>
  </si>
  <si>
    <t>Stollen ; Gerade T 110</t>
  </si>
  <si>
    <t>Cleats ; Straight T 110</t>
  </si>
  <si>
    <t>Tasseaux ; Droits T 110</t>
  </si>
  <si>
    <t>Lengte: 4.000 mm ; Hoogte: 110 mm ; Dikte: 7 mm ; Voet: 110 mm</t>
  </si>
  <si>
    <t>Länge: 4.000 mm ; Höhe: 110 mm ; Stärke: 7 mm ; Fuß: 110 mm</t>
  </si>
  <si>
    <t>Length: 4.000 mm ; Height: 110 mm ; Thickness: 7 mm ; Base: 110 mm</t>
  </si>
  <si>
    <t>Longueur: 4.000 mm ; Hauteur: 110 mm ; Épaisseur: 7 mm ; Base: 110 mm</t>
  </si>
  <si>
    <t>MEENEMER-T20BK</t>
  </si>
  <si>
    <t>Meenemer T 20</t>
  </si>
  <si>
    <t>2,800</t>
  </si>
  <si>
    <t>Meenemer ; Recht T 20</t>
  </si>
  <si>
    <t>Stollen ; Gerade T 20</t>
  </si>
  <si>
    <t>Cleats ; Straight T 20</t>
  </si>
  <si>
    <t>Tasseaux ; Droits T 20</t>
  </si>
  <si>
    <t>Lengte: 20.000 mm ; Hoogte: 20 mm ; Dikte: .5 mm ; Voet: 40 mm</t>
  </si>
  <si>
    <t>Länge: 20.000 mm ; Höhe: 20 mm ; Stärke: 5 mm ; Fuß: 40 mm</t>
  </si>
  <si>
    <t>Length: 20.000 mm ; Height: 20 mm ; Thickness: 5 mm ; Base: 40 mm</t>
  </si>
  <si>
    <t>Longueur: 20.000 mm ; Hauteur: 20 mm ; Épaisseur: 5 mm ; Base: 40 mm</t>
  </si>
  <si>
    <t>MEENEMER-T20FL</t>
  </si>
  <si>
    <t>12053, Flevo Rubber Extrusion B.V.</t>
  </si>
  <si>
    <t>2,540</t>
  </si>
  <si>
    <t>MEENEMER-T35BK</t>
  </si>
  <si>
    <t>Meenemer T 35</t>
  </si>
  <si>
    <t>3,750</t>
  </si>
  <si>
    <t>Meenemer ; Recht T 35</t>
  </si>
  <si>
    <t>Stollen ; Gerade T 35</t>
  </si>
  <si>
    <t>Cleats ; Straight T 35</t>
  </si>
  <si>
    <t>Tasseaux ; Droits T 35</t>
  </si>
  <si>
    <t>Lengte: 4.000 mm ; Hoogte: 35 mm ; Dikte: 8 mm ; Voet: 55 mm</t>
  </si>
  <si>
    <t>Länge: 4.000 mm ; Höhe: 35 mm ; Stärke: 8 mm ; Fuß: 55 mm</t>
  </si>
  <si>
    <t>Length: 4.000 mm ; Height: 35 mm ; Thickness: 8 mm ; Base: 55 mm</t>
  </si>
  <si>
    <t>Longueur: 4.000 mm ; Hauteur: 35 mm ; Épaisseur: 8 mm ; Base: 55 mm</t>
  </si>
  <si>
    <t>MEENEMER-T40BK</t>
  </si>
  <si>
    <t>Meenemer T 40</t>
  </si>
  <si>
    <t>4,100</t>
  </si>
  <si>
    <t>Meenemer ; Recht T 40</t>
  </si>
  <si>
    <t>Stollen ; Gerade T 40</t>
  </si>
  <si>
    <t>Cleats ; Straight T 40</t>
  </si>
  <si>
    <t>Tasseaux ; Droits T 40</t>
  </si>
  <si>
    <t>Lengte: 4.000 mm ; Hoogte: 40 mm ; Dikte: 4 mm ; Voet: 70 mm</t>
  </si>
  <si>
    <t>Länge: 4.000 mm ; Höhe: 40 mm ; Stärke: 4 mm ; Fuß: 70 mm</t>
  </si>
  <si>
    <t>Length: 4.000 mm ; Height: 40 mm ; Thickness: 4 mm ; Base: 70 mm</t>
  </si>
  <si>
    <t>Longueur: 4.000 mm ; Hauteur: 40 mm ; Épaisseur: 4 mm ; Base: 70 mm</t>
  </si>
  <si>
    <t>MEENEMER-T60BK</t>
  </si>
  <si>
    <t>Meenemer T 60</t>
  </si>
  <si>
    <t>Meenemer ; Recht T 60</t>
  </si>
  <si>
    <t>Stollen ; Gerade T 60</t>
  </si>
  <si>
    <t>Cleats ; Straight T 60</t>
  </si>
  <si>
    <t>Tasseaux ; Droits T 60</t>
  </si>
  <si>
    <t>MEENEMER-T80BK</t>
  </si>
  <si>
    <t>Meenemer T 80</t>
  </si>
  <si>
    <t>Meenemer ; Recht T 80</t>
  </si>
  <si>
    <t>Stollen ; Gerade T 80</t>
  </si>
  <si>
    <t>Cleats ; Straight T 80</t>
  </si>
  <si>
    <t>Tasseaux ; Droits T 80</t>
  </si>
  <si>
    <t>Lengte: 4.000 mm ; Hoogte: 80 mm ; Dikte: 7 mm ; Voet: 105 mm</t>
  </si>
  <si>
    <t>Länge: 4.000 mm ; Höhe: 80 mm ; Stärke: 7 mm ; Fuß: 105 mm</t>
  </si>
  <si>
    <t>Length: 4.000 mm ; Height: 80 mm ; Thickness: 7 mm ; Base: 105 mm</t>
  </si>
  <si>
    <t>Longueur: 4.000 mm ; Hauteur: 60 mm ; Épaisseur: 7 mm ; Base: 105 mm</t>
  </si>
  <si>
    <t>MEENEMER-TC35BK</t>
  </si>
  <si>
    <t>Meenemer TC 35</t>
  </si>
  <si>
    <t>MG-REX60-ZW-10.000X1.200X3KA</t>
  </si>
  <si>
    <t>MG-REX60-FIJN-RIBLOPER-ZWART-10.000X1.200X3</t>
  </si>
  <si>
    <t>2,880</t>
  </si>
  <si>
    <t>03-12_Economy Rubber Sheets</t>
  </si>
  <si>
    <t>-</t>
  </si>
  <si>
    <t>MG-REX60-ZW-10.000X1.200X6KA</t>
  </si>
  <si>
    <t>MG-REX60-FIJN-RIBLOPER-ZWART-10.000X1.200X6</t>
  </si>
  <si>
    <t>5,760</t>
  </si>
  <si>
    <t>MONTAGESTEUN-TREXTS</t>
  </si>
  <si>
    <t>Montagesteun - T-Rex PUR afschraper</t>
  </si>
  <si>
    <t>280,000</t>
  </si>
  <si>
    <t>14, Bandafschraper materiaal</t>
  </si>
  <si>
    <t>MULTI-SEAL SKIRT 8 INCHAS</t>
  </si>
  <si>
    <t>ASGCO - Multi-Seal Skirt 8 INCH</t>
  </si>
  <si>
    <t>915,620</t>
  </si>
  <si>
    <t>NEOPREEN-65-10000X1400X2ZE</t>
  </si>
  <si>
    <t>Neopreen-65-10.000x1.400x2 mm Zwart</t>
  </si>
  <si>
    <t>4,820</t>
  </si>
  <si>
    <t>OPU-TEC40-ROOD-20000X080X08CH</t>
  </si>
  <si>
    <t>OPU-TEC-CUT-20.000 x 080 x 08 mm-ROOD-00801200</t>
  </si>
  <si>
    <t>3,020</t>
  </si>
  <si>
    <t>OPU-TEC40-ROOD-20000X100X10CH</t>
  </si>
  <si>
    <t>OPU-TEC-CUT-20.000 x 100 x 10 mm-ROOD-00803907</t>
  </si>
  <si>
    <t>4,930</t>
  </si>
  <si>
    <t>OPU-TEC40-ROOD-20000X120X10CH</t>
  </si>
  <si>
    <t>OPU-TEC-CUT-20.000 x 120 x 10 mm-ROOD-00821212</t>
  </si>
  <si>
    <t>OPU-TEC40-ROOD-20000X150X10CH</t>
  </si>
  <si>
    <t>OPU-TEC-CUT-20.000 x 150 x 10 mm-ROOD-00805908</t>
  </si>
  <si>
    <t>7,240</t>
  </si>
  <si>
    <t>OPU-TEC40-ROOD-20000X200X10CH</t>
  </si>
  <si>
    <t>OPU-TEC-CUT-20.000 x 200 x 10 mm-ROOD-00801244</t>
  </si>
  <si>
    <t>9,360</t>
  </si>
  <si>
    <t>OPU-TEC40-ROOD-ZLL-06-1400ZA</t>
  </si>
  <si>
    <t>OPU-TEC40-rood-06-zonder lijmlaag-00801081</t>
  </si>
  <si>
    <t>OPU-TEC40-ROOD-ZLL-06-2000CH</t>
  </si>
  <si>
    <t>OPU-TEC40-rood-06-zonder lijmlaag-00803308</t>
  </si>
  <si>
    <t>OPU-TEC40-ROOD-ZLL-08-2000CH</t>
  </si>
  <si>
    <t>OPU-TEC40-rood-08-zonder lijmlaag-00801097</t>
  </si>
  <si>
    <t>33,550</t>
  </si>
  <si>
    <t>OPU-TEC40-ROOD-ZLL-10-1800ZA</t>
  </si>
  <si>
    <t>OPU-TEC40-rood-10-zonder lijmlaag-00801092</t>
  </si>
  <si>
    <t>31,640</t>
  </si>
  <si>
    <t>OPU-TEC40-ROOD-ZLL-10-2000CH</t>
  </si>
  <si>
    <t>OPU-TEC40-rood-10-zonder lijmlaag-00801094</t>
  </si>
  <si>
    <t>39,710</t>
  </si>
  <si>
    <t>OPU-TEC40-ROOD-ZLL-12-1400ZA</t>
  </si>
  <si>
    <t>OPU-TEC40-rood-12-zonder lijmlaag-00801084</t>
  </si>
  <si>
    <t>36,700</t>
  </si>
  <si>
    <t>OPU-TEC40-ROOD-ZLL-15-1400ZA</t>
  </si>
  <si>
    <t>OPU-TEC40-rood-15-zonder lijmlaag-00801085</t>
  </si>
  <si>
    <t>54,800</t>
  </si>
  <si>
    <t>OPU-TEC40-ROOD-ZLL-15-2000CH</t>
  </si>
  <si>
    <t>OPU-TEC40-rood-15-zonder lijmlaag-00801098</t>
  </si>
  <si>
    <t>59,980</t>
  </si>
  <si>
    <t>OPU-TEC40-ROOD-ZLL-20-1400ZA</t>
  </si>
  <si>
    <t>OPU-TEC40-rood-20-zonder lijmlaag-00801086</t>
  </si>
  <si>
    <t>69,160</t>
  </si>
  <si>
    <t>OPU-TEC40-ROOD-ZLL-20-2000CH</t>
  </si>
  <si>
    <t>OPU-TEC40-rood-20-zonder lijmlaag-00803398</t>
  </si>
  <si>
    <t>75,250</t>
  </si>
  <si>
    <t>OPU-TEC50/2-ZW-10000X1400X10ZA</t>
  </si>
  <si>
    <t>OPU-TEC50/2-zwart-10-zonder lijmlaag-00803330 400mm3</t>
  </si>
  <si>
    <t>OPU-TEC50/2-ZW-ZLL-08-1400ZA</t>
  </si>
  <si>
    <t>OPU-TEC50/2-zwart-08-zonder lijmlaag-00803316 400mm3</t>
  </si>
  <si>
    <t>OPU-TEC50/2-ZW-ZLL-10-1400ZA</t>
  </si>
  <si>
    <t>OPU-TEC50/2-zwart-10-zonder lijmlaag-00801129 400mm3</t>
  </si>
  <si>
    <t>OPU-TEC50-ZWART-20000X100X10CH</t>
  </si>
  <si>
    <t>OPU-TEC-CUT-20.000 x 100 x 10 mm-ZWART-00803909</t>
  </si>
  <si>
    <t>3,500</t>
  </si>
  <si>
    <t>OPU-TEC50-ZWART-20000X150X10CH</t>
  </si>
  <si>
    <t>OPU-TEC-CUT-20.000 x 150 x 10 mm-ZWART-00809310</t>
  </si>
  <si>
    <t>5,250</t>
  </si>
  <si>
    <t>OPU-TEC50-ZWART-20000X250X10CH</t>
  </si>
  <si>
    <t>OPU-TEC-CUT-20.000 x 250 x 10 mm-ZWART-00801457</t>
  </si>
  <si>
    <t>7,870</t>
  </si>
  <si>
    <t>OPU-TEC50-ZWART-ZLL-03-1400ZA</t>
  </si>
  <si>
    <t>OPU-TEC50-zwart-03-zonder lijmlaag-00801971</t>
  </si>
  <si>
    <t>OPU-TEC50-ZWART-ZLL-05-1400ZA</t>
  </si>
  <si>
    <t>OPU-TEC50-zwart-05-zonder lijmlaag-00801120</t>
  </si>
  <si>
    <t>12,130</t>
  </si>
  <si>
    <t>OPU-TEC50-ZWART-ZLL-06-1400ZA</t>
  </si>
  <si>
    <t>OPU-TEC50-zwart-06-zonder lijmlaag-00801121</t>
  </si>
  <si>
    <t>15,030</t>
  </si>
  <si>
    <t>OPU-TEC50-ZWART-ZLL-08-1400ZA</t>
  </si>
  <si>
    <t>OPU-TEC50-zwart-08-zonder lijmlaag-00801122</t>
  </si>
  <si>
    <t>19,510</t>
  </si>
  <si>
    <t>OPU-TEC50-ZWART-ZLL-08-1800ZA</t>
  </si>
  <si>
    <t>OPU-TEC50-zwart-08-zonder lijmlaag-00801131</t>
  </si>
  <si>
    <t>24,100</t>
  </si>
  <si>
    <t>OPU-TEC50-ZWART-ZLL-10-1400ZA</t>
  </si>
  <si>
    <t>OPU-TEC50-zwart-10-zonder lijmlaag-00801123</t>
  </si>
  <si>
    <t>OPU-TEC50-ZWART-ZLL-10-1800ZA</t>
  </si>
  <si>
    <t>OPU-TEC50-zwart-10-zonder lijmlaag-00801132</t>
  </si>
  <si>
    <t>OPU-TEC50-ZWART-ZLL-10-2000CH</t>
  </si>
  <si>
    <t>OPU-TEC50-zwart-10-zonder lijmlaag-00805806</t>
  </si>
  <si>
    <t>31,370</t>
  </si>
  <si>
    <t>OPU-TEC50-ZWART-ZLL-12-1400ZA</t>
  </si>
  <si>
    <t>OPU-TEC50-zwart-12-zonder lijmlaag-00801124</t>
  </si>
  <si>
    <t>OPU-TEC50-ZWART-ZLL-15-1400ZA</t>
  </si>
  <si>
    <t>OPU-TEC50-zwart-15-zonder lijmlaag-00801125</t>
  </si>
  <si>
    <t>52,510</t>
  </si>
  <si>
    <t>OPU-TEC50-ZWART-ZLL-15-2000CH</t>
  </si>
  <si>
    <t>OPU-TEC50-zwart-15-zonder lijmlaag-00805807</t>
  </si>
  <si>
    <t>OPU-TEC50-ZWART-ZLL-20-1400ZA</t>
  </si>
  <si>
    <t>OPU-TEC50-zwart-20-zonder lijmlaag-00801126</t>
  </si>
  <si>
    <t>55,910</t>
  </si>
  <si>
    <t>OPU-TEC50-ZWART-ZLL-20-2000CH</t>
  </si>
  <si>
    <t>OPU-TEC50-zwart-20-zonder lijmlaag-00801130</t>
  </si>
  <si>
    <t>61,580</t>
  </si>
  <si>
    <t>OPU-TEC50-ZWART-ZLL-25-1400ZA</t>
  </si>
  <si>
    <t>OPU-TEC50-zwart-25-zonder lijmlaag-00801127</t>
  </si>
  <si>
    <t>58,040</t>
  </si>
  <si>
    <t>OPU-TEC50-ZWART-ZLL-30-1400ZA</t>
  </si>
  <si>
    <t>OPU-TEC50-zwart-30-zonder lijmlaag-00801128</t>
  </si>
  <si>
    <t>93,700</t>
  </si>
  <si>
    <t>OPU-TEC60-ZWART-O&amp;G-06-1INLWA</t>
  </si>
  <si>
    <t>OPU-TEC60-ZWART-O&amp;G-06mm-met 1 inlage-00803590</t>
  </si>
  <si>
    <t>8,170</t>
  </si>
  <si>
    <t>PE1000-1000X500X40-ZWART-RGTS</t>
  </si>
  <si>
    <t>polyethyleen-PE1000-1000x500x40-zwart-reg</t>
  </si>
  <si>
    <t>105,000</t>
  </si>
  <si>
    <t>PE1000-1650X255X40-WITPF</t>
  </si>
  <si>
    <t>Polyethyleen-PE1000-1650x255x40-wit</t>
  </si>
  <si>
    <t>16122, Profilan Kunststoffwerk GmbH &amp; Co. KG</t>
  </si>
  <si>
    <t>70,000</t>
  </si>
  <si>
    <t>PE1000-2050X100X10-GROEN-RGTS</t>
  </si>
  <si>
    <t>Polyethyleen-PE1000-2050x100x10-groen-reg</t>
  </si>
  <si>
    <t>PE1000-2050X1020X06-GROEN-RGPF</t>
  </si>
  <si>
    <t>Polyethyleen-PE1000-2050x1020x6-groen-reg</t>
  </si>
  <si>
    <t>50,590</t>
  </si>
  <si>
    <t>09-11_T-Rex Polyethylene, HMPE</t>
  </si>
  <si>
    <t>PE1000-2050X1020X06-WITPF</t>
  </si>
  <si>
    <t>Polyethyleen-PE1000-2.050x1.020x6-wit</t>
  </si>
  <si>
    <t>PE1000-2050X1020X06-ZWART-RGPF</t>
  </si>
  <si>
    <t>polyethyleen-PE1000-2050x1020x6-zwart-reg</t>
  </si>
  <si>
    <t>49,360</t>
  </si>
  <si>
    <t>PE1000-2050X1020X08-GROEN-RGPF</t>
  </si>
  <si>
    <t>Polyethyleen-PE1000-2050x1020x8-groen-reg</t>
  </si>
  <si>
    <t>52,994</t>
  </si>
  <si>
    <t>PE1000-2050X1020X08-WITPF</t>
  </si>
  <si>
    <t>Polyethyleen-PE1000-2.050x1.020x8-wit</t>
  </si>
  <si>
    <t>65,850</t>
  </si>
  <si>
    <t>PE1000-2050X1020X08-ZWART-RGPF</t>
  </si>
  <si>
    <t>Polyethyleen-PE1000-2050x1020x8-zwart-reg</t>
  </si>
  <si>
    <t>52,990</t>
  </si>
  <si>
    <t>PE1000-2050X1020X10-GROEN-RGPF</t>
  </si>
  <si>
    <t>Polyethyleen-PE1000-2050x1020x10-groen-reg</t>
  </si>
  <si>
    <t>64,230</t>
  </si>
  <si>
    <t>PE1000-2050X1020X10-WITPF</t>
  </si>
  <si>
    <t>Polyethyleen-PE1000-2.050x1.020x10-wit</t>
  </si>
  <si>
    <t>76,260</t>
  </si>
  <si>
    <t>PE1000-2050X1020X10-ZWART-RGPF</t>
  </si>
  <si>
    <t>polyethyleen-PE1000-2050x1020x10-zwart-reg</t>
  </si>
  <si>
    <t>PE1000-2050X1020X12-GROEN-RGPF</t>
  </si>
  <si>
    <t>Polyethyleen-PE1000-2050x1020x12-groen-reg</t>
  </si>
  <si>
    <t>67,450</t>
  </si>
  <si>
    <t>PE1000-2050X1020X12-GROEN-RGTS</t>
  </si>
  <si>
    <t>69,860</t>
  </si>
  <si>
    <t>PE1000-2050X1020X12-WITPF</t>
  </si>
  <si>
    <t>Polyethyleen-PE1000-2050x1020x12-wit</t>
  </si>
  <si>
    <t>89,130</t>
  </si>
  <si>
    <t>PE1000-2050X1020X12-ZWART-RGPF</t>
  </si>
  <si>
    <t>polyethyleen-PE1000-2050x1020x12-zwart-reg</t>
  </si>
  <si>
    <t>PE1000-2050X1020X12-ZWART-RGTS</t>
  </si>
  <si>
    <t>PE1000-2050X1020X15-GROEN-RGPF</t>
  </si>
  <si>
    <t>Polyethyleen-PE1000-2050x1020x15-groen-reg</t>
  </si>
  <si>
    <t>84,310</t>
  </si>
  <si>
    <t>PE1000-2050X1020X15-WITPF</t>
  </si>
  <si>
    <t>Polyethyleen-PE1000-plaat-2050x1020x15-wit</t>
  </si>
  <si>
    <t>135,500</t>
  </si>
  <si>
    <t>105,390</t>
  </si>
  <si>
    <t>PE1000-2050X1020X15-ZWART-RGPF</t>
  </si>
  <si>
    <t>Polyethyleen-PE1000-2050x1020x15-zwart-reg</t>
  </si>
  <si>
    <t>84,309</t>
  </si>
  <si>
    <t>PE1000-2050X1020X20-GROEN-RGPF</t>
  </si>
  <si>
    <t>Polyethyleen-PE1000-2050x1020x20-groen-reg</t>
  </si>
  <si>
    <t>108,390</t>
  </si>
  <si>
    <t>PE1000-2050X1020X20-WITPF</t>
  </si>
  <si>
    <t>Polyethyleen-PE1000-plaat-2050x1020x20-wit</t>
  </si>
  <si>
    <t>173,970</t>
  </si>
  <si>
    <t>168,620</t>
  </si>
  <si>
    <t>PE1000-2050X1020X20-ZWART-RGPF</t>
  </si>
  <si>
    <t>Polyethyleen-PE1000-2050x1020x20-zwart-reg</t>
  </si>
  <si>
    <t>108,400</t>
  </si>
  <si>
    <t>PE1000-2050X1020X25-GROEN-RGPF</t>
  </si>
  <si>
    <t>Polyethyleen-PE1000-2050x1020x25-groen-reg</t>
  </si>
  <si>
    <t>130,470</t>
  </si>
  <si>
    <t>PE1000-2050X1020X30-GROEN-RGPF</t>
  </si>
  <si>
    <t>Polyethyleen-PE1000-2050x1020x30-groen-reg</t>
  </si>
  <si>
    <t>150,550</t>
  </si>
  <si>
    <t>PE1000-2050X1020X35-ZWART-RGPF</t>
  </si>
  <si>
    <t>polyethyleen-PE1000-2050x1020x35-zwart-reg</t>
  </si>
  <si>
    <t>175,640</t>
  </si>
  <si>
    <t>PE1000-2050X200X10-GROEN-RGTS</t>
  </si>
  <si>
    <t>Polyethyleen-PE1000-2050x200x10-groen-reg</t>
  </si>
  <si>
    <t>17,690</t>
  </si>
  <si>
    <t>PE1000-2050X80X10-GROEN-RGTS</t>
  </si>
  <si>
    <t>Polyethyleen-PE1000-2050x80x10-groen-reg</t>
  </si>
  <si>
    <t>7,280</t>
  </si>
  <si>
    <t>PE1000-2500X250X8-ZWART-RGPF</t>
  </si>
  <si>
    <t>polyethyleen-PE1000-2500X250X8-zwart-reg</t>
  </si>
  <si>
    <t>32,500</t>
  </si>
  <si>
    <t>PE1000-2500X800X10-ZWART-RGPF</t>
  </si>
  <si>
    <t>polyethyleen-PE1000-2500X800X10-zwart-reg</t>
  </si>
  <si>
    <t>77,000</t>
  </si>
  <si>
    <t>PE1000-2500X800X15-ZWART-RGPF</t>
  </si>
  <si>
    <t>polyethyleen-PE1000-2500X800X15-zwart-reg</t>
  </si>
  <si>
    <t>87,000</t>
  </si>
  <si>
    <t>PE1000-2500X830X15-ZWART-RGPF</t>
  </si>
  <si>
    <t>polyethyleen-PE1000-2500X830X15-zwart-reg</t>
  </si>
  <si>
    <t>PE1000-3000X447X15-ZWART-ELPF</t>
  </si>
  <si>
    <t>polyethyleen-PE1000-3000X447X15-zwart-EL</t>
  </si>
  <si>
    <t>PE1000-3050X1250X10-ZWART-RGPF</t>
  </si>
  <si>
    <t>Polyethyleen-PE1000-3050x1250x10-zwart-reg</t>
  </si>
  <si>
    <t>113,460</t>
  </si>
  <si>
    <t>PE1000-3050X1250X12-ZWART-RGPF</t>
  </si>
  <si>
    <t>polyethyleen-PE1000-3050x1250x12-zwart-reg</t>
  </si>
  <si>
    <t>127,370</t>
  </si>
  <si>
    <t>PE500-2050X1020X10-WITPF</t>
  </si>
  <si>
    <t>Polyethyleen-PE500-2.050x1.020x10-wit</t>
  </si>
  <si>
    <t>PE500-2050X1020X10-ZWART-RGPF</t>
  </si>
  <si>
    <t>polyethyleen-PE500-2050x1020x10-zwart-reg</t>
  </si>
  <si>
    <t>62,220</t>
  </si>
  <si>
    <t>PE500-2050X1020X20-ZWART-RGPF</t>
  </si>
  <si>
    <t>polyethyleen-PE500-2050x1020x20-zwart-reg</t>
  </si>
  <si>
    <t>100,375</t>
  </si>
  <si>
    <t>PE500-2050X1020X40-ZWART-RGPF</t>
  </si>
  <si>
    <t>polyethyleen-PE500-2050x1020x40-zwart-reg</t>
  </si>
  <si>
    <t>200,725</t>
  </si>
  <si>
    <t>PERMAFLEX-DUALCARTRIDGE200MLST</t>
  </si>
  <si>
    <t>Perma-Flex Dual cartridge 200 ml</t>
  </si>
  <si>
    <t>12145, Stark Vulcanising Products B.V.</t>
  </si>
  <si>
    <t>38,970</t>
  </si>
  <si>
    <t>07-03_PERMA-FLEX</t>
  </si>
  <si>
    <t>Perma-Flex ; Dual cartridge 200 ml</t>
  </si>
  <si>
    <t>Perma-Flex ; Kartusche 200 ml</t>
  </si>
  <si>
    <t>Perma-Flex ; Cartouches 200 ml</t>
  </si>
  <si>
    <t>Cartridge 60SLF 200 x 200 ml</t>
  </si>
  <si>
    <t>Kartusche 60SLF 200 x 200 m</t>
  </si>
  <si>
    <t>Cartouches 60SLF 200 x 200 ml</t>
  </si>
  <si>
    <t>Het materiaal hardt in 2 minuten uit tot gebruiksklaar. ; Het reparatiegebied kan in 30 minuten worden opgeruwd. ; 100% vaste stoffen en geen vluchtige organische stoffen (VOS). ; Maximale hardheid van 60 Shore A. ; Een snelle en blijvende flexibele reparatie. ; Te gebruiken als reparatie van transportbanden, trommelbekleding of bekleding.</t>
  </si>
  <si>
    <t>Das Material härtet in 2 Minuten bis zur Berührbarkeit aus. ; Der Reparaturbereich kann nach 30 Minuten poliert werden. ; 100% Feststoffe und keine flüchtigen organischen Verbindungen. ; Maximale Härte beträgt 60 Shore A. ; Eine schnelle und dauerhafte flexible Reparatur. ; Kann als Reparatur für Förderbänder, Trommelbeläge oder Auskleidungen verwendet werden.</t>
  </si>
  <si>
    <t>The material cures to ready for touch in 2 minutes. ; The repair area can be buffed in 30 minutes. ; 100% solids and no Volatile Organic Compounds (VOC). ; Maximum hardness of 60 Shore A. ; A rapid and permanent flexible repair. ; Can be used as repair for conveyor belts, drum lagging or lining.</t>
  </si>
  <si>
    <t>Le matériau est prêt au toucher en 2 minutes. ; La zone de réparation peut être poncée après 30 minutes. ; 100% de solides et aucun composé organique volatil (COV). ; Dureté maximale de 60 Shore A. ; Une réparation flexible, rapide et permanente. ; Peut être utilisé pour la réparation des bandes transporteuses, revêtement ou garnissage de tambours.</t>
  </si>
  <si>
    <t>PERMAFLEX-MIXING TIPST ; PERMAFLEX-STARTERKIT200MLST ; FOURTHANE-RED-00130001FT ; FOURTHANE-RED-00130002FT</t>
  </si>
  <si>
    <t>PERMAFLEX-MIXING TIPST</t>
  </si>
  <si>
    <t>Perma-Flex Mixing tip</t>
  </si>
  <si>
    <t>Perma-Flex ; Mengtip</t>
  </si>
  <si>
    <t>Perma-Flex ; Tip zum Mischen</t>
  </si>
  <si>
    <t>Perma-Flex ; Mixing tip</t>
  </si>
  <si>
    <t>Perma-Flex ; Embout de mélange</t>
  </si>
  <si>
    <t>Mengtip</t>
  </si>
  <si>
    <t>Tip zum Mischen</t>
  </si>
  <si>
    <t>Mixing tip</t>
  </si>
  <si>
    <t>Conseils de mélange</t>
  </si>
  <si>
    <t>PERMAFLEX-DUALCARTRIDGE200MLST ; PERMAFLEX-STARTERKIT200MLST ; FOURTHANE-RED-00130001FT ; FOURTHANE-RED-00130002FT</t>
  </si>
  <si>
    <t>PERMAFLEX-STARTERKIT200MLST</t>
  </si>
  <si>
    <t>Perma-Flex Starter Kit 200 ml</t>
  </si>
  <si>
    <t>264,000</t>
  </si>
  <si>
    <t>Perma-Flex ; Starter Kit 200 ml</t>
  </si>
  <si>
    <t>Inhoud Startpakket: ; 5 cartidges 60SLF 200 x 200 ml, 1 Primer PF-84, 10 x mengtips &amp; 1 doseerhulpstuk.</t>
  </si>
  <si>
    <t>Inhalt Starter-Kit: ; 5 Kartuschen 60SLF 200 x 200 ml, 1 Primer PF-84, 10 x Tips zum Mischen &amp; 1 Dosierpistole.</t>
  </si>
  <si>
    <t>Content Starter Kit: ; 5 cartridges 60SLF 200 x 200 ml, 1 Primer PF-84, 10 x mixing tips &amp; 1 dispensing tool.</t>
  </si>
  <si>
    <t>Contenu Starter Kit: ; 5 cartouches 60SLF 200 x 200 ml, 1 Primer PF-84, 10 x conseils de mélange &amp; 1 outil d’application.</t>
  </si>
  <si>
    <t>PERMAFLEX-DUALCARTRIDGE200MLST ; PERMAFLEX-MIXING TIPST ; FOURTHANE-RED-00130001FT ; FOURTHANE-RED-00130002FT</t>
  </si>
  <si>
    <t>PU RED90-2040X80X10CH</t>
  </si>
  <si>
    <t>PU RED90-2040x80x10</t>
  </si>
  <si>
    <t>PUR55-2000X1000X5RE</t>
  </si>
  <si>
    <t>PUR55-2000x1000x5</t>
  </si>
  <si>
    <t>162,000</t>
  </si>
  <si>
    <t>PUR70-100X1350X20RE</t>
  </si>
  <si>
    <t>PUR70-100x1350x20</t>
  </si>
  <si>
    <t>PUR70-100X1475X20RE</t>
  </si>
  <si>
    <t>PUR70-100x1475x20</t>
  </si>
  <si>
    <t>PUR70-100X1522X20RE</t>
  </si>
  <si>
    <t>PUR70-100x1522x20</t>
  </si>
  <si>
    <t>39,000</t>
  </si>
  <si>
    <t>PUR70-100X1750X20RE</t>
  </si>
  <si>
    <t>PUR70-100x1750x20</t>
  </si>
  <si>
    <t>PUR70-100X2061X20RE</t>
  </si>
  <si>
    <t>PUR70-100x2061x20</t>
  </si>
  <si>
    <t>55,000</t>
  </si>
  <si>
    <t>PUR70-100X836X20RE</t>
  </si>
  <si>
    <t>PUR70-100x836x20</t>
  </si>
  <si>
    <t>PUR70-2000X1000X10RE</t>
  </si>
  <si>
    <t>PUR70-2000x1000x10</t>
  </si>
  <si>
    <t>299,000</t>
  </si>
  <si>
    <t>09-09_T-Rex Polyurethane Yellow</t>
  </si>
  <si>
    <t>PUR70 Polyurethane Oker / Geel ; 2.000 x 1.000 x 10 mm</t>
  </si>
  <si>
    <t>PUR70 Polyurethan Ocker / Gelb ; 2.000 x 1.000 x 10 mm</t>
  </si>
  <si>
    <t>PUR70 Polyurethane Ocher / Yellow ; 2.000 x 1.000 x 10 mm</t>
  </si>
  <si>
    <t>PUR70 Polyurethane Ocre / Jaune ; 2.000 x 1.000 x 10 mm</t>
  </si>
  <si>
    <t>Lengte: 2.000 mm ; Breedte: 1.000 mm ; Dikte: 10 mm ; Zonder lijmlaag ; Kleur: Geel / Oker ; Hardheid: 70° Shore A; Slijtage: ≤ 45 mm³ ; Dichtheid / soortelijk gewicht: 1,24 g/cm³ ; Treksterkte: ≥ 35 N/mm² ; Rek bij breuk: ≥ 500 % ; Rebound-elasticiteit: 55%; Scheurvastheid: ≥ 30 N/mm</t>
  </si>
  <si>
    <r>
      <t>Länge: 2.000 mm; Breite: 1.000 mm ; Stärke: 10 mm ; Ohne</t>
    </r>
    <r>
      <rPr>
        <sz val="10"/>
        <color rgb="FFFF0000"/>
        <rFont val="Arial"/>
        <family val="2"/>
      </rPr>
      <t xml:space="preserve"> Klebeschicht</t>
    </r>
    <r>
      <rPr>
        <sz val="10"/>
        <color indexed="8"/>
        <rFont val="Arial"/>
        <family val="2"/>
      </rPr>
      <t xml:space="preserve"> ; Farbe: Gelb / Ocker ; Härte: 70° Shore A ; Abrieb: ≤ 45 mm³ ; Rohdichte / Spezifisches Gewicht: 1,24 g/cm³ ; Zugfestigkeit: ≥ 35 N/mm² ; Bruchdehnung: ≥ 500 % ; Stoßelastizität: 55 % ; Weiterreißwiderstand: ≥ 30 N/mm</t>
    </r>
  </si>
  <si>
    <t>Length: 2.000 mm; Width: 1.000 mm ; Thickness: 10 mm ; Without bonding layer ; Colour: Yellow / Ochre ; Hardness: 70° Shore A ; Abrasion: ≤ 45 mm³ ; Density / specific weight: 1,24 g/cm³ ; Tensile strength: ≥ 35 N/mm² ; Elongation at break: ≥ 500 % ; Rebound elasticity: 55 % ; Tear-growth resistance: ≥ 30 N/mm</t>
  </si>
  <si>
    <t>Longueur : 2 000 mm ; Largeur : 1.000 mm ; Épaisseur : 10 mm ; Sans face adhésive ; Couleur : Jaune / Ocre ; Dureté : 70° Shore A ; Abrasion : ≤ 45 mm³ ; Densité / poids spécifique : 1,24 g/cm³ ; Résistance à la traction : ≥ 35 N/mm² ; Allongement à la rupture : ≥ 500 % ; Élasticité de rebond : 55 % ; Résistance à la déchirure : ≥ 30 N/mm</t>
  </si>
  <si>
    <t>070</t>
  </si>
  <si>
    <t>Verschleißschutz PU 65</t>
  </si>
  <si>
    <t>PUR70-2000X1000X10ZWRE</t>
  </si>
  <si>
    <t>PUR70-2000x1000x10 - zwart</t>
  </si>
  <si>
    <t>206,000</t>
  </si>
  <si>
    <t>PUR70-2000X1000X12RE</t>
  </si>
  <si>
    <t>PUR70-2000x1000x12</t>
  </si>
  <si>
    <t>184,000</t>
  </si>
  <si>
    <t>PUR70 Polyurethane Oker / Geel ; 2.000 x 1.000 x 12 mm</t>
  </si>
  <si>
    <t>PUR70 Polyurethane Ocker / Gelb ; 2.000 x 1.000 x 12 mm</t>
  </si>
  <si>
    <t>PUR70 Polyurethane Ocher / Yellow ; 2.000 x 1.000 x 12 mm</t>
  </si>
  <si>
    <t>PUR70 Polyurethane Ocre / Jaune ; 2.000 x 1.000 x 12 mm</t>
  </si>
  <si>
    <t>Lengte: 2.000 mm ; Breedte: 1.000 mm ; Dikte: 12 mm ; Zonder lijmlaag ; Kleur: Geel / Oker ; Hardheid: 70° Shore A; Slijtage: ≤ 45 mm³ ; Dichtheid / soortelijk gewicht: 1,24 g/cm³ ; Treksterkte: ≥ 35 N/mm² ; Rek bij breuk: ≥ 500 % ; Rebound-elasticiteit: 55%; Scheurvastheid: ≥ 30 N/mm</t>
  </si>
  <si>
    <t>Länge: 2.000 mm; Breite: 1.000 mm ; Stärke: 12 mm ; Ohne Kleberschicht ; Farbe: Gelb / Ocker ; Härte: 70° Shore A ; Abrieb: ≤ 45 mm³ ; Rohdichte / Spezifisches Gewicht: 1,24 g/cm³ ; Zugfestigkeit: ≥ 35 N/mm² ; Bruchdehnung: ≥ 500 % ; Stoßelastizität: 55 % ; Weiterreißwiderstand: ≥ 30 N/mm</t>
  </si>
  <si>
    <t>Length: 2.000 mm; Width: 1.000 mm ; Thickness: 12 mm ; Without bonding layer ; Colour: Yellow / Ochre ; Hardness: 70° Shore A ; Abrasion: ≤ 45 mm³ ; Density / specific weight: 1,24 g/cm³ ; Tensile strength: ≥ 35 N/mm² ; Elongation at break: ≥ 500 % ; Rebound elasticity: 55 % ; Tear-growth resistance: ≥ 30 N/mm</t>
  </si>
  <si>
    <t>Longueur : 2 000 mm ; Largeur : 1.000 mm ; Épaisseur : 12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</si>
  <si>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PUR70-2000X1000X15RE</t>
  </si>
  <si>
    <t>PUR70-2000x1000x15</t>
  </si>
  <si>
    <t>242,200</t>
  </si>
  <si>
    <t>PUR70 Polyurethane Oker / Geel ; 2.000 x 1.000 x 15 mm</t>
  </si>
  <si>
    <t>PUR70 Polyurethane Ocker / Gelb ; 2.000 x 1.000 x 15 mm</t>
  </si>
  <si>
    <t>PUR70 Polyurethane Ocher / Yellow ; 2.000 x 1.000 x 15 mm</t>
  </si>
  <si>
    <t>PUR70 Polyurethane Ocre / Jaune ; 2.000 x 1.000 x 15 mm</t>
  </si>
  <si>
    <t>Lengte: 2.000 mm ; Breedte: 1.000 mm ; Dikte: 15 mm ; Zonder lijmlaag ; Kleur: Geel / Oker ; Hardheid: 70° Shore A; Slijtage: ≤ 45 mm³ ; Dichtheid / soortelijk gewicht: 1,24 g/cm³ ; Treksterkte: ≥ 35 N/mm² ; Rek bij breuk: ≥ 500 % ; Rebound-elasticiteit: 55%; Scheurvastheid: ≥ 30 N/mm</t>
  </si>
  <si>
    <t>Länge: 2.000 mm; Breite: 1.000 mm ; Stärke: 15 mm ; Ohne Kleberschicht ; Farbe: Gelb / Ocker ; Härte: 70° Shore A ; Abrieb: ≤ 45 mm³ ; Rohdichte / Spezifisches Gewicht: 1,24 g/cm³ ; Zugfestigkeit: ≥ 35 N/mm² ; Bruchdehnung: ≥ 500 % ; Stoßelastizität: 55 % ; Weiterreißwiderstand: ≥ 30 N/mm</t>
  </si>
  <si>
    <t>Length: 2.000 mm; Width: 1.000 mm ; Thickness: 15 mm ; Without bonding layer ; Colour: Yellow / Ochre ; Hardness: 70° Shore A ; Abrasion: ≤ 45 mm³ ; Density / specific weight: 1,24 g/cm³ ; Tensile strength: ≥ 35 N/mm² ; Elongation at break: ≥ 500 % ; Rebound elasticity: 55 % ; Tear-growth resistance: ≥ 30 N/mm</t>
  </si>
  <si>
    <t>Longueur : 2 000 mm ; Largeur : 1.000 mm ; Épaisseur : 15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</si>
  <si>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PUR70-2000X1000X20RE</t>
  </si>
  <si>
    <t>PUR70-2000x1000x20</t>
  </si>
  <si>
    <t>306,000</t>
  </si>
  <si>
    <t>PUR70 Polyurethane Oker / Geel ; 2.000 x 1.000 x 20 mm</t>
  </si>
  <si>
    <t>PUR70 Polyurethane Ocker / Gelb ; 2.000 x 1.000 x 20 mm</t>
  </si>
  <si>
    <t>PUR70 Polyurethane Ocher / Yellow ; 2.000 x 1.000 x 20 mm</t>
  </si>
  <si>
    <t>PUR70 Polyurethane Ocre / Jaune ; 2.000 x 1.000 x 20 mm</t>
  </si>
  <si>
    <t>Lengte: 2.000 mm ; Breedte: 1.000 mm ; Dikte: 20 mm ; Zonder lijmlaag ; Kleur: Geel / Oker ; Hardheid: 70° Shore A; Slijtage: ≤ 45 mm³ ; Dichtheid / soortelijk gewicht: 1,24 g/cm³ ; Treksterkte: ≥ 35 N/mm² ; Rek bij breuk: ≥ 500 % ; Rebound-elasticiteit: 55%; Scheurvastheid: ≥ 30 N/mm</t>
  </si>
  <si>
    <t>Länge: 2.000 mm; Breite: 1.000 mm ; Stärke: 20 mm ; Ohne Kleberschicht ; Farbe: Gelb / Ocker ; Härte: 70° Shore A ; Abrieb: ≤ 45 mm³ ; Rohdichte / Spezifisches Gewicht: 1,24 g/cm³ ; Zugfestigkeit: ≥ 35 N/mm² ; Bruchdehnung: ≥ 500 % ; Stoßelastizität: 55 % ; Weiterreißwiderstand: ≥ 30 N/mm</t>
  </si>
  <si>
    <t>Length: 2.000 mm; Width: 1.000 mm ; Thickness: 20 mm ; Without bonding layer ; Colour: Yellow / Ochre ; Hardness: 70° Shore A ; Abrasion: ≤ 45 mm³ ; Density / specific weight: 1,24 g/cm³ ; Tensile strength: ≥ 35 N/mm² ; Elongation at break: ≥ 500 % ; Rebound elasticity: 55 % ; Tear-growth resistance: ≥ 30 N/mm</t>
  </si>
  <si>
    <t>Longueur : 2 000 mm ; Largeur : 1.000 mm ; Épaisseur : 20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</si>
  <si>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PUR70-2000X1000X2RE</t>
  </si>
  <si>
    <t>PUR70-2000x1000x2</t>
  </si>
  <si>
    <t>36,000</t>
  </si>
  <si>
    <t>PUR70 Polyurethane Oker / Geel ; 2.000 x 1.000 x 2 mm</t>
  </si>
  <si>
    <t>PUR70 Polyurethane Ocker / Gelb ; 2.000 x 1.000 x 2 mm</t>
  </si>
  <si>
    <t>PUR70 Polyurethane Ocher / Yellow ; 2.000 x 1.000 x 2 mm</t>
  </si>
  <si>
    <t>PUR70 Polyurethane Ocre / Jaune ; 2.000 x 1.000 x 2 mm</t>
  </si>
  <si>
    <t>Lengte: 2.000 mm ; Breedte: 1.000 mm ; Dikte: 2 mm ; Zonder lijmlaag ; Kleur: Geel / Oker ; Hardheid: 70° Shore A; Slijtage: ≤ 45 mm³ ; Dichtheid / soortelijk gewicht: 1,24 g/cm³ ; Treksterkte: ≥ 35 N/mm² ; Rek bij breuk: ≥ 500 % ; Rebound-elasticiteit: 55%; Scheurvastheid: ≥ 30 N/mm</t>
  </si>
  <si>
    <t>Länge: 2.000 mm; Breite: 1.000 mm ; Stärke: 2 mm ; Ohne Kleberschicht ; Farbe: Gelb / Ocker ; Härte: 70° Shore A ; Abrieb: ≤ 45 mm³ ; Rohdichte / Spezifisches Gewicht: 1,24 g/cm³ ; Zugfestigkeit: ≥ 35 N/mm² ; Bruchdehnung: ≥ 500 % ; Stoßelastizität: 55 % ; Weiterreißwiderstand: ≥ 30 N/mm</t>
  </si>
  <si>
    <t>Length: 2.000 mm; Width: 1.000 mm ; Thickness: 2 mm ; Without bonding layer ; Colour: Yellow / Ochre ; Hardness: 70° Shore A ; Abrasion: ≤ 45 mm³ ; Density / specific weight: 1,24 g/cm³ ; Tensile strength: ≥ 35 N/mm² ; Elongation at break: ≥ 500 % ; Rebound elasticity: 55 % ; Tear-growth resistance: ≥ 30 N/mm</t>
  </si>
  <si>
    <t>Longueur : 2 000 mm ; Largeur : 1.000 mm ; Épaisseur : 2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</si>
  <si>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PUR70-2000X1000X3RE</t>
  </si>
  <si>
    <t>PUR70-2000x1000x3</t>
  </si>
  <si>
    <t>PUR70 Polyurethane Oker / Geel ; 2.000 x 1.000 x 3 mm</t>
  </si>
  <si>
    <t>PUR70 Polyurethane Ocker / Gelb ; 2.000 x 1.000 x 3 mm</t>
  </si>
  <si>
    <t>PUR70 Polyurethane Ocher / Yellow ; 2.000 x 1.000 x 3 mm</t>
  </si>
  <si>
    <t>PUR70 Polyurethane Ocre / Jaune ; 2.000 x 1.000 x 3 mm</t>
  </si>
  <si>
    <t>Lengte: 2.000 mm ; Breedte: 1.000 mm ; Dikte: 3 mm ; Zonder lijmlaag ; Kleur: Geel / Oker ; Hardheid: 70° Shore A; Slijtage: ≤ 45 mm³ ; Dichtheid / soortelijk gewicht: 1,24 g/cm³ ; Treksterkte: ≥ 35 N/mm² ; Rek bij breuk: ≥ 500 % ; Rebound-elasticiteit: 55%; Scheurvastheid: ≥ 30 N/mm</t>
  </si>
  <si>
    <t>Länge: 2.000 mm; Breite: 1.000 mm ; Stärke: 3 mm ; Ohne Kleberschicht ; Farbe: Gelb / Ocker ; Härte: 70° Shore A ; Abrieb: ≤ 45 mm³ ; Rohdichte / Spezifisches Gewicht: 1,24 g/cm³ ; Zugfestigkeit: ≥ 35 N/mm² ; Bruchdehnung: ≥ 500 % ; Stoßelastizität: 55 % ; Weiterreißwiderstand: ≥ 30 N/mm</t>
  </si>
  <si>
    <t>Length: 2.000 mm; Width: 1.000 mm ; Thickness: 3 mm ; Without bonding layer ; Colour: Yellow / Ochre ; Hardness: 70° Shore A ; Abrasion: ≤ 45 mm³ ; Density / specific weight: 1,24 g/cm³ ; Tensile strength: ≥ 35 N/mm² ; Elongation at break: ≥ 500 % ; Rebound elasticity: 55 % ; Tear-growth resistance: ≥ 30 N/mm</t>
  </si>
  <si>
    <t>Longueur : 2 000 mm ; Largeur : 1.000 mm ; Épaisseur : 3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</si>
  <si>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PUR70-2000X1000X4RE</t>
  </si>
  <si>
    <t>PUR70-2000x1000x4</t>
  </si>
  <si>
    <t>66,600</t>
  </si>
  <si>
    <t>PUR70 Polyurethane Oker / Geel ; 2.000 x 1.000 x 4 mm</t>
  </si>
  <si>
    <t>PUR70 Polyurethane Ocker / Gelb ; 2.000 x 1.000 x 4 mm</t>
  </si>
  <si>
    <t>PUR70 Polyurethane Ocher / Yellow ; 2.000 x 1.000 x 4 mm</t>
  </si>
  <si>
    <t>PUR70 Polyurethane Ocre / Jaune ; 2.000 x 1.000 x 4 mm</t>
  </si>
  <si>
    <t>Lengte: 2.000 mm ; Breedte: 1.000 mm ; Dikte: 4 mm ; Zonder lijmlaag ; Kleur: Geel / Oker ; Hardheid: 70° Shore A; Slijtage: ≤ 45 mm³ ; Dichtheid / soortelijk gewicht: 1,24 g/cm³ ; Treksterkte: ≥ 35 N/mm² ; Rek bij breuk: ≥ 500 % ; Rebound-elasticiteit: 55%; Scheurvastheid: ≥ 30 N/mm</t>
  </si>
  <si>
    <t>Länge: 2.000 mm; Breite: 1.000 mm ; Stärke: 4 mm ; Ohne Kleberschicht ; Farbe: Gelb / Ocker ; Härte: 70° Shore A ; Abrieb: ≤ 45 mm³ ; Rohdichte / Spezifisches Gewicht: 1,24 g/cm³ ; Zugfestigkeit: ≥ 35 N/mm² ; Bruchdehnung: ≥ 500 % ; Stoßelastizität: 55 % ; Weiterreißwiderstand: ≥ 30 N/mm</t>
  </si>
  <si>
    <t>Length: 2.000 mm; Width: 1.000 mm ; Thickness: 4 mm ; Without bonding layer ; Colour: Yellow / Ochre ; Hardness: 70° Shore A ; Abrasion: ≤ 45 mm³ ; Density / specific weight: 1,24 g/cm³ ; Tensile strength: ≥ 35 N/mm² ; Elongation at break: ≥ 500 % ; Rebound elasticity: 55 % ; Tear-growth resistance: ≥ 30 N/mm</t>
  </si>
  <si>
    <t>Longueur : 2 000 mm ; Largeur : 1.000 mm ; Épaisseur : 4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</si>
  <si>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PUR70-2000X1000X5RE</t>
  </si>
  <si>
    <t>PUR70-2000x1000x5</t>
  </si>
  <si>
    <t>82,600</t>
  </si>
  <si>
    <t>PUR70 Polyurethane Oker / Geel ; 2.000 x 1.000 x 5 mm</t>
  </si>
  <si>
    <t>PUR70 Polyurethane Ocker / Gelb ; 2.000 x 1.000 x 5 mm</t>
  </si>
  <si>
    <t>PUR70 Polyurethane Ocher / Yellow ; 2.000 x 1.000 x 5 mm</t>
  </si>
  <si>
    <t>PUR70 Polyurethane Ocre / Jaune ; 2.000 x 1.000 x 5 mm</t>
  </si>
  <si>
    <t>Lengte: 2.000 mm ; Breedte: 1.000 mm ; Dikte: 5 mm ; Zonder lijmlaag ; Kleur: Geel / Oker ; Hardheid: 70° Shore A; Slijtage: ≤ 45 mm³ ; Dichtheid / soortelijk gewicht: 1,24 g/cm³ ; Treksterkte: ≥ 35 N/mm² ; Rek bij breuk: ≥ 500 % ; Rebound-elasticiteit: 55%; Scheurvastheid: ≥ 30 N/mm</t>
  </si>
  <si>
    <t>Länge: 2.000 mm; Breite: 1.000 mm ; Stärke: 5 mm ; Ohne Kleberschicht ; Farbe: Gelb / Ocker ; Härte: 70° Shore A ; Abrieb: ≤ 45 mm³ ; Rohdichte / Spezifisches Gewicht: 1,24 g/cm³ ; Zugfestigkeit: ≥ 35 N/mm² ; Bruchdehnung: ≥ 500 % ; Stoßelastizität: 55 % ; Weiterreißwiderstand: ≥ 30 N/mm</t>
  </si>
  <si>
    <t>Length: 2.000 mm; Width: 1.000 mm ; Thickness: 5 mm ; Without bonding layer ; Colour: Yellow / Ochre ; Hardness: 70° Shore A ; Abrasion: ≤ 45 mm³ ; Density / specific weight: 1,24 g/cm³ ; Tensile strength: ≥ 35 N/mm² ; Elongation at break: ≥ 500 % ; Rebound elasticity: 55 % ; Tear-growth resistance: ≥ 30 N/mm</t>
  </si>
  <si>
    <t>Longueur : 2 000 mm ; Largeur : 1.000 mm ; Épaisseur : 5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</si>
  <si>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PUR70-2000X1000X6RE</t>
  </si>
  <si>
    <t>PUR70-2000X1000X6</t>
  </si>
  <si>
    <t>97,400</t>
  </si>
  <si>
    <t>PUR70 Polyurethane Oker / Geel ; 2.000 x 1.000 x 6 mm</t>
  </si>
  <si>
    <t>PUR70 Polyurethane Ocker / Gelb ; 2.000 x 1.000 x 6 mm</t>
  </si>
  <si>
    <t>PUR70 Polyurethane Ocher / Yellow ; 2.000 x 1.000 x 6 mm</t>
  </si>
  <si>
    <t>PUR70 Polyurethane Ocre / Jaune ; 2.000 x 1.000 x 6 mm</t>
  </si>
  <si>
    <t>Lengte: 2.000 mm ; Breedte: 1.000 mm ; Dikte: 6 mm ; Zonder lijmlaag ; Kleur: Geel / Oker ; Hardheid: 70° Shore A; Slijtage: ≤ 45 mm³ ; Dichtheid / soortelijk gewicht: 1,24 g/cm³ ; Treksterkte: ≥ 35 N/mm² ; Rek bij breuk: ≥ 500 % ; Rebound-elasticiteit: 55%; Scheurvastheid: ≥ 30 N/mm</t>
  </si>
  <si>
    <t>Länge: 2.000 mm; Breite: 1.000 mm ; Stärke: 6 mm ; Ohne Kleberschicht ; Farbe: Gelb / Ocker ; Härte: 70° Shore A ; Abrieb: ≤ 45 mm³ ; Rohdichte / Spezifisches Gewicht: 1,24 g/cm³ ; Zugfestigkeit: ≥ 35 N/mm² ; Bruchdehnung: ≥ 500 % ; Stoßelastizität: 55 % ; Weiterreißwiderstand: ≥ 30 N/mm</t>
  </si>
  <si>
    <t>Length: 2.000 mm; Width: 1.000 mm ; Thickness: 6 mm ; Without bonding layer ; Colour: Yellow / Ochre ; Hardness: 70° Shore A ; Abrasion: ≤ 45 mm³ ; Density / specific weight: 1,24 g/cm³ ; Tensile strength: ≥ 35 N/mm² ; Elongation at break: ≥ 500 % ; Rebound elasticity: 55 % ; Tear-growth resistance: ≥ 30 N/mm</t>
  </si>
  <si>
    <t>Longueur : 2 000 mm ; Largeur : 1.000 mm ; Épaisseur : 6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</si>
  <si>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PUR70-2000X1000X8RE</t>
  </si>
  <si>
    <t>PUR70-2000x1000x8</t>
  </si>
  <si>
    <t>129,000</t>
  </si>
  <si>
    <t>PUR70 Polyurethane Oker / Geel ; 2.000 x 1.000 x 8 mm</t>
  </si>
  <si>
    <t>PUR70 Polyurethane Ocker / Gelb ; 2.000 x 1.000 x 8 mm</t>
  </si>
  <si>
    <t>PUR70 Polyurethane Ocher / Yellow ; 2.000 x 1.000 x 8 mm</t>
  </si>
  <si>
    <t>PUR70 Polyurethane Ocre / Jaune ; 2.000 x 1.000 x 8 mm</t>
  </si>
  <si>
    <t>Lengte: 2.000 mm ; Breedte: 1.000 mm ; Dikte: 8 mm ; Zonder lijmlaag ; Kleur: Geel / Oker ; Hardheid: 70° Shore A; Slijtage: ≤ 45 mm³ ; Dichtheid / soortelijk gewicht: 1,24 g/cm³ ; Treksterkte: ≥ 35 N/mm² ; Rek bij breuk: ≥ 500 % ; Rebound-elasticiteit: 55%; Scheurvastheid: ≥ 30 N/mm</t>
  </si>
  <si>
    <t>Länge: 2.000 mm; Breite: 1.000 mm ; Stärke: 8 mm ; Ohne Kleberschicht ; Farbe: Gelb / Ocker ; Härte: 70° Shore A ; Abrieb: ≤ 45 mm³ ; Rohdichte / Spezifisches Gewicht: 1,24 g/cm³ ; Zugfestigkeit: ≥ 35 N/mm² ; Bruchdehnung: ≥ 500 % ; Stoßelastizität: 55 % ; Weiterreißwiderstand: ≥ 30 N/mm</t>
  </si>
  <si>
    <t>Length: 2.000 mm; Width: 1.000 mm ; Thickness: 8 mm ; Without bonding layer ; Colour: Yellow / Ochre ; Hardness: 70° Shore A ; Abrasion: ≤ 45 mm³ ; Density / specific weight: 1,24 g/cm³ ; Tensile strength: ≥ 35 N/mm² ; Elongation at break: ≥ 500 % ; Rebound elasticity: 55 % ; Tear-growth resistance: ≥ 30 N/mm</t>
  </si>
  <si>
    <t>Longueur : 2 000 mm ; Largeur : 1.000 mm ; Épaisseur : 8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</si>
  <si>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PUR70-3000X1000X10RE</t>
  </si>
  <si>
    <t>PUR70-3000x1000x10</t>
  </si>
  <si>
    <t>244,400</t>
  </si>
  <si>
    <t>PUR70 Polyurethane Oker / Geel ; 3.000 x 1.000 x 10 mm</t>
  </si>
  <si>
    <t>PUR70 Polyurethane Ocker / Gelb ; 3.000 x 1.000 x 10 mm</t>
  </si>
  <si>
    <t>PUR70 Polyurethane Ocher / Yellow ; 3.000 x 1.000 x 10 mm</t>
  </si>
  <si>
    <t>PUR70 Polyurethane Ocre / Jaune ; 3.000 x 1.000 x 10 mm</t>
  </si>
  <si>
    <t>Lengte: 3.000 mm ; Breedte: 1.000 mm ; Dikte: 10 mm ; Zonder lijmlaag ; Kleur: Geel / Oker ; Hardheid: 70° Shore A; Slijtage: ≤ 45 mm³ ; Dichtheid / soortelijk gewicht: 1,24 g/cm³ ; Treksterkte: ≥ 35 N/mm² ; Rek bij breuk: ≥ 500 % ; Rebound-elasticiteit: 55%; Scheurvastheid: ≥ 30 N/mm</t>
  </si>
  <si>
    <t>Länge: 3.000 mm; Breite: 1.000 mm ; Stärke: 10 mm ; Ohne Kleberschicht ; Farbe: Gelb / Ocker ; Härte: 70° Shore A ; Abrieb: ≤ 45 mm³ ; Rohdichte / Spezifisches Gewicht: 1,24 g/cm³ ; Zugfestigkeit: ≥ 35 N/mm² ; Bruchdehnung: ≥ 500 % ; Stoßelastizität: 55 % ; Weiterreißwiderstand: ≥ 30 N/mm</t>
  </si>
  <si>
    <t>Length: 3.000 mm; Width: 1.000 mm ; Thickness: 10 mm ; Without bonding layer ; Colour: Yellow / Ochre ; Hardness: 70° Shore A ; Abrasion: ≤ 45 mm³ ; Density / specific weight: 1,24 g/cm³ ; Tensile strength: ≥ 35 N/mm² ; Elongation at break: ≥ 500 % ; Rebound elasticity: 55 % ; Tear-growth resistance: ≥ 30 N/mm</t>
  </si>
  <si>
    <t>Longueur : 3 000 mm ; Largeur : 1.000 mm ; Épaisseur : 10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</si>
  <si>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PUR70-3000X1000X15RE</t>
  </si>
  <si>
    <t>PUR70-3000x1000x15</t>
  </si>
  <si>
    <t>343,500</t>
  </si>
  <si>
    <t>PUR70 Polyurethane Oker / Geel ; 3.000 x 1.000 x 15 mm</t>
  </si>
  <si>
    <t>PUR70 Polyurethane Ocker / Gelb ; 3.000 x 1.000 x 15 mm</t>
  </si>
  <si>
    <t>PUR70 Polyurethane Ocher / Yellow ; 3.000 x 1.000 x 15 mm</t>
  </si>
  <si>
    <t>PUR70 Polyurethane Ocre / Jaune ; 3.000 x 1.000 x 15 mm</t>
  </si>
  <si>
    <t>Lengte: 3.000 mm ; Breedte: 1.000 mm ; Dikte: 15 mm ; Zonder lijmlaag ; Kleur: Geel / Oker ; Hardheid: 70° Shore A; Slijtage: ≤ 45 mm³ ; Dichtheid / soortelijk gewicht: 1,24 g/cm³ ; Treksterkte: ≥ 35 N/mm² ; Rek bij breuk: ≥ 500 % ; Rebound-elasticiteit: 55%; Scheurvastheid: ≥ 30 N/mm</t>
  </si>
  <si>
    <t>Länge: 3.000 mm; Breite: 1.000 mm ; Stärke: 15 mm ; Ohne Kleberschicht ; Farbe: Gelb / Ocker ; Härte: 70° Shore A ; Abrieb: ≤ 45 mm³ ; Rohdichte / Spezifisches Gewicht: 1,24 g/cm³ ; Zugfestigkeit: ≥ 35 N/mm² ; Bruchdehnung: ≥ 500 % ; Stoßelastizität: 55 % ; Weiterreißwiderstand: ≥ 30 N/mm</t>
  </si>
  <si>
    <t>Length: 3.000 mm; Width: 1.000 mm ; Thickness: 15 mm ; Without bonding layer ; Colour: Yellow / Ochre ; Hardness: 70° Shore A ; Abrasion: ≤ 45 mm³ ; Density / specific weight: 1,24 g/cm³ ; Tensile strength: ≥ 35 N/mm² ; Elongation at break: ≥ 500 % ; Rebound elasticity: 55 % ; Tear-growth resistance: ≥ 30 N/mm</t>
  </si>
  <si>
    <t>Longueur : 3 000 mm ; Largeur : 1.000 mm ; Épaisseur : 15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</si>
  <si>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PUR70-3000X1000X2RE</t>
  </si>
  <si>
    <t>PUR70-3000X1000X2</t>
  </si>
  <si>
    <t>54,000</t>
  </si>
  <si>
    <t>PUR70 Polyurethane Oker / Geel ; 3.000 x 1.000 x 2 mm</t>
  </si>
  <si>
    <t>PUR70 Polyurethane Ocker / Gelb ; 3.000 x 1.000 x 2 mm</t>
  </si>
  <si>
    <t>PUR70 Polyurethane Ocher / Yellow ; 3.000 x 1.000 x 2 mm</t>
  </si>
  <si>
    <t>PUR70 Polyurethane Ocre / Jaune ; 3.000 x 1.000 x 2 mm</t>
  </si>
  <si>
    <t>Lengte: 3.000 mm ; Breedte: 1.000 mm ; Dikte: 2 mm ; Zonder lijmlaag ; Kleur: Geel / Oker ; Hardheid: 70° Shore A; Slijtage: ≤ 45 mm³ ; Dichtheid / soortelijk gewicht: 1,24 g/cm³ ; Treksterkte: ≥ 35 N/mm² ; Rek bij breuk: ≥ 500 % ; Rebound-elasticiteit: 55%; Scheurvastheid: ≥ 30 N/mm</t>
  </si>
  <si>
    <t>Länge: 3.000 mm; Breite: 1.000 mm ; Stärke: 2 mm ; Ohne Kleberschicht ; Farbe: Gelb / Ocker ; Härte: 70° Shore A ; Abrieb: ≤ 45 mm³ ; Rohdichte / Spezifisches Gewicht: 1,24 g/cm³ ; Zugfestigkeit: ≥ 35 N/mm² ; Bruchdehnung: ≥ 500 % ; Stoßelastizität: 55 % ; Weiterreißwiderstand: ≥ 30 N/mm</t>
  </si>
  <si>
    <t>Length: 3.000 mm; Width: 1.000 mm ; Thickness: 2 mm ; Without bonding layer ; Colour: Yellow / Ochre ; Hardness: 70° Shore A ; Abrasion: ≤ 45 mm³ ; Density / specific weight: 1,24 g/cm³ ; Tensile strength: ≥ 35 N/mm² ; Elongation at break: ≥ 500 % ; Rebound elasticity: 55 % ; Tear-growth resistance: ≥ 30 N/mm</t>
  </si>
  <si>
    <t>Longueur : 3 000 mm ; Largeur : 1.000 mm ; Épaisseur : 2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</si>
  <si>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PUR70-3000X1000X3RE</t>
  </si>
  <si>
    <t>PUR70-3000X1000X3</t>
  </si>
  <si>
    <t>76,200</t>
  </si>
  <si>
    <t>PUR70 Polyurethane Oker / Geel ; 3.000 x 1.000 x 3 mm</t>
  </si>
  <si>
    <t>PUR70 Polyurethane Ocker / Gelb ; 3.000 x 1.000 x3 mm</t>
  </si>
  <si>
    <t>PUR70 Polyurethane Ocher / Yellow ; 3.000 x 1.000 x 3 mm</t>
  </si>
  <si>
    <t>PUR70 Polyurethane Ocre / Jaune ; 3.000 x 1.000 x 3 mm</t>
  </si>
  <si>
    <t>Lengte: 3.000 mm ; Breedte: 1.000 mm ; Dikte: 3 mm ; Zonder lijmlaag ; Kleur: Geel / Oker ; Hardheid: 70° Shore A; Slijtage: ≤ 45 mm³ ; Dichtheid / soortelijk gewicht: 1,24 g/cm³ ; Treksterkte: ≥ 35 N/mm² ; Rek bij breuk: ≥ 500 % ; Rebound-elasticiteit: 55%; Scheurvastheid: ≥ 30 N/mm</t>
  </si>
  <si>
    <t>Länge: 3.000 mm; Breite: 1.000 mm ; Stärke: 3 mm ; Ohne Kleberschicht ; Farbe: Gelb / Ocker ; Härte: 70° Shore A ; Abrieb: ≤ 45 mm³ ; Rohdichte / Spezifisches Gewicht: 1,24 g/cm³ ; Zugfestigkeit: ≥ 35 N/mm² ; Bruchdehnung: ≥ 500 % ; Stoßelastizität: 55 % ; Weiterreißwiderstand: ≥ 30 N/mm</t>
  </si>
  <si>
    <t>Length: 3.000 mm; Width: 1.000 mm ; Thickness: 3 mm ; Without bonding layer ; Colour: Yellow / Ochre ; Hardness: 70° Shore A ; Abrasion: ≤ 45 mm³ ; Density / specific weight: 1,24 g/cm³ ; Tensile strength: ≥ 35 N/mm² ; Elongation at break: ≥ 500 % ; Rebound elasticity: 55 % ; Tear-growth resistance: ≥ 30 N/mm</t>
  </si>
  <si>
    <t>Longueur : 3 000 mm ; Largeur : 1.000 mm ; Épaisseur : 3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</si>
  <si>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PUR70-3000X1000X4RE</t>
  </si>
  <si>
    <t>PUR70-3000X1000X4</t>
  </si>
  <si>
    <t>99,900</t>
  </si>
  <si>
    <t>PUR70 Polyurethane Oker / Geel ; 3.000 x 1.000 x 4 mm</t>
  </si>
  <si>
    <t>PUR70 Polyurethane Ocker / Gelb ; 3.000 x 1.000 x 4 mm</t>
  </si>
  <si>
    <t>PUR70 Polyurethane Ocher / Yellow ; 3.000 x 1.000 x 4 mm</t>
  </si>
  <si>
    <t>PUR70 Polyurethane Ocre / Jaune ; 3.000 x 1.000 x 4 mm</t>
  </si>
  <si>
    <t>Lengte: 3.000 mm ; Breedte: 1.000 mm ; Dikte: 4 mm ; Zonder lijmlaag ; Kleur: Geel / Oker ; Hardheid: 70° Shore A; Slijtage: ≤ 45 mm³ ; Dichtheid / soortelijk gewicht: 1,24 g/cm³ ; Treksterkte: ≥ 35 N/mm² ; Rek bij breuk: ≥ 500 % ; Rebound-elasticiteit: 55%; Scheurvastheid: ≥ 30 N/mm</t>
  </si>
  <si>
    <t>Länge: 3.000 mm; Breite: 1.000 mm ; Stärke: 4 mm ; Ohne Kleberschicht ; Farbe: Gelb / Ocker ; Härte: 70° Shore A ; Abrieb: ≤ 45 mm³ ; Rohdichte / Spezifisches Gewicht: 1,24 g/cm³ ; Zugfestigkeit: ≥ 35 N/mm² ; Bruchdehnung: ≥ 500 % ; Stoßelastizität: 55 % ; Weiterreißwiderstand: ≥ 30 N/mm</t>
  </si>
  <si>
    <t>Length: 3.000 mm; Width: 1.000 mm ; Thickness: 4 mm ; Without bonding layer ; Colour: Yellow / Ochre ; Hardness: 70° Shore A ; Abrasion: ≤ 45 mm³ ; Density / specific weight: 1,24 g/cm³ ; Tensile strength: ≥ 35 N/mm² ; Elongation at break: ≥ 500 % ; Rebound elasticity: 55 % ; Tear-growth resistance: ≥ 30 N/mm</t>
  </si>
  <si>
    <t>Longueur : 3 000 mm ; Largeur : 1.000 mm ; Épaisseur : 4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</si>
  <si>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PUR70-3000X1000X5RE</t>
  </si>
  <si>
    <t>PUR70-3000X1000X5</t>
  </si>
  <si>
    <t>123,900</t>
  </si>
  <si>
    <t>PUR70 Polyurethane Oker / Geel ; 3.000 x 1.000 x 5 mm</t>
  </si>
  <si>
    <t>PUR70 Polyurethane Ocker / Gelb ; 3.000 x 1.000 x 5 mm</t>
  </si>
  <si>
    <t>PUR70 Polyurethane Ocher / Yellow ; 3.000 x 1.000 x 5 mm</t>
  </si>
  <si>
    <t>PUR70 Polyurethane Ocre / Jaune ; 3.000 x 1.000 x 5 mm</t>
  </si>
  <si>
    <t>Lengte: 3.000 mm ; Breedte: 1.000 mm ; Dikte: 5 mm ; Zonder lijmlaag ; Kleur: Geel / Oker ; Hardheid: 70° Shore A; Slijtage: ≤ 45 mm³ ; Dichtheid / soortelijk gewicht: 1,24 g/cm³ ; Treksterkte: ≥ 35 N/mm² ; Rek bij breuk: ≥ 500 % ; Rebound-elasticiteit: 55%; Scheurvastheid: ≥ 30 N/mm</t>
  </si>
  <si>
    <t>Länge: 3.000 mm; Breite: 1.000 mm ; Stärke: 5 mm ; Ohne Kleberschicht ; Farbe: Gelb / Ocker ; Härte: 70° Shore A ; Abrieb: ≤ 45 mm³ ; Rohdichte / Spezifisches Gewicht: 1,24 g/cm³ ; Zugfestigkeit: ≥ 35 N/mm² ; Bruchdehnung: ≥ 500 % ; Stoßelastizität: 55 % ; Weiterreißwiderstand: ≥ 30 N/mm</t>
  </si>
  <si>
    <t>Length: 3.000 mm; Width: 1.000 mm ; Thickness: 5 mm ; Without bonding layer ; Colour: Yellow / Ochre ; Hardness: 70° Shore A ; Abrasion: ≤ 45 mm³ ; Density / specific weight: 1,24 g/cm³ ; Tensile strength: ≥ 35 N/mm² ; Elongation at break: ≥ 500 % ; Rebound elasticity: 55 % ; Tear-growth resistance: ≥ 30 N/mm</t>
  </si>
  <si>
    <t>Longueur : 3 000 mm ; Largeur : 1.000 mm ; Épaisseur : 5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</si>
  <si>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PUR70-3000X1000X6RE</t>
  </si>
  <si>
    <t>PUR70-3000x1000x6</t>
  </si>
  <si>
    <t>146,000</t>
  </si>
  <si>
    <t>PUR70 Polyurethane Oker / Geel ; 3.000 x 1.000 x 6 mm</t>
  </si>
  <si>
    <t>PUR70 Polyurethane Ocker / Gelb ; 3.000 x 1.000 x 6 mm</t>
  </si>
  <si>
    <t>PUR70 Polyurethane Ocher / Yellow ; 3.000 x 1.000 x 6 mm</t>
  </si>
  <si>
    <t>PUR70 Polyurethane Ocre / Jaune ; 3.000 x 1.000 x 6 mm</t>
  </si>
  <si>
    <t>Lengte: 3.000 mm ; Breedte: 1.000 mm ; Dikte: 6 mm ; Zonder lijmlaag ; Kleur: Geel / Oker ; Hardheid: 70° Shore A; Slijtage: ≤ 45 mm³ ; Dichtheid / soortelijk gewicht: 1,24 g/cm³ ; Treksterkte: ≥ 35 N/mm² ; Rek bij breuk: ≥ 500 % ; Rebound-elasticiteit: 55%; Scheurvastheid: ≥ 30 N/mm</t>
  </si>
  <si>
    <t>Länge: 3.000 mm; Breite: 1.000 mm ; Stärke: 6 mm ; Ohne Kleberschicht ; Farbe: Gelb / Ocker ; Härte: 70° Shore A ; Abrieb: ≤ 45 mm³ ; Rohdichte / Spezifisches Gewicht: 1,24 g/cm³ ; Zugfestigkeit: ≥ 35 N/mm² ; Bruchdehnung: ≥ 500 % ; Stoßelastizität: 55 % ; Weiterreißwiderstand: ≥ 30 N/mm</t>
  </si>
  <si>
    <t>Length: 3.000 mm; Width: 1.000 mm ; Thickness: 6 mm ; Without bonding layer ; Colour: Yellow / Ochre ; Hardness: 70° Shore A ; Abrasion: ≤ 45 mm³ ; Density / specific weight: 1,24 g/cm³ ; Tensile strength: ≥ 35 N/mm² ; Elongation at break: ≥ 500 % ; Rebound elasticity: 55 % ; Tear-growth resistance: ≥ 30 N/mm</t>
  </si>
  <si>
    <t>Longueur : 3 000 mm ; Largeur : 1.000 mm ; Épaisseur : 6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</si>
  <si>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PUR70-3000X1000X8RE</t>
  </si>
  <si>
    <t>PUR70-3000x1000x8</t>
  </si>
  <si>
    <t>183,000</t>
  </si>
  <si>
    <t>PUR70 Polyurethane Oker / Geel ; 3.000 x 1.000 x 8 mm</t>
  </si>
  <si>
    <t>PUR70 Polyurethane Ocker / Gelb ; 3.000 x 1.000 x 8 mm</t>
  </si>
  <si>
    <t>PUR70 Polyurethane Ocher / Yellow ; 3.000 x 1.000 x 8 mm</t>
  </si>
  <si>
    <t>PUR70 Polyurethane Ocre / Jaune ; 3.000 x 1.000 x 8 mm</t>
  </si>
  <si>
    <t>Lengte: 3.000 mm ; Breedte: 1.000 mm ; Dikte: 8 mm ; Zonder lijmlaag ; Kleur: Geel / Oker ; Hardheid: 70° Shore A; Slijtage: ≤ 45 mm³ ; Dichtheid / soortelijk gewicht: 1,24 g/cm³ ; Treksterkte: ≥ 35 N/mm² ; Rek bij breuk: ≥ 500 % ; Rebound-elasticiteit: 55%; Scheurvastheid: ≥ 30 N/mm</t>
  </si>
  <si>
    <t>Länge: 3.000 mm; Breite: 1.000 mm ; Stärke: 8 mm ; Ohne Kleberschicht ; Farbe: Gelb / Ocker ; Härte: 70° Shore A ; Abrieb: ≤ 45 mm³ ; Rohdichte / Spezifisches Gewicht: 1,24 g/cm³ ; Zugfestigkeit: ≥ 35 N/mm² ; Bruchdehnung: ≥ 500 % ; Stoßelastizität: 55 % ; Weiterreißwiderstand: ≥ 30 N/mm</t>
  </si>
  <si>
    <t>Length: 3.000 mm; Width: 1.000 mm ; Thickness: 8 mm ; Without bonding layer ; Colour: Yellow / Ochre ; Hardness: 70° Shore A ; Abrasion: ≤ 45 mm³ ; Density / specific weight: 1,24 g/cm³ ; Tensile strength: ≥ 35 N/mm² ; Elongation at break: ≥ 500 % ; Rebound elasticity: 55 % ; Tear-growth resistance: ≥ 30 N/mm</t>
  </si>
  <si>
    <t>Longueur : 3 000 mm ; Largeur : 1.000 mm ; Épaisseur : 8 mm ; Sans face adhésive ; Couleur : Jaune / Ocre ; Dureté : 70° Shore A ; Abrasion : ≤ 45 mm³ ; Densité / poids spécifique : 1,24 g/cm³ ; Résistance à la traction : ≥ 35 N/mm² ; Allongement à la rupture : ≥ 500 % ; Élasticité de rebond : 55 % ; Résistance à la déchirure : ≥ 30 N/mm</t>
  </si>
  <si>
    <t>PUR80-10.000X150X10RE</t>
  </si>
  <si>
    <t>PUR80-10.000X150X10</t>
  </si>
  <si>
    <t>236,000</t>
  </si>
  <si>
    <t>PUR80-2000X1000X10RE</t>
  </si>
  <si>
    <t>PUR80-2000X1000X10</t>
  </si>
  <si>
    <t>163,000</t>
  </si>
  <si>
    <t>PUR80 Polyurethane Oker / Geel ; 2.000 x 1.000 x 10 mm</t>
  </si>
  <si>
    <t>PUR80 Polyurethane Ocker / Gelb ; 2.000 x 1.000 x 10 mm</t>
  </si>
  <si>
    <t>PUR80 Polyurethane Ocher / Yellow ; 2.000 x 1.000 x 10 mm</t>
  </si>
  <si>
    <t>PUR80 Polyurethane Ocre / Jaune ; 2.000 x 1.000 x 10 mm</t>
  </si>
  <si>
    <t>Lengte: 2.000 mm ; Breedte: 1.000 mm ; Dikte: 10 mm ; Zonder lijmlaag ; Kleur: Geel / Oker ; Hardheid: 80° Shore A; Slijtage: ≤ 50 mm³ ; Dichtheid / soortelijk gewicht: 1,24 g/cm³ ; Treksterkte: ≥ 45 N/mm² ; Rek bij breuk: ≥ 550 % ; Rebound-elasticiteit: 35%; Scheurvastheid: ≥ 40 N/mm</t>
  </si>
  <si>
    <t>Länge: 2.000 mm; Breite: 1.000 mm ; Stärke: 10 mm ; Ohne Kleberschicht ; Farbe: Gelb / Ocker ; Härte: 80° Shore A ; Abrieb: ≤ 50 mm³ ; Rohdichte / Spezifisches Gewicht: 1,24 g/cm³ ; Zugfestigkeit: ≥ 45 N/mm² ; Bruchdehnung: ≥ 550 % ; Stoßelastizität: 35 % ; Weiterreißwiderstand: ≥ 40 N/mm</t>
  </si>
  <si>
    <t>Length: 2.000 mm; Width: 1.000 mm ; Thickness: 10 mm ; Without bonding layer ; Colour: Yellow / Ochre ; Hardness: 80° Shore A ; Abrasion: ≤ 50 mm³ ; Density / specific weight: 1,24 g/cm³ ; Tensile strength: ≥ 45 N/mm² ; Elongation at break: ≥ 550 % ; Rebound elasticity: 35 % ; Tear-growth resistance: ≥ 40 N/mm</t>
  </si>
  <si>
    <t>Longueur : 2 000 mm ; Largeur : 1.000 mm ; Épaisseur : 10 mm ; Sans face adhésive ; Couleur : Jaune / Ocre ; Dureté : 80° Shore A ; Abrasion : ≤ 50 mm³ ; Densité / poids spécifique : 1,24 g/cm³ ; Résistance à la traction : ≥ 45 N/mm² ; Allongement à la rupture : ≥ 550 % ; Élasticité de rebond : 35 % ; Résistance à la déchirure : ≥ 40 N/mm</t>
  </si>
  <si>
    <t>Verschleißschutz PU 75</t>
  </si>
  <si>
    <t>PUR80-2000X1000X12RE</t>
  </si>
  <si>
    <t>PUR80-2000x1000x12</t>
  </si>
  <si>
    <t>194,600</t>
  </si>
  <si>
    <t>PUR80 Polyurethane Oker / Geel ; 2.000 x 1.000 x 12 mm</t>
  </si>
  <si>
    <t>PUR80 Polyurethane Ocker / Gelb ; 2.000 x 1.000 x 12 mm</t>
  </si>
  <si>
    <t>PUR80 Polyurethane Ocher / Yellow ; 2.000 x 1.000 x 12 mm</t>
  </si>
  <si>
    <t>PUR80 Polyurethane Ocre / Jaune ; 2.000 x 1.000 x 12 mm</t>
  </si>
  <si>
    <t>Lengte: 2.000 mm ; Breedte: 1.000 mm ; Dikte: 12 mm ; Zonder lijmlaag ; Kleur: Geel / Oker ; Hardheid: 80° Shore A; Slijtage: ≤ 50 mm³ ; Dichtheid / soortelijk gewicht: 1,24 g/cm³ ; Treksterkte: ≥ 45 N/mm² ; Rek bij breuk: ≥ 550 % ; Rebound-elasticiteit: 35%; Scheurvastheid: ≥ 40 N/mm</t>
  </si>
  <si>
    <t>Länge: 2.000 mm; Breite: 1.000 mm ; Stärke: 12 mm ; Ohne Kleberschicht ; Farbe: Gelb / Ocker ; Härte: 80° Shore A ; Abrieb: ≤ 50 mm³ ; Rohdichte / Spezifisches Gewicht: 1,24 g/cm³ ; Zugfestigkeit: ≥ 45 N/mm² ; Bruchdehnung: ≥ 550 % ; Stoßelastizität: 35 % ; Weiterreißwiderstand: ≥ 40 N/mm</t>
  </si>
  <si>
    <t>Length: 2.000 mm; Width: 1.000 mm ; Thickness: 12 mm ; Without bonding layer ; Colour: Yellow / Ochre ; Hardness: 80° Shore A ; Abrasion: ≤ 50 mm³ ; Density / specific weight: 1,24 g/cm³ ; Tensile strength: ≥ 45 N/mm² ; Elongation at break: ≥ 550 % ; Rebound elasticity: 35 % ; Tear-growth resistance: ≥ 40 N/mm</t>
  </si>
  <si>
    <t>Longueur : 2 000 mm ; Largeur : 1.000 mm ; Épaisseur : 12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</si>
  <si>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PUR80-2000X1000X15RE</t>
  </si>
  <si>
    <t>PUR80-2000X1000X15</t>
  </si>
  <si>
    <t>PUR80 Polyurethane Oker / Geel ; 2.000 x 1.000 x 15 mm</t>
  </si>
  <si>
    <t>PUR80 Polyurethane Ocker / Gelb ; 2.000 x 1.000 x 15 mm</t>
  </si>
  <si>
    <t>PUR80 Polyurethane Ocher / Yellow ; 2.000 x 1.000 x 15 mm</t>
  </si>
  <si>
    <t>PUR80 Polyurethane Ocre / Jaune ; 2.000 x 1.000 x 15 mm</t>
  </si>
  <si>
    <t>Lengte: 2.000 mm ; Breedte: 1.000 mm ; Dikte: 15 mm ; Zonder lijmlaag ; Kleur: Geel / Oker ; Hardheid: 80° Shore A; Slijtage: ≤ 50 mm³ ; Dichtheid / soortelijk gewicht: 1,24 g/cm³ ; Treksterkte: ≥ 45 N/mm² ; Rek bij breuk: ≥ 550 % ; Rebound-elasticiteit: 35%; Scheurvastheid: ≥ 40 N/mm</t>
  </si>
  <si>
    <t>Länge: 2.000 mm; Breite: 1.000 mm ; Stärke: 15 mm ; Ohne Kleberschicht ; Farbe: Gelb / Ocker ; Härte: 80° Shore A ; Abrieb: ≤ 50 mm³ ; Rohdichte / Spezifisches Gewicht: 1,24 g/cm³ ; Zugfestigkeit: ≥ 45 N/mm² ; Bruchdehnung: ≥ 550 % ; Stoßelastizität: 35 % ; Weiterreißwiderstand: ≥ 40 N/mm</t>
  </si>
  <si>
    <t>Length: 2.000 mm; Width: 1.000 mm ; Thickness: 15 mm ; Without bonding layer ; Colour: Yellow / Ochre ; Hardness: 80° Shore A ; Abrasion: ≤ 50 mm³ ; Density / specific weight: 1,24 g/cm³ ; Tensile strength: ≥ 45 N/mm² ; Elongation at break: ≥ 550 % ; Rebound elasticity: 35 % ; Tear-growth resistance: ≥ 40 N/mm</t>
  </si>
  <si>
    <t>Longueur : 2 000 mm ; Largeur : 1.000 mm ; Épaisseur : 15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</si>
  <si>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PUR80-2000X1000X20RE</t>
  </si>
  <si>
    <t>PUR80-2000X1000X20</t>
  </si>
  <si>
    <t>PUR80 Polyurethane Oker / Geel ; 2.000 x 1.000 x 20 mm</t>
  </si>
  <si>
    <t>PUR80 Polyurethane Ocker / Gelb ; 2.000 x 1.000 x 20 mm</t>
  </si>
  <si>
    <t>PUR80 Polyurethane Ocher / Yellow ; 2.000 x 1.000 x 20 mm</t>
  </si>
  <si>
    <t>PUR80 Polyurethane Ocre / Jaune ; 2.000 x 1.000 x 20 mm</t>
  </si>
  <si>
    <t>Lengte: 2.000 mm ; Breedte: 1.000 mm ; Dikte: 20 mm ; Zonder lijmlaag ; Kleur: Geel / Oker ; Hardheid: 80° Shore A; Slijtage: ≤ 50 mm³ ; Dichtheid / soortelijk gewicht: 1,24 g/cm³ ; Treksterkte: ≥ 45 N/mm² ; Rek bij breuk: ≥ 550 % ; Rebound-elasticiteit: 35%; Scheurvastheid: ≥ 40 N/mm</t>
  </si>
  <si>
    <t>Länge: 2.000 mm; Breite: 1.000 mm ; Stärke: 20 mm ; Ohne Kleberschicht ; Farbe: Gelb / Ocker ; Härte: 80° Shore A ; Abrieb: ≤ 50 mm³ ; Rohdichte / Spezifisches Gewicht: 1,24 g/cm³ ; Zugfestigkeit: ≥ 45 N/mm² ; Bruchdehnung: ≥ 550 % ; Stoßelastizität: 35 % ; Weiterreißwiderstand: ≥ 40 N/mm</t>
  </si>
  <si>
    <t>Length: 2.000 mm; Width: 1.000 mm ; Thickness: 20 mm ; Without bonding layer ; Colour: Yellow / Ochre ; Hardness: 80° Shore A ; Abrasion: ≤ 50 mm³ ; Density / specific weight: 1,24 g/cm³ ; Tensile strength: ≥ 45 N/mm² ; Elongation at break: ≥ 550 % ; Rebound elasticity: 35 % ; Tear-growth resistance: ≥ 40 N/mm</t>
  </si>
  <si>
    <t>Longueur : 2 000 mm ; Largeur : 1.000 mm ; Épaisseur : 20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</si>
  <si>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PUR80-2000X1000X2RE</t>
  </si>
  <si>
    <t>PUR80-2000x1000x2</t>
  </si>
  <si>
    <t>34,000</t>
  </si>
  <si>
    <t>PUR80 Polyurethane Oker / Geel ; 2.000 x 1.000 x 2 mm</t>
  </si>
  <si>
    <t>PUR80 Polyurethane Ocker / Gelb ; 2.000 x 1.000 x 2 mm</t>
  </si>
  <si>
    <t>PUR80 Polyurethane Ocher / Yellow ; 2.000 x 1.000 x 2 mm</t>
  </si>
  <si>
    <t>PUR80 Polyurethane Ocre / Jaune ; 2.000 x 1.000 x 2 mm</t>
  </si>
  <si>
    <t>Lengte: 2.000 mm ; Breedte: 1.000 mm ; Dikte: 2 mm ; Zonder lijmlaag ; Kleur: Geel / Oker ; Hardheid: 80° Shore A; Slijtage: ≤ 50 mm³ ; Dichtheid / soortelijk gewicht: 1,24 g/cm³ ; Treksterkte: ≥ 45 N/mm² ; Rek bij breuk: ≥ 550 % ; Rebound-elasticiteit: 35%; Scheurvastheid: ≥ 40 N/mm</t>
  </si>
  <si>
    <t>Länge: 2.000 mm; Breite: 1.000 mm ; Stärke: 2 mm ; Ohne Kleberschicht ; Farbe: Gelb / Ocker ; Härte: 80° Shore A ; Abrieb: ≤ 50 mm³ ; Rohdichte / Spezifisches Gewicht: 1,24 g/cm³ ; Zugfestigkeit: ≥ 45 N/mm² ; Bruchdehnung: ≥ 550 % ; Stoßelastizität: 35 % ; Weiterreißwiderstand: ≥ 40 N/mm</t>
  </si>
  <si>
    <t>Length: 2.000 mm; Width: 1.000 mm ; Thickness: 2 mm ; Without bonding layer ; Colour: Yellow / Ochre ; Hardness: 80° Shore A ; Abrasion: ≤ 50 mm³ ; Density / specific weight: 1,24 g/cm³ ; Tensile strength: ≥ 45 N/mm² ; Elongation at break: ≥ 550 % ; Rebound elasticity: 35 % ; Tear-growth resistance: ≥ 40 N/mm</t>
  </si>
  <si>
    <t>Longueur : 2 000 mm ; Largeur : 1.000 mm ; Épaisseur : 2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</si>
  <si>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PUR80-2000X1000X30RE</t>
  </si>
  <si>
    <t>PUR80-2000X1000X30</t>
  </si>
  <si>
    <t>458,000</t>
  </si>
  <si>
    <t>PUR80 Polyurethane Oker / Geel ; 2.000 x 1.000 x 30 mm</t>
  </si>
  <si>
    <t>PUR80 Polyurethane Ocker / Gelb ; 2.000 x 1.000 x 30 mm</t>
  </si>
  <si>
    <t>PUR80 Polyurethane Ocher / Yellow ; 2.000 x 1.000 x 30 mm</t>
  </si>
  <si>
    <t>PUR80 Polyurethane Ocre / Jaune ; 2.000 x 1.000 x 30 mm</t>
  </si>
  <si>
    <t>Lengte: 2.000 mm ; Breedte: 1.000 mm ; Dikte: 30 mm ; Zonder lijmlaag ; Kleur: Geel / Oker ; Hardheid: 80° Shore A; Slijtage: ≤ 50 mm³ ; Dichtheid / soortelijk gewicht: 1,24 g/cm³ ; Treksterkte: ≥ 45 N/mm² ; Rek bij breuk: ≥ 550 % ; Rebound-elasticiteit: 35%; Scheurvastheid: ≥ 40 N/mm</t>
  </si>
  <si>
    <t>Länge: 2.000 mm; Breite: 1.000 mm ; Stärke: 30 mm ; Ohne Kleberschicht ; Farbe: Gelb / Ocker ; Härte: 80° Shore A ; Abrieb: ≤ 50 mm³ ; Rohdichte / Spezifisches Gewicht: 1,24 g/cm³ ; Zugfestigkeit: ≥ 45 N/mm² ; Bruchdehnung: ≥ 550 % ; Stoßelastizität: 35 % ; Weiterreißwiderstand: ≥ 40 N/mm</t>
  </si>
  <si>
    <t>Length: 2.000 mm; Width: 1.000 mm ; Thickness: 30 mm ; Without bonding layer ; Colour: Yellow / Ochre ; Hardness: 80° Shore A ; Abrasion: ≤ 50 mm³ ; Density / specific weight: 1,24 g/cm³ ; Tensile strength: ≥ 45 N/mm² ; Elongation at break: ≥ 550 % ; Rebound elasticity: 35 % ; Tear-growth resistance: ≥ 40 N/mm</t>
  </si>
  <si>
    <t>Longueur : 2 000 mm ; Largeur : 1.000 mm ; Épaisseur : 30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</si>
  <si>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PUR80-2000X1000X3RE</t>
  </si>
  <si>
    <t>PUR80-2000x1000x3</t>
  </si>
  <si>
    <t>PUR80 Polyurethane Oker / Geel ; 2.000 x 1.000 x 3 mm</t>
  </si>
  <si>
    <t>PUR80 Polyurethane Ocker / Gelb ; 2.000 x 1.000 x 3 mm</t>
  </si>
  <si>
    <t>PUR80 Polyurethane Ocher / Yellow ; 2.000 x 1.000 x 3 mm</t>
  </si>
  <si>
    <t>PUR80 Polyurethane Ocre / Jaune ; 2.000 x 1.000 x 3 mm</t>
  </si>
  <si>
    <t>Lengte: 2.000 mm ; Breedte: 1.000 mm ; Dikte: 3 mm ; Zonder lijmlaag ; Kleur: Geel / Oker ; Hardheid: 80° Shore A; Slijtage: ≤ 50 mm³ ; Dichtheid / soortelijk gewicht: 1,24 g/cm³ ; Treksterkte: ≥ 45 N/mm² ; Rek bij breuk: ≥ 550 % ; Rebound-elasticiteit: 35%; Scheurvastheid: ≥ 40 N/mm</t>
  </si>
  <si>
    <t>Länge: 2.000 mm; Breite: 1.000 mm ; Stärke: 3 mm ; Ohne Kleberschicht ; Farbe: Gelb / Ocker ; Härte: 80° Shore A ; Abrieb: ≤ 50 mm³ ; Rohdichte / Spezifisches Gewicht: 1,24 g/cm³ ; Zugfestigkeit: ≥ 45 N/mm² ; Bruchdehnung: ≥ 550 % ; Stoßelastizität: 35 % ; Weiterreißwiderstand: ≥ 40 N/mm</t>
  </si>
  <si>
    <t>Length: 2.000 mm; Width: 1.000 mm ; Thickness: 3 mm ; Without bonding layer ; Colour: Yellow / Ochre ; Hardness: 80° Shore A ; Abrasion: ≤ 50 mm³ ; Density / specific weight: 1,24 g/cm³ ; Tensile strength: ≥ 45 N/mm² ; Elongation at break: ≥ 550 % ; Rebound elasticity: 35 % ; Tear-growth resistance: ≥ 40 N/mm</t>
  </si>
  <si>
    <t>Longueur : 2 000 mm ; Largeur : 1.000 mm ; Épaisseur : 3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</si>
  <si>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PUR80-2000X1000X4RE</t>
  </si>
  <si>
    <t>PUR80-2000x1000x4</t>
  </si>
  <si>
    <t>PUR80 Polyurethane Oker / Geel ; 2.000 x 1.000 x 4 mm</t>
  </si>
  <si>
    <t>PUR80 Polyurethane Ocker / Gelb ; 2.000 x 1.000 x 4 mm</t>
  </si>
  <si>
    <t>PUR80 Polyurethane Ocher / Yellow ; 2.000 x 1.000 x 4 mm</t>
  </si>
  <si>
    <t>PUR80 Polyurethane Ocre / Jaune ; 2.000 x 1.000 x 4 mm</t>
  </si>
  <si>
    <t>Lengte: 2.000 mm ; Breedte: 1.000 mm ; Dikte: 4 mm ; Zonder lijmlaag ; Kleur: Geel / Oker ; Hardheid: 80° Shore A; Slijtage: ≤ 50 mm³ ; Dichtheid / soortelijk gewicht: 1,24 g/cm³ ; Treksterkte: ≥ 45 N/mm² ; Rek bij breuk: ≥ 550 % ; Rebound-elasticiteit: 35%; Scheurvastheid: ≥ 40 N/mm</t>
  </si>
  <si>
    <t>Länge: 2.000 mm; Breite: 1.000 mm ; Stärke: 4 mm ; Ohne Kleberschicht ; Farbe: Gelb / Ocker ; Härte: 80° Shore A ; Abrieb: ≤ 50 mm³ ; Rohdichte / Spezifisches Gewicht: 1,24 g/cm³ ; Zugfestigkeit: ≥ 45 N/mm² ; Bruchdehnung: ≥ 550 % ; Stoßelastizität: 35 % ; Weiterreißwiderstand: ≥ 40 N/mm</t>
  </si>
  <si>
    <t>Length: 2.000 mm; Width: 1.000 mm ; Thickness: 4 mm ; Without bonding layer ; Colour: Yellow / Ochre ; Hardness: 80° Shore A ; Abrasion: ≤ 50 mm³ ; Density / specific weight: 1,24 g/cm³ ; Tensile strength: ≥ 45 N/mm² ; Elongation at break: ≥ 550 % ; Rebound elasticity: 35 % ; Tear-growth resistance: ≥ 40 N/mm</t>
  </si>
  <si>
    <t>Longueur : 2 000 mm ; Largeur : 1.000 mm ; Épaisseur : 4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</si>
  <si>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PUR80-2000X1000X50RE</t>
  </si>
  <si>
    <t>PUR80-2000X1000X50</t>
  </si>
  <si>
    <t>788,000</t>
  </si>
  <si>
    <t>PUR80-2000X1000X5RE</t>
  </si>
  <si>
    <t>PUR80-2000X1000X5</t>
  </si>
  <si>
    <t>PUR80 Polyurethane Oker / Geel ; 2.000 x 1.000 x 5 mm</t>
  </si>
  <si>
    <t>PUR80 Polyurethane Ocker / Gelb ; 2.000 x 1.000 x 5 mm</t>
  </si>
  <si>
    <t>PUR80 Polyurethane Ocher / Yellow ; 2.000 x 1.000 x 5 mm</t>
  </si>
  <si>
    <t>PUR80 Polyurethane Ocre / Jaune ; 2.000 x 1.000 x 5 mm</t>
  </si>
  <si>
    <t>Lengte: 2.000 mm ; Breedte: 1.000 mm ; Dikte: 5 mm ; Zonder lijmlaag ; Kleur: Geel / Oker ; Hardheid: 80° Shore A; Slijtage: ≤ 50 mm³ ; Dichtheid / soortelijk gewicht: 1,24 g/cm³ ; Treksterkte: ≥ 45 N/mm² ; Rek bij breuk: ≥ 550 % ; Rebound-elasticiteit: 35%; Scheurvastheid: ≥ 40 N/mm</t>
  </si>
  <si>
    <t>Länge: 2.000 mm; Breite: 1.000 mm ; Stärke: 5 mm ; Ohne Kleberschicht ; Farbe: Gelb / Ocker ; Härte: 80° Shore A ; Abrieb: ≤ 50 mm³ ; Rohdichte / Spezifisches Gewicht: 1,24 g/cm³ ; Zugfestigkeit: ≥ 45 N/mm² ; Bruchdehnung: ≥ 550 % ; Stoßelastizität: 35 % ; Weiterreißwiderstand: ≥ 40 N/mm</t>
  </si>
  <si>
    <t>Length: 2.000 mm; Width: 1.000 mm ; Thickness: 5 mm ; Without bonding layer ; Colour: Yellow / Ochre ; Hardness: 80° Shore A ; Abrasion: ≤ 50 mm³ ; Density / specific weight: 1,24 g/cm³ ; Tensile strength: ≥ 45 N/mm² ; Elongation at break: ≥ 550 % ; Rebound elasticity: 35 % ; Tear-growth resistance: ≥ 40 N/mm</t>
  </si>
  <si>
    <t>Longueur : 2 000 mm ; Largeur : 1.000 mm ; Épaisseur : 5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</si>
  <si>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PUR80-2000X1000X6RE</t>
  </si>
  <si>
    <t>PUR80-2000X1000X6</t>
  </si>
  <si>
    <t>92,000</t>
  </si>
  <si>
    <t>PUR80 Polyurethane Oker / Geel ; 2.000 x 1.000 x 6 mm</t>
  </si>
  <si>
    <t>PUR80 Polyurethane Ocker / Gelb ; 2.000 x 1.000 x 6 mm</t>
  </si>
  <si>
    <t>PUR80 Polyurethane Ocher / Yellow ; 2.000 x 1.000 x 6 mm</t>
  </si>
  <si>
    <t>PUR80 Polyurethane Ocre / Jaune ; 2.000 x 1.000 x 6 mm</t>
  </si>
  <si>
    <t>Lengte: 2.000 mm ; Breedte: 1.000 mm ; Dikte: 6 mm ; Zonder lijmlaag ; Kleur: Geel / Oker ; Hardheid: 80° Shore A; Slijtage: ≤ 50 mm³ ; Dichtheid / soortelijk gewicht: 1,24 g/cm³ ; Treksterkte: ≥ 45 N/mm² ; Rek bij breuk: ≥ 550 % ; Rebound-elasticiteit: 35%; Scheurvastheid: ≥ 40 N/mm</t>
  </si>
  <si>
    <t>Länge: 2.000 mm; Breite: 1.000 mm ; Stärke: 6 mm ; Ohne Kleberschicht ; Farbe: Gelb / Ocker ; Härte: 80° Shore A ; Abrieb: ≤ 50 mm³ ; Rohdichte / Spezifisches Gewicht: 1,24 g/cm³ ; Zugfestigkeit: ≥ 45 N/mm² ; Bruchdehnung: ≥ 550 % ; Stoßelastizität: 35 % ; Weiterreißwiderstand: ≥ 40 N/mm</t>
  </si>
  <si>
    <t>Length: 2.000 mm; Width: 1.000 mm ; Thickness: 6 mm ; Without bonding layer ; Colour: Yellow / Ochre ; Hardness: 80° Shore A ; Abrasion: ≤ 50 mm³ ; Density / specific weight: 1,24 g/cm³ ; Tensile strength: ≥ 45 N/mm² ; Elongation at break: ≥ 550 % ; Rebound elasticity: 35 % ; Tear-growth resistance: ≥ 40 N/mm</t>
  </si>
  <si>
    <t>Longueur : 2 000 mm ; Largeur : 1.000 mm ; Épaisseur : 6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</si>
  <si>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PUR80-2000X1000X8RE</t>
  </si>
  <si>
    <t>PUR80-2000X1000X8</t>
  </si>
  <si>
    <t>PUR80 Polyurethane Oker / Geel ; 2.000 x 1.000 x 8 mm</t>
  </si>
  <si>
    <t>PUR80 Polyurethane Ocker / Gelb ; 2.000 x 1.000 x 8 mm</t>
  </si>
  <si>
    <t>PUR80 Polyurethane Ocher / Yellow ; 2.000 x 1.000 x 8 mm</t>
  </si>
  <si>
    <t>PUR80 Polyurethane Ocre / Jaune ; 2.000 x 1.000 x 8 mm</t>
  </si>
  <si>
    <t>Lengte: 2.000 mm ; Breedte: 1.000 mm ; Dikte: 8 mm ; Zonder lijmlaag ; Kleur: Geel / Oker ; Hardheid: 80° Shore A; Slijtage: ≤ 50 mm³ ; Dichtheid / soortelijk gewicht: 1,24 g/cm³ ; Treksterkte: ≥ 45 N/mm² ; Rek bij breuk: ≥ 550 % ; Rebound-elasticiteit: 35%; Scheurvastheid: ≥ 40 N/mm</t>
  </si>
  <si>
    <t>Länge: 2.000 mm; Breite: 1.000 mm ; Stärke: 8 mm ; Ohne Kleberschicht ; Farbe: Gelb / Ocker ; Härte: 80° Shore A ; Abrieb: ≤ 50 mm³ ; Rohdichte / Spezifisches Gewicht: 1,24 g/cm³ ; Zugfestigkeit: ≥ 45 N/mm² ; Bruchdehnung: ≥ 550 % ; Stoßelastizität: 35 % ; Weiterreißwiderstand: ≥ 40 N/mm</t>
  </si>
  <si>
    <t>Length: 2.000 mm; Width: 1.000 mm ; Thickness: 8 mm ; Without bonding layer ; Colour: Yellow / Ochre ; Hardness: 80° Shore A ; Abrasion: ≤ 50 mm³ ; Density / specific weight: 1,24 g/cm³ ; Tensile strength: ≥ 45 N/mm² ; Elongation at break: ≥ 550 % ; Rebound elasticity: 35 % ; Tear-growth resistance: ≥ 40 N/mm</t>
  </si>
  <si>
    <t>Longueur : 2 000 mm ; Largeur : 1.000 mm ; Épaisseur : 8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</si>
  <si>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PUR80-3000X1000X10RE</t>
  </si>
  <si>
    <t>PUR80-3000X1000X10</t>
  </si>
  <si>
    <t>PUR80 Polyurethane Oker / Geel ; 3.000 x 1.000 x 10 mm</t>
  </si>
  <si>
    <t>PUR80 Polyurethane Ocker / Gelb ; 3.000 x 1.000 x 10 mm</t>
  </si>
  <si>
    <t>PUR80 Polyurethane Ocher / Yellow ; 3.000 x 1.000 x 10 mm</t>
  </si>
  <si>
    <t>PUR80 Polyurethane Ocre / Jaune ; 3.000 x 1.000 x 10 mm</t>
  </si>
  <si>
    <t>Lengte: 3.000 mm ; Breedte: 1.000 mm ; Dikte: 10 mm ; Zonder lijmlaag ; Kleur: Geel / Oker ; Hardheid: 80° Shore A; Slijtage: ≤ 50 mm³ ; Dichtheid / soortelijk gewicht: 1,24 g/cm³ ; Treksterkte: ≥ 45 N/mm² ; Rek bij breuk: ≥ 550 % ; Rebound-elasticiteit: 35%; Scheurvastheid: ≥ 40 N/mm</t>
  </si>
  <si>
    <t>Länge: 3.000 mm; Breite: 1.000 mm ; Stärke: 10 mm ; Ohne Kleberschicht ; Farbe: Gelb / Ocker ; Härte: 80° Shore A ; Abrieb: ≤ 50 mm³ ; Rohdichte / Spezifisches Gewicht: 1,24 g/cm³ ; Zugfestigkeit: ≥ 45 N/mm² ; Bruchdehnung: ≥ 550 % ; Stoßelastizität: 35 % ; Weiterreißwiderstand: ≥ 40 N/mm</t>
  </si>
  <si>
    <t>Length: 3.000 mm; Width: 1.000 mm ; Thickness: 10 mm ; Without bonding layer ; Colour: Yellow / Ochre ; Hardness: 80° Shore A ; Abrasion: ≤ 50 mm³ ; Density / specific weight: 1,24 g/cm³ ; Tensile strength: ≥ 45 N/mm² ; Elongation at break: ≥ 550 % ; Rebound elasticity: 35 % ; Tear-growth resistance: ≥ 40 N/mm</t>
  </si>
  <si>
    <t>Longueur : 3 000 mm ; Largeur : 1.000 mm ; Épaisseur : 10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</si>
  <si>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PUR80-3000X1000X12RE</t>
  </si>
  <si>
    <t>PUR80-3000x1000x12</t>
  </si>
  <si>
    <t>PUR80 Polyurethane Oker / Geel ; 3.000 x 1.000 x 12 mm</t>
  </si>
  <si>
    <t>PUR80 Polyurethane Ocker / Gelb ; 3.000 x 1.000 x 12 mm</t>
  </si>
  <si>
    <t>PUR80 Polyurethane Ocher / Yellow ; 3.000 x 1.000 x 12 mm</t>
  </si>
  <si>
    <t>PUR80 Polyurethane Ocre / Jaune ; 3.000 x 1.000 x 12 mm</t>
  </si>
  <si>
    <t>Lengte: 3.000 mm ; Breedte: 1.000 mm ; Dikte: 12 mm ; Zonder lijmlaag ; Kleur: Geel / Oker ; Hardheid: 80° Shore A; Slijtage: ≤ 50 mm³ ; Dichtheid / soortelijk gewicht: 1,24 g/cm³ ; Treksterkte: ≥ 45 N/mm² ; Rek bij breuk: ≥ 550 % ; Rebound-elasticiteit: 35%; Scheurvastheid: ≥ 40 N/mm</t>
  </si>
  <si>
    <t>Länge: 3.000 mm; Breite: 1.000 mm ; Stärke: 12 mm ; Ohne Kleberschicht ; Farbe: Gelb / Ocker ; Härte: 80° Shore A ; Abrieb: ≤ 50 mm³ ; Rohdichte / Spezifisches Gewicht: 1,24 g/cm³ ; Zugfestigkeit: ≥ 45 N/mm² ; Bruchdehnung: ≥ 550 % ; Stoßelastizität: 35 % ; Weiterreißwiderstand: ≥ 40 N/mm</t>
  </si>
  <si>
    <t>Length: 3.000 mm; Width: 1.000 mm ; Thickness: 12 mm ; Without bonding layer ; Colour: Yellow / Ochre ; Hardness: 80° Shore A ; Abrasion: ≤ 50 mm³ ; Density / specific weight: 1,24 g/cm³ ; Tensile strength: ≥ 45 N/mm² ; Elongation at break: ≥ 550 % ; Rebound elasticity: 35 % ; Tear-growth resistance: ≥ 40 N/mm</t>
  </si>
  <si>
    <t>Longueur : 3 000 mm ; Largeur : 1.000 mm ; Épaisseur : 12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</si>
  <si>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PUR80-3000X1000X15RE</t>
  </si>
  <si>
    <t>PUR80-3000X1000X15</t>
  </si>
  <si>
    <t>363,420</t>
  </si>
  <si>
    <t>PUR80 Polyurethane Oker / Geel ; 3.000 x 1.000 x 15 mm</t>
  </si>
  <si>
    <t>PUR80 Polyurethane Ocker / Gelb ; 3.000 x 1.000 x 15 mm</t>
  </si>
  <si>
    <t>PUR80 Polyurethane Ocher / Yellow ; 3.000 x 1.000 x 15 mm</t>
  </si>
  <si>
    <t>PUR80 Polyurethane Ocre / Jaune ; 3.000 x 1.000 x 15 mm</t>
  </si>
  <si>
    <t>Lengte: 3.000 mm ; Breedte: 1.000 mm ; Dikte: 15 mm ; Zonder lijmlaag ; Kleur: Geel / Oker ; Hardheid: 80° Shore A; Slijtage: ≤ 50 mm³ ; Dichtheid / soortelijk gewicht: 1,24 g/cm³ ; Treksterkte: ≥ 45 N/mm² ; Rek bij breuk: ≥ 550 % ; Rebound-elasticiteit: 35%; Scheurvastheid: ≥ 40 N/mm</t>
  </si>
  <si>
    <t>Länge: 3.000 mm; Breite: 1.000 mm ; Stärke: 15 mm ; Ohne Kleberschicht ; Farbe: Gelb / Ocker ; Härte: 80° Shore A ; Abrieb: ≤ 50 mm³ ; Rohdichte / Spezifisches Gewicht: 1,24 g/cm³ ; Zugfestigkeit: ≥ 45 N/mm² ; Bruchdehnung: ≥ 550 % ; Stoßelastizität: 35 % ; Weiterreißwiderstand: ≥ 40 N/mm</t>
  </si>
  <si>
    <t>Length: 3.000 mm; Width: 1.000 mm ; Thickness: 15 mm ; Without bonding layer ; Colour: Yellow / Ochre ; Hardness: 80° Shore A ; Abrasion: ≤ 50 mm³ ; Density / specific weight: 1,24 g/cm³ ; Tensile strength: ≥ 45 N/mm² ; Elongation at break: ≥ 550 % ; Rebound elasticity: 35 % ; Tear-growth resistance: ≥ 40 N/mm</t>
  </si>
  <si>
    <t>Longueur : 3 000 mm ; Largeur : 1.000 mm ; Épaisseur : 15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</si>
  <si>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PUR80-3000X1000X20RE</t>
  </si>
  <si>
    <t>PUR80-3000X1000X20</t>
  </si>
  <si>
    <t>459,000</t>
  </si>
  <si>
    <t>PUR80 Polyurethane Oker / Geel ; 3.000 x 1.000 x 20 mm</t>
  </si>
  <si>
    <t>PUR80 Polyurethane Ocker / Gelb ; 3.000 x 1.000 x 20 mm</t>
  </si>
  <si>
    <t>PUR80 Polyurethane Ocher / Yellow ; 3.000 x 1.000 x 20 mm</t>
  </si>
  <si>
    <t>PUR80 Polyurethane Ocre / Jaune ; 3.000 x 1.000 x 20 mm</t>
  </si>
  <si>
    <t>Lengte: 3.000 mm ; Breedte: 1.000 mm ; Dikte: 20 mm ; Zonder lijmlaag ; Kleur: Geel / Oker ; Hardheid: 80° Shore A; Slijtage: ≤ 50 mm³ ; Dichtheid / soortelijk gewicht: 1,24 g/cm³ ; Treksterkte: ≥ 45 N/mm² ; Rek bij breuk: ≥ 550 % ; Rebound-elasticiteit: 35%; Scheurvastheid: ≥ 40 N/mm</t>
  </si>
  <si>
    <t>Länge: 3.000 mm; Breite: 1.000 mm ; Stärke: 20 mm ; Ohne Kleberschicht ; Farbe: Gelb / Ocker ; Härte: 80° Shore A ; Abrieb: ≤ 50 mm³ ; Rohdichte / Spezifisches Gewicht: 1,24 g/cm³ ; Zugfestigkeit: ≥ 45 N/mm² ; Bruchdehnung: ≥ 550 % ; Stoßelastizität: 35 % ; Weiterreißwiderstand: ≥ 40 N/mm</t>
  </si>
  <si>
    <t>Length: 3.000 mm; Width: 1.000 mm ; Thickness: 20 mm ; Without bonding layer ; Colour: Yellow / Ochre ; Hardness: 80° Shore A ; Abrasion: ≤ 50 mm³ ; Density / specific weight: 1,24 g/cm³ ; Tensile strength: ≥ 45 N/mm² ; Elongation at break: ≥ 550 % ; Rebound elasticity: 35 % ; Tear-growth resistance: ≥ 40 N/mm</t>
  </si>
  <si>
    <t>Longueur : 3 000 mm ; Largeur : 1.000 mm ; Épaisseur : 20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</si>
  <si>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PUR80-3000X1000X2RE</t>
  </si>
  <si>
    <t>PUR80-3000X1000X2</t>
  </si>
  <si>
    <t>68,700</t>
  </si>
  <si>
    <t>51,000</t>
  </si>
  <si>
    <t>PUR80 Polyurethane Oker / Geel ; 3.000 x 1.000 x 2 mm</t>
  </si>
  <si>
    <t>PUR80 Polyurethane Ocker / Gelb ; 3.000 x 1.000 x 2 mm</t>
  </si>
  <si>
    <t>PUR80 Polyurethane Ocher / Yellow ; 3.000 x 1.000 x 2 mm</t>
  </si>
  <si>
    <t>PUR80 Polyurethane Ocre / Jaune ; 3.000 x 1.000 x 2 mm</t>
  </si>
  <si>
    <t>Lengte: 3.000 mm ; Breedte: 1.000 mm ; Dikte: 2 mm ; Zonder lijmlaag ; Kleur: Geel / Oker ; Hardheid: 80° Shore A; Slijtage: ≤ 50 mm³ ; Dichtheid / soortelijk gewicht: 1,24 g/cm³ ; Treksterkte: ≥ 45 N/mm² ; Rek bij breuk: ≥ 550 % ; Rebound-elasticiteit: 35%; Scheurvastheid: ≥ 40 N/mm</t>
  </si>
  <si>
    <t>Länge: 3.000 mm; Breite: 1.000 mm ; Stärke: 2 mm ; Ohne Kleberschicht ; Farbe: Gelb / Ocker ; Härte: 80° Shore A ; Abrieb: ≤ 50 mm³ ; Rohdichte / Spezifisches Gewicht: 1,24 g/cm³ ; Zugfestigkeit: ≥ 45 N/mm² ; Bruchdehnung: ≥ 550 % ; Stoßelastizität: 35 % ; Weiterreißwiderstand: ≥ 40 N/mm</t>
  </si>
  <si>
    <t>Length: 3.000 mm; Width: 1.000 mm ; Thickness: 2 mm ; Without bonding layer ; Colour: Yellow / Ochre ; Hardness: 80° Shore A ; Abrasion: ≤ 50 mm³ ; Density / specific weight: 1,24 g/cm³ ; Tensile strength: ≥ 45 N/mm² ; Elongation at break: ≥ 550 % ; Rebound elasticity: 35 % ; Tear-growth resistance: ≥ 40 N/mm</t>
  </si>
  <si>
    <t>Longueur : 3 000 mm ; Largeur : 1.000 mm ; Épaisseur : 2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</si>
  <si>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PUR80-3000X1000X30RE</t>
  </si>
  <si>
    <t>PUR80-3000X1000X30</t>
  </si>
  <si>
    <t>654,000</t>
  </si>
  <si>
    <t>PUR80 Polyurethane Oker / Geel ; 3.000 x 1.000 x 30 mm</t>
  </si>
  <si>
    <t>PUR80 Polyurethane Ocker / Gelb ; 3.000 x 1.000 x 30 mm</t>
  </si>
  <si>
    <t>PUR80 Polyurethane Ocher / Yellow ; 3.000 x 1.000 x 30 mm</t>
  </si>
  <si>
    <t>PUR80 Polyurethane Ocre / Jaune ; 3.000 x 1.000 x 30 mm</t>
  </si>
  <si>
    <t>Lengte: 3.000 mm ; Breedte: 1.000 mm ; Dikte: 30 mm ; Zonder lijmlaag ; Kleur: Geel / Oker ; Hardheid: 80° Shore A; Slijtage: ≤ 50 mm³ ; Dichtheid / soortelijk gewicht: 1,24 g/cm³ ; Treksterkte: ≥ 45 N/mm² ; Rek bij breuk: ≥ 550 % ; Rebound-elasticiteit: 35%; Scheurvastheid: ≥ 40 N/mm</t>
  </si>
  <si>
    <t>Länge: 3.000 mm; Breite: 1.000 mm ; Stärke: 30 mm ; Ohne Kleberschicht ; Farbe: Gelb / Ocker ; Härte: 80° Shore A ; Abrieb: ≤ 50 mm³ ; Rohdichte / Spezifisches Gewicht: 1,24 g/cm³ ; Zugfestigkeit: ≥ 45 N/mm² ; Bruchdehnung: ≥ 550 % ; Stoßelastizität: 35 % ; Weiterreißwiderstand: ≥ 40 N/mm</t>
  </si>
  <si>
    <t>Length: 3.000 mm; Width: 1.000 mm ; Thickness: 30 mm ; Without bonding layer ; Colour: Yellow / Ochre ; Hardness: 80° Shore A ; Abrasion: ≤ 50 mm³ ; Density / specific weight: 1,24 g/cm³ ; Tensile strength: ≥ 45 N/mm² ; Elongation at break: ≥ 550 % ; Rebound elasticity: 35 % ; Tear-growth resistance: ≥ 40 N/mm</t>
  </si>
  <si>
    <t>Longueur : 3 000 mm ; Largeur : 1.000 mm ; Épaisseur : 30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</si>
  <si>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PUR80-3000X1000X3RE</t>
  </si>
  <si>
    <t>PUR80-3000X1000X3</t>
  </si>
  <si>
    <t>91,590</t>
  </si>
  <si>
    <t>PUR80 Polyurethane Oker / Geel ; 3.000 x 1.000 x 3 mm</t>
  </si>
  <si>
    <t>PUR80 Polyurethane Ocker / Gelb ; 3.000 x 1.000 x 3 mm</t>
  </si>
  <si>
    <t>PUR80 Polyurethane Ocher / Yellow ; 3.000 x 1.000 x 3 mm</t>
  </si>
  <si>
    <t>PUR80 Polyurethane Ocre / Jaune ; 3.000 x 1.000 x 3 mm</t>
  </si>
  <si>
    <t>Lengte: 3.000 mm ; Breedte: 1.000 mm ; Dikte: 3 mm ; Zonder lijmlaag ; Kleur: Geel / Oker ; Hardheid: 80° Shore A; Slijtage: ≤ 50 mm³ ; Dichtheid / soortelijk gewicht: 1,24 g/cm³ ; Treksterkte: ≥ 45 N/mm² ; Rek bij breuk: ≥ 550 % ; Rebound-elasticiteit: 35%; Scheurvastheid: ≥ 40 N/mm</t>
  </si>
  <si>
    <t>Länge: 3.000 mm; Breite: 1.000 mm ; Stärke: 3 mm ; Ohne Kleberschicht ; Farbe: Gelb / Ocker ; Härte: 80° Shore A ; Abrieb: ≤ 50 mm³ ; Rohdichte / Spezifisches Gewicht: 1,24 g/cm³ ; Zugfestigkeit: ≥ 45 N/mm² ; Bruchdehnung: ≥ 550 % ; Stoßelastizität: 35 % ; Weiterreißwiderstand: ≥ 40 N/mm</t>
  </si>
  <si>
    <t>Length: 3.000 mm; Width: 1.000 mm ; Thickness: 3 mm ; Without bonding layer ; Colour: Yellow / Ochre ; Hardness: 80° Shore A ; Abrasion: ≤ 50 mm³ ; Density / specific weight: 1,24 g/cm³ ; Tensile strength: ≥ 45 N/mm² ; Elongation at break: ≥ 550 % ; Rebound elasticity: 35 % ; Tear-growth resistance: ≥ 40 N/mm</t>
  </si>
  <si>
    <t>Longueur : 3 000 mm ; Largeur : 1.000 mm ; Épaisseur : 3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</si>
  <si>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PUR80-3000X1000X4RE</t>
  </si>
  <si>
    <t>PUR80-3000X1000X4</t>
  </si>
  <si>
    <t>115,290</t>
  </si>
  <si>
    <t>99,980</t>
  </si>
  <si>
    <t>PUR80 Polyurethane Oker / Geel ; 3.000 x 1.000 x 4 mm</t>
  </si>
  <si>
    <t>PUR80 Polyurethane Ocker / Gelb ; 3.000 x 1.000 x 4 mm</t>
  </si>
  <si>
    <t>PUR80 Polyurethane Ocher / Yellow ; 3.000 x 1.000 x 4 mm</t>
  </si>
  <si>
    <t>PUR80 Polyurethane Ocre / Jaune ; 3.000 x 1.000 x 4 mm</t>
  </si>
  <si>
    <t>Lengte: 3.000 mm ; Breedte: 1.000 mm ; Dikte: 4 mm ; Zonder lijmlaag ; Kleur: Geel / Oker ; Hardheid: 80° Shore A; Slijtage: ≤ 50 mm³ ; Dichtheid / soortelijk gewicht: 1,24 g/cm³ ; Treksterkte: ≥ 45 N/mm² ; Rek bij breuk: ≥ 550 % ; Rebound-elasticiteit: 35%; Scheurvastheid: ≥ 40 N/mm</t>
  </si>
  <si>
    <t>Länge: 3.000 mm; Breite: 1.000 mm ; Stärke: 4 mm ; Ohne Kleberschicht ; Farbe: Gelb / Ocker ; Härte: 80° Shore A ; Abrieb: ≤ 50 mm³ ; Rohdichte / Spezifisches Gewicht: 1,24 g/cm³ ; Zugfestigkeit: ≥ 45 N/mm² ; Bruchdehnung: ≥ 550 % ; Stoßelastizität: 35 % ; Weiterreißwiderstand: ≥ 40 N/mm</t>
  </si>
  <si>
    <t>Length: 3.000 mm; Width: 1.000 mm ; Thickness: 4 mm ; Without bonding layer ; Colour: Yellow / Ochre ; Hardness: 80° Shore A ; Abrasion: ≤ 50 mm³ ; Density / specific weight: 1,24 g/cm³ ; Tensile strength: ≥ 45 N/mm² ; Elongation at break: ≥ 550 % ; Rebound elasticity: 35 % ; Tear-growth resistance: ≥ 40 N/mm</t>
  </si>
  <si>
    <t>Longueur : 3 000 mm ; Largeur : 1.000 mm ; Épaisseur : 4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</si>
  <si>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PUR80-3000X1000X5RE</t>
  </si>
  <si>
    <t>PUR80-3000X1000X5</t>
  </si>
  <si>
    <t>117,000</t>
  </si>
  <si>
    <t>PUR80 Polyurethane Oker / Geel ; 3.000 x 1.000 x 5 mm</t>
  </si>
  <si>
    <t>PUR80 Polyurethane Ocker / Gelb ; 3.000 x 1.000 x 5 mm</t>
  </si>
  <si>
    <t>PUR80 Polyurethane Ocher / Yellow ; 3.000 x 1.000 x 5 mm</t>
  </si>
  <si>
    <t>PUR80 Polyurethane Ocre / Jaune ; 3.000 x 1.000 x 5 mm</t>
  </si>
  <si>
    <t>Lengte: 3.000 mm ; Breedte: 1.000 mm ; Dikte: 5 mm ; Zonder lijmlaag ; Kleur: Geel / Oker ; Hardheid: 80° Shore A; Slijtage: ≤ 50 mm³ ; Dichtheid / soortelijk gewicht: 1,24 g/cm³ ; Treksterkte: ≥ 45 N/mm² ; Rek bij breuk: ≥ 550 % ; Rebound-elasticiteit: 35%; Scheurvastheid: ≥ 40 N/mm</t>
  </si>
  <si>
    <t>Länge: 3.000 mm; Breite: 1.000 mm ; Stärke: 5 mm ; Ohne Kleberschicht ; Farbe: Gelb / Ocker ; Härte: 80° Shore A ; Abrieb: ≤ 50 mm³ ; Rohdichte / Spezifisches Gewicht: 1,24 g/cm³ ; Zugfestigkeit: ≥ 45 N/mm² ; Bruchdehnung: ≥ 550 % ; Stoßelastizität: 35 % ; Weiterreißwiderstand: ≥ 40 N/mm</t>
  </si>
  <si>
    <t>Length: 3.000 mm; Width: 1.000 mm ; Thickness: 5 mm ; Without bonding layer ; Colour: Yellow / Ochre ; Hardness: 80° Shore A ; Abrasion: ≤ 50 mm³ ; Density / specific weight: 1,24 g/cm³ ; Tensile strength: ≥ 45 N/mm² ; Elongation at break: ≥ 550 % ; Rebound elasticity: 35 % ; Tear-growth resistance: ≥ 40 N/mm</t>
  </si>
  <si>
    <t>Longueur : 3 000 mm ; Largeur : 1.000 mm ; Épaisseur : 5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</si>
  <si>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PUR80-3000X1000X6RE</t>
  </si>
  <si>
    <t>PUR80-3000X1000X6</t>
  </si>
  <si>
    <t>138,000</t>
  </si>
  <si>
    <t>PUR80 Polyurethane Oker / Geel ; 3.000 x 1.000 x 6 mm</t>
  </si>
  <si>
    <t>PUR80 Polyurethane Ocker / Gelb ; 3.000 x 1.000 x 6 mm</t>
  </si>
  <si>
    <t>PUR80 Polyurethane Ocher / Yellow ; 3.000 x 1.000 x 6 mm</t>
  </si>
  <si>
    <t>PUR80 Polyurethane Ocre / Jaune ; 3.000 x 1.000 x 6 mm</t>
  </si>
  <si>
    <t>Lengte: 3.000 mm ; Breedte: 1.000 mm ; Dikte: 6 mm ; Zonder lijmlaag ; Kleur: Geel / Oker ; Hardheid: 80° Shore A; Slijtage: ≤ 50 mm³ ; Dichtheid / soortelijk gewicht: 1,24 g/cm³ ; Treksterkte: ≥ 45 N/mm² ; Rek bij breuk: ≥ 550 % ; Rebound-elasticiteit: 35%; Scheurvastheid: ≥ 40 N/mm</t>
  </si>
  <si>
    <t>Länge: 3.000 mm; Breite: 1.000 mm ; Stärke: 6 mm ; Ohne Kleberschicht ; Farbe: Gelb / Ocker ; Härte: 80° Shore A ; Abrieb: ≤ 50 mm³ ; Rohdichte / Spezifisches Gewicht: 1,24 g/cm³ ; Zugfestigkeit: ≥ 45 N/mm² ; Bruchdehnung: ≥ 550 % ; Stoßelastizität: 35 % ; Weiterreißwiderstand: ≥ 40 N/mm</t>
  </si>
  <si>
    <t>Length: 3.000 mm; Width: 1.000 mm ; Thickness: 6 mm ; Without bonding layer ; Colour: Yellow / Ochre ; Hardness: 80° Shore A ; Abrasion: ≤ 50 mm³ ; Density / specific weight: 1,24 g/cm³ ; Tensile strength: ≥ 45 N/mm² ; Elongation at break: ≥ 550 % ; Rebound elasticity: 35 % ; Tear-growth resistance: ≥ 40 N/mm</t>
  </si>
  <si>
    <t>Longueur : 3 000 mm ; Largeur : 1.000 mm ; Épaisseur : 6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</si>
  <si>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PUR80-3000X1000X8RE</t>
  </si>
  <si>
    <t>PUR80-3000X1000X8</t>
  </si>
  <si>
    <t>193,500</t>
  </si>
  <si>
    <t>PUR80 Polyurethane Oker / Geel ; 3.000 x 1.000 x 8 mm</t>
  </si>
  <si>
    <t>PUR80 Polyurethane Ocker / Gelb ; 3.000 x 1.000 x 8 mm</t>
  </si>
  <si>
    <t>PUR80 Polyurethane Ocher / Yellow ; 3.000 x 1.000 x 8 mm</t>
  </si>
  <si>
    <t>PUR80 Polyurethane Ocre / Jaune ; 3.000 x 1.000 x 8 mm</t>
  </si>
  <si>
    <t>Lengte: 3.000 mm ; Breedte: 1.000 mm ; Dikte: 8 mm ; Zonder lijmlaag ; Kleur: Geel / Oker ; Hardheid: 80° Shore A; Slijtage: ≤ 50 mm³ ; Dichtheid / soortelijk gewicht: 1,24 g/cm³ ; Treksterkte: ≥ 45 N/mm² ; Rek bij breuk: ≥ 550 % ; Rebound-elasticiteit: 35%; Scheurvastheid: ≥ 40 N/mm</t>
  </si>
  <si>
    <t>Länge: 3.000 mm; Breite: 1.000 mm ; Stärke: 8 mm ; Ohne Kleberschicht ; Farbe: Gelb / Ocker ; Härte: 80° Shore A ; Abrieb: ≤ 50 mm³ ; Rohdichte / Spezifisches Gewicht: 1,24 g/cm³ ; Zugfestigkeit: ≥ 45 N/mm² ; Bruchdehnung: ≥ 550 % ; Stoßelastizität: 35 % ; Weiterreißwiderstand: ≥ 40 N/mm</t>
  </si>
  <si>
    <t>Length: 3.000 mm; Width: 1.000 mm ; Thickness: 8 mm ; Without bonding layer ; Colour: Yellow / Ochre ; Hardness: 80° Shore A ; Abrasion: ≤ 50 mm³ ; Density / specific weight: 1,24 g/cm³ ; Tensile strength: ≥ 45 N/mm² ; Elongation at break: ≥ 550 % ; Rebound elasticity: 35 % ; Tear-growth resistance: ≥ 40 N/mm</t>
  </si>
  <si>
    <t>Longueur : 3 000 mm ; Largeur : 1.000 mm ; Épaisseur : 8 mm ; Sans face adhésive ; Couleur : Jaune / Ocre ; Dureté : 80° Shore A ; Abrasion : ≤ 50 mm³ ; Densité / poids spécifique : 1,24 g/cm³ ; Résistance à la traction : ≥ 45 N/mm² ; Allongement à la rupture : ≥ 550 % ; Élasticité de rebond : 35 % ; Résistance à la déchirure : ≥ 40 N/mm</t>
  </si>
  <si>
    <t>PUR90-1095X130X25-45°RE</t>
  </si>
  <si>
    <t>Polyurethaan-PUR90-1095X130X25-45°-Schraper</t>
  </si>
  <si>
    <t>PUR90-2000X1000X10RE</t>
  </si>
  <si>
    <t>PUR90-2000x1000x10</t>
  </si>
  <si>
    <t>PUR90 Polyurethane Oker / Geel ; 2.000 x 1.000 x 10 mm</t>
  </si>
  <si>
    <t>PUR90 Polyurethane Ocker / Gelb ; 2.000 x 1.000 x 10 mm</t>
  </si>
  <si>
    <t>PUR90 Polyurethane Ocher / Yellow ; 2.000 x 1.000 x 10 mm</t>
  </si>
  <si>
    <t>PUR90 Polyurethane Ocre / Jaune ; 2.000 x 1.000 x 10 mm</t>
  </si>
  <si>
    <t>Lengte: 2.000 mm ; Breedte: 1.000 mm ; Dikte: 10 mm ; Zonder lijmlaag ; Kleur: Geel / Oker ; Hardheid: 90° Shore A; Slijtage: ≤ 50 mm³ ; Dichtheid / soortelijk gewicht: 1,24 g/cm³ ; Treksterkte: ≥ 40 N/mm² ; Rek bij breuk: ≥ 500 % ; Rebound-elasticiteit: 35%; Scheurvastheid: ≥ 55 N/mm</t>
  </si>
  <si>
    <t>Länge: 2.000 mm; Breite: 1.000 mm ; Stärke: 10 mm ; Ohne Kleberschicht ; Farbe: Gelb / Ocker ; Härte: 90° Shore A ; Abrieb: ≤ 50 mm³ ; Rohdichte / Spezifisches Gewicht: 1,24 g/cm³ ; Zugfestigkeit: ≥ 40 N/mm² ; Bruchdehnung: ≥ 500 % ; Stoßelastizität: 35 % ; Weiterreißwiderstand: ≥ 55 N/mm</t>
  </si>
  <si>
    <t>Length: 2.000 mm; Width: 1.000 mm ; Thickness: 10 mm ; Without bonding layer ; Colour: Yellow / Ochre ; Hardness: 90° Shore A ; Abrasion: ≤ 50 mm³ ; Density / specific weight: 1,24 g/cm³ ; Tensile strength: ≥ 40 N/mm² ; Elongation at break: ≥ 500 % ; Rebound elasticity: 35 % ; Tear-growth resistance: ≥ 55 N/mm</t>
  </si>
  <si>
    <t>Longueur : 2 000 mm ; Largeur : 1.000 mm ; Épaisseur : 10 mm ; Sans face adhésive ; Couleur : Jaune / Ocre ; Dureté : 90° Shore A ; Abrasion : ≤ 50 mm³ ; Densité / poids spécifique : 1,24 g/cm³ ; Résistance à la traction : ≥ 40 N/mm² ; Allongement à la rupture : ≥ 500 % ; Élasticité de rebond : 35 % ; Résistance à la déchirure : ≥ 55 N/mm</t>
  </si>
  <si>
    <t>072</t>
  </si>
  <si>
    <t>Verschleißschutz PU 90</t>
  </si>
  <si>
    <t>PUR90-2000X1000X12RE</t>
  </si>
  <si>
    <t>PUR90-2000x1000x12</t>
  </si>
  <si>
    <t>PUR90 Polyurethane Oker / Geel ; 2.000 x 1.000 x 12 mm</t>
  </si>
  <si>
    <t>PUR90 Polyurethane Ocker / Gelb ; 2.000 x 1.000 x 12 mm</t>
  </si>
  <si>
    <t>PUR90 Polyurethane Ocher / Yellow ; 2.000 x 1.000 x 12 mm</t>
  </si>
  <si>
    <t>PUR90 Polyurethane Ocre / Jaune ; 2.000 x 1.000 x 12 mm</t>
  </si>
  <si>
    <t>Lengte: 2.000 mm ; Breedte: 1.000 mm ; Dikte: 12 mm ; Zonder lijmlaag ; Kleur: Geel / Oker ; Hardheid: 90° Shore A; Slijtage: ≤ 50 mm³ ; Dichtheid / soortelijk gewicht: 1,24 g/cm³ ; Treksterkte: ≥ 40 N/mm² ; Rek bij breuk: ≥ 500 % ; Rebound-elasticiteit: 35%; Scheurvastheid: ≥ 55 N/mm</t>
  </si>
  <si>
    <t>Länge: 2.000 mm; Breite: 1.000 mm ; Stärke: 12 mm ; Ohne Kleberschicht ; Farbe: Gelb / Ocker ; Härte: 90° Shore A ; Abrieb: ≤ 50 mm³ ; Rohdichte / Spezifisches Gewicht: 1,24 g/cm³ ; Zugfestigkeit: ≥ 40 N/mm² ; Bruchdehnung: ≥ 500 % ; Stoßelastizität: 35 % ; Weiterreißwiderstand: ≥ 55 N/mm</t>
  </si>
  <si>
    <t>Length: 2.000 mm; Width: 1.000 mm ; Thickness: 12 mm ; Without bonding layer ; Colour: Yellow / Ochre ; Hardness: 90° Shore A ; Abrasion: ≤ 50 mm³ ; Density / specific weight: 1,24 g/cm³ ; Tensile strength: ≥ 40 N/mm² ; Elongation at break: ≥ 500 % ; Rebound elasticity: 35 % ; Tear-growth resistance: ≥ 55 N/mm</t>
  </si>
  <si>
    <t>Longueur : 2 000 mm ; Largeur : 1.000 mm ; Épaisseur : 12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</si>
  <si>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PUR90-2000X1000X15RE</t>
  </si>
  <si>
    <t>PUR90-2000X1000X15</t>
  </si>
  <si>
    <t>PUR90 Polyurethane Oker / Geel ; 2.000 x 1.000 x 15 mm</t>
  </si>
  <si>
    <t>PUR90 Polyurethane Ocker / Gelb ; 2.000 x 1.000 x 15 mm</t>
  </si>
  <si>
    <t>PUR90 Polyurethane Ocher / Yellow ; 2.000 x 1.000 x 15 mm</t>
  </si>
  <si>
    <t>PUR90 Polyurethane Ocre / Jaune ; 2.000 x 1.000 x 15 mm</t>
  </si>
  <si>
    <t>Lengte: 2.000 mm ; Breedte: 1.000 mm ; Dikte: 15 mm ; Zonder lijmlaag ; Kleur: Geel / Oker ; Hardheid: 90° Shore A; Slijtage: ≤ 50 mm³ ; Dichtheid / soortelijk gewicht: 1,24 g/cm³ ; Treksterkte: ≥ 40 N/mm² ; Rek bij breuk: ≥ 500 % ; Rebound-elasticiteit: 35%; Scheurvastheid: ≥ 55 N/mm</t>
  </si>
  <si>
    <t>Länge: 2.000 mm; Breite: 1.000 mm ; Stärke: 15 mm ; Ohne Kleberschicht ; Farbe: Gelb / Ocker ; Härte: 90° Shore A ; Abrieb: ≤ 50 mm³ ; Rohdichte / Spezifisches Gewicht: 1,24 g/cm³ ; Zugfestigkeit: ≥ 40 N/mm² ; Bruchdehnung: ≥ 500 % ; Stoßelastizität: 35 % ; Weiterreißwiderstand: ≥ 55 N/mm</t>
  </si>
  <si>
    <t>Length: 2.000 mm; Width: 1.000 mm ; Thickness: 15 mm ; Without bonding layer ; Colour: Yellow / Ochre ; Hardness: 90° Shore A ; Abrasion: ≤ 50 mm³ ; Density / specific weight: 1,24 g/cm³ ; Tensile strength: ≥ 40 N/mm² ; Elongation at break: ≥ 500 % ; Rebound elasticity: 35 % ; Tear-growth resistance: ≥ 55 N/mm</t>
  </si>
  <si>
    <t>Longueur : 2 000 mm ; Largeur : 1.000 mm ; Épaisseur : 15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</si>
  <si>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PUR90-2000X1000X20RE</t>
  </si>
  <si>
    <t>PUR90-2000X1000X20</t>
  </si>
  <si>
    <t>485,760</t>
  </si>
  <si>
    <t>323,800</t>
  </si>
  <si>
    <t>PUR90 Polyurethane Oker / Geel ; 2.000 x 1.000 x 20 mm</t>
  </si>
  <si>
    <t>PUR90 Polyurethane Ocker / Gelb ; 2.000 x 1.000 x 20 mm</t>
  </si>
  <si>
    <t>PUR90 Polyurethane Ocher / Yellow ; 2.000 x 1.000 x 20 mm</t>
  </si>
  <si>
    <t>PUR90 Polyurethane Ocre / Jaune ; 2.000 x 1.000 x 20 mm</t>
  </si>
  <si>
    <t>Lengte: 2.000 mm ; Breedte: 1.000 mm ; Dikte: 20 mm ; Zonder lijmlaag ; Kleur: Geel / Oker ; Hardheid: 90° Shore A; Slijtage: ≤ 50 mm³ ; Dichtheid / soortelijk gewicht: 1,24 g/cm³ ; Treksterkte: ≥ 40 N/mm² ; Rek bij breuk: ≥ 500 % ; Rebound-elasticiteit: 35%; Scheurvastheid: ≥ 55 N/mm</t>
  </si>
  <si>
    <t>Länge: 2.000 mm; Breite: 1.000 mm ; Stärke: 20 mm ; Ohne Kleberschicht ; Farbe: Gelb / Ocker ; Härte: 90° Shore A ; Abrieb: ≤ 50 mm³ ; Rohdichte / Spezifisches Gewicht: 1,24 g/cm³ ; Zugfestigkeit: ≥ 40 N/mm² ; Bruchdehnung: ≥ 500 % ; Stoßelastizität: 35 % ; Weiterreißwiderstand: ≥ 55 N/mm</t>
  </si>
  <si>
    <t>Length: 2.000 mm; Width: 1.000 mm ; Thickness: 20 mm ; Without bonding layer ; Colour: Yellow / Ochre ; Hardness: 90° Shore A ; Abrasion: ≤ 50 mm³ ; Density / specific weight: 1,24 g/cm³ ; Tensile strength: ≥ 40 N/mm² ; Elongation at break: ≥ 500 % ; Rebound elasticity: 35 % ; Tear-growth resistance: ≥ 55 N/mm</t>
  </si>
  <si>
    <t>Longueur : 2 000 mm ; Largeur : 1.000 mm ; Épaisseur : 20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</si>
  <si>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PUR90-2000X1000X25RE</t>
  </si>
  <si>
    <t>PUR90-2000X1000X25</t>
  </si>
  <si>
    <t>404,200</t>
  </si>
  <si>
    <t>PUR90 Polyurethane Oker / Geel ; 2.000 x 1.000 x 25 mm</t>
  </si>
  <si>
    <t>PUR90 Polyurethane Ocker / Gelb ; 2.000 x 1.000 x 25 mm</t>
  </si>
  <si>
    <t>PUR90 Polyurethane Ocher / Yellow ; 2.000 x 1.000 x 25 mm</t>
  </si>
  <si>
    <t>PUR90 Polyurethane Ocre / Jaune ; 2.000 x 1.000 x 25 mm</t>
  </si>
  <si>
    <t>Lengte: 2.000 mm ; Breedte: 1.000 mm ; Dikte: 25 mm ; Zonder lijmlaag ; Kleur: Geel / Oker ; Hardheid: 90° Shore A; Slijtage: ≤ 50 mm³ ; Dichtheid / soortelijk gewicht: 1,24 g/cm³ ; Treksterkte: ≥ 40 N/mm² ; Rek bij breuk: ≥ 500 % ; Rebound-elasticiteit: 35%; Scheurvastheid: ≥ 55 N/mm</t>
  </si>
  <si>
    <t>Länge: 2.000 mm; Breite: 1.000 mm ; Stärke: 25 mm ; Ohne Kleberschicht ; Farbe: Gelb / Ocker ; Härte: 90° Shore A ; Abrieb: ≤ 50 mm³ ; Rohdichte / Spezifisches Gewicht: 1,24 g/cm³ ; Zugfestigkeit: ≥ 40 N/mm² ; Bruchdehnung: ≥ 500 % ; Stoßelastizität: 35 % ; Weiterreißwiderstand: ≥ 55 N/mm</t>
  </si>
  <si>
    <t>Length: 2.000 mm; Width: 1.000 mm ; Thickness: 25 mm ; Without bonding layer ; Colour: Yellow / Ochre ; Hardness: 90° Shore A ; Abrasion: ≤ 50 mm³ ; Density / specific weight: 1,24 g/cm³ ; Tensile strength: ≥ 40 N/mm² ; Elongation at break: ≥ 500 % ; Rebound elasticity: 35 % ; Tear-growth resistance: ≥ 55 N/mm</t>
  </si>
  <si>
    <t>Longueur : 2 000 mm ; Largeur : 1.000 mm ; Épaisseur : 25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</si>
  <si>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PUR90-2000X1000X2RE</t>
  </si>
  <si>
    <t>PUR90-2000x1000x2</t>
  </si>
  <si>
    <t>PUR90 Polyurethane Oker / Geel ; 2.000 x 1.000 x 2 mm</t>
  </si>
  <si>
    <t>PUR90 Polyurethane Ocker / Gelb ; 2.000 x 1.000 x 2 mm</t>
  </si>
  <si>
    <t>PUR90 Polyurethane Ocher / Yellow ; 2.000 x 1.000 x 2 mm</t>
  </si>
  <si>
    <t>PUR90 Polyurethane Ocre / Jaune ; 2.000 x 1.000 x 2 mm</t>
  </si>
  <si>
    <t>Lengte: 2.000 mm ; Breedte: 1.000 mm ; Dikte: 2 mm ; Zonder lijmlaag ; Kleur: Geel / Oker ; Hardheid: 90° Shore A; Slijtage: ≤ 50 mm³ ; Dichtheid / soortelijk gewicht: 1,24 g/cm³ ; Treksterkte: ≥ 40 N/mm² ; Rek bij breuk: ≥ 500 % ; Rebound-elasticiteit: 35%; Scheurvastheid: ≥ 55 N/mm</t>
  </si>
  <si>
    <t>Länge: 2.000 mm; Breite: 1.000 mm ; Stärke: 2 mm ; Ohne Kleberschicht ; Farbe: Gelb / Ocker ; Härte: 90° Shore A ; Abrieb: ≤ 50 mm³ ; Rohdichte / Spezifisches Gewicht: 1,24 g/cm³ ; Zugfestigkeit: ≥ 40 N/mm² ; Bruchdehnung: ≥ 500 % ; Stoßelastizität: 35 % ; Weiterreißwiderstand: ≥ 55 N/mm</t>
  </si>
  <si>
    <t>Length: 2.000 mm; Width: 1.000 mm ; Thickness: 2 mm ; Without bonding layer ; Colour: Yellow / Ochre ; Hardness: 90° Shore A ; Abrasion: ≤ 50 mm³ ; Density / specific weight: 1,24 g/cm³ ; Tensile strength: ≥ 40 N/mm² ; Elongation at break: ≥ 500 % ; Rebound elasticity: 35 % ; Tear-growth resistance: ≥ 55 N/mm</t>
  </si>
  <si>
    <t>Longueur : 2 000 mm ; Largeur : 1.000 mm ; Épaisseur : 2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</si>
  <si>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PUR90-2000X1000X30RE</t>
  </si>
  <si>
    <t>PUR90-2000x1000x30</t>
  </si>
  <si>
    <t>PUR90 Polyurethane Oker / Geel ; 2.000 x 1.000 x 30 mm</t>
  </si>
  <si>
    <t>PUR90 Polyurethane Ocker / Gelb ; 2.000 x 1.000 x 30 mm</t>
  </si>
  <si>
    <t>PUR90 Polyurethane Ocher / Yellow ; 2.000 x 1.000 x 30 mm</t>
  </si>
  <si>
    <t>PUR90 Polyurethane Ocre / Jaune ; 2.000 x 1.000 x 30 mm</t>
  </si>
  <si>
    <t>Lengte: 2.000 mm ; Breedte: 1.000 mm ; Dikte: 30 mm ; Zonder lijmlaag ; Kleur: Geel / Oker ; Hardheid: 90° Shore A; Slijtage: ≤ 50 mm³ ; Dichtheid / soortelijk gewicht: 1,24 g/cm³ ; Treksterkte: ≥ 40 N/mm² ; Rek bij breuk: ≥ 500 % ; Rebound-elasticiteit: 35%; Scheurvastheid: ≥ 55 N/mm</t>
  </si>
  <si>
    <t>Länge: 2.000 mm; Breite: 1.000 mm ; Stärke: 30 mm ; Ohne Kleberschicht ; Farbe: Gelb / Ocker ; Härte: 90° Shore A ; Abrieb: ≤ 50 mm³ ; Rohdichte / Spezifisches Gewicht: 1,24 g/cm³ ; Zugfestigkeit: ≥ 40 N/mm² ; Bruchdehnung: ≥ 500 % ; Stoßelastizität: 35 % ; Weiterreißwiderstand: ≥ 55 N/mm</t>
  </si>
  <si>
    <t>Length: 2.000 mm; Width: 1.000 mm ; Thickness: 30 mm ; Without bonding layer ; Colour: Yellow / Ochre ; Hardness: 90° Shore A ; Abrasion: ≤ 50 mm³ ; Density / specific weight: 1,24 g/cm³ ; Tensile strength: ≥ 40 N/mm² ; Elongation at break: ≥ 500 % ; Rebound elasticity: 35 % ; Tear-growth resistance: ≥ 55 N/mm</t>
  </si>
  <si>
    <t>Longueur : 2 000 mm ; Largeur : 1.000 mm ; Épaisseur : 30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</si>
  <si>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PUR90-2000X1000X3RE</t>
  </si>
  <si>
    <t>PUR90-2000x1000x3</t>
  </si>
  <si>
    <t>50,800</t>
  </si>
  <si>
    <t>PUR90 Polyurethane Oker / Geel ; 2.000 x 1.000 x 3 mm</t>
  </si>
  <si>
    <t>PUR90 Polyurethane Ocker / Gelb ; 2.000 x 1.000 x 3 mm</t>
  </si>
  <si>
    <t>PUR90 Polyurethane Ocher / Yellow ; 2.000 x 1.000 x 3 mm</t>
  </si>
  <si>
    <t>PUR90 Polyurethane Ocre / Jaune ; 2.000 x 1.000 x 3 mm</t>
  </si>
  <si>
    <t>Lengte: 2.000 mm ; Breedte: 1.000 mm ; Dikte: 3 mm ; Zonder lijmlaag ; Kleur: Geel / Oker ; Hardheid: 90° Shore A; Slijtage: ≤ 50 mm³ ; Dichtheid / soortelijk gewicht: 1,24 g/cm³ ; Treksterkte: ≥ 40 N/mm² ; Rek bij breuk: ≥ 500 % ; Rebound-elasticiteit: 35%; Scheurvastheid: ≥ 55 N/mm</t>
  </si>
  <si>
    <t>Länge: 2.000 mm; Breite: 1.000 mm ; Stärke: 3 mm ; Ohne Kleberschicht ; Farbe: Gelb / Ocker ; Härte: 90° Shore A ; Abrieb: ≤ 50 mm³ ; Rohdichte / Spezifisches Gewicht: 1,24 g/cm³ ; Zugfestigkeit: ≥ 40 N/mm² ; Bruchdehnung: ≥ 500 % ; Stoßelastizität: 35 % ; Weiterreißwiderstand: ≥ 55 N/mm</t>
  </si>
  <si>
    <t>Length: 2.000 mm; Width: 1.000 mm ; Thickness: 3 mm ; Without bonding layer ; Colour: Yellow / Ochre ; Hardness: 90° Shore A ; Abrasion: ≤ 50 mm³ ; Density / specific weight: 1,24 g/cm³ ; Tensile strength: ≥ 40 N/mm² ; Elongation at break: ≥ 500 % ; Rebound elasticity: 35 % ; Tear-growth resistance: ≥ 55 N/mm</t>
  </si>
  <si>
    <t>Longueur : 2 000 mm ; Largeur : 1.000 mm ; Épaisseur : 3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</si>
  <si>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PUR90-2000X1000X4RE</t>
  </si>
  <si>
    <t>PUR90-2000x1000x4</t>
  </si>
  <si>
    <t>PUR90 Polyurethane Oker / Geel ; 2.000 x 1.000 x 4 mm</t>
  </si>
  <si>
    <t>PUR90 Polyurethane Ocker / Gelb ; 2.000 x 1.000 x 4 mm</t>
  </si>
  <si>
    <t>PUR90 Polyurethane Ocher / Yellow ; 2.000 x 1.000 x 4 mm</t>
  </si>
  <si>
    <t>PUR90 Polyurethane Ocre / Jaune ; 2.000 x 1.000 x 4 mm</t>
  </si>
  <si>
    <t>Lengte: 2.000 mm ; Breedte: 1.000 mm ; Dikte: 4 mm ; Zonder lijmlaag ; Kleur: Geel / Oker ; Hardheid: 90° Shore A; Slijtage: ≤ 50 mm³ ; Dichtheid / soortelijk gewicht: 1,24 g/cm³ ; Treksterkte: ≥ 40 N/mm² ; Rek bij breuk: ≥ 500 % ; Rebound-elasticiteit: 35%; Scheurvastheid: ≥ 55 N/mm</t>
  </si>
  <si>
    <t>Länge: 2.000 mm; Breite: 1.000 mm ; Stärke: 4 mm ; Ohne Kleberschicht ; Farbe: Gelb / Ocker ; Härte: 90° Shore A ; Abrieb: ≤ 50 mm³ ; Rohdichte / Spezifisches Gewicht: 1,24 g/cm³ ; Zugfestigkeit: ≥ 40 N/mm² ; Bruchdehnung: ≥ 500 % ; Stoßelastizität: 35 % ; Weiterreißwiderstand: ≥ 55 N/mm</t>
  </si>
  <si>
    <t>Length: 2.000 mm; Width: 1.000 mm ; Thickness: 4 mm ; Without bonding layer ; Colour: Yellow / Ochre ; Hardness: 90° Shore A ; Abrasion: ≤ 50 mm³ ; Density / specific weight: 1,24 g/cm³ ; Tensile strength: ≥ 40 N/mm² ; Elongation at break: ≥ 500 % ; Rebound elasticity: 35 % ; Tear-growth resistance: ≥ 55 N/mm</t>
  </si>
  <si>
    <t>Longueur : 2 000 mm ; Largeur : 1.000 mm ; Épaisseur : 4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</si>
  <si>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PUR90-2000X1000X5RE</t>
  </si>
  <si>
    <t>PUR90-2000X1000X5</t>
  </si>
  <si>
    <t>PUR90 Polyurethane Oker / Geel ; 2.000 x 1.000 x 5 mm</t>
  </si>
  <si>
    <t>PUR90 Polyurethane Ocker / Gelb ; 2.000 x 1.000 x 5 mm</t>
  </si>
  <si>
    <t>PUR90 Polyurethane Ocher / Yellow ; 2.000 x 1.000 x 5 mm</t>
  </si>
  <si>
    <t>PUR90 Polyurethane Ocre / Jaune ; 2.000 x 1.000 x 5 mm</t>
  </si>
  <si>
    <t>Lengte: 2.000 mm ; Breedte: 1.000 mm ; Dikte: 5 mm ; Zonder lijmlaag ; Kleur: Geel / Oker ; Hardheid: 90° Shore A; Slijtage: ≤ 50 mm³ ; Dichtheid / soortelijk gewicht: 1,24 g/cm³ ; Treksterkte: ≥ 40 N/mm² ; Rek bij breuk: ≥ 500 % ; Rebound-elasticiteit: 35%; Scheurvastheid: ≥ 55 N/mm</t>
  </si>
  <si>
    <t>Länge: 2.000 mm; Breite: 1.000 mm ; Stärke: 5 mm ; Ohne Kleberschicht ; Farbe: Gelb / Ocker ; Härte: 90° Shore A ; Abrieb: ≤ 50 mm³ ; Rohdichte / Spezifisches Gewicht: 1,24 g/cm³ ; Zugfestigkeit: ≥ 40 N/mm² ; Bruchdehnung: ≥ 500 % ; Stoßelastizität: 35 % ; Weiterreißwiderstand: ≥ 55 N/mm</t>
  </si>
  <si>
    <t>Length: 2.000 mm; Width: 1.000 mm ; Thickness: 5 mm ; Without bonding layer ; Colour: Yellow / Ochre ; Hardness: 90° Shore A ; Abrasion: ≤ 50 mm³ ; Density / specific weight: 1,24 g/cm³ ; Tensile strength: ≥ 40 N/mm² ; Elongation at break: ≥ 500 % ; Rebound elasticity: 35 % ; Tear-growth resistance: ≥ 55 N/mm</t>
  </si>
  <si>
    <t>Longueur : 2 000 mm ; Largeur : 1.000 mm ; Épaisseur : 5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</si>
  <si>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PUR90-2000X1000X6RE</t>
  </si>
  <si>
    <t>PUR90-2000X1000X6</t>
  </si>
  <si>
    <t>PUR90 Polyurethane Oker / Geel ; 2.000 x 1.000 x 6 mm</t>
  </si>
  <si>
    <t>PUR90 Polyurethane Ocker / Gelb ; 2.000 x 1.000 x 6 mm</t>
  </si>
  <si>
    <t>PUR90 Polyurethane Ocher / Yellow ; 2.000 x 1.000 x 6 mm</t>
  </si>
  <si>
    <t>PUR90 Polyurethane Ocre / Jaune ; 2.000 x 1.000 x 6 mm</t>
  </si>
  <si>
    <t>Lengte: 2.000 mm ; Breedte: 1.000 mm ; Dikte: 6 mm ; Zonder lijmlaag ; Kleur: Geel / Oker ; Hardheid: 90° Shore A; Slijtage: ≤ 50 mm³ ; Dichtheid / soortelijk gewicht: 1,24 g/cm³ ; Treksterkte: ≥ 40 N/mm² ; Rek bij breuk: ≥ 500 % ; Rebound-elasticiteit: 35%; Scheurvastheid: ≥ 55 N/mm</t>
  </si>
  <si>
    <t>Länge: 2.000 mm; Breite: 1.000 mm ; Stärke: 6 mm ; Ohne Kleberschicht ; Farbe: Gelb / Ocker ; Härte: 90° Shore A ; Abrieb: ≤ 50 mm³ ; Rohdichte / Spezifisches Gewicht: 1,24 g/cm³ ; Zugfestigkeit: ≥ 40 N/mm² ; Bruchdehnung: ≥ 500 % ; Stoßelastizität: 35 % ; Weiterreißwiderstand: ≥ 55 N/mm</t>
  </si>
  <si>
    <t>Length: 2.000 mm; Width: 1.000 mm ; Thickness: 6 mm ; Without bonding layer ; Colour: Yellow / Ochre ; Hardness: 90° Shore A ; Abrasion: ≤ 50 mm³ ; Density / specific weight: 1,24 g/cm³ ; Tensile strength: ≥ 40 N/mm² ; Elongation at break: ≥ 500 % ; Rebound elasticity: 35 % ; Tear-growth resistance: ≥ 55 N/mm</t>
  </si>
  <si>
    <t>Longueur : 2 000 mm ; Largeur : 1.000 mm ; Épaisseur : 6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</si>
  <si>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PUR90-2000X1000X8RE</t>
  </si>
  <si>
    <t>PUR90-2000x1000x8</t>
  </si>
  <si>
    <t>PUR90 Polyurethane Oker / Geel ; 2.000 x 1.000 x 8 mm</t>
  </si>
  <si>
    <t>PUR90 Polyurethane Ocker / Gelb ; 2.000 x 1.000 x 8 mm</t>
  </si>
  <si>
    <t>PUR90 Polyurethane Ocher / Yellow ; 2.000 x 1.000 x 8 mm</t>
  </si>
  <si>
    <t>PUR90 Polyurethane Ocre / Jaune ; 2.000 x 1.000 x 8 mm</t>
  </si>
  <si>
    <t>Lengte: 2.000 mm ; Breedte: 1.000 mm ; Dikte: 8 mm ; Zonder lijmlaag ; Kleur: Geel / Oker ; Hardheid: 90° Shore A; Slijtage: ≤ 50 mm³ ; Dichtheid / soortelijk gewicht: 1,24 g/cm³ ; Treksterkte: ≥ 40 N/mm² ; Rek bij breuk: ≥ 500 % ; Rebound-elasticiteit: 35%; Scheurvastheid: ≥ 55 N/mm</t>
  </si>
  <si>
    <t>Länge: 2.000 mm; Breite: 1.000 mm ; Stärke: 8 mm ; Ohne Kleberschicht ; Farbe: Gelb / Ocker ; Härte: 90° Shore A ; Abrieb: ≤ 50 mm³ ; Rohdichte / Spezifisches Gewicht: 1,24 g/cm³ ; Zugfestigkeit: ≥ 40 N/mm² ; Bruchdehnung: ≥ 500 % ; Stoßelastizität: 35 % ; Weiterreißwiderstand: ≥ 55 N/mm</t>
  </si>
  <si>
    <t>Length: 2.000 mm; Width: 1.000 mm ; Thickness: 8 mm ; Without bonding layer ; Colour: Yellow / Ochre ; Hardness: 90° Shore A ; Abrasion: ≤ 50 mm³ ; Density / specific weight: 1,24 g/cm³ ; Tensile strength: ≥ 40 N/mm² ; Elongation at break: ≥ 500 % ; Rebound elasticity: 35 % ; Tear-growth resistance: ≥ 55 N/mm</t>
  </si>
  <si>
    <t>Longueur : 2 000 mm ; Largeur : 1.000 mm ; Épaisseur : 8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</si>
  <si>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PUR90-2020X200X30RE</t>
  </si>
  <si>
    <t>PUR90-2020X200X30</t>
  </si>
  <si>
    <t>PUR90-3000X1000X10RE</t>
  </si>
  <si>
    <t>PUR90-3000X1000X10</t>
  </si>
  <si>
    <t>231,000</t>
  </si>
  <si>
    <t>PUR90 Polyurethane Oker / Geel ; 3.000 x 1.000 x 10 mm</t>
  </si>
  <si>
    <t>PUR90 Polyurethane Ocker / Gelb ; 3.000 x 1.000 x 10 mm</t>
  </si>
  <si>
    <t>PUR90 Polyurethane Ocher / Yellow ; 3.000 x 1.000 x 10 mm</t>
  </si>
  <si>
    <t>PUR90 Polyurethane Ocre / Jaune ; 3.000 x 1.000 x 10 mm</t>
  </si>
  <si>
    <t>Lengte: 3.000 mm ; Breedte: 1.000 mm ; Dikte: 10 mm ; Zonder lijmlaag ; Kleur: Geel / Oker ; Hardheid: 90° Shore A; Slijtage: ≤ 50 mm³ ; Dichtheid / soortelijk gewicht: 1,24 g/cm³ ; Treksterkte: ≥ 40 N/mm² ; Rek bij breuk: ≥ 500 % ; Rebound-elasticiteit: 35%; Scheurvastheid: ≥ 55 N/mm</t>
  </si>
  <si>
    <t>Länge: 3.000 mm; Breite: 1.000 mm ; Stärke: 10 mm ; Ohne Kleberschicht ; Farbe: Gelb / Ocker ; Härte: 90° Shore A ; Abrieb: ≤ 50 mm³ ; Rohdichte / Spezifisches Gewicht: 1,24 g/cm³ ; Zugfestigkeit: ≥ 40 N/mm² ; Bruchdehnung: ≥ 500 % ; Stoßelastizität: 35 % ; Weiterreißwiderstand: ≥ 55 N/mm</t>
  </si>
  <si>
    <t>Length: 3.000 mm; Width: 1.000 mm ; Thickness: 10 mm ; Without bonding layer ; Colour: Yellow / Ochre ; Hardness: 90° Shore A ; Abrasion: ≤ 50 mm³ ; Density / specific weight: 1,24 g/cm³ ; Tensile strength: ≥ 40 N/mm² ; Elongation at break: ≥ 500 % ; Rebound elasticity: 35 % ; Tear-growth resistance: ≥ 55 N/mm</t>
  </si>
  <si>
    <t>Longueur : 3 000 mm ; Largeur : 1.000 mm ; Épaisseur : 10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</si>
  <si>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PUR90-3000X1000X12RE</t>
  </si>
  <si>
    <t>PUR90-3000X1000X12</t>
  </si>
  <si>
    <t>276,000</t>
  </si>
  <si>
    <t>PUR90 Polyurethane Oker / Geel ; 3.000 x 1.000 x 12 mm</t>
  </si>
  <si>
    <t>PUR90 Polyurethane Ocker / Gelb ; 3.000 x 1.000 x 12 mm</t>
  </si>
  <si>
    <t>PUR90 Polyurethane Ocher / Yellow ; 3.000 x 1.000 x 12 mm</t>
  </si>
  <si>
    <t>PUR90 Polyurethane Ocre / Jaune ; 3.000 x 1.000 x 12 mm</t>
  </si>
  <si>
    <t>Lengte: 3.000 mm ; Breedte: 1.000 mm ; Dikte: 12 mm ; Zonder lijmlaag ; Kleur: Geel / Oker ; Hardheid: 90° Shore A; Slijtage: ≤ 50 mm³ ; Dichtheid / soortelijk gewicht: 1,24 g/cm³ ; Treksterkte: ≥ 40 N/mm² ; Rek bij breuk: ≥ 500 % ; Rebound-elasticiteit: 35%; Scheurvastheid: ≥ 55 N/mm</t>
  </si>
  <si>
    <t>Länge: 3.000 mm; Breite: 1.000 mm ; Stärke: 12 mm ; Ohne Kleberschicht ; Farbe: Gelb / Ocker ; Härte: 90° Shore A ; Abrieb: ≤ 50 mm³ ; Rohdichte / Spezifisches Gewicht: 1,24 g/cm³ ; Zugfestigkeit: ≥ 40 N/mm² ; Bruchdehnung: ≥ 500 % ; Stoßelastizität: 35 % ; Weiterreißwiderstand: ≥ 55 N/mm</t>
  </si>
  <si>
    <t>Length: 3.000 mm; Width: 1.000 mm ; Thickness: 12 mm ; Without bonding layer ; Colour: Yellow / Ochre ; Hardness: 90° Shore A ; Abrasion: ≤ 50 mm³ ; Density / specific weight: 1,24 g/cm³ ; Tensile strength: ≥ 40 N/mm² ; Elongation at break: ≥ 500 % ; Rebound elasticity: 35 % ; Tear-growth resistance: ≥ 55 N/mm</t>
  </si>
  <si>
    <t>Longueur : 3 000 mm ; Largeur : 1.000 mm ; Épaisseur : 12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</si>
  <si>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PUR90-3000X1000X15RE</t>
  </si>
  <si>
    <t>PUR90-3000X1000X15</t>
  </si>
  <si>
    <t>363,300</t>
  </si>
  <si>
    <t>PUR90 Polyurethane Oker / Geel ; 3.000 x 1.000 x 15 mm</t>
  </si>
  <si>
    <t>PUR90 Polyurethane Ocker / Gelb ; 3.000 x 1.000 x 15 mm</t>
  </si>
  <si>
    <t>PUR90 Polyurethane Ocher / Yellow ; 3.000 x 1.000 x 15 mm</t>
  </si>
  <si>
    <t>PUR90 Polyurethane Ocre / Jaune ; 3.000 x 1.000 x 15 mm</t>
  </si>
  <si>
    <t>Lengte: 3.000 mm ; Breedte: 1.000 mm ; Dikte: 15 mm ; Zonder lijmlaag ; Kleur: Geel / Oker ; Hardheid: 90° Shore A; Slijtage: ≤ 50 mm³ ; Dichtheid / soortelijk gewicht: 1,24 g/cm³ ; Treksterkte: ≥ 40 N/mm² ; Rek bij breuk: ≥ 500 % ; Rebound-elasticiteit: 35%; Scheurvastheid: ≥ 55 N/mm</t>
  </si>
  <si>
    <t>Länge: 3.000 mm; Breite: 1.000 mm ; Stärke: 15 mm ; Ohne Kleberschicht ; Farbe: Gelb / Ocker ; Härte: 90° Shore A ; Abrieb: ≤ 50 mm³ ; Rohdichte / Spezifisches Gewicht: 1,24 g/cm³ ; Zugfestigkeit: ≥ 40 N/mm² ; Bruchdehnung: ≥ 500 % ; Stoßelastizität: 35 % ; Weiterreißwiderstand: ≥ 55 N/mm</t>
  </si>
  <si>
    <t>Length: 3.000 mm; Width: 1.000 mm ; Thickness: 15 mm ; Without bonding layer ; Colour: Yellow / Ochre ; Hardness: 90° Shore A ; Abrasion: ≤ 50 mm³ ; Density / specific weight: 1,24 g/cm³ ; Tensile strength: ≥ 40 N/mm² ; Elongation at break: ≥ 500 % ; Rebound elasticity: 35 % ; Tear-growth resistance: ≥ 55 N/mm</t>
  </si>
  <si>
    <t>Longueur : 3 000 mm ; Largeur : 1.000 mm ; Épaisseur : 15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</si>
  <si>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PUR90-3000X1000X2RE</t>
  </si>
  <si>
    <t>PUR90-3000x1000x2</t>
  </si>
  <si>
    <t>PUR90 Polyurethane Oker / Geel ; 3.000 x 1.000 x 2 mm</t>
  </si>
  <si>
    <t>PUR90 Polyurethane Ocker / Gelb ; 3.000 x 1.000 x 2 mm</t>
  </si>
  <si>
    <t>PUR90 Polyurethane Ocher / Yellow ; 3.000 x 1.000 x 2 mm</t>
  </si>
  <si>
    <t>PUR90 Polyurethane Ocre / Jaune ; 3.000 x 1.000 x 2 mm</t>
  </si>
  <si>
    <t>Lengte: 3.000 mm ; Breedte: 1.000 mm ; Dikte: 2 mm ; Zonder lijmlaag ; Kleur: Geel / Oker ; Hardheid: 90° Shore A; Slijtage: ≤ 50 mm³ ; Dichtheid / soortelijk gewicht: 1,24 g/cm³ ; Treksterkte: ≥ 40 N/mm² ; Rek bij breuk: ≥ 500 % ; Rebound-elasticiteit: 35%; Scheurvastheid: ≥ 55 N/mm</t>
  </si>
  <si>
    <t>Länge: 3.000 mm; Breite: 1.000 mm ; Stärke: 2 mm ; Ohne Kleberschicht ; Farbe: Gelb / Ocker ; Härte: 90° Shore A ; Abrieb: ≤ 50 mm³ ; Rohdichte / Spezifisches Gewicht: 1,24 g/cm³ ; Zugfestigkeit: ≥ 40 N/mm² ; Bruchdehnung: ≥ 500 % ; Stoßelastizität: 35 % ; Weiterreißwiderstand: ≥ 55 N/mm</t>
  </si>
  <si>
    <t>Length: 3.000 mm; Width: 1.000 mm ; Thickness: 2 mm ; Without bonding layer ; Colour: Yellow / Ochre ; Hardness: 90° Shore A ; Abrasion: ≤ 50 mm³ ; Density / specific weight: 1,24 g/cm³ ; Tensile strength: ≥ 40 N/mm² ; Elongation at break: ≥ 500 % ; Rebound elasticity: 35 % ; Tear-growth resistance: ≥ 55 N/mm</t>
  </si>
  <si>
    <t>Longueur : 3 000 mm ; Largeur : 1.000 mm ; Épaisseur : 2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</si>
  <si>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PUR90-3000X1000X30RE</t>
  </si>
  <si>
    <t>PUR90-3000x1000x30</t>
  </si>
  <si>
    <t>687,000</t>
  </si>
  <si>
    <t>PUR90 Polyurethane Oker / Geel ; 3.000 x 1.000 x 30 mm</t>
  </si>
  <si>
    <t>PUR90 Polyurethane Ocker / Gelb ; 3.000 x 1.000 x 30 mm</t>
  </si>
  <si>
    <t>PUR90 Polyurethane Ocher / Yellow ; 3.000 x 1.000 x 30 mm</t>
  </si>
  <si>
    <t>PUR90 Polyurethane Ocre / Jaune ; 3.000 x 1.000 x 30 mm</t>
  </si>
  <si>
    <t>Lengte: 3.000 mm ; Breedte: 1.000 mm ; Dikte: 30 mm ; Zonder lijmlaag ; Kleur: Geel / Oker ; Hardheid: 90° Shore A; Slijtage: ≤ 50 mm³ ; Dichtheid / soortelijk gewicht: 1,24 g/cm³ ; Treksterkte: ≥ 40 N/mm² ; Rek bij breuk: ≥ 500 % ; Rebound-elasticiteit: 35%; Scheurvastheid: ≥ 55 N/mm</t>
  </si>
  <si>
    <t>Länge: 3.000 mm; Breite: 1.000 mm ; Stärke: 30 mm ; Ohne Kleberschicht ; Farbe: Gelb / Ocker ; Härte: 90° Shore A ; Abrieb: ≤ 50 mm³ ; Rohdichte / Spezifisches Gewicht: 1,24 g/cm³ ; Zugfestigkeit: ≥ 40 N/mm² ; Bruchdehnung: ≥ 500 % ; Stoßelastizität: 35 % ; Weiterreißwiderstand: ≥ 55 N/mm</t>
  </si>
  <si>
    <t>Length: 3.000 mm; Width: 1.000 mm ; Thickness: 30 mm ; Without bonding layer ; Colour: Yellow / Ochre ; Hardness: 90° Shore A ; Abrasion: ≤ 50 mm³ ; Density / specific weight: 1,24 g/cm³ ; Tensile strength: ≥ 40 N/mm² ; Elongation at break: ≥ 500 % ; Rebound elasticity: 35 % ; Tear-growth resistance: ≥ 55 N/mm</t>
  </si>
  <si>
    <t>Longueur : 3 000 mm ; Largeur : 1.000 mm ; Épaisseur : 30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</si>
  <si>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PUR90-3000X1000X3RE</t>
  </si>
  <si>
    <t>PUR90-3000X1000X3</t>
  </si>
  <si>
    <t>PUR90 Polyurethane Oker / Geel ; 3.000 x 1.000 x 3 mm</t>
  </si>
  <si>
    <t>PUR90 Polyurethane Ocker / Gelb ; 3.000 x 1.000 x 3 mm</t>
  </si>
  <si>
    <t>PUR90 Polyurethane Ocher / Yellow ; 3.000 x 1.000 x 3 mm</t>
  </si>
  <si>
    <t>PUR90 Polyurethane Ocre / Jaune ; 3.000 x 1.000 x 3 mm</t>
  </si>
  <si>
    <t>Lengte: 3.000 mm ; Breedte: 1.000 mm ; Dikte: 3 mm ; Zonder lijmlaag ; Kleur: Geel / Oker ; Hardheid: 90° Shore A; Slijtage: ≤ 50 mm³ ; Dichtheid / soortelijk gewicht: 1,24 g/cm³ ; Treksterkte: ≥ 40 N/mm² ; Rek bij breuk: ≥ 500 % ; Rebound-elasticiteit: 35%; Scheurvastheid: ≥ 55 N/mm</t>
  </si>
  <si>
    <t>Länge: 3.000 mm; Breite: 1.000 mm ; Stärke: 3 mm ; Ohne Kleberschicht ; Farbe: Gelb / Ocker ; Härte: 90° Shore A ; Abrieb: ≤ 50 mm³ ; Rohdichte / Spezifisches Gewicht: 1,24 g/cm³ ; Zugfestigkeit: ≥ 40 N/mm² ; Bruchdehnung: ≥ 500 % ; Stoßelastizität: 35 % ; Weiterreißwiderstand: ≥ 55 N/mm</t>
  </si>
  <si>
    <t>Length: 3.000 mm; Width: 1.000 mm ; Thickness: 3 mm ; Without bonding layer ; Colour: Yellow / Ochre ; Hardness: 90° Shore A ; Abrasion: ≤ 50 mm³ ; Density / specific weight: 1,24 g/cm³ ; Tensile strength: ≥ 40 N/mm² ; Elongation at break: ≥ 500 % ; Rebound elasticity: 35 % ; Tear-growth resistance: ≥ 55 N/mm</t>
  </si>
  <si>
    <t>Longueur : 3 000 mm ; Largeur : 1.000 mm ; Épaisseur : 3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</si>
  <si>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PUR90-3000X1000X4RE</t>
  </si>
  <si>
    <t>PUR90-3000X1000X4</t>
  </si>
  <si>
    <t>94,500</t>
  </si>
  <si>
    <t>PUR90 Polyurethane Oker / Geel ; 3.000 x 1.000 x 4 mm</t>
  </si>
  <si>
    <t>PUR90 Polyurethane Ocker / Gelb ; 3.000 x 1.000 x 4 mm</t>
  </si>
  <si>
    <t>PUR90 Polyurethane Ocher / Yellow ; 3.000 x 1.000 x 4 mm</t>
  </si>
  <si>
    <t>PUR90 Polyurethane Ocre / Jaune ; 3.000 x 1.000 x 4 mm</t>
  </si>
  <si>
    <t>Lengte: 3.000 mm ; Breedte: 1.000 mm ; Dikte: 4 mm ; Zonder lijmlaag ; Kleur: Geel / Oker ; Hardheid: 90° Shore A; Slijtage: ≤ 50 mm³ ; Dichtheid / soortelijk gewicht: 1,24 g/cm³ ; Treksterkte: ≥ 40 N/mm² ; Rek bij breuk: ≥ 500 % ; Rebound-elasticiteit: 35%; Scheurvastheid: ≥ 55 N/mm</t>
  </si>
  <si>
    <t>Länge: 3.000 mm; Breite: 1.000 mm ; Stärke: 4 mm ; Ohne Kleberschicht ; Farbe: Gelb / Ocker ; Härte: 90° Shore A ; Abrieb: ≤ 50 mm³ ; Rohdichte / Spezifisches Gewicht: 1,24 g/cm³ ; Zugfestigkeit: ≥ 40 N/mm² ; Bruchdehnung: ≥ 500 % ; Stoßelastizität: 35 % ; Weiterreißwiderstand: ≥ 55 N/mm</t>
  </si>
  <si>
    <t>Length: 3.000 mm; Width: 1.000 mm ; Thickness: 4 mm ; Without bonding layer ; Colour: Yellow / Ochre ; Hardness: 90° Shore A ; Abrasion: ≤ 50 mm³ ; Density / specific weight: 1,24 g/cm³ ; Tensile strength: ≥ 40 N/mm² ; Elongation at break: ≥ 500 % ; Rebound elasticity: 35 % ; Tear-growth resistance: ≥ 55 N/mm</t>
  </si>
  <si>
    <t>Longueur : 3 000 mm ; Largeur : 1.000 mm ; Épaisseur : 4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</si>
  <si>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PUR90-3000X1000X5RE</t>
  </si>
  <si>
    <t>PUR90-3000X1000X5</t>
  </si>
  <si>
    <t>PUR90 Polyurethane Oker / Geel ; 3.000 x 1.000 x 5 mm</t>
  </si>
  <si>
    <t>PUR90 Polyurethane Ocker / Gelb ; 3.000 x 1.000 x 5 mm</t>
  </si>
  <si>
    <t>PUR90 Polyurethane Ocher / Yellow ; 3.000 x 1.000 x 5 mm</t>
  </si>
  <si>
    <t>PUR90 Polyurethane Ocre / Jaune ; 3.000 x 1.000 x 5 mm</t>
  </si>
  <si>
    <t>Lengte: 3.000 mm ; Breedte: 1.000 mm ; Dikte: 5 mm ; Zonder lijmlaag ; Kleur: Geel / Oker ; Hardheid: 90° Shore A; Slijtage: ≤ 50 mm³ ; Dichtheid / soortelijk gewicht: 1,24 g/cm³ ; Treksterkte: ≥ 40 N/mm² ; Rek bij breuk: ≥ 500 % ; Rebound-elasticiteit: 35%; Scheurvastheid: ≥ 55 N/mm</t>
  </si>
  <si>
    <t>Länge: 3.000 mm; Breite: 1.000 mm ; Stärke: 5 mm ; Ohne Kleberschicht ; Farbe: Gelb / Ocker ; Härte: 90° Shore A ; Abrieb: ≤ 50 mm³ ; Rohdichte / Spezifisches Gewicht: 1,24 g/cm³ ; Zugfestigkeit: ≥ 40 N/mm² ; Bruchdehnung: ≥ 500 % ; Stoßelastizität: 35 % ; Weiterreißwiderstand: ≥ 55 N/mm</t>
  </si>
  <si>
    <t>Length: 3.000 mm; Width: 1.000 mm ; Thickness: 5 mm ; Without bonding layer ; Colour: Yellow / Ochre ; Hardness: 90° Shore A ; Abrasion: ≤ 50 mm³ ; Density / specific weight: 1,24 g/cm³ ; Tensile strength: ≥ 40 N/mm² ; Elongation at break: ≥ 500 % ; Rebound elasticity: 35 % ; Tear-growth resistance: ≥ 55 N/mm</t>
  </si>
  <si>
    <t>Longueur : 3 000 mm ; Largeur : 1.000 mm ; Épaisseur : 5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</si>
  <si>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PUR90-3000X1000X6RE</t>
  </si>
  <si>
    <t>PUR90-3000X1000X6</t>
  </si>
  <si>
    <t>PUR90 Polyurethane Oker / Geel ; 3.000 x 1.000 x 6 mm</t>
  </si>
  <si>
    <t>PUR90 Polyurethane Ocker / Gelb ; 3.000 x 1.000 x 6 mm</t>
  </si>
  <si>
    <t>PUR90 Polyurethane Ocher / Yellow ; 3.000 x 1.000 x 6 mm</t>
  </si>
  <si>
    <t>PUR90 Polyurethane Ocre / Jaune ; 3.000 x 1.000 x 6 mm</t>
  </si>
  <si>
    <t>Lengte: 3.000 mm ; Breedte: 1.000 mm ; Dikte: 6 mm ; Zonder lijmlaag ; Kleur: Geel / Oker ; Hardheid: 90° Shore A; Slijtage: ≤ 50 mm³ ; Dichtheid / soortelijk gewicht: 1,24 g/cm³ ; Treksterkte: ≥ 40 N/mm² ; Rek bij breuk: ≥ 500 % ; Rebound-elasticiteit: 35%; Scheurvastheid: ≥ 55 N/mm</t>
  </si>
  <si>
    <t>Länge: 3.000 mm; Breite: 1.000 mm ; Stärke: 6 mm ; Ohne Kleberschicht ; Farbe: Gelb / Ocker ; Härte: 90° Shore A ; Abrieb: ≤ 50 mm³ ; Rohdichte / Spezifisches Gewicht: 1,24 g/cm³ ; Zugfestigkeit: ≥ 40 N/mm² ; Bruchdehnung: ≥ 500 % ; Stoßelastizität: 35 % ; Weiterreißwiderstand: ≥ 55 N/mm</t>
  </si>
  <si>
    <t>Length: 3.000 mm; Width: 1.000 mm ; Thickness: 6 mm ; Without bonding layer ; Colour: Yellow / Ochre ; Hardness: 90° Shore A ; Abrasion: ≤ 50 mm³ ; Density / specific weight: 1,24 g/cm³ ; Tensile strength: ≥ 40 N/mm² ; Elongation at break: ≥ 500 % ; Rebound elasticity: 35 % ; Tear-growth resistance: ≥ 55 N/mm</t>
  </si>
  <si>
    <t>Longueur : 3 000 mm ; Largeur : 1.000 mm ; Épaisseur : 6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</si>
  <si>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PUR90-3000X1000X8RE</t>
  </si>
  <si>
    <t>PUR90-3000X1000X8</t>
  </si>
  <si>
    <t>PUR90 Polyurethane Oker / Geel ; 3.000 x 1.000 x 8 mm</t>
  </si>
  <si>
    <t>PUR90 Polyurethane Ocker / Gelb ; 3.000 x 1.000 x 8 mm</t>
  </si>
  <si>
    <t>PUR90 Polyurethane Ocher / Yellow ; 3.000 x 1.000 x 8 mm</t>
  </si>
  <si>
    <t>PUR90 Polyurethane Ocre / Jaune ; 3.000 x 1.000 x 8 mm</t>
  </si>
  <si>
    <t>Lengte: 3.000 mm ; Breedte: 1.000 mm ; Dikte: 8 mm ; Zonder lijmlaag ; Kleur: Geel / Oker ; Hardheid: 90° Shore A; Slijtage: ≤ 50 mm³ ; Dichtheid / soortelijk gewicht: 1,24 g/cm³ ; Treksterkte: ≥ 40 N/mm² ; Rek bij breuk: ≥ 500 % ; Rebound-elasticiteit: 35%; Scheurvastheid: ≥ 55 N/mm</t>
  </si>
  <si>
    <t>Länge: 3.000 mm; Breite: 1.000 mm ; Stärke: 8 mm ; Ohne Kleberschicht ; Farbe: Gelb / Ocker ; Härte: 90° Shore A ; Abrieb: ≤ 50 mm³ ; Rohdichte / Spezifisches Gewicht: 1,24 g/cm³ ; Zugfestigkeit: ≥ 40 N/mm² ; Bruchdehnung: ≥ 500 % ; Stoßelastizität: 35 % ; Weiterreißwiderstand: ≥ 55 N/mm</t>
  </si>
  <si>
    <t>Length: 3.000 mm; Width: 1.000 mm ; Thickness: 8 mm ; Without bonding layer ; Colour: Yellow / Ochre ; Hardness: 90° Shore A ; Abrasion: ≤ 50 mm³ ; Density / specific weight: 1,24 g/cm³ ; Tensile strength: ≥ 40 N/mm² ; Elongation at break: ≥ 500 % ; Rebound elasticity: 35 % ; Tear-growth resistance: ≥ 55 N/mm</t>
  </si>
  <si>
    <t>Longueur : 3 000 mm ; Largeur : 1.000 mm ; Épaisseur : 8 mm ; Sans face adhésive ; Couleur : Jaune / Ocre ; Dureté : 90° Shore A ; Abrasion : ≤ 50 mm³ ; Densité / poids spécifique : 1,24 g/cm³ ; Résistance à la traction : ≥ 40 N/mm² ; Allongement à la rupture : ≥ 500 % ; Élasticité de rebond : 35 % ; Résistance à la déchirure : ≥ 55 N/mm</t>
  </si>
  <si>
    <t>PUR90-545X130X25-45ºRE</t>
  </si>
  <si>
    <t>Polyurethaan-PUR90-545x130x25-45º-Schraper</t>
  </si>
  <si>
    <t>23,800</t>
  </si>
  <si>
    <t>PUR90-700X130X25-45ºRE</t>
  </si>
  <si>
    <t>Polyurethaan-PUR90-700x130x25-45º-Schraper</t>
  </si>
  <si>
    <t>23,500</t>
  </si>
  <si>
    <t>PUR90-905X130X25-45ºRE</t>
  </si>
  <si>
    <t>Polyurethaan-PUR90-905x130x25-45º-Schraper</t>
  </si>
  <si>
    <t>39,200</t>
  </si>
  <si>
    <t>PUR92-594X100(-1)X10RE</t>
  </si>
  <si>
    <t>Polyurethaan-PUR92-strook-594x100(-1)x10</t>
  </si>
  <si>
    <t>RAU-TEC-10.000X380X12 WITCH</t>
  </si>
  <si>
    <t>RAU-TEC-trommelbekleding-10.000x380x12 wit, 808070</t>
  </si>
  <si>
    <t>851,170</t>
  </si>
  <si>
    <t>RAU-TEC40B-ROOD-08-2000CH</t>
  </si>
  <si>
    <t>RAU-TEC40B-ROOD-08mm-00801285</t>
  </si>
  <si>
    <t>41,840</t>
  </si>
  <si>
    <t>RAU-TEC40B-ROOD-10-1800ZA</t>
  </si>
  <si>
    <t>RAU-TEC40B-ROOD-10mm-00801282</t>
  </si>
  <si>
    <t>35,820</t>
  </si>
  <si>
    <t>RAU-TEC60B-MAXI-ZW-10-2000CH</t>
  </si>
  <si>
    <t>RAU-TEC60B-MAXIruit-ZWART-10-00801960</t>
  </si>
  <si>
    <t>RAU-TEC60B-MAXI-ZW-12-2000CH</t>
  </si>
  <si>
    <t>RAU-TEC60B-MAXIruit-ZWART-12-00805700</t>
  </si>
  <si>
    <t>42,270</t>
  </si>
  <si>
    <t>RAU-TEC60B-WIT-10000X1800X06ZA</t>
  </si>
  <si>
    <t>RAU-TEC60B, WIT, 10.000x1.800x06-met lijmlaag-00803586</t>
  </si>
  <si>
    <t>RAU-TEC60B-WIT-10000X1800X10ZA</t>
  </si>
  <si>
    <t>RAU-TEC60B, WIT, 10.000x1.800x10-met lijmlaag-00801919</t>
  </si>
  <si>
    <t>49,840</t>
  </si>
  <si>
    <t>RAU-TEC60B-ZWART-06-1400ZA</t>
  </si>
  <si>
    <t>RAU-TEC60B-ZWART-06mm-00801311</t>
  </si>
  <si>
    <t>27,370</t>
  </si>
  <si>
    <t>RAU-TEC60B-ZWART-06-1800CH</t>
  </si>
  <si>
    <t>RAU-TEC60B-ZWART-06mm-00801319</t>
  </si>
  <si>
    <t>RAU-TEC60B-ZWART-06-1800ZA</t>
  </si>
  <si>
    <t>RAU-TEC60B-ZWART-06-2000CH</t>
  </si>
  <si>
    <t>RAU-TEC60B-ZWART-06mm-00808008</t>
  </si>
  <si>
    <t>30,320</t>
  </si>
  <si>
    <t>RAU-TEC60B-ZWART-08-1400CH</t>
  </si>
  <si>
    <t>RAU-TEC60B-ZWART-08mm-00801312</t>
  </si>
  <si>
    <t>34,280</t>
  </si>
  <si>
    <t>RAU-TEC60B-ZWART-08-1400ZA</t>
  </si>
  <si>
    <t>31,200</t>
  </si>
  <si>
    <t>RAU-TEC60B-ZWART-08-1600ZA</t>
  </si>
  <si>
    <t>RAU-TEC60B-ZWART-08mm-00801327</t>
  </si>
  <si>
    <t>RAU-TEC60B-ZWART-08-1800ZA</t>
  </si>
  <si>
    <t>RAU-TEC60B-ZWART-08mm-00801321</t>
  </si>
  <si>
    <t>RAU-TEC60B-ZWART-08-2000CH</t>
  </si>
  <si>
    <t>RAU-TEC60B-ZWART-08mm-00801326</t>
  </si>
  <si>
    <t>RAU-TEC60B-ZWART-10-1400ZA</t>
  </si>
  <si>
    <t>RAU-TEC60B-ZWART-10mm-00801313</t>
  </si>
  <si>
    <t>37,350</t>
  </si>
  <si>
    <t>RAU-TEC60B-ZWART-10-1600ZA</t>
  </si>
  <si>
    <t>RAU-TEC60B-ZWART-10mm-00801328</t>
  </si>
  <si>
    <t>RAU-TEC60B-ZWART-10-1800ZA</t>
  </si>
  <si>
    <t>RAU-TEC60B-ZWART-10mm-00801322</t>
  </si>
  <si>
    <t>RAU-TEC60B-ZWART-10-2000CH</t>
  </si>
  <si>
    <t>RAU-TEC60B-ZWART-10mm-00801316</t>
  </si>
  <si>
    <t>RAU-TEC60B-ZWART-12-1400ZA</t>
  </si>
  <si>
    <t>RAU-TEC60B-ZWART-12mm-00801314</t>
  </si>
  <si>
    <t>RAU-TEC60B-ZWART-12-1800ZA</t>
  </si>
  <si>
    <t>RAU-TEC60B-ZWART-12mm-00801320</t>
  </si>
  <si>
    <t>42,500</t>
  </si>
  <si>
    <t>RAU-TEC60B-ZWART-12-2000CH</t>
  </si>
  <si>
    <t>RAU-TEC60B-ZWART-12mm-00801324</t>
  </si>
  <si>
    <t>46,070</t>
  </si>
  <si>
    <t>RAU-TEC60B-ZWART-15-1800ZA</t>
  </si>
  <si>
    <t>RAU-TEC60B-ZWART-15mm-00801323</t>
  </si>
  <si>
    <t>40,830</t>
  </si>
  <si>
    <t>RAU-TEC60B-ZWART-O&amp;G-08-2000CH</t>
  </si>
  <si>
    <t>RAU-TEC60B-ZWART-O&amp;G-08mm-00801500</t>
  </si>
  <si>
    <t>RAU-TEC60B-ZWART-O&amp;G-10-2000CH</t>
  </si>
  <si>
    <t>RAU-TEC60B-ZWART-O&amp;G-10mm-00801501</t>
  </si>
  <si>
    <t>55,280</t>
  </si>
  <si>
    <t>RAUTENFL GEWEBE 160X130X3,8CH</t>
  </si>
  <si>
    <t>Rautenflicken WT-RFG Gewebe - 160 x 130 x 3,8 mm-00800063</t>
  </si>
  <si>
    <t>1,560</t>
  </si>
  <si>
    <t>RAUTENFL GEWEBE 260X200X3,8CH</t>
  </si>
  <si>
    <t>Rautenflicken WT-RFG Gewebe - 260 x 200 x 3,8 mm-00800064</t>
  </si>
  <si>
    <t>2,220</t>
  </si>
  <si>
    <t>RAUTENFL GEWEBE 360X270X3,7CH</t>
  </si>
  <si>
    <t>Rautenflicken WT-RFG Gewebe - 360 x 270 x 3,8 mm-00800065</t>
  </si>
  <si>
    <t>3,840</t>
  </si>
  <si>
    <t>RAUTENFLICKEN 160X130X2,4CH</t>
  </si>
  <si>
    <t>Rautenflicken WT-RF - 160 x 130 x 2,4 mm-00800060</t>
  </si>
  <si>
    <t>RAUTENFLICKEN 260X200X2,4CH</t>
  </si>
  <si>
    <t>Rautenflicken WT-RF - 260 x 200 x 2,4 mm-00800061</t>
  </si>
  <si>
    <t>RAUTENFLICKEN 360X270X2,4CH</t>
  </si>
  <si>
    <t>Rautenflicken WT-RF  - 360 x 270 x 2,4 mm-00800062</t>
  </si>
  <si>
    <t>RECHTECKFL GEWEB 100X240X3,2CH</t>
  </si>
  <si>
    <t>Rechteckflicken WT-REFG Gewebe - 100 x 240 x 3,2 mm-00800085</t>
  </si>
  <si>
    <t>39, Wagu</t>
  </si>
  <si>
    <t>2,020</t>
  </si>
  <si>
    <t>RECHTECKFL GEWEB 220X320X4,2CH</t>
  </si>
  <si>
    <t>Rechteckflicken WT-REFG Gewebe- 220 x 320 x 4,2 mm-00800058</t>
  </si>
  <si>
    <t>RECHTECKFL GEWEB 300X500X3,7CH</t>
  </si>
  <si>
    <t>Rechteckflicken WT-REFG Gewebe- 300 x 500 x 4.4 mm-00800086</t>
  </si>
  <si>
    <t>7,970</t>
  </si>
  <si>
    <t>RECHTECKFLICKEN 100X240X1,8CH</t>
  </si>
  <si>
    <t>Rechteckflicken WT-REF - 100 x 240 x 1,8 mm-00800083</t>
  </si>
  <si>
    <t>1,630</t>
  </si>
  <si>
    <t>RECHTECKFLICKEN 220X320X2,8CH</t>
  </si>
  <si>
    <t>Rechteckflicken WT-REF - 220 x 320 x 2,8 mm-00800059</t>
  </si>
  <si>
    <t>4,070</t>
  </si>
  <si>
    <t>RECHTECKFLICKEN 300X500X3,0CH</t>
  </si>
  <si>
    <t>Rechteckflicken WT-REF - 300 x 500 x 3,0 mm-00800084</t>
  </si>
  <si>
    <t>6,540</t>
  </si>
  <si>
    <t>REMA COMBI SKIRT Z-O 20MMCH</t>
  </si>
  <si>
    <t>Rema Combi Skirt, Zwart-Oranje,dik 20 mm</t>
  </si>
  <si>
    <t>144,050</t>
  </si>
  <si>
    <t>REPARATURBAND 20.000X035X1,7CH</t>
  </si>
  <si>
    <t>Reparaturbander WT-RB-2 -20.000 x 035 x 1,7 mm-00800075</t>
  </si>
  <si>
    <t>24,700</t>
  </si>
  <si>
    <t>REPARATURBAND 20.000X050X1,7CH</t>
  </si>
  <si>
    <t>Reparaturbander WT-RB-1 -20.000 x 050 x 1,7 mm-00800076</t>
  </si>
  <si>
    <t>31,710</t>
  </si>
  <si>
    <t>REPARATURBAND 20.000X070X2,2CH</t>
  </si>
  <si>
    <t>Reparaturbander WT-RB-0 -20.000 x 070 x 2,2 mm-00800011</t>
  </si>
  <si>
    <t>42,880</t>
  </si>
  <si>
    <t>REPARATURBAND 20.000X100X2,2CH</t>
  </si>
  <si>
    <t>Reparaturbander WT-RB-1 -20.000 x 100 x 2,2 mm-00800013</t>
  </si>
  <si>
    <t>REPARATURBAND 20.000X150X3,2CH</t>
  </si>
  <si>
    <t>Reparaturbander WT-RB-2 -20.000 x 150 x 3,2 mm-00800014</t>
  </si>
  <si>
    <t>81,980</t>
  </si>
  <si>
    <t>REPARATURBAND 20.000X220X3,2CH</t>
  </si>
  <si>
    <t>Reparaturbander WT-RB-3 -20.000 x 220 x 3,2 mm-00800066</t>
  </si>
  <si>
    <t>123,760</t>
  </si>
  <si>
    <t>REPARATURBAND 20.000X300X3,4CH</t>
  </si>
  <si>
    <t>Reparaturbander WT-RB-4 -20.000 x 300 x 3,4 mm-00800067</t>
  </si>
  <si>
    <t>191,530</t>
  </si>
  <si>
    <t>REPARATURBAND GEWEBE 100X3,6CH</t>
  </si>
  <si>
    <t>Reparaturbander WT-RBG-1 Gewebeverst-100 x 3,6 mm-00800019</t>
  </si>
  <si>
    <t>85,490</t>
  </si>
  <si>
    <t>REPARATURBAND GEWEBE 150X4,6CH</t>
  </si>
  <si>
    <t>Reparaturbander WT-RBG-2 Gewebeverst-150 x 4,6 mm-00800068</t>
  </si>
  <si>
    <t>144,200</t>
  </si>
  <si>
    <t>REPARATURBAND GEWEBE 220X4,6CH</t>
  </si>
  <si>
    <t>Reparaturbander WT-RBG-3 Gewebeverst-220 x 4,6 mm-00800069</t>
  </si>
  <si>
    <t>208,060</t>
  </si>
  <si>
    <t>REPARATURBAND GEWEBE 300X4,8CH</t>
  </si>
  <si>
    <t>Reparaturbander WT-RBG-4 Gewebeverst-300 x 4,8 mm-00800070</t>
  </si>
  <si>
    <t>336,420</t>
  </si>
  <si>
    <t>REPARATURGEWEBE 1000X1,8DE</t>
  </si>
  <si>
    <t>Reparaturgewebe EP 100 - CN - 10.000x1.000x1,8 mm-00800087</t>
  </si>
  <si>
    <t>261,700</t>
  </si>
  <si>
    <t>REPARATURGEWEBE 500X1,8DE</t>
  </si>
  <si>
    <t>Reparaturgewebe EP 100 - CN - 10.000x500x1,8 mm-00800077</t>
  </si>
  <si>
    <t>149,080</t>
  </si>
  <si>
    <t>REPARATURPLAT 10.000X1.000X3CH</t>
  </si>
  <si>
    <t>Reparaturplatte - 10.000 x 1.000 x 3 mm-00800091</t>
  </si>
  <si>
    <t>434,200</t>
  </si>
  <si>
    <t>REPARATURPLAT 10.000X1.500X2CH</t>
  </si>
  <si>
    <t>Reparaturplatte - 10.000 x 1.500 x 2 mm-00800090</t>
  </si>
  <si>
    <t>360,600</t>
  </si>
  <si>
    <t>REPARATURPLAT 10.000X1.500X4CH</t>
  </si>
  <si>
    <t>Reparaturplatte - 10.000 x 1.500 x 4 mm-00800092</t>
  </si>
  <si>
    <t>404,100</t>
  </si>
  <si>
    <t>REPARATURPLAT 10.000X500X1,5CH</t>
  </si>
  <si>
    <t>Reparaturplatte - 10.000 x 500 x 1,5 mm-00800071</t>
  </si>
  <si>
    <t>112,320</t>
  </si>
  <si>
    <t>REPARATURPLAT 10.000X500X2CH</t>
  </si>
  <si>
    <t>Reparaturplatte - 10.000 x 500 x 2,0 mm-00800072</t>
  </si>
  <si>
    <t>126,300</t>
  </si>
  <si>
    <t>REPARATURPLAT 10.000X500X3DE</t>
  </si>
  <si>
    <t>Reparaturplatte - 10.000 x 500 x 3,0 mm-00800073</t>
  </si>
  <si>
    <t>189,200</t>
  </si>
  <si>
    <t>REPARATURPLAT 10.000X500X4CH</t>
  </si>
  <si>
    <t>Reparaturplatte - 10.000 x 500 x 4,0 mm-00800074</t>
  </si>
  <si>
    <t>124,600</t>
  </si>
  <si>
    <t>REX-DRIVE 140X1.500X16MM-FRAZK</t>
  </si>
  <si>
    <t>REX-DRIVE 140x1.500x16mm-FRAS</t>
  </si>
  <si>
    <t>12035, ZKU JSCo, Factory for Rubber Seals</t>
  </si>
  <si>
    <t>04-11_REX-DRIVE</t>
  </si>
  <si>
    <t>REX-DRIVE ; FRAS Rubber, Brandwerend</t>
  </si>
  <si>
    <t>REX-DRIVE ; FRAS-Gummi, Feuerresistent</t>
  </si>
  <si>
    <t>REX-DRIVE ; FRAS Rubber, Fire resistant</t>
  </si>
  <si>
    <t>REX-DRIVE ; Caoutchouc FRAS, résistant au feu</t>
  </si>
  <si>
    <t>Met metalen rug ; Lengte 1.500 mm ; Breedte 140 mm ; Dikte 16 mm ;</t>
  </si>
  <si>
    <t>Mit Metallrücken ; Länge 1.500 mm ; Breite 140 mm ; Starke 16 mm;</t>
  </si>
  <si>
    <t>With metal back ; Length 1,500mm ; Width 140mm ; Thickness 16mm ;</t>
  </si>
  <si>
    <t>Avec dos en métal ; Longueur 1 500 mm ; Largeur 140 mm ; Épaisseur 16 mm ;</t>
  </si>
  <si>
    <t>Onze trommelbekleding REX-DRIVE wordt gebruikt als bekleding voor de aandrijf- en niet-aangedreven trommels. Het zijn 140 mm brede rubberen platen, die bestaan uit twee segmenten met gevulkaniseerde metalen geleiders. Flexibel rubber tussen twee segmenten maakt eenvoudige montage op het gebogen oppervlak van de trommel mogelijk. Het voordeel van het REX-DRIVE systeem is het gemak en de snelheid van montage. De montage kan ter plaatse worden uitgevoerd zonder de trommel gedemonteerd hoeft te worden en minimaliseert de uitvaltijd van de installatie. U kunt tussendoor de versleten segmenten eenvoudig vervangen door nieuwe.</t>
  </si>
  <si>
    <t>Als Belag für die Antriebs- und Nichtantriebstrommeln kommt unser Anschraub-Trommelbelag REX-DRIVE zum Einsatz. Es handelt sich um 140 mm breite Gummiplatten, die aus zwei Segmenten mit einvulkanisierten Metallkufen bestehen. Flexibler Gummi zwischen zwei Segmenten ermöglicht eine einfache Montage auf der gekrümmten Oberfläche der Trommeln. Der Vorteil des REX-DRIVE-Systems ist die einfache und schnelle Montage. Die Montage kann vor Ort ohne Demontage der Trommeln erfolgen und minimiert die Ausfallzeiten der Anlage. Während des Betriebs können Sie verschlissene Segmente einfach durch neue ersetzen.</t>
  </si>
  <si>
    <t>Our bolt-on pulley lagging REX-DRIVE is used as lagging for the drive and non-drive pulleys. It is 140 mm wide rubber plates, which consist of two segments with vulkanized metal runners. Flexible rubber between two segments allows easy mounting on the curved surface of pulley. The advantage of the REX-DRIVE system is ease and speed of mounting. The mounting can be made on site without dismantling of the pulley and minimaze downtime of the instalation. During operation you can easily replace worn segments through new.</t>
  </si>
  <si>
    <t>Notre revêtement de tambour boulonné REX-DRIVE est utilisé comme revêtement pour les tambour motrices et non motrices. Il s'agit de plaques en caoutchouc de 140 mm de large, composées de deux segments avec des patins en métal vulcanisé. Le caoutchouc flexible entre deux segments permet un montage facile sur la surface incurvée de la tambour. L'avantage du système REX-DRIVE est la facilité et la rapidité de montage. Le montage peut se faire sur site sans démontage de la tambour et minimise les temps d'arrêt de l'installation. Pendant le fonctionnement, vous pouvez facilement remplacer les segments usés par de nouveaux.</t>
  </si>
  <si>
    <t>Geschikt voor alle soorten trommels ; Primer en hechtcement zijn niet nodig ; Gemakkelijke vervanging van versleten segmenten ; Installatie ter plaatse zonder de trommel te demonteren ;</t>
  </si>
  <si>
    <t>Geeignet für alle Arten von Trommeln ; Keine Primer und Kleber erforderlich ; Einfacher Austausch verschlissener Segmente ; Einbau vor Ort ohne Demontage der Trommeln ;</t>
  </si>
  <si>
    <t xml:space="preserve">Suits all kinds of pulleys ; No need of primer and bonding cements ; Easy replacement of worn segments ; Installation on site without without dismantling the pulley ; </t>
  </si>
  <si>
    <t>Convient à toutes sortes de tambour ; Pas besoin d'apprêt et de ciments d'accrochage ; Remplacement facile des segments usés ; Installation sur site sans démontage de la tambour ;</t>
  </si>
  <si>
    <t>Rubber gevulkaniseerd op een metalen profiel, voor de bekleding van aandrijftrommels.</t>
  </si>
  <si>
    <t>Auf ein Metallprofil vulkanisierter Gummi zum Belag von Antriebtrommel.</t>
  </si>
  <si>
    <t>Rubber vulcanized on a metal profile, for the lagging of drive pulleys.</t>
  </si>
  <si>
    <t>Caoutchouc vulcanisé sur un profilé métallique, pour le calage des tambour d'entraînement.</t>
  </si>
  <si>
    <t>REX-DRIVE BOUT M8X40 (20ST)BS ; REX-DRIVE 140X1.500X16MM-MORZK ; REX-DRIVE 140X1.500X16MM-NATZK</t>
  </si>
  <si>
    <t>074</t>
  </si>
  <si>
    <t>Trommelbelag mit mech. Befestigung</t>
  </si>
  <si>
    <t>REX-DRIVE 140X1.500X16MM-MORZK</t>
  </si>
  <si>
    <t>REX-DRIVE 140x1.500x16mm-MOR</t>
  </si>
  <si>
    <t>REX-DRIVE ; SBR / NBR Rubber, Terpeenbestendig</t>
  </si>
  <si>
    <t>REX-DRIVE ; SBR / NBR-Gummi, Terpenbeständig</t>
  </si>
  <si>
    <t>REX-DRIVE ; SBR / NBR Rubber, Terpen resistant</t>
  </si>
  <si>
    <t>REX-DRIVE ; Caoutchouc SBR / NBR, résistant aux terpènes</t>
  </si>
  <si>
    <t>REX-DRIVE BOUT M8X40 (20ST)BS ; REX-DRIVE 140X1.500X16MM-FRAZK ; REX-DRIVE 140X1.500X16MM-NATZK</t>
  </si>
  <si>
    <t>REX-DRIVE 140X1.500X16MM-NATZK</t>
  </si>
  <si>
    <t>REX-DRIVE 140x1.500x16mm-Natural</t>
  </si>
  <si>
    <t>29,030</t>
  </si>
  <si>
    <t>REX-DRIVE ; NR / SBR Rubber, Naturel</t>
  </si>
  <si>
    <t>REX-DRIVE ; NR / SBR-Gummi, Natur</t>
  </si>
  <si>
    <t>REX-DRIVE ; NR / SBR Rubber, Natural</t>
  </si>
  <si>
    <t>REX-DRIVE ; Caoutchouc NR / SBR, natural</t>
  </si>
  <si>
    <t>REX-DRIVE BOUT M8X40 (20ST)BS ; REX-DRIVE 140X1.500X16MM-MORZK ; REX-DRIVE 140X1.500X16MM-FRAZK</t>
  </si>
  <si>
    <t>REX-DRIVE BOUT M8X40 (20ST)BS</t>
  </si>
  <si>
    <t>SCHROEF REX-DRIVE M8 x 40 mm</t>
  </si>
  <si>
    <t>12055, Bo-Sch Trading B.V.</t>
  </si>
  <si>
    <t>3,480</t>
  </si>
  <si>
    <t>REX-DRIVE Schroeven ; M8 x 35</t>
  </si>
  <si>
    <t>REX-DRIVE Schrauben ; M8 x 36</t>
  </si>
  <si>
    <t>REX-DRIVE Screws ; M8 x 37</t>
  </si>
  <si>
    <t>REX-DRIVE écrous ; M8 x 38</t>
  </si>
  <si>
    <t>Set van 20 stuks</t>
  </si>
  <si>
    <t>Satz von 20 Stück</t>
  </si>
  <si>
    <t>Set of 20 pieces</t>
  </si>
  <si>
    <t>Ensemble de 20 pièces</t>
  </si>
  <si>
    <t>Geschikt voor alle typen REX-DRIVE</t>
  </si>
  <si>
    <t>Für alle Typen von REX-DRIVE geeignet</t>
  </si>
  <si>
    <t>Suitable for all types of REX-DRIVE</t>
  </si>
  <si>
    <t>Convient à tous les types de REX-DRIVE</t>
  </si>
  <si>
    <t>REX-DRIVE 140X1.500X16MM-FRAZK ; REX-DRIVE 140X1.500X16MM-MORZK ; REX-DRIVE 140X1.500X16MM-NATZK</t>
  </si>
  <si>
    <t>ROTARY-TABLE-Ø2000X12MM-5TONKR</t>
  </si>
  <si>
    <t>ROTERY-TABLE-Ø2.000X12mm-5TON</t>
  </si>
  <si>
    <t>2.550,000</t>
  </si>
  <si>
    <t>ROTARY-TABLE-Ø2000X25MM-5TONKR</t>
  </si>
  <si>
    <t>ROTERY-TABLE-Ø2.000X25mm-5TON</t>
  </si>
  <si>
    <t>2.620,000</t>
  </si>
  <si>
    <t>RT-REX60B-ZWART-10TA</t>
  </si>
  <si>
    <t>Trommelbekl. met Rough Top profiel ML, dik 10 mm</t>
  </si>
  <si>
    <t>50,740</t>
  </si>
  <si>
    <t>RT-REX60B-ZWART-12TA</t>
  </si>
  <si>
    <t>Trommelbekl. met Rough Top profiel ML, dik 12 mm</t>
  </si>
  <si>
    <t>RT-REX60B-ZWART-8TA</t>
  </si>
  <si>
    <t>Trommelbekl. met Rough Top profiel ML, dik 8 mm</t>
  </si>
  <si>
    <t>40,550</t>
  </si>
  <si>
    <t>RUBBER-SHEET60-EPDM-HR-10MMKA</t>
  </si>
  <si>
    <t>Rubber Sheets 60 EPDM HR 10mm</t>
  </si>
  <si>
    <t>23,400</t>
  </si>
  <si>
    <t>Rubber voor veelzijdig gebruik, hittebestendig ; EPDM 10 mm</t>
  </si>
  <si>
    <t>Mehrzweck-Gummi, Hitze beständig ; EPDM 10 mm</t>
  </si>
  <si>
    <t>Multiple-use rubber, heat resistant ; EPDM 10 mm</t>
  </si>
  <si>
    <t>Caoutchouc à usage multiple, anti chaleur ; EPDM 10 mm</t>
  </si>
  <si>
    <t xml:space="preserve">Hitte bestendig ; Zonder lijmlaag ; Lengte: 10.000 mm ; Breedte: 2.000 mm ; Dikte: 10 mm ; Kleur: Zwart ; Shore-hardheid: ± 65° ; Treksterkte: ≥ 7 Mpa ; Rek: ≥ 300% ; Soortelijk gewicht: 1,3 g/cm³ </t>
  </si>
  <si>
    <t xml:space="preserve">Hitze beständig ; Ohne Kontaktschicht ; Länge: 10.000 mm ; Breite: 2.000 mm ; Stärke: 10 mm ; Farbe: Schwarz ; Shore Härte: ± 65° ; Reißfestigkeit: ≥ 7 MPa ; Reißdehnung: ≥ 300 % ; Spezifisches Gewicht: 1,3 g/cm³ </t>
  </si>
  <si>
    <t xml:space="preserve">Heat resistant ; Without bonding layer ; Length: 10.000 mm ; Width: 2.000 mm ; Thickness: 10 mm ; Colour: Black ; Shore Hardness: ± 65° ; Tensile Strength: ≥ 7 MPa ; Elongation: ≥ 300 % ; Specific weight: 1,3 g/cm³ </t>
  </si>
  <si>
    <t xml:space="preserve">Anti chaleur ; Sans face adhésive ; Longueur: 10.000 mm ; Largeur: 2.000 mm ; Épaisseur: 10 mm ; Couleur: Noir ; Dureté Shore: ± 65° ; Résistance à la rupture: ≥ 7 MPa ; Allongement: ≥ 300 % ; Poids spécifique: 1,3 g/cm³ </t>
  </si>
  <si>
    <t>Een rubber van commerciële kwaliteit met een uitstekende prijs-prestatieverhouding. ; T-REX NR/SBR-platen worden gebruikt voor kleine mechanische eisen in een breed scala aan toepassingen zoals pakkingen, ringen, enz. ; Geproduceerd volgens ISO- en DIN-normen. ; Het product is flexibel en heeft een goede verouderingsbestendigheid.</t>
  </si>
  <si>
    <t>Ein Belag in handelsüblicher Qualität mit einem hervorragenden Preis-Leistungs-Verhältnis. ; T-REX NR/SBR-Platten werden für geringe mechanische Anforderungen in einer Vielzahl von Anwendungen wie Dichtungen, Unterlegscheiben usw. verwendet. Produziert nach ISO- und DIN-Normen. ; Das Produkt ist flexibel und hat eine gute Alterungsbeständigkeit.</t>
  </si>
  <si>
    <t>A commercial grade rubber with an excellent ratio of price and performance. ; T-REX NR/SBR Sheets are used for minor mechanical demands in a wide variety of applications such as gaskets, washers, etc. ; Produced according to ISO and DIN standards. The product is flexible and has a good ageing resistance.</t>
  </si>
  <si>
    <t>Un caoutchouc de qualité commerciale avec un excellent rapport prix/performance. ; Les feuilles T-REX NR/SBR sont utilisées pour des exigences mécaniques mineures dans une grande variété d'applications telles que les joints, les rondelles, etc. ; Produit selon les normes ISO et DIN. ; Le produit est flexible et a une bonne résistance au vieillissement.</t>
  </si>
  <si>
    <t>080</t>
  </si>
  <si>
    <t>VS Standard Sontiges</t>
  </si>
  <si>
    <t>RUBBER-SHEET60-EPDM-HR-10MMQC</t>
  </si>
  <si>
    <t>17733, Qingdao Conet International Trade Co., Ltd.</t>
  </si>
  <si>
    <t>20,270</t>
  </si>
  <si>
    <t>RUBBER-SHEET60-EPDM-HR-2MMKA</t>
  </si>
  <si>
    <t>Rubber Sheets 60 EPDM HR 2mm</t>
  </si>
  <si>
    <t>Rubber voor veelzijdig gebruik, hittebestendig ; EPDM 2 mm</t>
  </si>
  <si>
    <t>Mehrzweck-Gummi, Hitze beständig ; EPDM 2 mm</t>
  </si>
  <si>
    <t>Multiple-use rubber, heat resistant ; EPDM 2 mm</t>
  </si>
  <si>
    <t>Caoutchouc à usage multiple, anti chaleur ; EPDM 2 mm</t>
  </si>
  <si>
    <t>Hitte bestendig ; Zonder lijmlaag ; Lengte: 10.000 mm ; Breedte: 2.000 mm ; Dikte: 2 mm ; Kleur: Zwart ; Shore-hardheid: ± 65° ; Treksterkte: ≥ 7 Mpa ; Rek: ≥ 300% ; Soortelijk gewicht: 1,3 g/cm130</t>
  </si>
  <si>
    <t>Hitze beständig ; Ohne Kontaktschicht ; Länge: 10.000 mm ; Breite: 2.000 mm ; Stärke: 2 mm ; Farbe: Schwarz ; Shore Härte: ± 65° ; Reißfestigkeit: ≥ 7 MPa ; Reißdehnung: ≥ 300 % ; Spezifisches Gewicht: 1,3 g/cm130</t>
  </si>
  <si>
    <t>Heat resistant ; Without bonding layer ; Length: 10.000 mm ; Width: 2.000 mm ; Thickness: 2 mm ; Colour: Black ; Shore Hardness: ± 65° ; Tensile Strength: ≥ 7 MPa ; Elongation: ≥ 300 % ; Specific weight: 1,3 g/cm130</t>
  </si>
  <si>
    <t>Anti chaleur ; Sans face adhésive ; Longueur: 10.000 mm ; Largeur: 2.000 mm ; Épaisseur: 2 mm ; Couleur: Noir ; Dureté Shore: ± 65° ; Résistance à la rupture: ≥ 7 MPa ; Allongement: ≥ 300 % ; Poids spécifique: 1,3 g/cm130</t>
  </si>
  <si>
    <t>RUBBER-SHEET60-EPDM-HR-2MMQC</t>
  </si>
  <si>
    <t>4,050</t>
  </si>
  <si>
    <t xml:space="preserve">Hitte bestendig ; Zonder lijmlaag ; Lengte: 10.000 mm ; Breedte: 2.000 mm ; Dikte: 2 mm ; Kleur: Zwart ; Shore-hardheid: ± 65° ; Treksterkte: ≥ 7 Mpa ; Rek: ≥ 300% ; Soortelijk gewicht: 1,3 g/cm³ </t>
  </si>
  <si>
    <t xml:space="preserve">Hitze beständig ; Ohne Kontaktschicht ; Länge: 10.000 mm ; Breite: 2.000 mm ; Stärke: 2 mm ; Farbe: Schwarz ; Shore Härte: ± 65° ; Reißfestigkeit: ≥ 7 MPa ; Reißdehnung: ≥ 300 % ; Spezifisches Gewicht: 1,3 g/cm³ </t>
  </si>
  <si>
    <t xml:space="preserve">Heat resistant ; Without bonding layer ; Length: 10.000 mm ; Width: 2.000 mm ; Thickness: 2 mm ; Colour: Black ; Shore Hardness: ± 65° ; Tensile Strength: ≥ 7 MPa ; Elongation: ≥ 300 % ; Specific weight: 1,3 g/cm³ </t>
  </si>
  <si>
    <t xml:space="preserve">Anti chaleur ; Sans face adhésive ; Longueur: 10.000 mm ; Largeur: 2.000 mm ; Épaisseur: 2 mm ; Couleur: Noir ; Dureté Shore: ± 65° ; Résistance à la rupture: ≥ 7 MPa ; Allongement: ≥ 300 % ; Poids spécifique: 1,3 g/cm³ </t>
  </si>
  <si>
    <t>RUBBER-SHEET60-EPDM-HR-3MMKA</t>
  </si>
  <si>
    <t>Rubber Sheets 60 EPDM HR 3mm</t>
  </si>
  <si>
    <t>6,090</t>
  </si>
  <si>
    <t>Rubber voor veelzijdig gebruik, hittebestendig ; EPDM 3 mm</t>
  </si>
  <si>
    <t>Mehrzweck-Gummi, Hitze beständig ; EPDM 3 mm</t>
  </si>
  <si>
    <t>Multiple-use rubber, heat resistant ; EPDM 3 mm</t>
  </si>
  <si>
    <t>Caoutchouc à usage multiple, anti chaleur ; EPDM 3 mm</t>
  </si>
  <si>
    <t xml:space="preserve">Hitte bestendig ; Zonder lijmlaag ; Lengte: 10.000 mm ; Breedte: 2.000 mm ; Dikte: 3 mm ; Kleur: Zwart ; Shore-hardheid: ± 65° ; Treksterkte: ≥ 7 Mpa ; Rek: ≥ 300% ; Soortelijk gewicht: 1,3 g/cm³ </t>
  </si>
  <si>
    <t xml:space="preserve">Hitze beständig ; Ohne Kontaktschicht ; Länge: 10.000 mm ; Breite: 2.000 mm ; Stärke: 3 mm ; Farbe: Schwarz ; Shore Härte: ± 65° ; Reißfestigkeit: ≥ 7 MPa ; Reißdehnung: ≥ 300 % ; Spezifisches Gewicht: 1,3 g/cm³ </t>
  </si>
  <si>
    <t xml:space="preserve">Heat resistant ; Without bonding layer ; Length: 10.000 mm ; Width: 2.000 mm ; Thickness: 3 mm ; Colour: Black ; Shore Hardness: ± 65° ; Tensile Strength: ≥ 7 MPa ; Elongation: ≥ 300 % ; Specific weight: 1,3 g/cm³ </t>
  </si>
  <si>
    <t xml:space="preserve">Anti chaleur ; Sans face adhésive ; Longueur: 10.000 mm ; Largeur: 2.000 mm ; Épaisseur: 3 mm ; Couleur: Noir ; Dureté Shore: ± 65° ; Résistance à la rupture: ≥ 7 MPa ; Allongement: ≥ 300 % ; Poids spécifique: 1,3 g/cm³ </t>
  </si>
  <si>
    <t>RUBBER-SHEET60-EPDM-HR-3MMQC</t>
  </si>
  <si>
    <t>6,080</t>
  </si>
  <si>
    <t>Hitte bestendig ; Zonder lijmlaag ; Lengte: 10.000 mm ; Breedte: 2.000 mm ; Dikte: 3 mm ; Kleur: Zwart ; Shore-hardheid: ± 65° ; Treksterkte: ≥ 7 Mpa ; Rek: ≥ 300% ; Soortelijk gewicht: 1,3 g/cm132</t>
  </si>
  <si>
    <t>Hitze beständig ; Ohne Kontaktschicht ; Länge: 10.000 mm ; Breite: 2.000 mm ; Stärke: 3 mm ; Farbe: Schwarz ; Shore Härte: ± 65° ; Reißfestigkeit: ≥ 7 MPa ; Reißdehnung: ≥ 300 % ; Spezifisches Gewicht: 1,3 g/cm132</t>
  </si>
  <si>
    <t>Heat resistant ; Without bonding layer ; Length: 10.000 mm ; Width: 2.000 mm ; Thickness: 3 mm ; Colour: Black ; Shore Hardness: ± 65° ; Tensile Strength: ≥ 7 MPa ; Elongation: ≥ 300 % ; Specific weight: 1,3 g/cm132</t>
  </si>
  <si>
    <t>Anti chaleur ; Sans face adhésive ; Longueur: 10.000 mm ; Largeur: 2.000 mm ; Épaisseur: 3 mm ; Couleur: Noir ; Dureté Shore: ± 65° ; Résistance à la rupture: ≥ 7 MPa ; Allongement: ≥ 300 % ; Poids spécifique: 1,3 g/cm132</t>
  </si>
  <si>
    <t>RUBBER-SHEET60-EPDM-HR-4MMKA</t>
  </si>
  <si>
    <t>Rubber Sheets 60 EPDM HR 4mm</t>
  </si>
  <si>
    <t>Rubber voor veelzijdig gebruik, hittebestendig ; EPDM 4 mm</t>
  </si>
  <si>
    <t>Mehrzweck-Gummi, Hitze beständig ; EPDM 4 mm</t>
  </si>
  <si>
    <t>Multiple-use rubber, heat resistant ; EPDM 4 mm</t>
  </si>
  <si>
    <t>Caoutchouc à usage multiple, anti chaleur ; EPDM 4 mm</t>
  </si>
  <si>
    <t xml:space="preserve">Hitte bestendig ; Zonder lijmlaag ; Lengte: 10.000 mm ; Breedte: 2.000 mm ; Dikte: 4 mm ; Kleur: Zwart ; Shore-hardheid: ± 65° ; Treksterkte: ≥ 7 Mpa ; Rek: ≥ 300% ; Soortelijk gewicht: 1,3 g/cm³ </t>
  </si>
  <si>
    <t xml:space="preserve">Hitze beständig ; Ohne Kontaktschicht ; Länge: 10.000 mm ; Breite: 2.000 mm ; Stärke: 4 mm ; Farbe: Schwarz ; Shore Härte: ± 65° ; Reißfestigkeit: ≥ 7 MPa ; Reißdehnung: ≥ 300 % ; Spezifisches Gewicht: 1,3 g/cm³ </t>
  </si>
  <si>
    <t xml:space="preserve">Heat resistant ; Without bonding layer ; Length: 10.000 mm ; Width: 2.000 mm ; Thickness: 4 mm ; Colour: Black ; Shore Hardness: ± 65° ; Tensile Strength: ≥ 7 MPa ; Elongation: ≥ 300 % ; Specific weight: 1,3 g/cm³ </t>
  </si>
  <si>
    <t xml:space="preserve">Anti chaleur ; Sans face adhésive ; Longueur: 10.000 mm ; Largeur: 2.000 mm ; Épaisseur: 4 mm ; Couleur: Noir ; Dureté Shore: ± 65° ; Résistance à la rupture: ≥ 7 MPa ; Allongement: ≥ 300 % ; Poids spécifique: 1,3 g/cm³ </t>
  </si>
  <si>
    <t>RUBBER-SHEET60-EPDM-HR-4MMQC</t>
  </si>
  <si>
    <t>8,110</t>
  </si>
  <si>
    <t>Hitte bestendig ; Zonder lijmlaag ; Lengte: 10.000 mm ; Breedte: 2.000 mm ; Dikte: 4 mm ; Kleur: Zwart ; Shore-hardheid: ± 65° ; Treksterkte: ≥ 7 Mpa ; Rek: ≥ 300% ; Soortelijk gewicht: 1,3 g/cm132</t>
  </si>
  <si>
    <t>Hitze beständig ; Ohne Kontaktschicht ; Länge: 10.000 mm ; Breite: 2.000 mm ; Stärke: 4 mm ; Farbe: Schwarz ; Shore Härte: ± 65° ; Reißfestigkeit: ≥ 7 MPa ; Reißdehnung: ≥ 300 % ; Spezifisches Gewicht: 1,3 g/cm132</t>
  </si>
  <si>
    <t>Heat resistant ; Without bonding layer ; Length: 10.000 mm ; Width: 2.000 mm ; Thickness: 4 mm ; Colour: Black ; Shore Hardness: ± 65° ; Tensile Strength: ≥ 7 MPa ; Elongation: ≥ 300 % ; Specific weight: 1,3 g/cm132</t>
  </si>
  <si>
    <t>Anti chaleur ; Sans face adhésive ; Longueur: 10.000 mm ; Largeur: 2.000 mm ; Épaisseur: 4 mm ; Couleur: Noir ; Dureté Shore: ± 65° ; Résistance à la rupture: ≥ 7 MPa ; Allongement: ≥ 300 % ; Poids spécifique: 1,3 g/cm132</t>
  </si>
  <si>
    <t>RUBBER-SHEET60-EPDM-HR-5MMKA</t>
  </si>
  <si>
    <t>Rubber Sheets 60 EPDM HR 5mm</t>
  </si>
  <si>
    <t>11,700</t>
  </si>
  <si>
    <t>Rubber voor veelzijdig gebruik, hittebestendig ; EPDM 5 mm</t>
  </si>
  <si>
    <t>Mehrzweck-Gummi, Hitze beständig ; EPDM 5 mm</t>
  </si>
  <si>
    <t>Multiple-use rubber, heat resistant ; EPDM 5 mm</t>
  </si>
  <si>
    <t>Caoutchouc à usage multiple, anti chaleur ; EPDM 5 mm</t>
  </si>
  <si>
    <t xml:space="preserve">Hitte bestendig ; Zonder lijmlaag ; Lengte: 10.000 mm ; Breedte: 2.000 mm ; Dikte: 5 mm ; Kleur: Zwart ; Shore-hardheid: ± 65° ; Treksterkte: ≥ 7 Mpa ; Rek: ≥ 300% ; Soortelijk gewicht: 1,3 g/cm³ </t>
  </si>
  <si>
    <t xml:space="preserve">Hitze beständig ; Ohne Kontaktschicht ; Länge: 10.000 mm ; Breite: 2.000 mm ; Stärke: 5 mm ; Farbe: Schwarz ; Shore Härte: ± 65° ; Reißfestigkeit: ≥ 7 MPa ; Reißdehnung: ≥ 300 % ; Spezifisches Gewicht: 1,3 g/cm³ </t>
  </si>
  <si>
    <t xml:space="preserve">Heat resistant ; Without bonding layer ; Length: 10.000 mm ; Width: 2.000 mm ; Thickness: 5 mm ; Colour: Black ; Shore Hardness: ± 65° ; Tensile Strength: ≥ 7 MPa ; Elongation: ≥ 300 % ; Specific weight: 1,3 g/cm³ </t>
  </si>
  <si>
    <t xml:space="preserve">Anti chaleur ; Sans face adhésive ; Longueur: 10.000 mm ; Largeur: 2.000 mm ; Épaisseur: 5 mm ; Couleur: Noir ; Dureté Shore: ± 65° ; Résistance à la rupture: ≥ 7 MPa ; Allongement: ≥ 300 % ; Poids spécifique: 1,3 g/cm³ </t>
  </si>
  <si>
    <t>RUBBER-SHEET60-EPDM-HR-5MMQC</t>
  </si>
  <si>
    <t>Hitte bestendig ; Zonder lijmlaag ; Lengte: 10.000 mm ; Breedte: 2.000 mm ; Dikte: 5 mm ; Kleur: Zwart ; Shore-hardheid: ± 65° ; Treksterkte: ≥ 7 Mpa ; Rek: ≥ 300% ; Soortelijk gewicht: 1,3 g/cm132</t>
  </si>
  <si>
    <t>Hitze beständig ; Ohne Kontaktschicht ; Länge: 10.000 mm ; Breite: 2.000 mm ; Stärke: 5 mm ; Farbe: Schwarz ; Shore Härte: ± 65° ; Reißfestigkeit: ≥ 7 MPa ; Reißdehnung: ≥ 300 % ; Spezifisches Gewicht: 1,3 g/cm132</t>
  </si>
  <si>
    <t>Heat resistant ; Without bonding layer ; Length: 10.000 mm ; Width: 2.000 mm ; Thickness: 5 mm ; Colour: Black ; Shore Hardness: ± 65° ; Tensile Strength: ≥ 7 MPa ; Elongation: ≥ 300 % ; Specific weight: 1,3 g/cm132</t>
  </si>
  <si>
    <t>Anti chaleur ; Sans face adhésive ; Longueur: 10.000 mm ; Largeur: 2.000 mm ; Épaisseur: 5 mm ; Couleur: Noir ; Dureté Shore: ± 65° ; Résistance à la rupture: ≥ 7 MPa ; Allongement: ≥ 300 % ; Poids spécifique: 1,3 g/cm132</t>
  </si>
  <si>
    <t>RUBBER-SHEET60-EPDM-HR-6MMKA</t>
  </si>
  <si>
    <t>Rubber Sheets 60 EPDM HR 6mm</t>
  </si>
  <si>
    <t>14,040</t>
  </si>
  <si>
    <t>Rubber voor veelzijdig gebruik, hittebestendig ; EPDM 6 mm</t>
  </si>
  <si>
    <t>Mehrzweck-Gummi, Hitze beständig ; EPDM 6 mm</t>
  </si>
  <si>
    <t>Multiple-use rubber, heat resistant ; EPDM 6 mm</t>
  </si>
  <si>
    <t>Caoutchouc à usage multiple, anti chaleur ; EPDM 6 mm</t>
  </si>
  <si>
    <t xml:space="preserve">Hitte bestendig ; Zonder lijmlaag ; Lengte: 10.000 mm ; Breedte: 2.000 mm ; Dikte: 6 mm ; Kleur: Zwart ; Shore-hardheid: ± 65° ; Treksterkte: ≥ 7 Mpa ; Rek: ≥ 300% ; Soortelijk gewicht: 1,3 g/cm³ </t>
  </si>
  <si>
    <t xml:space="preserve">Hitze beständig ; Ohne Kontaktschicht ; Länge: 10.000 mm ; Breite: 2.000 mm ; Stärke: 6 mm ; Farbe: Schwarz ; Shore Härte: ± 65° ; Reißfestigkeit: ≥ 7 MPa ; Reißdehnung: ≥ 300 % ; Spezifisches Gewicht: 1,3 g/cm³ </t>
  </si>
  <si>
    <t xml:space="preserve">Heat resistant ; Without bonding layer ; Length: 10.000 mm ; Width: 2.000 mm ; Thickness: 6 mm ; Colour: Black ; Shore Hardness: ± 65° ; Tensile Strength: ≥ 7 MPa ; Elongation: ≥ 300 % ; Specific weight: 1,3 g/cm³ </t>
  </si>
  <si>
    <t xml:space="preserve">Anti chaleur ; Sans face adhésive ; Longueur: 10.000 mm ; Largeur: 2.000 mm ; Épaisseur: 6 mm ; Couleur: Noir ; Dureté Shore: ± 65° ; Résistance à la rupture: ≥ 7 MPa ; Allongement: ≥ 300 % ; Poids spécifique: 1,3 g/cm³ </t>
  </si>
  <si>
    <t>RUBBER-SHEET60-EPDM-HR-6MMQC</t>
  </si>
  <si>
    <t>Hitte bestendig ; Zonder lijmlaag ; Lengte: 10.000 mm ; Breedte: 2.000 mm ; Dikte: 6 mm ; Kleur: Zwart ; Shore-hardheid: ± 65° ; Treksterkte: ≥ 7 Mpa ; Rek: ≥ 300% ; Soortelijk gewicht: 1,3 g/cm132</t>
  </si>
  <si>
    <t>Hitze beständig ; Ohne Kontaktschicht ; Länge: 10.000 mm ; Breite: 2.000 mm ; Stärke: 6 mm ; Farbe: Schwarz ; Shore Härte: ± 65° ; Reißfestigkeit: ≥ 7 MPa ; Reißdehnung: ≥ 300 % ; Spezifisches Gewicht: 1,3 g/cm132</t>
  </si>
  <si>
    <t>Heat resistant ; Without bonding layer ; Length: 10.000 mm ; Width: 2.000 mm ; Thickness: 6 mm ; Colour: Black ; Shore Hardness: ± 65° ; Tensile Strength: ≥ 7 MPa ; Elongation: ≥ 300 % ; Specific weight: 1,3 g/cm132</t>
  </si>
  <si>
    <t>Anti chaleur ; Sans face adhésive ; Longueur: 10.000 mm ; Largeur: 2.000 mm ; Épaisseur: 6 mm ; Couleur: Noir ; Dureté Shore: ± 65° ; Résistance à la rupture: ≥ 7 MPa ; Allongement: ≥ 300 % ; Poids spécifique: 1,3 g/cm132</t>
  </si>
  <si>
    <t>RUBBER-SHEET60-EPDM-HR-8MMKA</t>
  </si>
  <si>
    <t>Rubber Sheets 60 EPDM HR 8mm</t>
  </si>
  <si>
    <t>18,720</t>
  </si>
  <si>
    <t>Rubber voor veelzijdig gebruik, hittebestendig ; EPDM 8 mm</t>
  </si>
  <si>
    <t>Mehrzweck-Gummi, Hitze beständig ; EPDM 8 mm</t>
  </si>
  <si>
    <t>Multiple-use rubber, heat resistant ; EPDM 8 mm</t>
  </si>
  <si>
    <t>Caoutchouc à usage multiple, anti chaleur ; EPDM 8 mm</t>
  </si>
  <si>
    <t xml:space="preserve">Hitte bestendig ; Zonder lijmlaag ; Lengte: 10.000 mm ; Breedte: 2.000 mm ; Dikte: 8 mm ; Kleur: Zwart ; Shore-hardheid: ± 65° ; Treksterkte: ≥ 7 Mpa ; Rek: ≥ 300% ; Soortelijk gewicht: 1,3 g/cm³ </t>
  </si>
  <si>
    <t xml:space="preserve">Hitze beständig ; Ohne Kontaktschicht ; Länge: 10.000 mm ; Breite: 2.000 mm ; Stärke: 8 mm ; Farbe: Schwarz ; Shore Härte: ± 65° ; Reißfestigkeit: ≥ 7 MPa ; Reißdehnung: ≥ 300 % ; Spezifisches Gewicht: 1,3 g/cm³ </t>
  </si>
  <si>
    <t xml:space="preserve">Heat resistant ; Without bonding layer ; Length: 10.000 mm ; Width: 2.000 mm ; Thickness: 8 mm ; Colour: Black ; Shore Hardness: ± 65° ; Tensile Strength: ≥ 7 MPa ; Elongation: ≥ 300 % ; Specific weight: 1,3 g/cm³ </t>
  </si>
  <si>
    <t xml:space="preserve">Anti chaleur ; Sans face adhésive ; Longueur: 10.000 mm ; Largeur: 2.000 mm ; Épaisseur: 8 mm ; Couleur: Noir ; Dureté Shore: ± 65° ; Résistance à la rupture: ≥ 7 MPa ; Allongement: ≥ 300 % ; Poids spécifique: 1,3 g/cm³ </t>
  </si>
  <si>
    <t>RUBBER-SHEET60-EPDM-HR-8MMQC</t>
  </si>
  <si>
    <t>Hitte bestendig ; Zonder lijmlaag ; Lengte: 10.000 mm ; Breedte: 2.000 mm ; Dikte: 8 mm ; Kleur: Zwart ; Shore-hardheid: ± 65° ; Treksterkte: ≥ 7 Mpa ; Rek: ≥ 300% ; Soortelijk gewicht: 1,3 g/cm132</t>
  </si>
  <si>
    <t>Hitze beständig ; Ohne Kontaktschicht ; Länge: 10.000 mm ; Breite: 2.000 mm ; Stärke: 8 mm ; Farbe: Schwarz ; Shore Härte: ± 65° ; Reißfestigkeit: ≥ 7 MPa ; Reißdehnung: ≥ 300 % ; Spezifisches Gewicht: 1,3 g/cm132</t>
  </si>
  <si>
    <t>Heat resistant ; Without bonding layer ; Length: 10.000 mm ; Width: 2.000 mm ; Thickness: 8 mm ; Colour: Black ; Shore Hardness: ± 65° ; Tensile Strength: ≥ 7 MPa ; Elongation: ≥ 300 % ; Specific weight: 1,3 g/cm132</t>
  </si>
  <si>
    <t>Anti chaleur ; Sans face adhésive ; Longueur: 10.000 mm ; Largeur: 2.000 mm ; Épaisseur: 8 mm ; Couleur: Noir ; Dureté Shore: ± 65° ; Résistance à la rupture: ≥ 7 MPa ; Allongement: ≥ 300 % ; Poids spécifique: 1,3 g/cm132</t>
  </si>
  <si>
    <t>RUBBER-SHEET60-NBR-OR-10MMKA</t>
  </si>
  <si>
    <t>Rubber Sheets 60 NBR/SBR OR 10mm</t>
  </si>
  <si>
    <t>Rubber voor veelzijdig gebruik, olie en vet bestendig ; NBR/SBR 10 mm</t>
  </si>
  <si>
    <t>Mehrzweck-Gummi, Öl Beständig ; NBR/SBR 10 mm</t>
  </si>
  <si>
    <t>Multiple-use rubber, oil and grease resistant ; NBR/SBR 10 mm</t>
  </si>
  <si>
    <t>Caoutchouc à usage multiple, anti huile ; NBR/SBR 10 mm</t>
  </si>
  <si>
    <t>Olie en vet bestendig ; Zonder lijmlaag ; Lengte: 10.000 mm ; Breedte: 2.000 mm ; Dikte: 10 mm ; Kleur: Zwart ; Shore-hardheid: ± 65° ; Treksterkte: 7 Mpa ; Rek: 250% ; Soortelijk gewicht: 1,45 g/cm³ ; Slijtage: 300 mm³</t>
  </si>
  <si>
    <t>Öl beständig ; Ohne Kontaktschicht ; Länge: 10.000 mm ; Breite: 2.000 mm ; Stärke: 10 mm ; Farbe: Schwarz ; Shore Härte: ± 65° ; Reißfestigkeit: 7 MPa ; Reißdehnung: 250 % ; Spezifisches Gewicht: 1,45 g/cm³ ; Abrieb: 300 mm³</t>
  </si>
  <si>
    <t>Oil and grese resistant ; Without bonding layer ; Length: 10.000 mm ; Width: 2.000 mm ; Thickness: 10 mm ; Colour: Black ; Shore Hardness: ± 65° ; Tensile Strength: 7 MPa ; Elongation: 250 % ; Specific weight: 1,45 g/cm³ ; Abrasion: 300 mm³</t>
  </si>
  <si>
    <t>Anti huile ; Sans face adhésive ; Longueur: 10.000 mm ; Largeur: 2.000 mm ; Épaisseur: 10 mm ; Couleur: Noir ; Dureté Shore: ± 65° ; Résistance à la rupture: 7 MPa ; Allongement: 250 % ; Poids spécifique: 1,45 g/cm³ ; Abrasion : 300 mm³</t>
  </si>
  <si>
    <t>RUBBER-SHEET60-NBR-OR-10MMQC</t>
  </si>
  <si>
    <t>RUBBER-SHEET60-NBR-OR-2MMKA</t>
  </si>
  <si>
    <t>Rubber Sheets 60 NBR/SBR OR 2mm</t>
  </si>
  <si>
    <t>4,200</t>
  </si>
  <si>
    <t>Rubber voor veelzijdig gebruik, olie en vet bestendig ; NBR/SBR 2 mm</t>
  </si>
  <si>
    <t>Mehrzweck-Gummi, Öl Beständig ; NBR/SBR 2 mm</t>
  </si>
  <si>
    <t>Multiple-use rubber, oil and grease resistant ; NBR/SBR 2 mm</t>
  </si>
  <si>
    <t>Caoutchouc à usage multiple, anti huile ; NBR/SBR 2 mm</t>
  </si>
  <si>
    <t>Olie en vet bestendig ; Zonder lijmlaag ; Lengte: 10.000 mm ; Breedte: 2.000 mm ; Dikte: 2 mm ; Kleur: Zwart ; Shore-hardheid: ± 65° ; Treksterkte: 7 Mpa ; Rek: 250% ; Soortelijk gewicht: 1,45 g/cm³ ; Slijtage: 300 mm³</t>
  </si>
  <si>
    <t>Öl beständig ; Ohne Kontaktschicht ; Länge: 10.000 mm ; Breite: 2.000 mm ; Stärke: 2 mm ; Farbe: Schwarz ; Shore Härte: ± 65° ; Reißfestigkeit: 7 MPa ; Reißdehnung: 250 % ; Spezifisches Gewicht: 1,45 g/cm³ ; Abrieb: 300 mm³</t>
  </si>
  <si>
    <t>Oil and grese resistant ; Without bonding layer ; Length: 10.000 mm ; Width: 2.000 mm ; Thickness: 2 mm ; Colour: Black ; Shore Hardness: ± 65° ; Tensile Strength: 7 MPa ; Elongation: 250 % ; Specific weight: 1,45 g/cm³ ; Abrasion: 300 mm³</t>
  </si>
  <si>
    <t>Anti huile ; Sans face adhésive ; Longueur: 10.000 mm ; Largeur: 2.000 mm ; Épaisseur: 2 mm ; Couleur: Noir ; Dureté Shore: ± 65° ; Résistance à la rupture: 7 MPa ; Allongement: 250 % ; Poids spécifique: 1,45 g/cm³ ; Abrasion : 300 mm³</t>
  </si>
  <si>
    <t>RUBBER-SHEET60-NBR-OR-2MMQC</t>
  </si>
  <si>
    <t>Olie en vet bestendig ; Zonder lijmlaag ; Lengte: 10.000 mm ; Breedte: 2.000 mm ; Dikte: 2 mm ; Kleur: Zwart ; Shore-hardheid: ± 65° ; Treksterkte: 7 Mpa ; Rek: 250% ; Soortelijk gewicht: 1,45 g/cm³ ; Slijtage: 300 mm132</t>
  </si>
  <si>
    <t>Öl beständig ; Ohne Kontaktschicht ; Länge: 10.000 mm ; Breite: 2.000 mm ; Stärke: 2 mm ; Farbe: Schwarz ; Shore Härte: ± 65° ; Reißfestigkeit: 7 MPa ; Reißdehnung: 250 % ; Spezifisches Gewicht: 1,45 g/cm³ ; Abrieb: 300 mm132</t>
  </si>
  <si>
    <t>Oil and grese resistant ; Without bonding layer ; Length: 10.000 mm ; Width: 2.000 mm ; Thickness: 2 mm ; Colour: Black ; Shore Hardness: ± 65° ; Tensile Strength: 7 MPa ; Elongation: 250 % ; Specific weight: 1,45 g/cm³ ; Abrasion: 300 mm132</t>
  </si>
  <si>
    <t>Anti huile ; Sans face adhésive ; Longueur: 10.000 mm ; Largeur: 2.000 mm ; Épaisseur: 2 mm ; Couleur: Noir ; Dureté Shore: ± 65° ; Résistance à la rupture: 7 MPa ; Allongement: 250 % ; Poids spécifique: 1,45 g/cm³ ; Abrasion : 300 mm132</t>
  </si>
  <si>
    <t>RUBBER-SHEET60-NBR-OR-3MMCH</t>
  </si>
  <si>
    <t>Rubber Sheets 60 NBR/SBR OR 3mm</t>
  </si>
  <si>
    <t>5,590</t>
  </si>
  <si>
    <t>Rubber voor veelzijdig gebruik, olie en vet bestendig ; NBR/SBR 3 mm</t>
  </si>
  <si>
    <t>Mehrzweck-Gummi, Öl Beständig ; NBR/SBR 3 mm</t>
  </si>
  <si>
    <t>Multiple-use rubber, oil and grease resistant ; NBR/SBR 3 mm</t>
  </si>
  <si>
    <t>Caoutchouc à usage multiple, anti huile ; NBR/SBR 3 mm</t>
  </si>
  <si>
    <t>Olie en vet bestendig ; Zonder lijmlaag ; Lengte: 10.000 mm ; Breedte: 2.000 mm ; Dikte: 3 mm ; Kleur: Zwart ; Shore-hardheid: ± 65° ; Treksterkte: 7 Mpa ; Rek: 250% ; Soortelijk gewicht: 1,45 g/cm³ ; Slijtage: 300 mm³</t>
  </si>
  <si>
    <t>Öl beständig ; Ohne Kontaktschicht ; Länge: 10.000 mm ; Breite: 2.000 mm ; Stärke: 3 mm ; Farbe: Schwarz ; Shore Härte: ± 65° ; Reißfestigkeit: 7 MPa ; Reißdehnung: 250 % ; Spezifisches Gewicht: 1,45 g/cm³ ; Abrieb: 300 mm³</t>
  </si>
  <si>
    <t>Oil and grese resistant ; Without bonding layer ; Length: 10.000 mm ; Width: 2.000 mm ; Thickness: 3 mm ; Colour: Black ; Shore Hardness: ± 65° ; Tensile Strength: 7 MPa ; Elongation: 250 % ; Specific weight: 1,45 g/cm³ ; Abrasion: 300 mm³</t>
  </si>
  <si>
    <t>Anti huile ; Sans face adhésive ; Longueur: 10.000 mm ; Largeur: 2.000 mm ; Épaisseur: 3 mm ; Couleur: Noir ; Dureté Shore: ± 65° ; Résistance à la rupture: 7 MPa ; Allongement: 250 % ; Poids spécifique: 1,45 g/cm³ ; Abrasion : 300 mm³</t>
  </si>
  <si>
    <t>RUBBER-SHEET60-NBR-OR-3MMKA</t>
  </si>
  <si>
    <t>RUBBER-SHEET60-NBR-OR-3MMQC</t>
  </si>
  <si>
    <t>RUBBER-SHEET60-NBR-OR-4MMCH</t>
  </si>
  <si>
    <t>Rubber Sheets 60 NBR/SBR OR 4mm</t>
  </si>
  <si>
    <t>7,470</t>
  </si>
  <si>
    <t>Rubber voor veelzijdig gebruik, olie en vet bestendig ; NBR/SBR 4 mm</t>
  </si>
  <si>
    <t>Mehrzweck-Gummi, Öl Beständig ; NBR/SBR 4 mm</t>
  </si>
  <si>
    <t>Multiple-use rubber, oil and grease resistant ; NBR/SBR 4 mm</t>
  </si>
  <si>
    <t>Caoutchouc à usage multiple, anti huile ; NBR/SBR 4 mm</t>
  </si>
  <si>
    <t>Olie en vet bestendig ; Zonder lijmlaag ; Lengte: 10.000 mm ; Breedte: 2.000 mm ; Dikte: 4 mm ; Kleur: Zwart ; Shore-hardheid: ± 65° ; Treksterkte: 7 Mpa ; Rek: 250% ; Soortelijk gewicht: 1,45 g/cm³ ; Slijtage: 300 mm³</t>
  </si>
  <si>
    <t>Öl beständig ; Ohne Kontaktschicht ; Länge: 10.000 mm ; Breite: 2.000 mm ; Stärke: 4 mm ; Farbe: Schwarz ; Shore Härte: ± 65° ; Reißfestigkeit: 7 MPa ; Reißdehnung: 250 % ; Spezifisches Gewicht: 1,45 g/cm³ ; Abrieb: 300 mm³</t>
  </si>
  <si>
    <t>Oil and grese resistant ; Without bonding layer ; Length: 10.000 mm ; Width: 2.000 mm ; Thickness: 4 mm ; Colour: Black ; Shore Hardness: ± 65° ; Tensile Strength: 7 MPa ; Elongation: 250 % ; Specific weight: 1,45 g/cm³ ; Abrasion: 300 mm³</t>
  </si>
  <si>
    <t>Anti huile ; Sans face adhésive ; Longueur: 10.000 mm ; Largeur: 2.000 mm ; Épaisseur: 4 mm ; Couleur: Noir ; Dureté Shore: ± 65° ; Résistance à la rupture: 7 MPa ; Allongement: 250 % ; Poids spécifique: 1,45 g/cm³ ; Abrasion : 300 mm³</t>
  </si>
  <si>
    <t>RUBBER-SHEET60-NBR-OR-4MMKA</t>
  </si>
  <si>
    <t>7,450</t>
  </si>
  <si>
    <t>RUBBER-SHEET60-NBR-OR-4MMQC</t>
  </si>
  <si>
    <t>RUBBER-SHEET60-NBR-OR-5MMCH</t>
  </si>
  <si>
    <t>Rubber Sheets 60 NBR/SBR OR 5mm</t>
  </si>
  <si>
    <t>9,420</t>
  </si>
  <si>
    <t>Rubber voor veelzijdig gebruik, olie en vet bestendig ; NBR/SBR 5 mm</t>
  </si>
  <si>
    <t>Mehrzweck-Gummi, Öl Beständig ; NBR/SBR 5 mm</t>
  </si>
  <si>
    <t>Multiple-use rubber, oil and grease resistant ; NBR/SBR 5 mm</t>
  </si>
  <si>
    <t>Caoutchouc à usage multiple, anti huile ; NBR/SBR 5 mm</t>
  </si>
  <si>
    <t>Olie en vet bestendig ; Zonder lijmlaag ; Lengte: 10.000 mm ; Breedte: 2.000 mm ; Dikte: 5 mm ; Kleur: Zwart ; Shore-hardheid: ± 65° ; Treksterkte: 7 Mpa ; Rek: 250% ; Soortelijk gewicht: 1,45 g/cm³ ; Slijtage: 300 mm³</t>
  </si>
  <si>
    <t>Öl beständig ; Ohne Kontaktschicht ; Länge: 10.000 mm ; Breite: 2.000 mm ; Stärke: 5 mm ; Farbe: Schwarz ; Shore Härte: ± 65° ; Reißfestigkeit: 7 MPa ; Reißdehnung: 250 % ; Spezifisches Gewicht: 1,45 g/cm³ ; Abrieb: 300 mm³</t>
  </si>
  <si>
    <t>Oil and grese resistant ; Without bonding layer ; Length: 10.000 mm ; Width: 2.000 mm ; Thickness: 5 mm ; Colour: Black ; Shore Hardness: ± 65° ; Tensile Strength: 7 MPa ; Elongation: 250 % ; Specific weight: 1,45 g/cm³ ; Abrasion: 300 mm³</t>
  </si>
  <si>
    <t>Anti huile ; Sans face adhésive ; Longueur: 10.000 mm ; Largeur: 2.000 mm ; Épaisseur: 5 mm ; Couleur: Noir ; Dureté Shore: ± 65° ; Résistance à la rupture: 7 MPa ; Allongement: 250 % ; Poids spécifique: 1,45 g/cm³ ; Abrasion : 300 mm³</t>
  </si>
  <si>
    <t>RUBBER-SHEET60-NBR-OR-5MMKA</t>
  </si>
  <si>
    <t>RUBBER-SHEET60-NBR-OR-5MMQC</t>
  </si>
  <si>
    <t>RUBBER-SHEET60-NBR-OR-6MMKA</t>
  </si>
  <si>
    <t>Rubber Sheets 60 NBR/SBR OR 6mm</t>
  </si>
  <si>
    <t>Rubber voor veelzijdig gebruik, olie en vet bestendig ; NBR/SBR 6 mm</t>
  </si>
  <si>
    <t>Mehrzweck-Gummi, Öl Beständig ; NBR/SBR 6 mm</t>
  </si>
  <si>
    <t>Multiple-use rubber, oil and grease resistant ; NBR/SBR 6 mm</t>
  </si>
  <si>
    <t>Caoutchouc à usage multiple, anti huile ; NBR/SBR 6 mm</t>
  </si>
  <si>
    <t>Olie en vet bestendig ; Zonder lijmlaag ; Lengte: 10.000 mm ; Breedte: 2.000 mm ; Dikte: 6 mm ; Kleur: Zwart ; Shore-hardheid: ± 65° ; Treksterkte: 7 Mpa ; Rek: 250% ; Soortelijk gewicht: 1,45 g/cm³ ; Slijtage: 300 mm³</t>
  </si>
  <si>
    <t>Öl beständig ; Ohne Kontaktschicht ; Länge: 10.000 mm ; Breite: 2.000 mm ; Stärke: 6 mm ; Farbe: Schwarz ; Shore Härte: ± 65° ; Reißfestigkeit: 7 MPa ; Reißdehnung: 250 % ; Spezifisches Gewicht: 1,45 g/cm³ ; Abrieb: 300 mm³</t>
  </si>
  <si>
    <t>Oil and grese resistant ; Without bonding layer ; Length: 10.000 mm ; Width: 2.000 mm ; Thickness: 6 mm ; Colour: Black ; Shore Hardness: ± 65° ; Tensile Strength: 7 MPa ; Elongation: 250 % ; Specific weight: 1,45 g/cm³ ; Abrasion: 300 mm³</t>
  </si>
  <si>
    <t>Anti huile ; Sans face adhésive ; Longueur: 10.000 mm ; Largeur: 2.000 mm ; Épaisseur: 6 mm ; Couleur: Noir ; Dureté Shore: ± 65° ; Résistance à la rupture: 7 MPa ; Allongement: 250 % ; Poids spécifique: 1,45 g/cm³ ; Abrasion : 300 mm³</t>
  </si>
  <si>
    <t>RUBBER-SHEET60-NBR-OR-6MMQC</t>
  </si>
  <si>
    <t>Olie en vet bestendig ; Zonder lijmlaag ; Lengte: 10.000 mm ; Breedte: 2.000 mm ; Dikte: 6 mm ; Kleur: Zwart ; Shore-hardheid: ± 65° ; Treksterkte: 7 Mpa ; Rek: 250% ; Soortelijk gewicht: 1,45 g/cm³ ; Slijtage: 300 mm132</t>
  </si>
  <si>
    <t>Öl beständig ; Ohne Kontaktschicht ; Länge: 10.000 mm ; Breite: 2.000 mm ; Stärke: 6 mm ; Farbe: Schwarz ; Shore Härte: ± 65° ; Reißfestigkeit: 7 MPa ; Reißdehnung: 250 % ; Spezifisches Gewicht: 1,45 g/cm³ ; Abrieb: 300 mm132</t>
  </si>
  <si>
    <t>Oil and grese resistant ; Without bonding layer ; Length: 10.000 mm ; Width: 2.000 mm ; Thickness: 6 mm ; Colour: Black ; Shore Hardness: ± 65° ; Tensile Strength: 7 MPa ; Elongation: 250 % ; Specific weight: 1,45 g/cm³ ; Abrasion: 300 mm132</t>
  </si>
  <si>
    <t>Anti huile ; Sans face adhésive ; Longueur: 10.000 mm ; Largeur: 2.000 mm ; Épaisseur: 6 mm ; Couleur: Noir ; Dureté Shore: ± 65° ; Résistance à la rupture: 7 MPa ; Allongement: 250 % ; Poids spécifique: 1,45 g/cm³ ; Abrasion : 300 mm132</t>
  </si>
  <si>
    <t>RUBBER-SHEET60-NBR-OR-8MMKA</t>
  </si>
  <si>
    <t>Rubber Sheets 60 NBR/SBR OR 8mm</t>
  </si>
  <si>
    <t>14,910</t>
  </si>
  <si>
    <t>Rubber voor veelzijdig gebruik, olie en vet bestendig ; NBR/SBR 8 mm</t>
  </si>
  <si>
    <t>Mehrzweck-Gummi, Öl Beständig ; NBR/SBR 8 mm</t>
  </si>
  <si>
    <t>Multiple-use rubber, oil and grease resistant ; NBR/SBR 8 mm</t>
  </si>
  <si>
    <t>Caoutchouc à usage multiple, anti huile ; NBR/SBR 8 mm</t>
  </si>
  <si>
    <t>Olie en vet bestendig ; Zonder lijmlaag ; Lengte: 10.000 mm ; Breedte: 2.000 mm ; Dikte: 8 mm ; Kleur: Zwart ; Shore-hardheid: ± 65° ; Treksterkte: 7 Mpa ; Rek: 250% ; Soortelijk gewicht: 1,45 g/cm³ ; Slijtage: 300 mm³</t>
  </si>
  <si>
    <t>Öl beständig ; Ohne Kontaktschicht ; Länge: 10.000 mm ; Breite: 2.000 mm ; Stärke: 8 mm ; Farbe: Schwarz ; Shore Härte: ± 65° ; Reißfestigkeit: 7 MPa ; Reißdehnung: 250 % ; Spezifisches Gewicht: 1,45 g/cm³ ; Abrieb: 300 mm³</t>
  </si>
  <si>
    <t>Oil and grese resistant ; Without bonding layer ; Length: 10.000 mm ; Width: 2.000 mm ; Thickness: 8 mm ; Colour: Black ; Shore Hardness: ± 65° ; Tensile Strength: 7 MPa ; Elongation: 250 % ; Specific weight: 1,45 g/cm³ ; Abrasion: 300 mm³</t>
  </si>
  <si>
    <t>Anti huile ; Sans face adhésive ; Longueur: 10.000 mm ; Largeur: 2.000 mm ; Épaisseur: 8 mm ; Couleur: Noir ; Dureté Shore: ± 65° ; Résistance à la rupture: 7 MPa ; Allongement: 250 % ; Poids spécifique: 1,45 g/cm³ ; Abrasion : 300 mm³</t>
  </si>
  <si>
    <t>RUBBER-SHEET60-NBR-OR-8MMQC</t>
  </si>
  <si>
    <t>Olie en vet bestendig ; Zonder lijmlaag ; Lengte: 10.000 mm ; Breedte: 2.000 mm ; Dikte: 8 mm ; Kleur: Zwart ; Shore-hardheid: ± 65° ; Treksterkte: 7 Mpa ; Rek: 250% ; Soortelijk gewicht: 1,45 g/cm³ ; Slijtage: 300 mm132</t>
  </si>
  <si>
    <t>Öl beständig ; Ohne Kontaktschicht ; Länge: 10.000 mm ; Breite: 2.000 mm ; Stärke: 8 mm ; Farbe: Schwarz ; Shore Härte: ± 65° ; Reißfestigkeit: 7 MPa ; Reißdehnung: 250 % ; Spezifisches Gewicht: 1,45 g/cm³ ; Abrieb: 300 mm132</t>
  </si>
  <si>
    <t>Oil and grese resistant ; Without bonding layer ; Length: 10.000 mm ; Width: 2.000 mm ; Thickness: 8 mm ; Colour: Black ; Shore Hardness: ± 65° ; Tensile Strength: 7 MPa ; Elongation: 250 % ; Specific weight: 1,45 g/cm³ ; Abrasion: 300 mm132</t>
  </si>
  <si>
    <t>Anti huile ; Sans face adhésive ; Longueur: 10.000 mm ; Largeur: 2.000 mm ; Épaisseur: 8 mm ; Couleur: Noir ; Dureté Shore: ± 65° ; Résistance à la rupture: 7 MPa ; Allongement: 250 % ; Poids spécifique: 1,45 g/cm³ ; Abrasion : 300 mm132</t>
  </si>
  <si>
    <t>RUBBER-SHEET60-NR/SBR-10MMCH</t>
  </si>
  <si>
    <t>Rubber Sheets 60 NR/SBR 10mm</t>
  </si>
  <si>
    <t>Rubber voor veelzijdig gebruik ; NR/SBR 10 mm</t>
  </si>
  <si>
    <t>Mehrzweck-Gummi ; NR/SBR 10 mm</t>
  </si>
  <si>
    <t>Multiple-use rubber ; NR/SBR 10 mm</t>
  </si>
  <si>
    <t>Caoutchouc à usage multiple ; NR/SBR 10 mm</t>
  </si>
  <si>
    <t>Zonder lijmlaag ; Lengte: 10.000 mm ; Breedte: 2.000 mm ; Dikte: 10 mm ; Kleur: Zwart; Shore-hardheid: ± 65° ; Treksterkte: 3 Mpa ; Rek: 200% ; Soortelijk gewicht: 1,5 g/cm³</t>
  </si>
  <si>
    <t>Ohne Kontaktschicht ; Länge: 10.000 mm ; Breite: 2.000 mm ; Stärke: 10 mm ; Farbe: Schwarz ; Shore Härte: ± 65° ; Reißfestigkeit: 3 MPa ; Reißdehnung: 200 % ; Spezifisches Gewicht: 1,15 g/cm³</t>
  </si>
  <si>
    <t>Without bonding layer ; Length: 10.000 mm ; Width: 2.000 mm ; Thickness: 10 mm ; Colour: Black ; Shore Hardness: ± 65° ; Tensile Strength: 3 MPa ; Elongation: 200 % ; Specific weight: 1,12 g/cm³</t>
  </si>
  <si>
    <t>Sans face adhésive ; Longueur: 10.000 mm ; Largeur: 2.000 mm ; Épaisseur: 10 mm ; Couleur: Noir ; Dureté Shore: ± 65° ; Résistance à la rupture: 3 MPa ; Allongement: 200 % ; Poids spécifique: 1,12 g/cm³</t>
  </si>
  <si>
    <t>RUBBER-SHEET60-NR/SBR-10MMKA</t>
  </si>
  <si>
    <t>14,700</t>
  </si>
  <si>
    <t>RUBBER-SHEET60-NR/SBR-10MMQC</t>
  </si>
  <si>
    <t>12,680</t>
  </si>
  <si>
    <t>RUBBER-SHEET60-NR/SBR-15MMKA</t>
  </si>
  <si>
    <t>Rubber Sheets 60 NR/SBR 15mm</t>
  </si>
  <si>
    <t>RUBBER-SHEET60-NR/SBR-2MMKA</t>
  </si>
  <si>
    <t>Rubber Sheets 60 NR/SBR 2mm</t>
  </si>
  <si>
    <t>3,740</t>
  </si>
  <si>
    <t>Rubber voor veelzijdig gebruik ; NR/SBR 2 mm</t>
  </si>
  <si>
    <t>Mehrzweck-Gummi ; NR/SBR 2 mm</t>
  </si>
  <si>
    <t>Multiple-use rubber ; NR/SBR 2 mm</t>
  </si>
  <si>
    <t>Caoutchouc à usage multiple ; NR/SBR 2 mm</t>
  </si>
  <si>
    <t>Zonder lijmlaag ; Lengte: 10.000 mm ; Breedte: 2.000 mm ; Dikte: 2 mm ; Kleur: Zwart; Shore-hardheid: ± 65° ; Treksterkte: 3 Mpa ; Rek: 200% ; Soortelijk gewicht: 1,5 g/cm³</t>
  </si>
  <si>
    <t>Ohne Kontaktschicht ; Länge: 10.000 mm ; Breite: 2.000 mm ; Stärke: 2 mm ; Farbe: Schwarz ; Shore Härte: ± 65° ; Reißfestigkeit: 3 MPa ; Reißdehnung: 200 % ; Spezifisches Gewicht: 1,15 g/cm³</t>
  </si>
  <si>
    <t>Without bonding layer ; Length: 10.000 mm ; Width: 2.000 mm ; Thickness: 2 mm ; Colour: Black ; Shore Hardness: ± 65° ; Tensile Strength: 3 MPa ; Elongation: 200 % ; Specific weight: 1,12 g/cm³</t>
  </si>
  <si>
    <t>Sans face adhésive ; Longueur: 10.000 mm ; Largeur: 2.000 mm ; Épaisseur: 2 mm ; Couleur: Noir ; Dureté Shore: ± 65° ; Résistance à la rupture: 3 MPa ; Allongement: 200 % ; Poids spécifique: 1,12 g/cm³</t>
  </si>
  <si>
    <t>RUBBER-SHEET60-NR/SBR-2MMQC</t>
  </si>
  <si>
    <t>2,530</t>
  </si>
  <si>
    <t>Zonder lijmlaag ; Lengte: 10.000 mm ; Breedte: 2.000 mm ; Dikte: 2 mm ; Kleur: Zwart; Shore-hardheid: ± 65° ; Treksterkte: 3 Mpa ; Rek: 200% ; Soortelijk gewicht: 1,5 g/cm132</t>
  </si>
  <si>
    <t>Ohne Kontaktschicht ; Länge: 10.000 mm ; Breite: 2.000 mm ; Stärke: 2 mm ; Farbe: Schwarz ; Shore Härte: ± 65° ; Reißfestigkeit: 3 MPa ; Reißdehnung: 200 % ; Spezifisches Gewicht: 1,15 g/cm132</t>
  </si>
  <si>
    <t>Without bonding layer ; Length: 10.000 mm ; Width: 2.000 mm ; Thickness: 2 mm ; Colour: Black ; Shore Hardness: ± 65° ; Tensile Strength: 3 MPa ; Elongation: 200 % ; Specific weight: 1,12 g/cm132</t>
  </si>
  <si>
    <t>Sans face adhésive ; Longueur: 10.000 mm ; Largeur: 2.000 mm ; Épaisseur: 2 mm ; Couleur: Noir ; Dureté Shore: ± 65° ; Résistance à la rupture: 3 MPa ; Allongement: 200 % ; Poids spécifique: 1,12 g/cm132</t>
  </si>
  <si>
    <t>RUBBER-SHEET60-NR/SBR-3MMCH</t>
  </si>
  <si>
    <t>Rubber Sheets 60 NR/SBR 3mm</t>
  </si>
  <si>
    <t>Rubber voor veelzijdig gebruik ; NR/SBR 3 mm</t>
  </si>
  <si>
    <t>Mehrzweck-Gummi ; NR/SBR 3 mm</t>
  </si>
  <si>
    <t>Multiple-use rubber ; NR/SBR 3 mm</t>
  </si>
  <si>
    <t>Caoutchouc à usage multiple ; NR/SBR 3 mm</t>
  </si>
  <si>
    <t>Zonder lijmlaag ; Lengte: 10.000 mm ; Breedte: 2.000 mm ; Dikte: 3 mm ; Kleur: Zwart; Shore-hardheid: ± 65° ; Treksterkte: 3 Mpa ; Rek: 200% ; Soortelijk gewicht: 1,5 g/cm133</t>
  </si>
  <si>
    <t>Ohne Kontaktschicht ; Länge: 10.000 mm ; Breite: 2.000 mm ; Stärke: 3 mm ; Farbe: Schwarz ; Shore Härte: ± 65° ; Reißfestigkeit: 3 MPa ; Reißdehnung: 200 % ; Spezifisches Gewicht: 1,15 g/cm133</t>
  </si>
  <si>
    <t>Without bonding layer ; Length: 10.000 mm ; Width: 2.000 mm ; Thickness: 3 mm ; Colour: Black ; Shore Hardness: ± 65° ; Tensile Strength: 3 MPa ; Elongation: 200 % ; Specific weight: 1,12 g/cm133</t>
  </si>
  <si>
    <t>Sans face adhésive ; Longueur: 10.000 mm ; Largeur: 2.000 mm ; Épaisseur: 3 mm ; Couleur: Noir ; Dureté Shore: ± 65° ; Résistance à la rupture: 3 MPa ; Allongement: 200 % ; Poids spécifique: 1,12 g/cm133</t>
  </si>
  <si>
    <t>RUBBER-SHEET60-NR/SBR-3MMKA</t>
  </si>
  <si>
    <t>4,680</t>
  </si>
  <si>
    <t>RUBBER-SHEET60-NR/SBR-3MMQC</t>
  </si>
  <si>
    <t>3,800</t>
  </si>
  <si>
    <t>RUBBER-SHEET60-NR/SBR-4MMCH</t>
  </si>
  <si>
    <t>Rubber Sheets 60 NR/SBR 4mm</t>
  </si>
  <si>
    <t>Rubber voor veelzijdig gebruik ; NR/SBR 4 mm</t>
  </si>
  <si>
    <t>Mehrzweck-Gummi ; NR/SBR 4 mm</t>
  </si>
  <si>
    <t>Multiple-use rubber ; NR/SBR 4 mm</t>
  </si>
  <si>
    <t>Caoutchouc à usage multiple ; NR/SBR 4 mm</t>
  </si>
  <si>
    <t>Zonder lijmlaag ; Lengte: 10.000 mm ; Breedte: 2.000 mm ; Dikte: 4 mm ; Kleur: Zwart; Shore-hardheid: ± 65° ; Treksterkte: 3 Mpa ; Rek: 200% ; Soortelijk gewicht: 1,5 g/cm133</t>
  </si>
  <si>
    <t>Ohne Kontaktschicht ; Länge: 10.000 mm ; Breite: 2.000 mm ; Stärke: 4 mm ; Farbe: Schwarz ; Shore Härte: ± 65° ; Reißfestigkeit: 3 MPa ; Reißdehnung: 200 % ; Spezifisches Gewicht: 1,15 g/cm133</t>
  </si>
  <si>
    <t>Without bonding layer ; Length: 10.000 mm ; Width: 2.000 mm ; Thickness: 4 mm ; Colour: Black ; Shore Hardness: ± 65° ; Tensile Strength: 3 MPa ; Elongation: 200 % ; Specific weight: 1,12 g/cm133</t>
  </si>
  <si>
    <t>Sans face adhésive ; Longueur: 10.000 mm ; Largeur: 2.000 mm ; Épaisseur: 4 mm ; Couleur: Noir ; Dureté Shore: ± 65° ; Résistance à la rupture: 3 MPa ; Allongement: 200 % ; Poids spécifique: 1,12 g/cm133</t>
  </si>
  <si>
    <t>RUBBER-SHEET60-NR/SBR-4MMKA</t>
  </si>
  <si>
    <t>5,420</t>
  </si>
  <si>
    <t>RUBBER-SHEET60-NR/SBR-4MMQC</t>
  </si>
  <si>
    <t>5,070</t>
  </si>
  <si>
    <t>RUBBER-SHEET60-NR/SBR-5MMCH</t>
  </si>
  <si>
    <t>Rubber Sheets 60 NR/SBR 5mm</t>
  </si>
  <si>
    <t>6,830</t>
  </si>
  <si>
    <t>Rubber voor veelzijdig gebruik ; NR/SBR 5 mm</t>
  </si>
  <si>
    <t>Mehrzweck-Gummi ; NR/SBR 5 mm</t>
  </si>
  <si>
    <t>Multiple-use rubber ; NR/SBR 5 mm</t>
  </si>
  <si>
    <t>Caoutchouc à usage multiple ; NR/SBR 5 mm</t>
  </si>
  <si>
    <t>Zonder lijmlaag ; Lengte: 10.000 mm ; Breedte: 2.000 mm ; Dikte: 5 mm ; Kleur: Zwart; Shore-hardheid: ± 65° ; Treksterkte: 3 Mpa ; Rek: 200% ; Soortelijk gewicht: 1,5 g/cm133</t>
  </si>
  <si>
    <t>Ohne Kontaktschicht ; Länge: 10.000 mm ; Breite: 2.000 mm ; Stärke: 5 mm ; Farbe: Schwarz ; Shore Härte: ± 65° ; Reißfestigkeit: 3 MPa ; Reißdehnung: 200 % ; Spezifisches Gewicht: 1,15 g/cm133</t>
  </si>
  <si>
    <t>Without bonding layer ; Length: 10.000 mm ; Width: 2.000 mm ; Thickness: 5 mm ; Colour: Black ; Shore Hardness: ± 65° ; Tensile Strength: 3 MPa ; Elongation: 200 % ; Specific weight: 1,12 g/cm133</t>
  </si>
  <si>
    <t>Sans face adhésive ; Longueur: 10.000 mm ; Largeur: 2.000 mm ; Épaisseur: 5 mm ; Couleur: Noir ; Dureté Shore: ± 65° ; Résistance à la rupture: 3 MPa ; Allongement: 200 % ; Poids spécifique: 1,12 g/cm133</t>
  </si>
  <si>
    <t>RUBBER-SHEET60-NR/SBR-5MMKA</t>
  </si>
  <si>
    <t>6,780</t>
  </si>
  <si>
    <t>RUBBER-SHEET60-NR/SBR-5MMQC</t>
  </si>
  <si>
    <t>6,330</t>
  </si>
  <si>
    <t>RUBBER-SHEET60-NR/SBR-6MMKA</t>
  </si>
  <si>
    <t>Rubber Sheets 60 NR/SBR 6mm</t>
  </si>
  <si>
    <t>8,820</t>
  </si>
  <si>
    <t>Rubber voor veelzijdig gebruik ; NR/SBR 6 mm</t>
  </si>
  <si>
    <t>Mehrzweck-Gummi ; NR/SBR 6 mm</t>
  </si>
  <si>
    <t>Multiple-use rubber ; NR/SBR 6 mm</t>
  </si>
  <si>
    <t>Caoutchouc à usage multiple ; NR/SBR 6 mm</t>
  </si>
  <si>
    <t>Zonder lijmlaag ; Lengte: 10.000 mm ; Breedte: 2.000 mm ; Dikte: 6 mm ; Kleur: Zwart; Shore-hardheid: ± 65° ; Treksterkte: 3 Mpa ; Rek: 200% ; Soortelijk gewicht: 1,5 g/cm133</t>
  </si>
  <si>
    <t>Ohne Kontaktschicht ; Länge: 10.000 mm ; Breite: 2.000 mm ; Stärke: 6 mm ; Farbe: Schwarz ; Shore Härte: ± 65° ; Reißfestigkeit: 3 MPa ; Reißdehnung: 200 % ; Spezifisches Gewicht: 1,15 g/cm133</t>
  </si>
  <si>
    <t>Without bonding layer ; Length: 10.000 mm ; Width: 2.000 mm ; Thickness: 6 mm ; Colour: Black ; Shore Hardness: ± 65° ; Tensile Strength: 3 MPa ; Elongation: 200 % ; Specific weight: 1,12 g/cm133</t>
  </si>
  <si>
    <t>Sans face adhésive ; Longueur: 10.000 mm ; Largeur: 2.000 mm ; Épaisseur: 6 mm ; Couleur: Noir ; Dureté Shore: ± 65° ; Résistance à la rupture: 3 MPa ; Allongement: 200 % ; Poids spécifique: 1,12 g/cm133</t>
  </si>
  <si>
    <t>RUBBER-SHEET60-NR/SBR-6MMQC</t>
  </si>
  <si>
    <t>7,610</t>
  </si>
  <si>
    <t>Zonder lijmlaag ; Lengte: 10.000 mm ; Breedte: 2.000 mm ; Dikte: 6 mm ; Kleur: Zwart; Shore-hardheid: ± 65° ; Treksterkte: 3 Mpa ; Rek: 200% ; Soortelijk gewicht: 1,5 g/cm134</t>
  </si>
  <si>
    <t>Ohne Kontaktschicht ; Länge: 10.000 mm ; Breite: 2.000 mm ; Stärke: 6 mm ; Farbe: Schwarz ; Shore Härte: ± 65° ; Reißfestigkeit: 3 MPa ; Reißdehnung: 200 % ; Spezifisches Gewicht: 1,15 g/cm134</t>
  </si>
  <si>
    <t>Without bonding layer ; Length: 10.000 mm ; Width: 2.000 mm ; Thickness: 6 mm ; Colour: Black ; Shore Hardness: ± 65° ; Tensile Strength: 3 MPa ; Elongation: 200 % ; Specific weight: 1,12 g/cm134</t>
  </si>
  <si>
    <t>Sans face adhésive ; Longueur: 10.000 mm ; Largeur: 2.000 mm ; Épaisseur: 6 mm ; Couleur: Noir ; Dureté Shore: ± 65° ; Résistance à la rupture: 3 MPa ; Allongement: 200 % ; Poids spécifique: 1,12 g/cm134</t>
  </si>
  <si>
    <t>RUBBER-SHEET60-NR/SBR-8MMCH</t>
  </si>
  <si>
    <t>Rubber Sheets 60 NR/SBR 8mm</t>
  </si>
  <si>
    <t>10,920</t>
  </si>
  <si>
    <t>Rubber voor veelzijdig gebruik ; NR/SBR 8 mm</t>
  </si>
  <si>
    <t>Mehrzweck-Gummi ; NR/SBR 8 mm</t>
  </si>
  <si>
    <t>Multiple-use rubber ; NR/SBR 8 mm</t>
  </si>
  <si>
    <t>Caoutchouc à usage multiple ; NR/SBR 8 mm</t>
  </si>
  <si>
    <t>Zonder lijmlaag ; Lengte: 10.000 mm ; Breedte: 2.000 mm ; Dikte: 8 mm ; Kleur: Zwart; Shore-hardheid: ± 65° ; Treksterkte: 3 Mpa ; Rek: 200% ; Soortelijk gewicht: 1,5 g/cm133</t>
  </si>
  <si>
    <t>Ohne Kontaktschicht ; Länge: 10.000 mm ; Breite: 2.000 mm ; Stärke: 8 mm ; Farbe: Schwarz ; Shore Härte: ± 65° ; Reißfestigkeit: 3 MPa ; Reißdehnung: 200 % ; Spezifisches Gewicht: 1,15 g/cm133</t>
  </si>
  <si>
    <t>Without bonding layer ; Length: 10.000 mm ; Width: 2.000 mm ; Thickness: 8 mm ; Colour: Black ; Shore Hardness: ± 65° ; Tensile Strength: 3 MPa ; Elongation: 200 % ; Specific weight: 1,12 g/cm133</t>
  </si>
  <si>
    <t>Sans face adhésive ; Longueur: 10.000 mm ; Largeur: 2.000 mm ; Épaisseur: 8 mm ; Couleur: Noir ; Dureté Shore: ± 65° ; Résistance à la rupture: 3 MPa ; Allongement: 200 % ; Poids spécifique: 1,12 g/cm133</t>
  </si>
  <si>
    <t>RUBBER-SHEET60-NR/SBR-8MMKA</t>
  </si>
  <si>
    <t>11,760</t>
  </si>
  <si>
    <t>RUBBER-SHEET60-NR/SBR-8MMQC</t>
  </si>
  <si>
    <t>RUBBER-SHEET60-SBR-3MMKA</t>
  </si>
  <si>
    <t>Rubber Sheets 60 NBR/SBR -3mm- 1 ply textile cotton</t>
  </si>
  <si>
    <t>5,080</t>
  </si>
  <si>
    <t>RUNDFLICKEN 120X3,0CH</t>
  </si>
  <si>
    <t>Rundflicken WT-RF - Durchmesser 120 x 3,0 mm-00800057</t>
  </si>
  <si>
    <t>1,190</t>
  </si>
  <si>
    <t>RUWKOM-102X100-GRIT18BJ</t>
  </si>
  <si>
    <t>Ruwkom Ø 102 x 100 mm, AH 14 mm, grit 18</t>
  </si>
  <si>
    <t>73,500</t>
  </si>
  <si>
    <t>RUWKOM-102X38-AH22GRIT18BJ</t>
  </si>
  <si>
    <t>Ruwkom Ø 102 x 38 mm, AH 22 mm, grit 18</t>
  </si>
  <si>
    <t>30,670</t>
  </si>
  <si>
    <t>RUWKOM-102X38-GRIT16BJ</t>
  </si>
  <si>
    <t>RUWKOM-102X38-GRIT18BJ</t>
  </si>
  <si>
    <t>Ruwkom Ø 102 x 38 mm, AH 14 mm, grit 18</t>
  </si>
  <si>
    <t>30,010</t>
  </si>
  <si>
    <t>Koper ruwkom ; Ø 102 x 38 mm, AH 14 mm, grit 18</t>
  </si>
  <si>
    <t>Kupfer Rauscheiben ; Ø 102 x 38 mm, AH 14 mm, grit 18</t>
  </si>
  <si>
    <t>Copper Unit wheel ; Ø 102 x 38 mm, AH 14 mm, grit 18</t>
  </si>
  <si>
    <t>Disque carbure en cuivre, râpe cylindrique ; Ø 102 x 38 mm, AH 14 mm, grit 18</t>
  </si>
  <si>
    <t>RUWKOM-102X38-GRIT23BJ</t>
  </si>
  <si>
    <t>Ruwkom Ø 102 x 38 mm, AH 14 mm, grit 23</t>
  </si>
  <si>
    <t>28,870</t>
  </si>
  <si>
    <t>RUWKOM-102X75-GRIT18BJ</t>
  </si>
  <si>
    <t>Ruwkom Ø 102 x 75 mm, AH 14 mm, grit 18</t>
  </si>
  <si>
    <t>68,250</t>
  </si>
  <si>
    <t>RW1800PRH500/4-5+2-VBHL30-1390</t>
  </si>
  <si>
    <t>RW 500/4-5+2,BB1800-profiel VBHL 30-1390 DIN-W</t>
  </si>
  <si>
    <t>12107, Narviflex N.V.</t>
  </si>
  <si>
    <t>199,226</t>
  </si>
  <si>
    <t>SCHRAPERSEGMENT-TREX-PU-BLRE</t>
  </si>
  <si>
    <t>T-Rex Pur afschraper-segment-blauw</t>
  </si>
  <si>
    <t>SCHRAPERSEGMENT-TREX-PU-ROCH</t>
  </si>
  <si>
    <t>T-Rex Pur afschraper-segment-rood</t>
  </si>
  <si>
    <t>49,880</t>
  </si>
  <si>
    <t>13,910</t>
  </si>
  <si>
    <t>08-03_T-Rex PUR Scraper</t>
  </si>
  <si>
    <t>100</t>
  </si>
  <si>
    <t>UNICLEAN Ersatz PUR Segment Typ FH90</t>
  </si>
  <si>
    <t>SCHRAPERSEGMENT-TREX-PU-ROPC</t>
  </si>
  <si>
    <t>17261, Pucest Protect GmbH</t>
  </si>
  <si>
    <t>Vorkopfabstreifer</t>
  </si>
  <si>
    <t>SCREWSPLICEBIT-PZ2DH</t>
  </si>
  <si>
    <t>Schroefbit PZ2 voor Screw Splice</t>
  </si>
  <si>
    <t>12173, Dahoo International Engineering Tech Co., Ltd.</t>
  </si>
  <si>
    <t>SCREWSPLICEBIT-PZ3DH</t>
  </si>
  <si>
    <t>Schroefbit PZ3 voor Screw Splice</t>
  </si>
  <si>
    <t>SCREWSPLICERVSSCHROEF-M5X12DH</t>
  </si>
  <si>
    <t>RVS Schroeven M5 x 12 mm voor Screw Splice Stainless</t>
  </si>
  <si>
    <t>SCREWSPLICERVSSCHROEF-M5X14DH</t>
  </si>
  <si>
    <t>RVS Schroeven M5 x 14 mm voor Screw Splice Stainless</t>
  </si>
  <si>
    <t>0,030</t>
  </si>
  <si>
    <t>SCREWSPLICERVSSCHROEF-M5X16DH</t>
  </si>
  <si>
    <t>RVS Schroeven M5 x 16 mm voor Screw Splice Stainless</t>
  </si>
  <si>
    <t>SCREWSPLICERVSSCHROEF-M5X18DH</t>
  </si>
  <si>
    <t>RVS Schroeven M5 x 18 mm voor Screw Splice Stainless</t>
  </si>
  <si>
    <t>SCREWSPLICESCHROEF-M5X12DH</t>
  </si>
  <si>
    <t>Schroeven M5 x 12 mm voor Screw Splice NQ HTR OIL</t>
  </si>
  <si>
    <t>SCREWSPLICESCHROEF-M5X14DH</t>
  </si>
  <si>
    <t>Schroeven M5 x 14 mm voor Screw Splice NQ HTR OIL</t>
  </si>
  <si>
    <t>SCREWSPLICESCHROEF-M5X16DH</t>
  </si>
  <si>
    <t>Schroeven M5 x 16 mm voor Screw Splice NQ HTR OIL</t>
  </si>
  <si>
    <t>0,003</t>
  </si>
  <si>
    <t>SCREWSPLICESCHROEF-M5X18DH</t>
  </si>
  <si>
    <t>Schroeven M5 x 18 mm voor Screw Splice NQ HTR OIL</t>
  </si>
  <si>
    <t>SCREWSPLICESCHROEF-M5X20DH</t>
  </si>
  <si>
    <t>Schroeven M5 x 20 mm voor Screw Splice NQ HTR OIL</t>
  </si>
  <si>
    <t>SCREWSPLICESCHROEF-M5X22DH</t>
  </si>
  <si>
    <t>Schroeven M5 x 22 mm voor Screw Splice NQ HTR OIL</t>
  </si>
  <si>
    <t>SCREWSPLICESCHROEF-M5X24DH</t>
  </si>
  <si>
    <t>Schroeven M5 x 24 mm voor Screw Splice NQ HTR OIL</t>
  </si>
  <si>
    <t>SCREWSPLICESCHROEF-M6X21DH</t>
  </si>
  <si>
    <t>Schroeven M6 x 21 mm voor Screw Splice NQ HTR OIL</t>
  </si>
  <si>
    <t>SCREWSPLICESCHROEF-M6X22.5DH</t>
  </si>
  <si>
    <t>Schroeven M6 x 22.5 mm voor Screw Splice NQ HTR OIL</t>
  </si>
  <si>
    <t>SCREWSPLICESCHROEF-M6X24DH</t>
  </si>
  <si>
    <t>Schroeven M6 x 24 mm voor Screw Splice NQ HTR OIL</t>
  </si>
  <si>
    <t>SCREWSPLICESCHROEF-M6X25.5DH</t>
  </si>
  <si>
    <t>Schroeven M6 x 25.5 mm voor Screw Splice NQ HTR OIL</t>
  </si>
  <si>
    <t>SCREWSPLICESPACER-5H11DH</t>
  </si>
  <si>
    <t>Spacer 5H11 voor Screw Splice</t>
  </si>
  <si>
    <t>SCREWSPLICESPACER-5H13DH</t>
  </si>
  <si>
    <t>Spacer 5H13 voor Screw Splice</t>
  </si>
  <si>
    <t>SCREWSPLICESPACER-5H5DH</t>
  </si>
  <si>
    <t>Spacer 5H5 voor Screw Splice</t>
  </si>
  <si>
    <t>SCREWSPLICESPACER-5H7DH</t>
  </si>
  <si>
    <t>Spacer 5H7 voor Screw Splice</t>
  </si>
  <si>
    <t>SCREWSPLICESPACER-5H9DH</t>
  </si>
  <si>
    <t>Spacer 5H9 voor Screw Splice</t>
  </si>
  <si>
    <t>SCREWSPLICESPACER-6H11DH</t>
  </si>
  <si>
    <t>Spacer 6H11 voor Screw Splice</t>
  </si>
  <si>
    <t>SCREWSPLICESPACER-6H15DH</t>
  </si>
  <si>
    <t>Spacer 6H15 voor Screw Splice</t>
  </si>
  <si>
    <t>SCREWSPLICESPACER-6H9DH</t>
  </si>
  <si>
    <t>Spacer 6H9 voor Screw Splice</t>
  </si>
  <si>
    <t>SLIJTVAST-ZWART-90°-10ZE</t>
  </si>
  <si>
    <t>Slijtvast rubber, zwart, 2.000x1.400x10mm - ZLL AB 90115</t>
  </si>
  <si>
    <t>195,000</t>
  </si>
  <si>
    <t>55,200</t>
  </si>
  <si>
    <t>ST1000XXX2500/12S+7SA</t>
  </si>
  <si>
    <t>ST 2500/12S+7,BB1000</t>
  </si>
  <si>
    <t>2, Staalkoordbanden</t>
  </si>
  <si>
    <t>ST1000XXX2500/8.2+5SA</t>
  </si>
  <si>
    <t>ST 2500/8.2+5,BB1000</t>
  </si>
  <si>
    <t>68,950</t>
  </si>
  <si>
    <t>ST1000XXX800/7+4SA</t>
  </si>
  <si>
    <t>ST 800/7+4,BB1000</t>
  </si>
  <si>
    <t>46,790</t>
  </si>
  <si>
    <t>ST1600XXX630/8+4CO</t>
  </si>
  <si>
    <t>ST630/8+4,BB1600</t>
  </si>
  <si>
    <t>80,920</t>
  </si>
  <si>
    <t>ST2400XXX3150/10T+7-DIN-XSA</t>
  </si>
  <si>
    <t>ST 3150/10T+7,BB2400 - DIN-X</t>
  </si>
  <si>
    <t>268,470</t>
  </si>
  <si>
    <t>ST650XXX1450/5+5SA</t>
  </si>
  <si>
    <t>ST 1450/5+5,BB 650</t>
  </si>
  <si>
    <t>32,090</t>
  </si>
  <si>
    <t>STAANDE PALLET HD 1000ZZ</t>
  </si>
  <si>
    <t>Staande Pallet HD - 100 x 120 cm</t>
  </si>
  <si>
    <t>STAANDE PALLET HD 1200ZZ</t>
  </si>
  <si>
    <t>Staande Pallet HD - 120 x 120 cm</t>
  </si>
  <si>
    <t>STAANDE PALLET HD 800ZZ</t>
  </si>
  <si>
    <t>Staande Pallet HD - 80 x 120 cm</t>
  </si>
  <si>
    <t>STAANDEPALLETKOSTENZZ</t>
  </si>
  <si>
    <t>Kosten staande pallet</t>
  </si>
  <si>
    <t>STARK-BALKEN-MARK3-1800ST</t>
  </si>
  <si>
    <t>STARK - Balken - Mark 3 -1800</t>
  </si>
  <si>
    <t>STARK-BELTCLAMP-MARK3-1800ST</t>
  </si>
  <si>
    <t>STARK - Croc Grip Mark 3 Belt Clamp-1800</t>
  </si>
  <si>
    <t>12-01_CROC GRIP Belt Clamps</t>
  </si>
  <si>
    <t xml:space="preserve">Croc Grip Belt Clamp ; Mark 3 Light </t>
  </si>
  <si>
    <t>STARK-BELTCLAMP-MARK5-2000ST</t>
  </si>
  <si>
    <t>STARK - Croc Grip Mark 5 Belt Clamp-2000</t>
  </si>
  <si>
    <t>1.345,500</t>
  </si>
  <si>
    <t>Croc Grip Belt Clamp ; Mark 5 Medium</t>
  </si>
  <si>
    <t>STARK-BELTCLAMP-MARK7-2400ST</t>
  </si>
  <si>
    <t>STARK - Croc Grip Mark 7 Belt Clamp-2400</t>
  </si>
  <si>
    <t>2.495,000</t>
  </si>
  <si>
    <t>Croc Grip Belt Clamp ; Mark 7 Heavy</t>
  </si>
  <si>
    <t>STARK-KLEMMEN-MARK3-1800ST</t>
  </si>
  <si>
    <t>STARK - Klemmen - Mark 3 -1800</t>
  </si>
  <si>
    <t>STARK-PLASTIC-KAP-ROODST</t>
  </si>
  <si>
    <t>STARK - Plastic kap rood</t>
  </si>
  <si>
    <t>2,500</t>
  </si>
  <si>
    <t>STARWHEEL-110X6-GRIT18BJ</t>
  </si>
  <si>
    <t>Starwheel Ø 110 x 6 mm, AH 22F7 or 19F7 6 mm, grit 18</t>
  </si>
  <si>
    <t>36,540</t>
  </si>
  <si>
    <t>STEEL-RUBBRSHEET-1041X947X40CH</t>
  </si>
  <si>
    <t>STEEL-RUBBERSHEET-1041X947X40-3mm steel</t>
  </si>
  <si>
    <t>417,150</t>
  </si>
  <si>
    <t>STUURSNAAR-GETAND-17X11BK</t>
  </si>
  <si>
    <t>Stuursnaar, getand-17x11</t>
  </si>
  <si>
    <t>9,900</t>
  </si>
  <si>
    <t>09-03_V-Profiles</t>
  </si>
  <si>
    <t>Stuursnaar ; Getand 17x11</t>
  </si>
  <si>
    <t>Gummiseil ; Gezahnt 17x12</t>
  </si>
  <si>
    <t>Steering string ; with teeth 17x13</t>
  </si>
  <si>
    <t>Profil ; Denté 17x14</t>
  </si>
  <si>
    <t>Lengte: 50.000 mm ; Hoogte: 11 mm ; Dikte: 11 mm ; Voet: 17 mm</t>
  </si>
  <si>
    <t>Länge: 50.000 mm ; Höhe: 11 mm ; Stärke: 11 mm ; Fuß: 17 mm</t>
  </si>
  <si>
    <t>Length: 50.000 mm ; Height: 11 mm ; Thickness: 11 mm ; Base: 17 mm</t>
  </si>
  <si>
    <t>Longueur: 50.000 mm ; Hauteur: 11 mm ; Épaisseur: 11 mm ; Base: 17 mm</t>
  </si>
  <si>
    <t>Kleur: zwart ; Rubber: SBR ; Hardheid: 75 ± 5 Shore A ; Dichtheid: 1,25 ± 0,03 g/cm³ ; Treksterkte: &gt; 12 Mpa ; Rek bij breuk: &gt; 200 % ; Rubberkwaliteit: Normaal</t>
  </si>
  <si>
    <t>Farbe: Schwarz ; Gummi: SBR ; Härte: 75 ± 5 Shore A ; Dichte: 1,25 ± 0,03 g/cm³ ; Zugfestigkeit: &gt; 12 MPa ; Bruchdehnung: &gt; 200 % ; Gummiqualität: Normal</t>
  </si>
  <si>
    <t>Color: Black ; Rubber: SBR ; Hardness: 75 ± 5 Shore A ; Density: 1,25 ± 0,03 g/cm³ ; Tensile strength: &gt; 12 MPa ; Elongation at Break: &gt; 200 % ; Rubber Quality: Normal</t>
  </si>
  <si>
    <t>Couleur: noire ; Caoutchouc : SBR ; Dureté : 75 ± 5 Shore A ; Densité : 1,25 ± 0,03 g/cm³ ; Résistance à la traction : &gt; 12 MPa ; Allongement à la rupture : &gt; 200 % ; Qualité du caoutchouc : normale</t>
  </si>
  <si>
    <t>STUURSNAAR-GETAND-30X15BK</t>
  </si>
  <si>
    <t>Stuursnaar, getand-30x15</t>
  </si>
  <si>
    <t>13,100</t>
  </si>
  <si>
    <t>Stuursnaar ; Getand 30x15</t>
  </si>
  <si>
    <t>Gummiseil ; Gezahnt 30x15</t>
  </si>
  <si>
    <t>Steering string ; with teeth 30x15</t>
  </si>
  <si>
    <t>Profil ; Denté 30x15</t>
  </si>
  <si>
    <t>Lengte: 50.000 mm ; Hoogte: 15 mm ; Dikte: 15 mm ; Voet: 30 mm</t>
  </si>
  <si>
    <t>Länge: 50.000 mm ; Höhe: 15 mm ; Stärke: 15 mm ; Fuß: 30 mm</t>
  </si>
  <si>
    <t>Length: 50.000 mm ; Height: 15 mm ; Thickness: 15 mm ; Base: 30 mm</t>
  </si>
  <si>
    <t>Longueur: 50.000 mm ; Hauteur: 15 mm ; Épaisseur: 15 mm ; Base: 30 mm</t>
  </si>
  <si>
    <t>STUURSNAAR-TRAP-10X6BK</t>
  </si>
  <si>
    <t>Stuursnaar, trapezodiaal-10x6</t>
  </si>
  <si>
    <t>3,150</t>
  </si>
  <si>
    <t>Stuursnaar ; Trapezodiaal 10x6</t>
  </si>
  <si>
    <t>Gummiseil ; Trapezförmig / Glatt 10x7</t>
  </si>
  <si>
    <t>Steering string ; Smooth 10x8</t>
  </si>
  <si>
    <t>Profil ; trapézoïdal / Lisse 10x9</t>
  </si>
  <si>
    <t>Lengte: 100.000 mm ; Hoogte: 6 mm ; Dikte: 6 mm ; Voet: 10 mm</t>
  </si>
  <si>
    <t>Länge: 100.000 mm ; Höhe: 6 mm ; Stärke: 6 mm ; Fuß: 10 mm</t>
  </si>
  <si>
    <t>Length: 100.000 mm ; Height: 6 mm ; Thickness: 6 mm ; Base: 10 mm</t>
  </si>
  <si>
    <t>Longueur: 50.000 mm ; Hauteur: 6 mm ; Épaisseur: 6 mm ; Base: 10 mm</t>
  </si>
  <si>
    <t>STUURSNAAR-TRAP-13X8BK</t>
  </si>
  <si>
    <t>Stuursnaar, trapezodiaal-13x8</t>
  </si>
  <si>
    <t>Stuursnaar ; Trapezodiaal 13x8</t>
  </si>
  <si>
    <t>Gummiseil ; Trapezförmig / Glatt 13x8</t>
  </si>
  <si>
    <t>Steering string ; Smooth 13x8</t>
  </si>
  <si>
    <t>Profil ; trapézoïdal / Lisse 13x8</t>
  </si>
  <si>
    <t>Lengte: 200.000 mm ; Hoogte: 8 mm ; Dikte: 8 mm ; Voet: 13 mm</t>
  </si>
  <si>
    <t>Länge: 200.000 mm ; Höhe: 8 mm ; Stärke: 8 mm ; Fuß: 13 mm</t>
  </si>
  <si>
    <t>Length: 200.000 mm ; Height: 8 mm ; Thickness: 8 mm ; Base: 13 mm</t>
  </si>
  <si>
    <t>Longueur: 200.000 mm ; Hauteur: 8 mm ; Épaisseur: 8 mm ; Base: 13 mm</t>
  </si>
  <si>
    <t>STUURSNAAR-TRAP-17X11BK</t>
  </si>
  <si>
    <t>Stuursnaar, trapezodiaal-17x11</t>
  </si>
  <si>
    <t>4,700</t>
  </si>
  <si>
    <t>Stuursnaar ; Trapezodiaal 17x11</t>
  </si>
  <si>
    <t>Gummiseil ; Trapezförmig / Glatt 17x11</t>
  </si>
  <si>
    <t>Steering string ; Smooth 17x11</t>
  </si>
  <si>
    <t>Profil ; trapézoïdal / Lisse 17x11</t>
  </si>
  <si>
    <t>STUURSNAAR-TRAP-30X15BK</t>
  </si>
  <si>
    <t>Stuursnaar, trapezodiaal-30x15</t>
  </si>
  <si>
    <t>8,200</t>
  </si>
  <si>
    <t>Stuursnaar ; Trapezodiaal 30x15</t>
  </si>
  <si>
    <t>Gummiseil ; Trapezförmig / Glatt 30x15</t>
  </si>
  <si>
    <t>Steering string ; Smooth 30x15</t>
  </si>
  <si>
    <t>Profil ; trapézoïdal / Lisse 30x15</t>
  </si>
  <si>
    <t>SUPER SCREW 100LE</t>
  </si>
  <si>
    <t>Super screw 100</t>
  </si>
  <si>
    <t>379,500</t>
  </si>
  <si>
    <t>SW1000TFLEX1000/2-8+3CO</t>
  </si>
  <si>
    <t>SW 1000/2-8+3-BB1000</t>
  </si>
  <si>
    <t>87,580</t>
  </si>
  <si>
    <t>01-10_T-Flex</t>
  </si>
  <si>
    <t>T-Flex "Straight Warp" ; SW 1000/2-8+3</t>
  </si>
  <si>
    <t>Bandweefseltype: SW Straight Warp ; Treksterkte: 1000 N/mm ; Aantal inlagen: 2 ; Bovendek: 8 mm ; Onderdek: 3 mm ; Bandbreedte: 1000 mm ; Slijtwaarde: &lt; 80 mm³</t>
  </si>
  <si>
    <t>Gewebetype:  SW Straight Warp ; Zugfestigkeit: 1000 N/mm ; Anzahl Einlagen: 2 ; Oberdeck: 8 mm ; Unterdeck: 3 mm ; Gurtbreite: 1000 mm ; Abrieb: &lt; 80 mm³</t>
  </si>
  <si>
    <t>Fabric type: SW Straight Warp ; Tensile strength: 1000 N/mm ; Number of plies: 2 ; Topcover: 8 mm ; Bottomcover: 3 mm ; Beltwidth: 1000 mm ; Abrasion: &lt; 80 mm³</t>
  </si>
  <si>
    <t>Carcasse: SW Straight Warp ; Résistance à la traction: 1000 N/mm ; Nombre de plis: 2 ; Revêtement supérieur: 8 mm ; Revêtement inférieur: 3 mm ; Largeur de bande: 1000 mm ; Abrasion: &lt; 80 mm³</t>
  </si>
  <si>
    <t>Zeer lage elongation ; Hoge slijtvastheid ; Lange levensverwachting ; Zeer impact- en scheurbestendig ; Longitudinale scheurbestendigheid die meer dan vijf keer sterker is dan meerlagige banden; Geschikt voor gebruik in alle gebieden, vooral in omgevingen met veel impact en weinig onderhoud; Kan gebruikt worden met kleinere trommeldiameters dan textiel- of staalkoordbanden</t>
  </si>
  <si>
    <t>Sehr geringe Dehnung ; Hohe Abriebfestigkeit ; Lange Lebenserwartung ; Sehr hohe Schlag- und Schnittfestigkeit ; Längsreißfestigkeit, die mehr als fünfmal stärker ist als bei Mehrlagengurten; Geeignet für den Einsatz in allen Bereichen, insbesondere in Umgebungen mit hoher Stoßbelastung und geringem Wartungsaufwand ; Kann mit kleineren Trommeldurchmessern als Gewebe- oder Stahlseilbandern verwendet werden</t>
  </si>
  <si>
    <t xml:space="preserve">Very low elongation ; High Abrasion Resistant ; Long life expectancy ; Very high impact and cutting resistance ; Longitudinal rip resistance that is more than five times stronger than multiply belts ; Suitable for use in all areas, especially in high impact conditions and low maintenance environments ; Can be used with smaller pulley diameters than textile plied or steelcord belts </t>
  </si>
  <si>
    <t>Allongement très faible ; Haute résistance à l'abrasion ; Longue espérance de vie ; Très haute résistance aux chocs et aux coupures ; Résistance à la déchirure longitudinale plus de cinq fois supérieure à celle des bandes multi-plis ; Convient pour une utilisation dans tous les domaines, en particulier dans des conditions d'impact élevées et des environnements nécessitant peu d'entretien ; Peut être utilisée avec des diamètres de tambour plus petits que les bandes à plis textiles ou steelcord</t>
  </si>
  <si>
    <t>SW1000TFLEX1000/2-8+3HY</t>
  </si>
  <si>
    <t>79,822</t>
  </si>
  <si>
    <t>SW1000TFLEX1000/2-8+3SH</t>
  </si>
  <si>
    <t>66,360</t>
  </si>
  <si>
    <t>SW1000TFLEX630/1-6+3CO</t>
  </si>
  <si>
    <t>SW 630/1-6+3-BB1000</t>
  </si>
  <si>
    <t>57,770</t>
  </si>
  <si>
    <t>T-Flex "Straight Warp" ; SW 630/1-6+3</t>
  </si>
  <si>
    <t>Bandweefseltype: SW Straight Warp ; Treksterkte: 630 N/mm ; Aantal inlagen: 1 ; Bovendek: 6 mm ; Onderdek: 3 mm ; Bandbreedte: 1000 mm ; Slijtwaarde: &lt; 80 mm³</t>
  </si>
  <si>
    <t>Gewebetype:  SW Straight Warp ; Zugfestigkeit: 630 N/mm ; Anzahl Einlagen: 1 ; Oberdeck: 6 mm ; Unterdeck: 3 mm ; Gurtbreite: 1000 mm ; Abrieb: &lt; 80 mm³</t>
  </si>
  <si>
    <t>Fabric type: SW Straight Warp ; Tensile strength: 630 N/mm ; Number of plies: 1 ; Topcover: 6 mm ; Bottomcover: 3 mm ; Beltwidth: 1000 mm ; Abrasion: &lt; 80 mm³</t>
  </si>
  <si>
    <t>Carcasse: SW Straight Warp ; Résistance à la traction: 630 N/mm ; Nombre de plis: 1 ; Revêtement supérieur: 6 mm ; Revêtement inférieur: 3 mm ; Largeur de bande: 1000 mm ; Abrasion: &lt; 80 mm³</t>
  </si>
  <si>
    <t>SW1000TFLEX630/1-6+3HY</t>
  </si>
  <si>
    <t>64,900</t>
  </si>
  <si>
    <t>SW1000TFLEX630/1-6+3SH</t>
  </si>
  <si>
    <t>54,140</t>
  </si>
  <si>
    <t>SW1000TFLEX800/1-6+3CO</t>
  </si>
  <si>
    <t>SW 800/1-6+3-BB1000</t>
  </si>
  <si>
    <t>64,340</t>
  </si>
  <si>
    <t>T-Flex "Straight Warp" ; SW 800/1-6+3</t>
  </si>
  <si>
    <t>Bandweefseltype: SW Straight Warp ; Treksterkte: 800 N/mm ; Aantal inlagen: 1 ; Bovendek: 6 mm ; Onderdek: 3 mm ; Bandbreedte: 1000 mm ; Slijtwaarde: &lt; 80 mm</t>
  </si>
  <si>
    <t>Gewebetype:  SW Straight Warp ; Zugfestigkeit: 800 N/mm ; Anzahl Einlagen: 1 ; Oberdeck: 6 mm ; Unterdeck: 3 mm ; Gurtbreite: 1000 mm ; Abrieb: &lt; 80 mm</t>
  </si>
  <si>
    <t>Fabric type: SW Straight Warp ; Tensile strength: 800 N/mm ; Number of plies: 1 ; Topcover: 6 mm ; Bottomcover: 3 mm ; Beltwidth: 1000 mm ; Abrasion: &lt; 80 mm</t>
  </si>
  <si>
    <t>Carcasse: SW Straight Warp ; Résistance à la traction: 800 N/mm ; Nombre de plis: 1 ; Revêtement supérieur: 6 mm ; Revêtement inférieur: 3 mm ; Largeur de bande: 1000 mm ; Abrasion: &lt; 80 mm</t>
  </si>
  <si>
    <t>SW1000TFLEX800/1-6+3HY</t>
  </si>
  <si>
    <t>62,225</t>
  </si>
  <si>
    <t>SW1000TFLEX800/1-6+3SH</t>
  </si>
  <si>
    <t>SW1200TFLEX1000/2-8+3CO</t>
  </si>
  <si>
    <t>SW 1000/2-8+3-BB1200</t>
  </si>
  <si>
    <t>Bandweefseltype: SW Straight Warp ; Treksterkte: 1000 N/mm ; Aantal inlagen: 2 ; Bovendek: 8 mm ; Onderdek: 3 mm ; Bandbreedte: 1200 mm ; Slijtwaarde: &lt; 80 mm³</t>
  </si>
  <si>
    <t>Gewebetype:  SW Straight Warp ; Zugfestigkeit: 1000 N/mm ; Anzahl Einlagen: 2 ; Oberdeck: 8 mm ; Unterdeck: 3 mm ; Gurtbreite: 1200 mm ; Abrieb: &lt; 80 mm³</t>
  </si>
  <si>
    <t>Fabric type: SW Straight Warp ; Tensile strength: 1000 N/mm ; Number of plies: 2 ; Topcover: 8 mm ; Bottomcover: 3 mm ; Beltwidth: 1200 mm ; Abrasion: &lt; 80 mm³</t>
  </si>
  <si>
    <t>Carcasse: SW Straight Warp ; Résistance à la traction: 1000 N/mm ; Nombre de plis: 2 ; Revêtement supérieur: 8 mm ; Revêtement inférieur: 3 mm ; Largeur de bande: 1200 mm ; Abrasion: &lt; 80 mm³</t>
  </si>
  <si>
    <t>SW1200TFLEX1000/2-8+3HY</t>
  </si>
  <si>
    <t>94,770</t>
  </si>
  <si>
    <t>SW1200TFLEX1000/2-8+3SH</t>
  </si>
  <si>
    <t>79,640</t>
  </si>
  <si>
    <t>SW1200TFLEX630/1-6+3CO</t>
  </si>
  <si>
    <t>SW 630/1-6+3-BB1200</t>
  </si>
  <si>
    <t>67,250</t>
  </si>
  <si>
    <t>Bandweefseltype: SW Straight Warp ; Treksterkte: 630 N/mm ; Aantal inlagen: 1 ; Bovendek: 6 mm ; Onderdek: 3 mm ; Bandbreedte: 1200 mm ; Slijtwaarde: &lt; 80 mm³</t>
  </si>
  <si>
    <t>Gewebetype:  SW Straight Warp ; Zugfestigkeit: 630 N/mm ; Anzahl Einlagen: 1 ; Oberdeck: 6 mm ; Unterdeck: 3 mm ; Gurtbreite: 1200 mm ; Abrieb: &lt; 80 mm³</t>
  </si>
  <si>
    <t>Fabric type: SW Straight Warp ; Tensile strength: 630 N/mm ; Number of plies: 1 ; Topcover: 6 mm ; Bottomcover: 3 mm ; Beltwidth: 1200 mm ; Abrasion: &lt; 80 mm³</t>
  </si>
  <si>
    <t>Carcasse: SW Straight Warp ; Résistance à la traction: 630 N/mm ; Nombre de plis: 1 ; Revêtement supérieur: 6 mm ; Revêtement inférieur: 3 mm ; Largeur de bande: 1200 mm ; Abrasion: &lt; 80 mm³</t>
  </si>
  <si>
    <t>SW1200TFLEX800/1-6+3CO</t>
  </si>
  <si>
    <t>SW 800/1-6+3-BB1200</t>
  </si>
  <si>
    <t>72,250</t>
  </si>
  <si>
    <t>Bandweefseltype: SW Straight Warp ; Treksterkte: 800 N/mm ; Aantal inlagen: 1 ; Bovendek: 6 mm ; Onderdek: 3 mm ; Bandbreedte: 1200 mm ; Slijtwaarde: &lt; 80 mm</t>
  </si>
  <si>
    <t>Gewebetype:  SW Straight Warp ; Zugfestigkeit: 800 N/mm ; Anzahl Einlagen: 1 ; Oberdeck: 6 mm ; Unterdeck: 3 mm ; Gurtbreite: 1200 mm ; Abrieb: &lt; 80 mm</t>
  </si>
  <si>
    <t>Fabric type: SW Straight Warp ; Tensile strength: 800 N/mm ; Number of plies: 1 ; Topcover: 6 mm ; Bottomcover: 3 mm ; Beltwidth: 1200 mm ; Abrasion: &lt; 80 mm</t>
  </si>
  <si>
    <t>Carcasse: SW Straight Warp ; Résistance à la traction: 800 N/mm ; Nombre de plis: 1 ; Revêtement supérieur: 6 mm ; Revêtement inférieur: 3 mm ; Largeur de bande: 1200 mm ; Abrasion: &lt; 80 mm</t>
  </si>
  <si>
    <t>SW1200TFLEX800/1-6+3HY</t>
  </si>
  <si>
    <t>76,676</t>
  </si>
  <si>
    <t>SW1200TFLEX800/1-6+3-TA</t>
  </si>
  <si>
    <t>73,530</t>
  </si>
  <si>
    <t>SW1300TFLEX800/1-6+3HY</t>
  </si>
  <si>
    <t>SW 800/1-6+3-BB1300</t>
  </si>
  <si>
    <t>123,220</t>
  </si>
  <si>
    <t>Bandweefseltype: SW Straight Warp ; Treksterkte: 800 N/mm ; Aantal inlagen: 1 ; Bovendek: 6 mm ; Onderdek: 3 mm ; Bandbreedte: 1300 mm ; Slijtwaarde: &lt; 80 mm</t>
  </si>
  <si>
    <t>Gewebetype:  SW Straight Warp ; Zugfestigkeit: 800 N/mm ; Anzahl Einlagen: 1 ; Oberdeck: 6 mm ; Unterdeck: 3 mm ; Gurtbreite: 1300 mm ; Abrieb: &lt; 80 mm</t>
  </si>
  <si>
    <t>Fabric type: SW Straight Warp ; Tensile strength: 800 N/mm ; Number of plies: 1 ; Topcover: 6 mm ; Bottomcover: 3 mm ; Beltwidth: 1300 mm ; Abrasion: &lt; 80 mm</t>
  </si>
  <si>
    <t>Carcasse: SW Straight Warp ; Résistance à la traction: 800 N/mm ; Nombre de plis: 1 ; Revêtement supérieur: 6 mm ; Revêtement inférieur: 3 mm ; Largeur de bande: 1300 mm ; Abrasion: &lt; 80 mm</t>
  </si>
  <si>
    <t>SW1350TFLEX800/1-6+3CO</t>
  </si>
  <si>
    <t>SW 800/1-6+3-BB1350</t>
  </si>
  <si>
    <t>80,280</t>
  </si>
  <si>
    <t>Bandweefseltype: SW Straight Warp ; Treksterkte: 800 N/mm ; Aantal inlagen: 1 ; Bovendek: 6 mm ; Onderdek: 3 mm ; Bandbreedte: 1350 mm ; Slijtwaarde: &lt; 80 mm</t>
  </si>
  <si>
    <t>Gewebetype:  SW Straight Warp ; Zugfestigkeit: 800 N/mm ; Anzahl Einlagen: 1 ; Oberdeck: 6 mm ; Unterdeck: 3 mm ; Gurtbreite: 1350 mm ; Abrieb: &lt; 80 mm</t>
  </si>
  <si>
    <t>Fabric type: SW Straight Warp ; Tensile strength: 800 N/mm ; Number of plies: 1 ; Topcover: 6 mm ; Bottomcover: 3 mm ; Beltwidth: 1350 mm ; Abrasion: &lt; 80 mm</t>
  </si>
  <si>
    <t>Carcasse: SW Straight Warp ; Résistance à la traction: 800 N/mm ; Nombre de plis: 1 ; Revêtement supérieur: 6 mm ; Revêtement inférieur: 3 mm ; Largeur de bande: 1350 mm ; Abrasion: &lt; 80 mm</t>
  </si>
  <si>
    <t>SW1400TFLEX1000/2-8+3CO</t>
  </si>
  <si>
    <t>SW 1000/2-8+3-BB1400</t>
  </si>
  <si>
    <t>121,610</t>
  </si>
  <si>
    <t>Bandweefseltype: SW Straight Warp ; Treksterkte: 1000 N/mm ; Aantal inlagen: 2 ; Bovendek: 8 mm ; Onderdek: 3 mm ; Bandbreedte: 1400 mm ; Slijtwaarde: &lt; 80 mm³</t>
  </si>
  <si>
    <t>Gewebetype:  SW Straight Warp ; Zugfestigkeit: 1000 N/mm ; Anzahl Einlagen: 2 ; Oberdeck: 8 mm ; Unterdeck: 3 mm ; Gurtbreite: 1400 mm ; Abrieb: &lt; 80 mm³</t>
  </si>
  <si>
    <t>Fabric type: SW Straight Warp ; Tensile strength: 1000 N/mm ; Number of plies: 2 ; Topcover: 8 mm ; Bottomcover: 3 mm ; Beltwidth: 1400 mm ; Abrasion: &lt; 80 mm³</t>
  </si>
  <si>
    <t>Carcasse: SW Straight Warp ; Résistance à la traction: 1000 N/mm ; Nombre de plis: 2 ; Revêtement supérieur: 8 mm ; Revêtement inférieur: 3 mm ; Largeur de bande: 1400 mm ; Abrasion: &lt; 80 mm³</t>
  </si>
  <si>
    <t>SW1400TFLEX1000/2-8+3HU</t>
  </si>
  <si>
    <t>62,350</t>
  </si>
  <si>
    <t>SW1400TFLEX1000/2-8+3HY</t>
  </si>
  <si>
    <t>127,220</t>
  </si>
  <si>
    <t>SW1400TFLEX1000/2-8+3SH</t>
  </si>
  <si>
    <t>SW1400TFLEX630/1-6+3CO</t>
  </si>
  <si>
    <t>SW 630/1-6+3-BB1400</t>
  </si>
  <si>
    <t>80,100</t>
  </si>
  <si>
    <t>Bandweefseltype: SW Straight Warp ; Treksterkte: 630 N/mm ; Aantal inlagen: 1 ; Bovendek: 6 mm ; Onderdek: 3 mm ; Bandbreedte: 1400 mm ; Slijtwaarde: &lt; 80 mm³</t>
  </si>
  <si>
    <t>Gewebetype:  SW Straight Warp ; Zugfestigkeit: 630 N/mm ; Anzahl Einlagen: 1 ; Oberdeck: 6 mm ; Unterdeck: 3 mm ; Gurtbreite: 1400 mm ; Abrieb: &lt; 80 mm³</t>
  </si>
  <si>
    <t>Fabric type: SW Straight Warp ; Tensile strength: 630 N/mm ; Number of plies: 1 ; Topcover: 6 mm ; Bottomcover: 3 mm ; Beltwidth: 1400 mm ; Abrasion: &lt; 80 mm³</t>
  </si>
  <si>
    <t>Carcasse: SW Straight Warp ; Résistance à la traction: 630 N/mm ; Nombre de plis: 1 ; Revêtement supérieur: 6 mm ; Revêtement inférieur: 3 mm ; Largeur de bande: 1400 mm ; Abrasion: &lt; 80 mm³</t>
  </si>
  <si>
    <t>SW1400TFLEX800/1-6+3CO</t>
  </si>
  <si>
    <t>SW 800/1-6+3-BB1400</t>
  </si>
  <si>
    <t>87,590</t>
  </si>
  <si>
    <t>Bandweefseltype: SW Straight Warp ; Treksterkte: 800 N/mm ; Aantal inlagen: 1 ; Bovendek: 6 mm ; Onderdek: 3 mm ; Bandbreedte: 1400 mm ; Slijtwaarde: &lt; 80 mm</t>
  </si>
  <si>
    <t>Gewebetype:  SW Straight Warp ; Zugfestigkeit: 800 N/mm ; Anzahl Einlagen: 1 ; Oberdeck: 6 mm ; Unterdeck: 3 mm ; Gurtbreite: 1400 mm ; Abrieb: &lt; 80 mm</t>
  </si>
  <si>
    <t>Fabric type: SW Straight Warp ; Tensile strength: 800 N/mm ; Number of plies: 1 ; Topcover: 6 mm ; Bottomcover: 3 mm ; Beltwidth: 1400 mm ; Abrasion: &lt; 80 mm</t>
  </si>
  <si>
    <t>Carcasse: SW Straight Warp ; Résistance à la traction: 800 N/mm ; Nombre de plis: 1 ; Revêtement supérieur: 6 mm ; Revêtement inférieur: 3 mm ; Largeur de bande: 1400 mm ; Abrasion: &lt; 80 mm</t>
  </si>
  <si>
    <t>SW1500TFLEX630/1-6+3CO</t>
  </si>
  <si>
    <t>SW 630/1-6+3-BB1500</t>
  </si>
  <si>
    <t>86,900</t>
  </si>
  <si>
    <t>Bandweefseltype: SW Straight Warp ; Treksterkte: 630 N/mm ; Aantal inlagen: 1 ; Bovendek: 6 mm ; Onderdek: 3 mm ; Bandbreedte: 1500 mm ; Slijtwaarde: &lt; 80 mm³</t>
  </si>
  <si>
    <t>Gewebetype:  SW Straight Warp ; Zugfestigkeit: 630 N/mm ; Anzahl Einlagen: 1 ; Oberdeck: 6 mm ; Unterdeck: 3 mm ; Gurtbreite: 1500 mm ; Abrieb: &lt; 80 mm³</t>
  </si>
  <si>
    <t>Fabric type: SW Straight Warp ; Tensile strength: 630 N/mm ; Number of plies: 1 ; Topcover: 6 mm ; Bottomcover: 3 mm ; Beltwidth: 1500 mm ; Abrasion: &lt; 80 mm³</t>
  </si>
  <si>
    <t>Carcasse: SW Straight Warp ; Résistance à la traction: 630 N/mm ; Nombre de plis: 1 ; Revêtement supérieur: 6 mm ; Revêtement inférieur: 3 mm ; Largeur de bande: 1500 mm ; Abrasion: &lt; 80 mm³</t>
  </si>
  <si>
    <t>SW1600TFLEX1000/2-8+3CO</t>
  </si>
  <si>
    <t>SW 1000/2-8+3-BB1600</t>
  </si>
  <si>
    <t>116,860</t>
  </si>
  <si>
    <t>Bandweefseltype: SW Straight Warp ; Treksterkte: 1000 N/mm ; Aantal inlagen: 2 ; Bovendek: 8 mm ; Onderdek: 3 mm ; Bandbreedte: 1600 mm ; Slijtwaarde: &lt; 80 mm³</t>
  </si>
  <si>
    <t>Gewebetype:  SW Straight Warp ; Zugfestigkeit: 1000 N/mm ; Anzahl Einlagen: 2 ; Oberdeck: 8 mm ; Unterdeck: 3 mm ; Gurtbreite: 1600 mm ; Abrieb: &lt; 80 mm³</t>
  </si>
  <si>
    <t>Fabric type: SW Straight Warp ; Tensile strength: 1000 N/mm ; Number of plies: 2 ; Topcover: 8 mm ; Bottomcover: 3 mm ; Beltwidth: 1600 mm ; Abrasion: &lt; 80 mm³</t>
  </si>
  <si>
    <t>Carcasse: SW Straight Warp ; Résistance à la traction: 1000 N/mm ; Nombre de plis: 2 ; Revêtement supérieur: 8 mm ; Revêtement inférieur: 3 mm ; Largeur de bande: 1600 mm ; Abrasion: &lt; 80 mm³</t>
  </si>
  <si>
    <t>SW1600TFLEX1000/2-8+3HU</t>
  </si>
  <si>
    <t>SW1600TFLEX1000/2-8+3HY</t>
  </si>
  <si>
    <t>127,718</t>
  </si>
  <si>
    <t>SW1600TFLEX1000/2-8+3SH</t>
  </si>
  <si>
    <t>SW1600TFLEX800/1-6+3CO</t>
  </si>
  <si>
    <t>SW 800/1-6+3-BB1600</t>
  </si>
  <si>
    <t>92,009</t>
  </si>
  <si>
    <t>Bandweefseltype: SW Straight Warp ; Treksterkte: 800 N/mm ; Aantal inlagen: 1 ; Bovendek: 6 mm ; Onderdek: 3 mm ; Bandbreedte: 1600 mm ; Slijtwaarde: &lt; 80 mm</t>
  </si>
  <si>
    <t>Gewebetype:  SW Straight Warp ; Zugfestigkeit: 800 N/mm ; Anzahl Einlagen: 1 ; Oberdeck: 6 mm ; Unterdeck: 3 mm ; Gurtbreite: 1600 mm ; Abrieb: &lt; 80 mm</t>
  </si>
  <si>
    <t>Fabric type: SW Straight Warp ; Tensile strength: 800 N/mm ; Number of plies: 1 ; Topcover: 6 mm ; Bottomcover: 3 mm ; Beltwidth: 1600 mm ; Abrasion: &lt; 80 mm</t>
  </si>
  <si>
    <t>Carcasse: SW Straight Warp ; Résistance à la traction: 800 N/mm ; Nombre de plis: 1 ; Revêtement supérieur: 6 mm ; Revêtement inférieur: 3 mm ; Largeur de bande: 1600 mm ; Abrasion: &lt; 80 mm</t>
  </si>
  <si>
    <t>SW1800TFLEX630/1-6+3CO</t>
  </si>
  <si>
    <t>SW 630/1-6+3-BB1800</t>
  </si>
  <si>
    <t>107,508</t>
  </si>
  <si>
    <t>Bandweefseltype: SW Straight Warp ; Treksterkte: 630 N/mm ; Aantal inlagen: 1 ; Bovendek: 6 mm ; Onderdek: 3 mm ; Bandbreedte: 1800 mm ; Slijtwaarde: &lt; 80 mm³</t>
  </si>
  <si>
    <t>Gewebetype:  SW Straight Warp ; Zugfestigkeit: 630 N/mm ; Anzahl Einlagen: 1 ; Oberdeck: 6 mm ; Unterdeck: 3 mm ; Gurtbreite: 1800 mm ; Abrieb: &lt; 80 mm³</t>
  </si>
  <si>
    <t>Fabric type: SW Straight Warp ; Tensile strength: 630 N/mm ; Number of plies: 1 ; Topcover: 6 mm ; Bottomcover: 3 mm ; Beltwidth: 1800 mm ; Abrasion: &lt; 80 mm³</t>
  </si>
  <si>
    <t>Carcasse: SW Straight Warp ; Résistance à la traction: 630 N/mm ; Nombre de plis: 1 ; Revêtement supérieur: 6 mm ; Revêtement inférieur: 3 mm ; Largeur de bande: 1800 mm ; Abrasion: &lt; 80 mm³</t>
  </si>
  <si>
    <t>SW2000TFLEX1000/2-8+3CO</t>
  </si>
  <si>
    <t>SW 1000/2-8+3-BB2000</t>
  </si>
  <si>
    <t>168,000</t>
  </si>
  <si>
    <t>Bandweefseltype: SW Straight Warp ; Treksterkte: 1000 N/mm ; Aantal inlagen: 2 ; Bovendek: 8 mm ; Onderdek: 3 mm ; Bandbreedte: 2000 mm ; Slijtwaarde: &lt; 80 mm³</t>
  </si>
  <si>
    <t>Gewebetype:  SW Straight Warp ; Zugfestigkeit: 1000 N/mm ; Anzahl Einlagen: 2 ; Oberdeck: 8 mm ; Unterdeck: 3 mm ; Gurtbreite: 2000 mm ; Abrieb: &lt; 80 mm³</t>
  </si>
  <si>
    <t>Fabric type: SW Straight Warp ; Tensile strength: 1000 N/mm ; Number of plies: 2 ; Topcover: 8 mm ; Bottomcover: 3 mm ; Beltwidth: 2000 mm ; Abrasion: &lt; 80 mm³</t>
  </si>
  <si>
    <t>Carcasse: SW Straight Warp ; Résistance à la traction: 1000 N/mm ; Nombre de plis: 2 ; Revêtement supérieur: 8 mm ; Revêtement inférieur: 3 mm ; Largeur de bande: 2000 mm ; Abrasion: &lt; 80 mm³</t>
  </si>
  <si>
    <t>SW2000TFLEX1000/2-8+3HU</t>
  </si>
  <si>
    <t>84,590</t>
  </si>
  <si>
    <t>SW2000TFLEX1000/2-8+3HY</t>
  </si>
  <si>
    <t>159,643</t>
  </si>
  <si>
    <t>SW2000TFLEX1000/2-8+3SH</t>
  </si>
  <si>
    <t>99,440</t>
  </si>
  <si>
    <t>SW2000TFLEX630/1-6+3CO</t>
  </si>
  <si>
    <t>SW 630/1-6+3-BB2000</t>
  </si>
  <si>
    <t>115,860</t>
  </si>
  <si>
    <t>Bandweefseltype: SW Straight Warp ; Treksterkte: 630 N/mm ; Aantal inlagen: 1 ; Bovendek: 6 mm ; Onderdek: 3 mm ; Bandbreedte: 2000 mm ; Slijtwaarde: &lt; 80 mm³</t>
  </si>
  <si>
    <t>Gewebetype:  SW Straight Warp ; Zugfestigkeit: 630 N/mm ; Anzahl Einlagen: 1 ; Oberdeck: 6 mm ; Unterdeck: 3 mm ; Gurtbreite:  2000 mm ; Abrieb: &lt; 80 mm³</t>
  </si>
  <si>
    <t>Fabric type: SW Straight Warp ; Tensile strength: 630 N/mm ; Number of plies: 1 ; Topcover: 6 mm ; Bottomcover: 3 mm ; Beltwidth: 2000 mm ; Abrasion: &lt; 80 mm³</t>
  </si>
  <si>
    <t>Carcasse: SW Straight Warp ; Résistance à la traction: 630 N/mm ; Nombre de plis: 1 ; Revêtement supérieur: 6 mm ; Revêtement inférieur: 3 mm ; Largeur de bande: 2000 mm ; Abrasion: &lt; 80 mm³</t>
  </si>
  <si>
    <t>SW2000TFLEX800/1-6+3CO</t>
  </si>
  <si>
    <t>SW 800/1-6+3-BB2000</t>
  </si>
  <si>
    <t>108,710</t>
  </si>
  <si>
    <t>Bandweefseltype: SW Straight Warp ; Treksterkte: 800 N/mm ; Aantal inlagen: 1 ; Bovendek: 6 mm ; Onderdek: 3 mm ; Bandbreedte: 2000 mm ; Slijtwaarde: &lt; 80 mm</t>
  </si>
  <si>
    <t>Gewebetype:  SW Straight Warp ; Zugfestigkeit: 800 N/mm ; Anzahl Einlagen: 1 ; Oberdeck: 6 mm ; Unterdeck: 3 mm ; Gurtbreite: 2000 mm ; Abrieb: &lt; 80 mm</t>
  </si>
  <si>
    <t>Fabric type: SW Straight Warp ; Tensile strength: 800 N/mm ; Number of plies: 1 ; Topcover: 6 mm ; Bottomcover: 3 mm ; Beltwidth: 2000 mm ; Abrasion: &lt; 80 mm</t>
  </si>
  <si>
    <t>Carcasse: SW Straight Warp ; Résistance à la traction: 800 N/mm ; Nombre de plis: 1 ; Revêtement supérieur: 6 mm ; Revêtement inférieur: 3 mm ; Largeur de bande: 2000 mm ; Abrasion: &lt; 80 mm</t>
  </si>
  <si>
    <t>SW2000TFLEX800/1-6+3HY</t>
  </si>
  <si>
    <t>123,221</t>
  </si>
  <si>
    <t>SW300TFLEX630/1-6+3HY</t>
  </si>
  <si>
    <t>SW 630/1-6+3-BB300</t>
  </si>
  <si>
    <t>19,470</t>
  </si>
  <si>
    <t>Bandweefseltype: SW Straight Warp ; Treksterkte: 630 N/mm ; Aantal inlagen: 1 ; Bovendek: 6 mm ; Onderdek: 3 mm ; Bandbreedte: 300 mm ; Slijtwaarde: &lt; 80 mm³</t>
  </si>
  <si>
    <t>Gewebetype:  SW Straight Warp ; Zugfestigkeit: 630 N/mm ; Anzahl Einlagen: 1 ; Oberdeck: 6 mm ; Unterdeck: 3 mm ; Gurtbreite: 300 mm ; Abrieb: &lt; 80 mm³</t>
  </si>
  <si>
    <t>Fabric type: SW Straight Warp ; Tensile strength: 630 N/mm ; Number of plies: 1 ; Topcover: 6 mm ; Bottomcover: 3 mm ; Beltwidth: 300 mm ; Abrasion: &lt; 80 mm³</t>
  </si>
  <si>
    <t>Carcasse: SW Straight Warp ; Résistance à la traction: 630 N/mm ; Nombre de plis: 1 ; Revêtement supérieur: 6 mm ; Revêtement inférieur: 3 mm ; Largeur de bande: 300 mm ; Abrasion: &lt; 80 mm³</t>
  </si>
  <si>
    <t>SW350TFLEX630/1-6+3HY</t>
  </si>
  <si>
    <t>SW 630/1-6+3-BB350</t>
  </si>
  <si>
    <t>Bandweefseltype: SW Straight Warp ; Treksterkte: 630 N/mm ; Aantal inlagen: 1 ; Bovendek: 6 mm ; Onderdek: 3 mm ; Bandbreedte: 350 mm ; Slijtwaarde: &lt; 80 mm³</t>
  </si>
  <si>
    <t>Gewebetype:  SW Straight Warp ; Zugfestigkeit: 630 N/mm ; Anzahl Einlagen: 1 ; Oberdeck: 6 mm ; Unterdeck: 3 mm ; Gurtbreite: 350 mm ; Abrieb: &lt; 80 mm³</t>
  </si>
  <si>
    <t>Fabric type: SW Straight Warp ; Tensile strength: 630 N/mm ; Number of plies: 1 ; Topcover: 6 mm ; Bottomcover: 3 mm ; Beltwidth: 350 mm ; Abrasion: &lt; 80 mm³</t>
  </si>
  <si>
    <t>Carcasse: SW Straight Warp ; Résistance à la traction: 630 N/mm ; Nombre de plis: 1 ; Revêtement supérieur: 6 mm ; Revêtement inférieur: 3 mm ; Largeur de bande: 350 mm ; Abrasion: &lt; 80 mm³</t>
  </si>
  <si>
    <t>SW400TFLEX1000/2-8+3-TA</t>
  </si>
  <si>
    <t>SW 1000/2-8+3-BB400</t>
  </si>
  <si>
    <t>Bandweefseltype: SW Straight Warp ; Treksterkte: 1000 N/mm ; Aantal inlagen: 2 ; Bovendek: 8 mm ; Onderdek: 3 mm ; Bandbreedte: 400 mm ; Slijtwaarde: &lt; 80 mm³</t>
  </si>
  <si>
    <t>Gewebetype:  SW Straight Warp ; Zugfestigkeit: 1000 N/mm ; Anzahl Einlagen: 2 ; Oberdeck: 8 mm ; Unterdeck: 3 mm ; Gurtbreite: 400 mm ; Abrieb: &lt; 80 mm³</t>
  </si>
  <si>
    <t>Fabric type: SW Straight Warp ; Tensile strength: 1000 N/mm ; Number of plies: 2 ; Topcover: 8 mm ; Bottomcover: 3 mm ; Beltwidth: 400 mm ; Abrasion: &lt; 80 mm³</t>
  </si>
  <si>
    <t>Carcasse: SW Straight Warp ; Résistance à la traction: 1000 N/mm ; Nombre de plis: 2 ; Revêtement supérieur: 8 mm ; Revêtement inférieur: 3 mm ; Largeur de bande: 400 mm ; Abrasion: &lt; 80 mm³</t>
  </si>
  <si>
    <t>SW400TFLEX800/1-6+3HY</t>
  </si>
  <si>
    <t>SW 800/1-6+3-BB400</t>
  </si>
  <si>
    <t>Bandweefseltype: SW Straight Warp ; Treksterkte: 800 N/mm ; Aantal inlagen: 1 ; Bovendek: 6 mm ; Onderdek: 3 mm ; Bandbreedte: 400 mm ; Slijtwaarde: &lt; 80 mm</t>
  </si>
  <si>
    <t>Gewebetype:  SW Straight Warp ; Zugfestigkeit: 800 N/mm ; Anzahl Einlagen: 1 ; Oberdeck: 6 mm ; Unterdeck: 3 mm ; Gurtbreite: 400 mm ; Abrieb: &lt; 80 mm</t>
  </si>
  <si>
    <t>Fabric type: SW Straight Warp ; Tensile strength: 800 N/mm ; Number of plies: 1 ; Topcover: 6 mm ; Bottomcover: 3 mm ; Beltwidth: 400 mm ; Abrasion: &lt; 80 mm</t>
  </si>
  <si>
    <t>Carcasse: SW Straight Warp ; Résistance à la traction: 800 N/mm ; Nombre de plis: 1 ; Revêtement supérieur: 6 mm ; Revêtement inférieur: 3 mm ; Largeur de bande: 400 mm ; Abrasion: &lt; 80 mm</t>
  </si>
  <si>
    <t>SW500TFLEX630/1-6+3CO</t>
  </si>
  <si>
    <t>SW 630/1-6+3-BB500</t>
  </si>
  <si>
    <t>28,970</t>
  </si>
  <si>
    <t>Bandweefseltype: SW Straight Warp ; Treksterkte: 630 N/mm ; Aantal inlagen: 1 ; Bovendek: 6 mm ; Onderdek: 3 mm ; Bandbreedte: 500 mm ; Slijtwaarde: &lt; 80 mm³</t>
  </si>
  <si>
    <t>Gewebetype:  SW Straight Warp ; Zugfestigkeit: 630 N/mm ; Anzahl Einlagen: 1 ; Oberdeck: 6 mm ; Unterdeck: 3 mm ; Gurtbreite: 500 mm ; Abrieb: &lt; 80 mm³</t>
  </si>
  <si>
    <t>Fabric type: SW Straight Warp ; Tensile strength: 630 N/mm ; Number of plies: 1 ; Topcover: 6 mm ; Bottomcover: 3 mm ; Beltwidth: 500 mm ; Abrasion: &lt; 80 mm³</t>
  </si>
  <si>
    <t>Carcasse: SW Straight Warp ; Résistance à la traction: 630 N/mm ; Nombre de plis: 1 ; Revêtement supérieur: 6 mm ; Revêtement inférieur: 3 mm ; Largeur de bande: 500 mm ; Abrasion: &lt; 80 mm³</t>
  </si>
  <si>
    <t>SW500TFLEX630/1-6+3HY</t>
  </si>
  <si>
    <t>32,450</t>
  </si>
  <si>
    <t>Bandweefseltype: SW Straight Warp ; Treksterkte: 630 N/mm ; Aantal inlagen: 1 ; Bovendek: 6 mm ; Onderdek: 3 mm ; Bandbreedte: 500 mm ; Slijtwaarde: &lt; 80 mm132</t>
  </si>
  <si>
    <t>Gewebetype:  SW Straight Warp ; Zugfestigkeit: 630 N/mm ; Anzahl Einlagen: 1 ; Oberdeck: 6 mm ; Unterdeck: 3 mm ; Gurtbreite: 500 mm ; Abrieb: &lt; 80 mm132</t>
  </si>
  <si>
    <t>Fabric type: SW Straight Warp ; Tensile strength: 630 N/mm ; Number of plies: 1 ; Topcover: 6 mm ; Bottomcover: 3 mm ; Beltwidth: 500 mm ; Abrasion: &lt; 80 mm132</t>
  </si>
  <si>
    <t>Carcasse: SW Straight Warp ; Résistance à la traction: 630 N/mm ; Nombre de plis: 1 ; Revêtement supérieur: 6 mm ; Revêtement inférieur: 3 mm ; Largeur de bande: 500 mm ; Abrasion: &lt; 80 mm132</t>
  </si>
  <si>
    <t>SW600TFLEX1000/2-8+3-TA</t>
  </si>
  <si>
    <t>SW 1000/2-8+3-BB600</t>
  </si>
  <si>
    <t>46,370</t>
  </si>
  <si>
    <t>Bandweefseltype: SW Straight Warp ; Treksterkte: 1000 N/mm ; Aantal inlagen: 2 ; Bovendek: 8 mm ; Onderdek: 3 mm ; Bandbreedte: 600 mm ; Slijtwaarde: &lt; 80 mm³</t>
  </si>
  <si>
    <t>Gewebetype:  SW Straight Warp ; Zugfestigkeit: 1000 N/mm ; Anzahl Einlagen: 2 ; Oberdeck: 8 mm ; Unterdeck: 3 mm ; Gurtbreite: 600 mm ; Abrieb: &lt; 80 mm³</t>
  </si>
  <si>
    <t>Fabric type: SW Straight Warp ; Tensile strength: 1000 N/mm ; Number of plies: 2 ; Topcover: 8 mm ; Bottomcover: 3 mm ; Beltwidth: 600 mm ; Abrasion: &lt; 80 mm³</t>
  </si>
  <si>
    <t>Carcasse: SW Straight Warp ; Résistance à la traction: 1000 N/mm ; Nombre de plis: 2 ; Revêtement supérieur: 8 mm ; Revêtement inférieur: 3 mm ; Largeur de bande: 600 mm ; Abrasion: &lt; 80 mm³</t>
  </si>
  <si>
    <t>SW600TFLEX630/1-6+3CO</t>
  </si>
  <si>
    <t>SW 630/1-6+3-BB600</t>
  </si>
  <si>
    <t>23,834</t>
  </si>
  <si>
    <t>Bandweefseltype: SW Straight Warp ; Treksterkte: 630 N/mm ; Aantal inlagen: 1 ; Bovendek: 6 mm ; Onderdek: 3 mm ; Bandbreedte: 600 mm ; Slijtwaarde: &lt; 80 mm³</t>
  </si>
  <si>
    <t>Gewebetype:  SW Straight Warp ; Zugfestigkeit: 630 N/mm ; Anzahl Einlagen: 1 ; Oberdeck: 6 mm ; Unterdeck: 3 mm ; Gurtbreite: 600 mm ; Abrieb: &lt; 80 mm³</t>
  </si>
  <si>
    <t>Fabric type: SW Straight Warp ; Tensile strength: 630 N/mm ; Number of plies: 1 ; Topcover: 6 mm ; Bottomcover: 3 mm ; Beltwidth: 600 mm ; Abrasion: &lt; 80 mm³</t>
  </si>
  <si>
    <t>Carcasse: SW Straight Warp ; Résistance à la traction: 630 N/mm ; Nombre de plis: 1 ; Revêtement supérieur: 6 mm ; Revêtement inférieur: 3 mm ; Largeur de bande: 600 mm ; Abrasion: &lt; 80 mm³</t>
  </si>
  <si>
    <t>SW600TFLEX630/1-6+3HY</t>
  </si>
  <si>
    <t>38,940</t>
  </si>
  <si>
    <t>Bandweefseltype: SW Straight Warp ; Treksterkte: 630 N/mm ; Aantal inlagen: 1 ; Bovendek: 6 mm ; Onderdek: 3 mm ; Bandbreedte: 600 mm ; Slijtwaarde: &lt; 80 mm132</t>
  </si>
  <si>
    <t>Gewebetype:  SW Straight Warp ; Zugfestigkeit: 630 N/mm ; Anzahl Einlagen: 1 ; Oberdeck: 6 mm ; Unterdeck: 3 mm ; Gurtbreite: 600 mm ; Abrieb: &lt; 80 mm132</t>
  </si>
  <si>
    <t>Fabric type: SW Straight Warp ; Tensile strength: 630 N/mm ; Number of plies: 1 ; Topcover: 6 mm ; Bottomcover: 3 mm ; Beltwidth: 600 mm ; Abrasion: &lt; 80 mm132</t>
  </si>
  <si>
    <t>Carcasse: SW Straight Warp ; Résistance à la traction: 630 N/mm ; Nombre de plis: 1 ; Revêtement supérieur: 6 mm ; Revêtement inférieur: 3 mm ; Largeur de bande: 600 mm ; Abrasion: &lt; 80 mm132</t>
  </si>
  <si>
    <t>SW650TFLEX630/1-6+3CO</t>
  </si>
  <si>
    <t>SW 630/1-6+3-BB650</t>
  </si>
  <si>
    <t>Bandweefseltype: SW Straight Warp ; Treksterkte: 630 N/mm ; Aantal inlagen: 1 ; Bovendek: 6 mm ; Onderdek: 3 mm ; Bandbreedte: 650 mm ; Slijtwaarde: &lt; 80 mm³</t>
  </si>
  <si>
    <t>Gewebetype:  SW Straight Warp ; Zugfestigkeit: 630 N/mm ; Anzahl Einlagen: 1 ; Oberdeck: 6 mm ; Unterdeck: 3 mm ; Gurtbreite: 650 mm ; Abrieb: &lt; 80 mm³</t>
  </si>
  <si>
    <t>Fabric type: SW Straight Warp ; Tensile strength: 630 N/mm ; Number of plies: 1 ; Topcover: 6 mm ; Bottomcover: 3 mm ; Beltwidth: 650 mm ; Abrasion: &lt; 80 mm³</t>
  </si>
  <si>
    <t>Carcasse: SW Straight Warp ; Résistance à la traction: 630 N/mm ; Nombre de plis: 1 ; Revêtement supérieur: 6 mm ; Revêtement inférieur: 3 mm ; Largeur de bande: 650 mm ; Abrasion: &lt; 80 mm³</t>
  </si>
  <si>
    <t>SW650TFLEX630/1-6+3HY</t>
  </si>
  <si>
    <t>Bandweefseltype: SW Straight Warp ; Treksterkte: 630 N/mm ; Aantal inlagen: 1 ; Bovendek: 6 mm ; Onderdek: 3 mm ; Bandbreedte: 650 mm ; Slijtwaarde: &lt; 80 mm132</t>
  </si>
  <si>
    <t>Gewebetype:  SW Straight Warp ; Zugfestigkeit: 630 N/mm ; Anzahl Einlagen: 1 ; Oberdeck: 6 mm ; Unterdeck: 3 mm ; Gurtbreite: 650 mm ; Abrieb: &lt; 80 mm132</t>
  </si>
  <si>
    <t>Fabric type: SW Straight Warp ; Tensile strength: 630 N/mm ; Number of plies: 1 ; Topcover: 6 mm ; Bottomcover: 3 mm ; Beltwidth: 650 mm ; Abrasion: &lt; 80 mm132</t>
  </si>
  <si>
    <t>Carcasse: SW Straight Warp ; Résistance à la traction: 630 N/mm ; Nombre de plis: 1 ; Revêtement supérieur: 6 mm ; Revêtement inférieur: 3 mm ; Largeur de bande: 650 mm ; Abrasion: &lt; 80 mm132</t>
  </si>
  <si>
    <t>SW650TFLEX800/1-6+3CO</t>
  </si>
  <si>
    <t>SW 800/1-6+3-BB650</t>
  </si>
  <si>
    <t>Bandweefseltype: SW Straight Warp ; Treksterkte: 800 N/mm ; Aantal inlagen: 1 ; Bovendek: 6 mm ; Onderdek: 3 mm ; Bandbreedte: 650 mm ; Slijtwaarde: &lt; 80 mm</t>
  </si>
  <si>
    <t>Gewebetype:  SW Straight Warp ; Zugfestigkeit: 800 N/mm ; Anzahl Einlagen: 1 ; Oberdeck: 6 mm ; Unterdeck: 3 mm ; Gurtbreite: 650 mm ; Abrieb: &lt; 80 mm</t>
  </si>
  <si>
    <t>Fabric type: SW Straight Warp ; Tensile strength: 800 N/mm ; Number of plies: 1 ; Topcover: 6 mm ; Bottomcover: 3 mm ; Beltwidth: 650 mm ; Abrasion: &lt; 80 mm</t>
  </si>
  <si>
    <t>Carcasse: SW Straight Warp ; Résistance à la traction: 800 N/mm ; Nombre de plis: 1 ; Revêtement supérieur: 6 mm ; Revêtement inférieur: 3 mm ; Largeur de bande: 650 mm ; Abrasion: &lt; 80 mm</t>
  </si>
  <si>
    <t>SW650TFLEX800/1-6+3HY</t>
  </si>
  <si>
    <t>SW700TFLEX630/1-6+3CO</t>
  </si>
  <si>
    <t>SW 630/1-6+3-BB700</t>
  </si>
  <si>
    <t>40,551</t>
  </si>
  <si>
    <t>Bandweefseltype: SW Straight Warp ; Treksterkte: 630 N/mm ; Aantal inlagen: 1 ; Bovendek: 6 mm ; Onderdek: 3 mm ; Bandbreedte: 700 mm ; Slijtwaarde: &lt; 80 mm³</t>
  </si>
  <si>
    <t>Gewebetype:  SW Straight Warp ; Zugfestigkeit: 630 N/mm ; Anzahl Einlagen: 1 ; Oberdeck: 6 mm ; Unterdeck: 3 mm ; Gurtbreite: 700 mm ; Abrieb: &lt; 80 mm³</t>
  </si>
  <si>
    <t>Fabric type: SW Straight Warp ; Tensile strength: 630 N/mm ; Number of plies: 1 ; Topcover: 6 mm ; Bottomcover: 3 mm ; Beltwidth: 700 mm ; Abrasion: &lt; 80 mm³</t>
  </si>
  <si>
    <t>Carcasse: SW Straight Warp ; Résistance à la traction: 630 N/mm ; Nombre de plis: 1 ; Revêtement supérieur: 6 mm ; Revêtement inférieur: 3 mm ; Largeur de bande: 700 mm ; Abrasion: &lt; 80 mm³</t>
  </si>
  <si>
    <t>SW700TFLEX800/1-6+3HY</t>
  </si>
  <si>
    <t>SW 800/1-6+3-BB700</t>
  </si>
  <si>
    <t>52,440</t>
  </si>
  <si>
    <t>Bandweefseltype: SW Straight Warp ; Treksterkte: 800 N/mm ; Aantal inlagen: 1 ; Bovendek: 6 mm ; Onderdek: 3 mm ; Bandbreedte: 700 mm ; Slijtwaarde: &lt; 80 mm</t>
  </si>
  <si>
    <t>Gewebetype:  SW Straight Warp ; Zugfestigkeit: 800 N/mm ; Anzahl Einlagen: 1 ; Oberdeck: 6 mm ; Unterdeck: 3 mm ; Gurtbreite: 700 mm ; Abrieb: &lt; 80 mm</t>
  </si>
  <si>
    <t>Fabric type: SW Straight Warp ; Tensile strength: 800 N/mm ; Number of plies: 1 ; Topcover: 6 mm ; Bottomcover: 3 mm ; Beltwidth: 700 mm ; Abrasion: &lt; 80 mm</t>
  </si>
  <si>
    <t>Carcasse: SW Straight Warp ; Résistance à la traction: 800 N/mm ; Nombre de plis: 1 ; Revêtement supérieur: 6 mm ; Revêtement inférieur: 3 mm ; Largeur de bande: 700 mm ; Abrasion: &lt; 80 mm</t>
  </si>
  <si>
    <t>SW750TFLEX630/1-6+3CO</t>
  </si>
  <si>
    <t>SW 630/1-6+3-BB750</t>
  </si>
  <si>
    <t>Bandweefseltype: SW Straight Warp ; Treksterkte: 630 N/mm ; Aantal inlagen: 1 ; Bovendek: 6 mm ; Onderdek: 3 mm ; Bandbreedte: 750 mm ; Slijtwaarde: &lt; 80 mm³</t>
  </si>
  <si>
    <t>Gewebetype:  SW Straight Warp ; Zugfestigkeit: 630 N/mm ; Anzahl Einlagen: 1 ; Oberdeck: 6 mm ; Unterdeck: 3 mm ; Gurtbreite: 750 mm ; Abrieb: &lt; 80 mm³</t>
  </si>
  <si>
    <t>Fabric type: SW Straight Warp ; Tensile strength: 630 N/mm ; Number of plies: 1 ; Topcover: 6 mm ; Bottomcover: 3 mm ; Beltwidth: 750 mm ; Abrasion: &lt; 80 mm³</t>
  </si>
  <si>
    <t>Carcasse: SW Straight Warp ; Résistance à la traction: 630 N/mm ; Nombre de plis: 1 ; Revêtement supérieur: 6 mm ; Revêtement inférieur: 3 mm ; Largeur de bande: 750 mm ; Abrasion: &lt; 80 mm³</t>
  </si>
  <si>
    <t>SW800TFLEX1000/2-8+3CO</t>
  </si>
  <si>
    <t>SW 1000/2-8+3-BB800</t>
  </si>
  <si>
    <t>62,580</t>
  </si>
  <si>
    <t>Bandweefseltype: SW Straight Warp ; Treksterkte: 1000 N/mm ; Aantal inlagen: 2 ; Bovendek: 8 mm ; Onderdek: 3 mm ; Bandbreedte: 800 mm ; Slijtwaarde: &lt; 80 mm³</t>
  </si>
  <si>
    <t>Gewebetype:  SW Straight Warp ; Zugfestigkeit: 1000 N/mm ; Anzahl Einlagen: 2 ; Oberdeck: 8 mm ; Unterdeck: 3 mm ; Gurtbreite: 800 mm ; Abrieb: &lt; 80 mm³</t>
  </si>
  <si>
    <t>Fabric type: SW Straight Warp ; Tensile strength: 1000 N/mm ; Number of plies: 2 ; Topcover: 8 mm ; Bottomcover: 3 mm ; Beltwidth: 800 mm ; Abrasion: &lt; 80 mm³</t>
  </si>
  <si>
    <t>Carcasse: SW Straight Warp ; Résistance à la traction: 1000 N/mm ; Nombre de plis: 2 ; Revêtement supérieur: 8 mm ; Revêtement inférieur: 3 mm ; Largeur de bande: 800 mm ; Abrasion: &lt; 80 mm³</t>
  </si>
  <si>
    <t>SW800TFLEX1000/2-8+3HY</t>
  </si>
  <si>
    <t>63,860</t>
  </si>
  <si>
    <t>SW800TFLEX630/1-6+3CO</t>
  </si>
  <si>
    <t>SW 630/1-6+3-BB800</t>
  </si>
  <si>
    <t>46,050</t>
  </si>
  <si>
    <t>Bandweefseltype: SW Straight Warp ; Treksterkte: 630 N/mm ; Aantal inlagen: 1 ; Bovendek: 6 mm ; Onderdek: 3 mm ; Bandbreedte: 800 mm ; Slijtwaarde: &lt; 80 mm³</t>
  </si>
  <si>
    <t>Gewebetype:  SW Straight Warp ; Zugfestigkeit: 630 N/mm ; Anzahl Einlagen: 1 ; Oberdeck: 6 mm ; Unterdeck: 3 mm ; Gurtbreite: 800 mm ; Abrieb: &lt; 80 mm³</t>
  </si>
  <si>
    <t>Fabric type: SW Straight Warp ; Tensile strength: 630 N/mm ; Number of plies: 1 ; Topcover: 6 mm ; Bottomcover: 3 mm ; Beltwidth: 800 mm ; Abrasion: &lt; 80 mm³</t>
  </si>
  <si>
    <t>Carcasse: SW Straight Warp ; Résistance à la traction: 630 N/mm ; Nombre de plis: 1 ; Revêtement supérieur: 6 mm ; Revêtement inférieur: 3 mm ; Largeur de bande: 800 mm ; Abrasion: &lt; 80 mm³</t>
  </si>
  <si>
    <t>SW800TFLEX630/1-6+3HY</t>
  </si>
  <si>
    <t>51,920</t>
  </si>
  <si>
    <t>Bandweefseltype: SW Straight Warp ; Treksterkte: 630 N/mm ; Aantal inlagen: 1 ; Bovendek: 6 mm ; Onderdek: 3 mm ; Bandbreedte: 800 mm ; Slijtwaarde: &lt; 80 mm132</t>
  </si>
  <si>
    <t>Gewebetype:  SW Straight Warp ; Zugfestigkeit: 630 N/mm ; Anzahl Einlagen: 1 ; Oberdeck: 6 mm ; Unterdeck: 3 mm ; Gurtbreite: 800 mm ; Abrieb: &lt; 80 mm132</t>
  </si>
  <si>
    <t>Fabric type: SW Straight Warp ; Tensile strength: 630 N/mm ; Number of plies: 1 ; Topcover: 6 mm ; Bottomcover: 3 mm ; Beltwidth: 800 mm ; Abrasion: &lt; 80 mm132</t>
  </si>
  <si>
    <t>Carcasse: SW Straight Warp ; Résistance à la traction: 630 N/mm ; Nombre de plis: 1 ; Revêtement supérieur: 6 mm ; Revêtement inférieur: 3 mm ; Largeur de bande: 800 mm ; Abrasion: &lt; 80 mm132</t>
  </si>
  <si>
    <t>SW800TFLEX800/1-6+3CO</t>
  </si>
  <si>
    <t>SW 800/1-6+3-BB800</t>
  </si>
  <si>
    <t>43,010</t>
  </si>
  <si>
    <t>Bandweefseltype: SW Straight Warp ; Treksterkte: 800 N/mm ; Aantal inlagen: 1 ; Bovendek: 6 mm ; Onderdek: 3 mm ; Bandbreedte: 800 mm ; Slijtwaarde: &lt; 80 mm</t>
  </si>
  <si>
    <t>Gewebetype:  SW Straight Warp ; Zugfestigkeit: 800 N/mm ; Anzahl Einlagen: 1 ; Oberdeck: 6 mm ; Unterdeck: 3 mm ; Gurtbreite: 800 mm ; Abrieb: &lt; 80 mm</t>
  </si>
  <si>
    <t>Fabric type: SW Straight Warp ; Tensile strength: 800 N/mm ; Number of plies: 1 ; Topcover: 6 mm ; Bottomcover: 3 mm ; Beltwidth: 800 mm ; Abrasion: &lt; 80 mm</t>
  </si>
  <si>
    <t>Carcasse: SW Straight Warp ; Résistance à la traction: 800 N/mm ; Nombre de plis: 1 ; Revêtement supérieur: 6 mm ; Revêtement inférieur: 3 mm ; Largeur de bande: 800 mm ; Abrasion: &lt; 80 mm</t>
  </si>
  <si>
    <t>SW800TFLEX800/1-6+3HY</t>
  </si>
  <si>
    <t>SW800TFLEX800/1-6+3-TA</t>
  </si>
  <si>
    <t>52,140</t>
  </si>
  <si>
    <t>SW950TFLEX800/1-6+3CO</t>
  </si>
  <si>
    <t>SW 800/1-6+3-BB950</t>
  </si>
  <si>
    <t>Bandweefseltype: SW Straight Warp ; Treksterkte: 800 N/mm ; Aantal inlagen: 1 ; Bovendek: 6 mm ; Onderdek: 3 mm ; Bandbreedte: 950 mm ; Slijtwaarde: &lt; 80 mm</t>
  </si>
  <si>
    <t>Gewebetype:  SW Straight Warp ; Zugfestigkeit: 800 N/mm ; Anzahl Einlagen: 1 ; Oberdeck: 6 mm ; Unterdeck: 3 mm ; Gurtbreite: 950 mm ; Abrieb: &lt; 80 mm</t>
  </si>
  <si>
    <t>Fabric type: SW Straight Warp ; Tensile strength: 800 N/mm ; Number of plies: 1 ; Topcover: 6 mm ; Bottomcover: 3 mm ; Beltwidth: 950 mm ; Abrasion: &lt; 80 mm</t>
  </si>
  <si>
    <t>Carcasse: SW Straight Warp ; Résistance à la traction: 800 N/mm ; Nombre de plis: 1 ; Revêtement supérieur: 6 mm ; Revêtement inférieur: 3 mm ; Largeur de bande: 950 mm ; Abrasion: &lt; 80 mm</t>
  </si>
  <si>
    <t>TA 133/375/20/405-SW14X10TE</t>
  </si>
  <si>
    <t>Rol TA133/375/20/405-SW14X10</t>
  </si>
  <si>
    <t>31, Transportrollen</t>
  </si>
  <si>
    <t>TA 133/900/25/944-S18X10-4MMTE</t>
  </si>
  <si>
    <t>Rol TA133/900/25/944-SW18X10 - 4 mm vd kant - 16 Stootringen</t>
  </si>
  <si>
    <t>118,110</t>
  </si>
  <si>
    <t>TA 63½/1268/20/1300-SW15X13TE</t>
  </si>
  <si>
    <t>Rol TA63½/1268/20/1300-SW15X13-5 conische steunringen</t>
  </si>
  <si>
    <t>32,680</t>
  </si>
  <si>
    <t>TA 63½/210/20/240-S14X10-108TE</t>
  </si>
  <si>
    <t>Rol TA63½/210/20/240-SW14X10-5 Steunringen Ø108</t>
  </si>
  <si>
    <t>TA 63½/210/20/240-SW14X10-89TE</t>
  </si>
  <si>
    <t>Rol TA63½/210/20/240-SW14X10-5 Steunringen Ø89</t>
  </si>
  <si>
    <t>TA 63½/312/20/345-SW14X10TE</t>
  </si>
  <si>
    <t>Rol TA63½/312/20/345-SW14X10-7 Stootringen</t>
  </si>
  <si>
    <t>32,150</t>
  </si>
  <si>
    <t>TA 88.9/1140/20/1185-SW15X13TE</t>
  </si>
  <si>
    <t>Rol TA88.9/1140/20/1185-SW15X13-9 Steunringen</t>
  </si>
  <si>
    <t>43,700</t>
  </si>
  <si>
    <t>TAPE-TREXZZ</t>
  </si>
  <si>
    <t>Tape - TREX</t>
  </si>
  <si>
    <t>TEKST_LEEG</t>
  </si>
  <si>
    <t>Lege Tekst Regel</t>
  </si>
  <si>
    <t>TEST-REPORT-DIN-KZZ</t>
  </si>
  <si>
    <t>test-report-DIN-K</t>
  </si>
  <si>
    <t>TEST-REPORT-HEAT150ZZ</t>
  </si>
  <si>
    <t>test-report-heat-150°</t>
  </si>
  <si>
    <t>TEST-REPORT-OIL/GREASEZZ</t>
  </si>
  <si>
    <t>test-report-oil/grease</t>
  </si>
  <si>
    <t>221,000</t>
  </si>
  <si>
    <t>TEST-REPORT-STANDARDZZ</t>
  </si>
  <si>
    <t>test-report-standard</t>
  </si>
  <si>
    <t>TEST-REPORT-SUPLEMENTZZ</t>
  </si>
  <si>
    <t>test-report-Suplement</t>
  </si>
  <si>
    <t>TEST-REPORT-TROUGHABILITYCP</t>
  </si>
  <si>
    <t>test-report-troughability</t>
  </si>
  <si>
    <t>TFK 120/80/30/101-UWDM16X30TE</t>
  </si>
  <si>
    <t>Rol TFK120/80/30/101-SW17x14-UWDM20x70</t>
  </si>
  <si>
    <t>26,250</t>
  </si>
  <si>
    <t>144,670</t>
  </si>
  <si>
    <t>TG 20/502/6/512-PVCTE</t>
  </si>
  <si>
    <t>Rol TG20PVC/502/6/523 vzv verende as</t>
  </si>
  <si>
    <t>4,370</t>
  </si>
  <si>
    <t>TK 50/142/12/220-UWDM12X40TE</t>
  </si>
  <si>
    <t>Rol TK50/142/12/220-UWDM12x40</t>
  </si>
  <si>
    <t>9,980</t>
  </si>
  <si>
    <t>TK 50/150/15/176-SW10X10TE</t>
  </si>
  <si>
    <t>Rol TK50/150/15/176-SW10x10</t>
  </si>
  <si>
    <t>7,060</t>
  </si>
  <si>
    <t>TK 50/175/15/245-UWDM10X29TE</t>
  </si>
  <si>
    <t>Rol TK50/175/15/245-UWDM10x29</t>
  </si>
  <si>
    <t>11,790</t>
  </si>
  <si>
    <t>TK 50/197/12/300-UWDM12X40TE</t>
  </si>
  <si>
    <t>Rol TK50/197/12/300-UWDM12x45</t>
  </si>
  <si>
    <t>9,240</t>
  </si>
  <si>
    <t>TK 50/200/12/240-SW9X14TE</t>
  </si>
  <si>
    <t>Rol TK50/200/12/240-SW9X14</t>
  </si>
  <si>
    <t>TK 50/315/RVS316/341-SW10X10TE</t>
  </si>
  <si>
    <t>Rol TK50/315/RVS316/341-SW10X10-RVS316L</t>
  </si>
  <si>
    <t>19,070</t>
  </si>
  <si>
    <t>TK 50/500/12/600-UWDM12X45TE</t>
  </si>
  <si>
    <t>Rol TK50/500/12/600-UWDM12x45</t>
  </si>
  <si>
    <t>13,980</t>
  </si>
  <si>
    <t>TK 63/1010/20/1076-UWDM16X30TE</t>
  </si>
  <si>
    <t>Rol TK63/1010/20/1076-UWDM16x30 +steunringen</t>
  </si>
  <si>
    <t>46,240</t>
  </si>
  <si>
    <t>TK 63/125/20/215-UWDM20X70TE</t>
  </si>
  <si>
    <t>Rol TK63/125/20/215-UWDM20x70</t>
  </si>
  <si>
    <t>10,090</t>
  </si>
  <si>
    <t>TK 63/1250/20/1316-UWDM16X30TE</t>
  </si>
  <si>
    <t>Rol TK63/1250/20/1316-UWDM16x30 + steunringen</t>
  </si>
  <si>
    <t>53,140</t>
  </si>
  <si>
    <t>TK 63/183-ZONDER ASTE</t>
  </si>
  <si>
    <t>Rol TK63/183-ZONDER AS (Ø14)</t>
  </si>
  <si>
    <t>TK 63/310/RVS20/341-SW14X9TE</t>
  </si>
  <si>
    <t>Rol TK63/310/RVS20/341-SW14x9-RVS303+RVS Lagers</t>
  </si>
  <si>
    <t>16,710</t>
  </si>
  <si>
    <t>TK 63/344/20/357-IWDM8X15TE</t>
  </si>
  <si>
    <t>Rol BTK63/344/20/357-IWDM8x15</t>
  </si>
  <si>
    <t>TK 63/350/20/357-IWDM8X15TE</t>
  </si>
  <si>
    <t>Rol TK 63/350/20/357-IWDM8X15</t>
  </si>
  <si>
    <t>TK 63/400/RVS20/426-SW15X10TE</t>
  </si>
  <si>
    <t>Rol TK63/400/RVS20/426-SW15X10-RVS316</t>
  </si>
  <si>
    <t>TK 63/550/20/616-UWDM16X30TE</t>
  </si>
  <si>
    <t>Rol TK63/550/20/616-UWDM16x30 + steunringen</t>
  </si>
  <si>
    <t>37,430</t>
  </si>
  <si>
    <t>TK 63/650/20/716-UWD16X30TE</t>
  </si>
  <si>
    <t>Rol TK63/650/20/716-UWD16x30 + steunringen</t>
  </si>
  <si>
    <t>25,700</t>
  </si>
  <si>
    <t>TK 63/743/RVS20/782-SW15X13TE</t>
  </si>
  <si>
    <t>Rol TK63/743/RVS20/782-SW15x13-RVS316+steunringen</t>
  </si>
  <si>
    <t>52,860</t>
  </si>
  <si>
    <t>TK 63/900/20/966-UWDM16X30TE</t>
  </si>
  <si>
    <t>Rol TK63/900/20/966-UWDM16x30 + steunringen</t>
  </si>
  <si>
    <t>29,300</t>
  </si>
  <si>
    <t>TK 63/943/RVS20/982-SW15X13TE</t>
  </si>
  <si>
    <t>Rol TK63/943/RVS20/982-SW15x13-RVS316+steunringen</t>
  </si>
  <si>
    <t>65,080</t>
  </si>
  <si>
    <t>TK 63/945/RVS20/976-SW14X9TE</t>
  </si>
  <si>
    <t>Rol TK63/945/RVS20/976-SW14x9-RVS303+RVS Lagers</t>
  </si>
  <si>
    <t>TK 63/992/20/1023-SW10X9TE</t>
  </si>
  <si>
    <t>Rol TK63/992/20/1023-SW10x9</t>
  </si>
  <si>
    <t>13,630</t>
  </si>
  <si>
    <t>TK63/1018/20/1100-UWDM10X35TE</t>
  </si>
  <si>
    <t>Rol TK63/1018/20/1100-UWDM10X35</t>
  </si>
  <si>
    <t>21,040</t>
  </si>
  <si>
    <t>TKK 63/125/20/181-UWDM20X50TE</t>
  </si>
  <si>
    <t>Rol TKK63/125/20/181-UWDM20x50</t>
  </si>
  <si>
    <t>TOOL001-HOEKMESCR</t>
  </si>
  <si>
    <t>T-Rex Tool001-Hoekmes</t>
  </si>
  <si>
    <t>29,530</t>
  </si>
  <si>
    <t>12064, Gebr. Christians</t>
  </si>
  <si>
    <t>6,800</t>
  </si>
  <si>
    <t>05-02_Hand Tools</t>
  </si>
  <si>
    <t>Hoekmes ; Tool 001</t>
  </si>
  <si>
    <t>Winkelmesser ; Werkzeug 001</t>
  </si>
  <si>
    <t>Angle knife ; Tool 001</t>
  </si>
  <si>
    <t>Couteau étagé ; Outil 001</t>
  </si>
  <si>
    <t>Couteau étagé (pour couper le caoutchouc non vulcanisé)</t>
  </si>
  <si>
    <t>Schneidwerkzeug</t>
  </si>
  <si>
    <t>TOOL002-RUBBERMESCR</t>
  </si>
  <si>
    <t>T-Rex Tool002-Rubbermes</t>
  </si>
  <si>
    <t>13,440</t>
  </si>
  <si>
    <t>6,450</t>
  </si>
  <si>
    <t>Rubbermes ; Tool 002</t>
  </si>
  <si>
    <t>Gummimesser ; Werkzeug 002</t>
  </si>
  <si>
    <t>Rubber knife ; Tool 002</t>
  </si>
  <si>
    <t>Couteau à caoutchouc ; Outil 002</t>
  </si>
  <si>
    <t>Couteau à caoutchouc</t>
  </si>
  <si>
    <t>TOOL003-KWASTTS</t>
  </si>
  <si>
    <t>T-Rex Tool003-Kwast</t>
  </si>
  <si>
    <t>0,610</t>
  </si>
  <si>
    <t>Kwast ; Tool 003</t>
  </si>
  <si>
    <t>Pinsel ; Werkzeug 003</t>
  </si>
  <si>
    <t>Brush ; Tool 003</t>
  </si>
  <si>
    <t>Pinceau ; Outil 003</t>
  </si>
  <si>
    <t>Pinceau rond</t>
  </si>
  <si>
    <t>TOOL004-LIFTERAB</t>
  </si>
  <si>
    <t>T-Rex Tool004-Lifter</t>
  </si>
  <si>
    <t>16831, Abres</t>
  </si>
  <si>
    <t>Lifter ; Tool 004</t>
  </si>
  <si>
    <t>Heber ; Werkzeug 004</t>
  </si>
  <si>
    <t>Lifter ; Outil 004</t>
  </si>
  <si>
    <t>TOOL005-AANROLLER4MMPM</t>
  </si>
  <si>
    <t>T-Rex Tool005-Aanroller, 4 mm breed</t>
  </si>
  <si>
    <t>17602, Prema Online Benelux B.V.</t>
  </si>
  <si>
    <t>2,830</t>
  </si>
  <si>
    <t>Aanroller, 4 mm breed ; Tool 005</t>
  </si>
  <si>
    <t>Anroller, 4 mm breit ; Werkzeug 005</t>
  </si>
  <si>
    <t>Roller, 4 mm wide ; Tool 005</t>
  </si>
  <si>
    <t>Molette striée, largeur 4mm</t>
  </si>
  <si>
    <t>TOOL006-AANROLLER12MMPM</t>
  </si>
  <si>
    <t>T-Rex Tool006-Aanroller, 12 mm breed</t>
  </si>
  <si>
    <t>24,460</t>
  </si>
  <si>
    <t>Aanroller, 12 mm breed ; Tool 006</t>
  </si>
  <si>
    <t>Anroller, 12 mm breit ; Werkzeug 006</t>
  </si>
  <si>
    <t>Roller, 12 mm wide ; Tool 006</t>
  </si>
  <si>
    <t>Molette lisse, largeur 12 mm ; Outil 006</t>
  </si>
  <si>
    <t>TOOL007-AANROLLER45MMAB</t>
  </si>
  <si>
    <t>T-Rex Tool007-Aanroller, 45 mm breed</t>
  </si>
  <si>
    <t>82,720</t>
  </si>
  <si>
    <t>14,850</t>
  </si>
  <si>
    <t>Aanroller, 45 mm breed ; Tool 007</t>
  </si>
  <si>
    <t>Anroller, 45 mm breit ; Werkzeug 007</t>
  </si>
  <si>
    <t>Roller, 45 mm wide ; Tool 007</t>
  </si>
  <si>
    <t>Molette lisse, largeur 45 mm ; Outil 007</t>
  </si>
  <si>
    <t>TOOL008-AANROLLER27MMAB</t>
  </si>
  <si>
    <t>T-Rex Tool008-Naaldaanroller, 27 mm breed</t>
  </si>
  <si>
    <t>175,220</t>
  </si>
  <si>
    <t>24,690</t>
  </si>
  <si>
    <t>Naaldaanroller, 27 mm breed ; Tool 008</t>
  </si>
  <si>
    <t>Anroller, 27 mm breit ; Werkzeug 008</t>
  </si>
  <si>
    <t>Roller, 27 mm wide ; Tool 008</t>
  </si>
  <si>
    <t>Molette à Aiguille, largeur 27 mm ; Outil 008</t>
  </si>
  <si>
    <t>Molette à Aiguille (pour perforer le caoutchouc ), 27 mm</t>
  </si>
  <si>
    <t>TOOL009-HANDRASPGH</t>
  </si>
  <si>
    <t>T-Rex Tool009-Handrasp</t>
  </si>
  <si>
    <t>12065, Gellrich &amp; Habiger GmbH &amp; Co. KG</t>
  </si>
  <si>
    <t>13,800</t>
  </si>
  <si>
    <t>Handrasp ; Tool 009</t>
  </si>
  <si>
    <t>Handraspel ; Werkzeug 009</t>
  </si>
  <si>
    <t>Hand rasp ; Tool 009</t>
  </si>
  <si>
    <t>Râpe à main ; Outil 009</t>
  </si>
  <si>
    <t>TOOL009-HANDRASP-VERVANGINGGH</t>
  </si>
  <si>
    <t>T-Rex Tool009-Handrasp-vervanging</t>
  </si>
  <si>
    <t>5,030</t>
  </si>
  <si>
    <t>Handrasp vervanging ; Tool 009</t>
  </si>
  <si>
    <t>Handraspel Ersatz ; Werkzeug 009</t>
  </si>
  <si>
    <t>Hand rasp replacement ; Tool 009</t>
  </si>
  <si>
    <t>Lame de Remplacement pour râpe à main ; Outil 009</t>
  </si>
  <si>
    <t>TOOL010-HALFMAANMESGH</t>
  </si>
  <si>
    <t>T-Rex Tool010-Halfmaanmes</t>
  </si>
  <si>
    <t>Halfmaanmes ; Tool 010</t>
  </si>
  <si>
    <t>Halbmondförmige Messer ; Werkzeug 010</t>
  </si>
  <si>
    <t>Half-moon blade ; Tool 010</t>
  </si>
  <si>
    <t>Couteau demi-lune ; Outil 010</t>
  </si>
  <si>
    <t>TOOL011-CLAMPKEYPR</t>
  </si>
  <si>
    <t>T-Rex Tool011-Sleutel voor Bandkrammen 1,5-2</t>
  </si>
  <si>
    <t>42,640</t>
  </si>
  <si>
    <t>0,820</t>
  </si>
  <si>
    <t>Sleutel (handmatig) voor Bandkrammen 1,5"-2" ; Tool 011</t>
  </si>
  <si>
    <t>Schlüssel (manuell) für Gurtverbinder 1.5"-2" ; Werkzeug 011</t>
  </si>
  <si>
    <t>Key (manual) for Fasteners 1.5"-2" ; Tool 011</t>
  </si>
  <si>
    <t>Clé (manuelle) pour Agrafes plates avec boulons 1.5"-2" ; Outil 011</t>
  </si>
  <si>
    <t xml:space="preserve">TOOL014-CLAMPKEY-FOR MACHINEPR ; BANDKRAMMEN-FASTENERS-1"PR ; BANDKRAMMEN-FASTENERS-1½"PR ; BANDKRAMMEN-FASTENERS-2"PR </t>
  </si>
  <si>
    <t>003</t>
  </si>
  <si>
    <t>mech. Verbinder Install.Gerät</t>
  </si>
  <si>
    <t>TOOL012-BELTPUNCH-08PR</t>
  </si>
  <si>
    <t>T-Rex Tool012-Belt hole Puncher nr08 - 6 mm voor krammen 1"</t>
  </si>
  <si>
    <t>0,340</t>
  </si>
  <si>
    <t>Perforator Ø 6 mm voor Bandkrammen 1" ; Tool 012</t>
  </si>
  <si>
    <t>Perforator Ø 6 mm für Gurtverbinder 1" ; Werkzeug 012</t>
  </si>
  <si>
    <t>Perforator Ø 6 mm for Fasteners 1" ; Tool 012</t>
  </si>
  <si>
    <t>Perforateur Ø 6 mm Agrafes plates avec boulons 1" ; Outil 012</t>
  </si>
  <si>
    <t>TOOL013-BELTPUNCH-10PR</t>
  </si>
  <si>
    <t>T-Rex Tool013-Belt hole Puncher nr10-8 mm voor kram 1,5-2"</t>
  </si>
  <si>
    <t>0,400</t>
  </si>
  <si>
    <t>Perforator Ø 8 mm voor Bandkrammen 1,5"-2" ; Tool 013</t>
  </si>
  <si>
    <t>Perforator Ø 8 mm für Gurtverbinder 1.5"-2" ; Werkzeug 013</t>
  </si>
  <si>
    <t>Perforator Ø 8 mm for Fasteners 1,5"-2" ; Tool 013</t>
  </si>
  <si>
    <t>Perforateur Ø 8 mm pour Agrafes plates avec boulons 1.5"-2" ; Outil 013</t>
  </si>
  <si>
    <t xml:space="preserve">TOOL011-CLAMPKEYPR ; TOOL014-CLAMPKEY-FOR MACHINEPR ; BANDKRAMMEN-FASTENERS-1½"PR ; BANDKRAMMEN-FASTENERS-2"PR </t>
  </si>
  <si>
    <t>TOOL014-CLAMPKEY-FOR MACHINEPR</t>
  </si>
  <si>
    <t>T-Rex Tool014-Sleutel voor Bandkrammen 1,5-2-Voor machine</t>
  </si>
  <si>
    <t>4,210</t>
  </si>
  <si>
    <t>Sleutel (machine) voor Bandkrammen 1,5"-2" ; Tool 014</t>
  </si>
  <si>
    <t>Schlüssel (Maschine) für Gurtverbinder 1.5"-2" ; Werkzeug 014</t>
  </si>
  <si>
    <t>Wrench (machine) for Fasteners 1.5"-2" ; Tool 014</t>
  </si>
  <si>
    <t>Clé (machine) pour Agrafes plates avec boulons 1.5"-2" ; Outil 014</t>
  </si>
  <si>
    <t xml:space="preserve">TOOL011-CLAMPKEYPR ; TOOL013-BELTPUNCH-10PR ; BANDKRAMMEN-FASTENERS-1½"PR ; BANDKRAMMEN-FASTENERS-2"PR </t>
  </si>
  <si>
    <t>TOOL-220C ELECTRIC CUTTERIT</t>
  </si>
  <si>
    <t>Tool-220C Electric Cutter</t>
  </si>
  <si>
    <t>12093, Ice-Trade s.r.o.</t>
  </si>
  <si>
    <t>3.022,000</t>
  </si>
  <si>
    <t>TOOL-220C REPLACEMENT BLADEIT</t>
  </si>
  <si>
    <t>Tool-220C Replacement Blade</t>
  </si>
  <si>
    <t>330,000</t>
  </si>
  <si>
    <t>Übersetzt mit www.DeepL.com/Translator (kostenlose Version)</t>
  </si>
  <si>
    <t>Translated with www.DeepL.com/Translator (free version)</t>
  </si>
  <si>
    <t>TORSIE-ELEMENT-TREXTS</t>
  </si>
  <si>
    <t>Torsie-element-T-Rex PUR afschraper</t>
  </si>
  <si>
    <t>169,000</t>
  </si>
  <si>
    <t>TOTAALPRIJSZZ</t>
  </si>
  <si>
    <t>Totaalprijs</t>
  </si>
  <si>
    <t>TP 133/946/25RVS/982-SW18X13TE</t>
  </si>
  <si>
    <t>Rol TP133/946/25/982-SW18X13 RVS304</t>
  </si>
  <si>
    <t>213,890</t>
  </si>
  <si>
    <t>TQ 108/1000/20/1035-SW14X12TE</t>
  </si>
  <si>
    <t>Rol TQ108/1000/20/1035-SW14X12</t>
  </si>
  <si>
    <t>28,950</t>
  </si>
  <si>
    <t>TQ 108/1000/20/1052-SW14X11TE</t>
  </si>
  <si>
    <t>Rol TQ108/1000/20/1052-SW14X11</t>
  </si>
  <si>
    <t>28,310</t>
  </si>
  <si>
    <t>TQ 108/1000/20/1052-SW15X13TE</t>
  </si>
  <si>
    <t>Rol TQ108/1000/20/1052-SW15X13</t>
  </si>
  <si>
    <t>28,980</t>
  </si>
  <si>
    <t>TQ 108/1000/20/1055-SW14X8-3TE</t>
  </si>
  <si>
    <t>Rol TQ108/1000/20/1055-SW14X8 - 3 mm vd kant</t>
  </si>
  <si>
    <t>TQ 108/1000/20/1066-UWD16X30TE</t>
  </si>
  <si>
    <t>Rol TQ108/1000/20/1066-UWDM16x30</t>
  </si>
  <si>
    <t>TQ 108/1095/20/1126-SW17X10GTE</t>
  </si>
  <si>
    <t>Rol TQ108/1095/20/1126-SW17x10-GROEN</t>
  </si>
  <si>
    <t>30,790</t>
  </si>
  <si>
    <t>TQ 108/1110/20/1140-SW16X10TE</t>
  </si>
  <si>
    <t>Rol TQ108/1110/20/1140-SW16x10</t>
  </si>
  <si>
    <t>31,040</t>
  </si>
  <si>
    <t>TQ 108/1110/20/1150-SW16X10TE</t>
  </si>
  <si>
    <t>Rol TQ108/1110/20/1150-SW16x10</t>
  </si>
  <si>
    <t>31,070</t>
  </si>
  <si>
    <t>TQ 108/1110/20/1180-SW15X13GTE</t>
  </si>
  <si>
    <t>Rol TQ108/1110/20/1180-SW15X13-GROEN</t>
  </si>
  <si>
    <t>30,940</t>
  </si>
  <si>
    <t>TQ 108/1110/20/1180-SW15X13TE</t>
  </si>
  <si>
    <t>Rol TQ108/1110/20/1180-SW15x13</t>
  </si>
  <si>
    <t>33,010</t>
  </si>
  <si>
    <t>TQ 108/1115/20/1180-SW14X16TE</t>
  </si>
  <si>
    <t>Rol TQ108/1115/20/1180-SW14X16</t>
  </si>
  <si>
    <t>33,080</t>
  </si>
  <si>
    <t>TQ 108/1147/RVS20/1176-14X9GTE</t>
  </si>
  <si>
    <t>Rol TQ108/1147/RVS20/1176-SW14X9-RVS304+RVS Lagers-Groen</t>
  </si>
  <si>
    <t>54,200</t>
  </si>
  <si>
    <t>TQ 108/1150/20/1182-SW14X10TE</t>
  </si>
  <si>
    <t>Rol TQ108/1150/20/1182-SW15X10</t>
  </si>
  <si>
    <t>11_TQ Rollers</t>
  </si>
  <si>
    <t>11-02_TQ Roller HDPE Ø 108</t>
  </si>
  <si>
    <t>TQ Rol (H.D.P.E.) ; Rol Ø108 mm 1150 mm, As Ø20mm 1182mm SW15X10</t>
  </si>
  <si>
    <t>TQ Rolle (U.H.M.W.P.E.) ; Rolle Ø108 mm 1150 mm, Achse Ø20mm 1182mm SW15X11</t>
  </si>
  <si>
    <t>TQ Roll (H.D.P.E.) ; Roll Ø108 mm 1150 mm, Axis Ø20mm 1182mm SW15X12</t>
  </si>
  <si>
    <t>TQ Rouleau (H.D.P.E.) ; Rouleau Ø108 mm 1150 mm, Axe Ø20mm 1182mm SW15X13</t>
  </si>
  <si>
    <t>Rol lengte: 1150 mm ; Rol diameter: Ø108 mm ; As lengte: 1182 mm ; As diameter: Ø20 mm ; Sleutel: SW15x10</t>
  </si>
  <si>
    <t>Rolle Länge: 1150 mm ; Rolle Durchmesser: Ø108 mm ; Achse Länge: 1182 mm ; Achse Durchmesser: Ø20 mm ; Schlüssel: SW15x11</t>
  </si>
  <si>
    <t>Roll lenght: 1150 mm ; Roll diameter: Ø108 mm ; Axis lenght: 1182 mm ; Axis diameter: Ø20 mm ; Key: SW15x12</t>
  </si>
  <si>
    <t>Rouleau longueur: 1150 mm ; Rouleau diamètre: Ø108 mm ; Axe longueur: 1182 mm ; Axe diamètre: Ø20 mm ; Méplat: SW15x13</t>
  </si>
  <si>
    <t>De BTQ rol is voorzien van het drievoudig labyrint afdichtingssysteem, hoogwaardige glasvezelversterkte polyamide deksel en een UHMWPE versterkte buis. Deze heeft een uniek ontwerp en is een geluidsarm, robuust en duurzaam alternatief voor conventionele stalen rollen. BTQ rollen zijn ontworpen om te werken in extreme temperaturen en zware bedrijfsomstandigheden, zoals zeer corrosieve-, zure-, chemische- of offshore omstandigheden. Ondanks het feit dat ze tot 55% lichter zijn heeft de BTQ rol een lange levensduur, ook in zware transport toepassingen. Daarnaast zijn de rollen uitermate geschikt voor hoge snelheden en grote tonnages. BTQ rollen kunnen helpen bij het verminderen van maximale bandspanning en het verlagen van het energieverbruik. Hierdoor worden uw bedrijfskosten tot een minimum beperkt.</t>
  </si>
  <si>
    <r>
      <t>Die BTQ Rolle, die auf unserem dreifachen Labyrinth-Lippen-dichtsystem (hochwertige glasfaserverstärkte Polyamid-Endkappe und UHMWPE-verstärktes Rohr) basiert, zeichnet sich durch ein einzigartiges Design aus und ist eine geräuscharme, robuste, langlebige und nachhaltige Alternative zu herkömmlichen Stahlrollen. Sie wurde für den Betrieb in extremen Temperaturen und rauen Betriebsbedingungen entwickelt, z.B. in</t>
    </r>
    <r>
      <rPr>
        <sz val="10"/>
        <color rgb="FFFF0000"/>
        <rFont val="Arial"/>
        <family val="2"/>
      </rPr>
      <t xml:space="preserve"> stark </t>
    </r>
    <r>
      <rPr>
        <sz val="10"/>
        <color indexed="8"/>
        <rFont val="Arial"/>
        <family val="2"/>
      </rPr>
      <t xml:space="preserve">korrosiven, säurehaltigen, chemischen oder küstennahen Umgebungen. Trotz ihres geringen Gewichts sind der BTQ Rollen auch in Schwerlastförderanwendungen besonderes widerstandsfähig. BTQ Rollen können dazu beitragen, die Bandspannung und den Energieverbrauch zu reduzieren, und so Ihre Betriebskosten minimieren. Geeignet für </t>
    </r>
    <r>
      <rPr>
        <sz val="10"/>
        <color rgb="FFFF0000"/>
        <rFont val="Arial"/>
        <family val="2"/>
      </rPr>
      <t>hohe</t>
    </r>
    <r>
      <rPr>
        <sz val="10"/>
        <color indexed="8"/>
        <rFont val="Arial"/>
        <family val="2"/>
      </rPr>
      <t xml:space="preserve"> Geschwindigkeiten und Tonnagen. Sie sind sicherer, leiser und wirtschaftlicher. </t>
    </r>
  </si>
  <si>
    <t>The BTQ Roller, which is based on our triple labyrinth lip sealing system, a high-grade glass-fibre-reinforced polyamide end cap and a UHMWPE reinforced tube, features a unique design and is a low noise, robust, long-lasting and sustainable alternative to conventional steel rollers. It has been designed to operate in extreme temperatures and harsh operating conditions, such as highly corrosive, acidic, chemical or coastal environments. Despite being very light, BTQ rollers are able to offer durability in heavy duty conveying applications. BTQ rollers can help reduce belt tightening and power requirements, thus helping to minimise your running costs. Suitable for high speeds and large tonnages. They’re safer, quieter and more economical.</t>
  </si>
  <si>
    <t>Le rouleau BTQ dispose du système d'étanchéité triple labyrinthe, d'un couvercle en polyamide renforcé de fibre de verre de haute qualité et d'un tube renforcé UHMWPE. De conception unique, il propose une alternative silencieuse, robuste et durable aux rouleaux en acier conventionnels. Les rouleaux BTQ sont conçus pour fonctionner à des températures extrêmes et dans des conditions d’exploitation difficiles, comme des conditions hautement corrosives, acides, chimiques ou offshore. Même s’il est jusqu'à 55 % plus léger, le rouleau BTQ a une longue durée de vie, également dans les applications de transport lourd. De plus, les rouleaux sont parfaitement adaptés aux grandes vitesses et aux gros tonnages. Les rouleaux BTQ peuvent contribuer à réduire la tension maximale de la courroie et la consommation d'énergie, ce qui réduit au minimum vos coûts d'exploitation.</t>
  </si>
  <si>
    <t>Vriendelijk voor de transportband ; * Zeer slijtvast ; * Kunststof heeft zelf smerende eigenschappen ; * Zeer Lage wrijvingscoëfficiënt ; * Extreem lage vocht absorptie ; * Zelf reinigend oppervlakte, kleeft niet aan ; * Geen corrosie ; * Chemische bestendigheid ; * UV bestendigheid ; * Geen ‘Pizzasnijder’ ; Zeer effectieve afdichting ; * Drievoudig labyrint afdichtingssysteem ; * Zeer goed bestand tegen intreding van water en stof ; * Bestaat uit hoogwaardig glasvezelversterkte polyamide ; * Groefkogellager voorzien van rubberafdichtingen ; * Stilstaand ‘rock shield’ ; Zeer stil ; * Aanzienlijk lagere geluidsemissie 10DB ; * Hoge geluidsabsorptie ; Zeer licht gewicht ; * Gewichtsbesparing tot wel 55% ; * Energiebesparend ; * Ultra lage loopweerstand en opstart massa verminderen het stroomverbruik ; Zeer schokbestendig ; * Absorbeert impact energie ; * UHMWPE, hoogste slagvastheid van alle technische kunststoffen ; * UHMWPE-constructie wordt niet beïnvloed door magneetbanden ; * Temperatuurbereik: -50°C - +90°C ; Volgens EU en FDA regelgeving</t>
  </si>
  <si>
    <t>Förderbandfreundlich ; * Sehr abriebfest ; * Selbstschmierend ; * Niedriger Reibungskoeffizient ; * Keine Wasseraufnahme ; * Selbstreinigend, Antihaftbeschichtet ; * Korrosionsresistent ; * Chemikalienresistent ; * UV-Beständig ; * Kein „Pizzaschneider“ ; Effektives Dichtungssystem ; * Dreifach-Labyrinth-Lippendichtungssystem ; * Sehr widerstandsfähig gegen Wasser und Staub ; * Aus glasfaserverstärktem Polyamid ; * Präzisions-Rillenkugellager ; * Nicht-rotierendes Gestein Schild mit großem Durchmesser ; Geräuscharm ; * Deutliche Reduzierung der Geräuschemissionen ; * Umweltfreundliche hohe Schallabsorption ; Leichtes Gewicht ; * Gewichtsreduzierung bis zu 55 % ; * Energiesparend ; * Extrem niedriger Laufwiderstand und Losbrechmasse reduzieren den Energieverbrauch ; Schlagenergieresistent ; * Absorbiert Schlagenergie ; * UHMWPE, höchste Schlagfestigkeit aller technischen Kunststoffe ; * UHMWPE-Konstruktion ist unbeeinflusst von Überbandmagneten ; * Temperaturbereich: -50 °C - 90 °C ; Einhaltung der EU-, REACH- und FDA-Vorschriften</t>
  </si>
  <si>
    <t>Belt friendly ; * Highly resistant to abrasion ; * Self-lubricating	; * Low friction coefficient ; * No water absorption ; * Self-cleaning, Anti-adhesion ; * Anti-corrosion ; * Chemical resistance ; * Resistant to UV degradation ; * No ‘Pizza cutter’ ; Effective sealing system ; * Triple labyrinth lip sealing system ; * highly resistant to water and dust ; * Consists of glass-fibre-reinforced polyamide ; * Precision groove ball bearing ; * Large diameter non-rotating rock shield ; Low noise ; * Significant reduction in noise emissions ; * Environment-friendly high sound absorption ; Light weight ; * Weight reduction up to 55% ; * Energy saving ; * Ultra low running resistance and break away mass reduces power consumption ; Impact energy resistance ; * Absorbs impact energy ; * UHMWPE, highest impact strength of all engineering plastics ; * UHMWPE construction is unaffected by overband magnets ; * Temperature Range: -50°C - +90°C ; Compliance with EU, REACH and FDA regulations</t>
  </si>
  <si>
    <t>Usage convivial de la bande transporteuse ; * Très résistant à l'usure ; * Surface autonettoyante, ne colle pas ; * Le plastique a des propriétés autolubrifiantes ; * Aucune corrosion ; * Résistance chimique ; * Très faible coefficient de frottement  ; * Humidité extrêmement faible ; * Absorption de la résistance aux UV ; * Pas de « coupe-pizza » ; Étanchéité très efficace ; * Système d'étanchéité triple labyrinthe ; * Très résistante à l'eau et à la poussière ; * Composée de polyamide renforcé de fibres de verre de qualité supérieure ; * Roulement à billes à gorge profonde avec joints en caoutchouc ; * Protection anti-roche stationnaire ; Très silencieux ; * Émission de bruit nettement inférieure à 10DB ; * Absorption acoustique élevée ; Très léger ; * Gain de poids jusqu'à 55% ; * Économe en énergie ; * La résistance ultra faible au roulement et à la masse au démarrage réduisent la consommation d'énergie ; Très résistante aux chocs ; * Absorbe l'énergie d'impact ; * UHMWPE, la plus forte résistance aux chocs de tous les plastiques techniques ; * La construction UHMWPE n'est pas affectée par les bandes magnétiques ; * Plage de température : -50°C - 90°C ; Conformément aux réglementations de l'UE et de la FDA</t>
  </si>
  <si>
    <t>Goedkoper, sterker én energiezuinig. ; De oplossing in een tijd waarin duurzaamheid en energiebesparing bovenaan de agenda staan.</t>
  </si>
  <si>
    <t>Günstiger, stärker und energieeffizienter. ; Die Lösung in einer Zeit, in der Nachhaltigkeit und Energieeinsparung ganz oben auf der Agenda stehen.</t>
  </si>
  <si>
    <t>Cheaper, stronger and energy efficient. ; The solution at a time when sustainability and energy saving are at the top of the agenda.</t>
  </si>
  <si>
    <t>Moins cher, plus solide et économe en énergie. ; La solution à une époque où la durabilité et les économies d'énergie sont au premier plan.</t>
  </si>
  <si>
    <t>084</t>
  </si>
  <si>
    <t>REMAROLL</t>
  </si>
  <si>
    <t>TQ 108/1150/20/1182-SW14X9TE</t>
  </si>
  <si>
    <t>Rol TQ108/1150/20/1182-SW14X9</t>
  </si>
  <si>
    <t>28,800</t>
  </si>
  <si>
    <t>TQ Rol (H.D.P.E.) ; Rol Ø108 mm 1150 mm, As Ø20mm 1182mm SW14x9</t>
  </si>
  <si>
    <t>TQ Rolle (H.D.P.E.) ; Rolle Ø108 mm 1150 mm, Achse Ø20mm 1182mm SW14x9</t>
  </si>
  <si>
    <t>TQ Roll (H.D.P.E.) ; Roll Ø108 mm 1150 mm, Axis Ø20mm 1182mm SW14x9</t>
  </si>
  <si>
    <t>TQ Rouleau (H.D.P.E.) ; Rouleau Ø108 mm 1150 mm, Axe Ø20mm 1182mm SW14x9</t>
  </si>
  <si>
    <t>Rol lengte: 1150 mm ; Rol diameter: Ø108 mm ; As lengte: 1182 mm ; As diameter: Ø20 mm ; Sleutel: SW14x9</t>
  </si>
  <si>
    <t>Rolle Länge: 1150 mm ; Rolle Durchmesser: Ø108 mm ; Achse Länge: 1182 mm ; Achse Durchmesser: Ø20 mm ; Schlüssel: SW14x9</t>
  </si>
  <si>
    <t>Roll lenght: 1150 mm ; Roll diameter: Ø108 mm ; Axis lenght: 1182 mm ; Axis diameter: Ø20 mm ; Key: SW14x9</t>
  </si>
  <si>
    <t>Rouleau longueur: 1150 mm ; Rouleau diamètre: Ø108 mm ; Axe longueur: 1182 mm ; Axe diamètre: Ø20 mm ; Méplat: SW14x9</t>
  </si>
  <si>
    <t xml:space="preserve">Die BTQ Rolle, die auf unserem dreifachen Labyrinth-Lippen-dichtsystem (hochwertige glasfaserverstärkte Polyamid-Endkappe und UHMWPE-verstärktes Rohr) basiert, zeichnet sich durch ein einzigartiges Design aus und ist eine geräuscharme, robuste, langlebige und nachhaltige Alternative zu herkömmlichen Stahlrollen. Sie wurde für den Betrieb in extremen Temperaturen und rauen Betriebsbedingungen entwickelt, z.B. in Stark korrosiven, säurehaltigen, chemischen oder küstennahen Umgebungen. Trotz ihres geringen Gewichts sind der BTQ Rollen auch in Schwerlastförderanwendungen besonderes widerstandsfähig. BTQ Rollen können dazu beitragen, die Bandspannung und den Energieverbrauch zu reduzieren, und so Ihre Betriebskosten minimieren. Geeignet für hihe Geschwindigkeiten und Tonnagen. Sie sind sicherer, leiser und wirtschaftlicher. </t>
  </si>
  <si>
    <t>TQ 108/1150/20/1182-SW15X10TE</t>
  </si>
  <si>
    <t>TQ Rolle (H.D.P.E.) ; Rolle Ø108 mm 1150 mm, Achse Ø20mm 1182mm SW15X11</t>
  </si>
  <si>
    <t>TQ 108/1150/20/1182-SW17X10TE</t>
  </si>
  <si>
    <t>Rol TQ108/1150/20/1182-SW17X10</t>
  </si>
  <si>
    <t>TQ Rol (H.D.P.E.) ; Rol Ø108 mm 1150 mm, As Ø20mm 1182mm SW17X10</t>
  </si>
  <si>
    <t>TQ Rolle (H.D.P.E.) ; Rolle Ø108 mm 1150 mm, Achse Ø20mm 1182mm SW17x10</t>
  </si>
  <si>
    <t>TQ Roll (H.D.P.E.) ; Roll Ø108 mm 1150 mm, Axis Ø20mm 1182mm SW17x10</t>
  </si>
  <si>
    <t>TQ Rouleau (H.D.P.E.) ; Rouleau Ø108 mm 1150 mm, Axe Ø20mm 1182mm SW17x10</t>
  </si>
  <si>
    <t>Rol lengte: 1150 mm ; Rol diameter: Ø108 mm ; As lengte: 1182 mm ; As diameter: Ø20 mm ; Sleutel: SW17x10</t>
  </si>
  <si>
    <t>Rolle Länge: 1150 mm ; Rolle Durchmesser: Ø108 mm ; Achse Länge: 1182 mm ; Achse Durchmesser: Ø20 mm ; Schlüssel: SW17x10</t>
  </si>
  <si>
    <t>Roll lenght: 1150 mm ; Roll diameter: Ø108 mm ; Axis lenght: 1182 mm ; Axis diameter: Ø20 mm ; Key: SW17x10</t>
  </si>
  <si>
    <t>Rouleau longueur: 1150 mm ; Rouleau diamètre: Ø108 mm ; Axe longueur: 1182 mm ; Axe diamètre: Ø20 mm ; Méplat: SW17x10</t>
  </si>
  <si>
    <t>TQ 108/1150/20/1270-SW14X9TE</t>
  </si>
  <si>
    <t>Rol TQ108/1150/20/1270-SW14X9</t>
  </si>
  <si>
    <t>TQ 108/1235/20/1305-UWD16X30TE</t>
  </si>
  <si>
    <t>Rol TQ108/1235/20/1305-UWDM16X30</t>
  </si>
  <si>
    <t>34,020</t>
  </si>
  <si>
    <t>TQ 108/1240/20/1306-UWD16X30TE</t>
  </si>
  <si>
    <t>Rol TQ108/1240/20/1306-UWDM16X30</t>
  </si>
  <si>
    <t>42,850</t>
  </si>
  <si>
    <t>TQ 108/1250/20/1282-SW14X10TE</t>
  </si>
  <si>
    <t>Rol TQ108/1250/20/1282-SW14X10</t>
  </si>
  <si>
    <t>39,180</t>
  </si>
  <si>
    <t>TQ 108/1310/20/1380-SW14X10TE</t>
  </si>
  <si>
    <t>Rol TQ108/1310/20/1380-SW14X10</t>
  </si>
  <si>
    <t>34,010</t>
  </si>
  <si>
    <t>TQ 108/1397/RVS20/1426-14X9GTE</t>
  </si>
  <si>
    <t>Rol TQ108/1397/RVS20/1426-SW14X9-RVS304+RVS Lagers-Groen</t>
  </si>
  <si>
    <t>64,050</t>
  </si>
  <si>
    <t>TQ 108/1400/20/1430-SW14X10TE</t>
  </si>
  <si>
    <t>Rol TQ108/1400/20/1430-SW14X10</t>
  </si>
  <si>
    <t>35,720</t>
  </si>
  <si>
    <t>TQ 108/1460/20/1500-SW15X13TE</t>
  </si>
  <si>
    <t>Rol TQ108/1460/20/1500-SW15X13</t>
  </si>
  <si>
    <t>37,060</t>
  </si>
  <si>
    <t>TQ 108/1540/20/1606-SW15X10BTE</t>
  </si>
  <si>
    <t>Rol TQ108/1540/20/1606-SW15X10 blauw</t>
  </si>
  <si>
    <t>47,560</t>
  </si>
  <si>
    <t>TQ 108/1540/20/1606-SW15X13BTE</t>
  </si>
  <si>
    <t>Rol TQ108/1540/20/1606-SW15X13 blauw</t>
  </si>
  <si>
    <t>46,230</t>
  </si>
  <si>
    <t>TQ 108/1550/20/1630-SW15X13TE</t>
  </si>
  <si>
    <t>Rol TQ108/1550/20/1630-SW15X13</t>
  </si>
  <si>
    <t>38,360</t>
  </si>
  <si>
    <t>TQ 108/1585/20/1625-SW16X10TE</t>
  </si>
  <si>
    <t>Rol TQ108/1585/20/1625-SW16x10</t>
  </si>
  <si>
    <t>39,470</t>
  </si>
  <si>
    <t>TQ 108/171/20/226-SW14X10TE</t>
  </si>
  <si>
    <t>Rol TQ108/171/20/226-SW14X10</t>
  </si>
  <si>
    <t>TQ 108/195/20/230-SW15X12TE</t>
  </si>
  <si>
    <t>Rol TQ108/195/20/230-SW15x12</t>
  </si>
  <si>
    <t>9,550</t>
  </si>
  <si>
    <t>TQ 108/195/RVS20/232-SW14X13TE</t>
  </si>
  <si>
    <t>Rol TQ108/195/RVS20/232-SW14x13-RVS304</t>
  </si>
  <si>
    <t>13,230</t>
  </si>
  <si>
    <t>TQ 108/245/20/276-SW15X10GRTE</t>
  </si>
  <si>
    <t>Rol TQ108/245/20/276-SW15x10-GROEN</t>
  </si>
  <si>
    <t>11,860</t>
  </si>
  <si>
    <t>TQ 108/245/RVS303/276-SW15TE</t>
  </si>
  <si>
    <t>Rol TQ108/245/RVS20/276-SW15x10-RVS303</t>
  </si>
  <si>
    <t>14,360</t>
  </si>
  <si>
    <t>TQ 108/245/RVS304/276-SW15TE</t>
  </si>
  <si>
    <t>Rol TQ108/245/RVS20/276-SW15x10-RVS304</t>
  </si>
  <si>
    <t>TQ 108/247/20/276-SW14X9TE</t>
  </si>
  <si>
    <t>Rol TQ108/247/20/276-SW14x9</t>
  </si>
  <si>
    <t>TQ 108/248/20/282-SW15X10TE</t>
  </si>
  <si>
    <t>Rol TQ108/248/20/282-SW15x10</t>
  </si>
  <si>
    <t>TQ 108/250/20/276-SW14X10TE</t>
  </si>
  <si>
    <t>Rol TQ108/250/20/276-SW14x10</t>
  </si>
  <si>
    <t>11,870</t>
  </si>
  <si>
    <t>TQ 108/250/20/276-SW14X9TE</t>
  </si>
  <si>
    <t>Rol TQ108/250/20/276-SW14x9</t>
  </si>
  <si>
    <t>11,080</t>
  </si>
  <si>
    <t>TQ Rol (H.D.P.E.) ; Rol Ø108 mm 250 mm, As Ø20mm 276mm SW14x9</t>
  </si>
  <si>
    <t>TQ Rolle (H.D.P.E.) ; Rolle Ø108 mm 250 mm, Achse Ø20mm 276mm SW14x9</t>
  </si>
  <si>
    <t>TQ Roll (H.D.P.E.) ; Roll Ø108 mm 250 mm, Axis Ø20mm 276mm SW14x9</t>
  </si>
  <si>
    <t>TQ Rouleau (H.D.P.E.) ; Rouleau Ø108 mm 250 mm, Axe Ø20mm 276mm SW14x9</t>
  </si>
  <si>
    <t>Rol lengte: 250 mm ; Rol diameter: Ø108 mm ; As lengte: 276 mm ; As diameter: Ø20 mm ; Sleutel: SW14x9</t>
  </si>
  <si>
    <t>Rolle Länge: 250 mm ; Rolle Durchmesser: Ø108 mm ; Achse Länge: 276 mm ; Achse Durchmesser: Ø20 mm ; Schlüssel: SW14x9</t>
  </si>
  <si>
    <t>Roll lenght: 250 mm ; Roll diameter: Ø108 mm ; Axis lenght: 276 mm ; Axis diameter: Ø20 mm ; Key: SW14x9</t>
  </si>
  <si>
    <t>Rouleau longueur: 250 mm ; Rouleau diamètre: Ø108 mm ; Axe longueur: 276 mm ; Axe diamètre: Ø20 mm ; Méplat: SW14x9</t>
  </si>
  <si>
    <t>TQ 108/250/20/276-SW15X10TE</t>
  </si>
  <si>
    <t>Rol TQ108/250/20/276-SW15x10</t>
  </si>
  <si>
    <t>TQ Rol (H.D.P.E.) ; Rol Ø108 mm 250 mm, As Ø20mm 276mm SW15x10</t>
  </si>
  <si>
    <t>TQ Rolle (H.D.P.E.) ; Rolle Ø108 mm 250 mm, Achse Ø20mm 276mm SW15x10</t>
  </si>
  <si>
    <t>TQ Roll (H.D.P.E.) ; Roll Ø108 mm 250 mm, Axis Ø20mm 276mm SW15x10</t>
  </si>
  <si>
    <t>TQ Rouleau (H.D.P.E.) ; Rouleau Ø108 mm 250 mm, Axe Ø20mm 276mm SW15x10</t>
  </si>
  <si>
    <t>Rol lengte: 250 mm ; Rol diameter: Ø108 mm ; As lengte: 276 mm ; As diameter: Ø20 mm ; Sleutel: SW15x10</t>
  </si>
  <si>
    <t>Rolle Länge: 250 mm ; Rolle Durchmesser: Ø108 mm ; Achse Länge: 276 mm ; Achse Durchmesser: Ø20 mm ; Schlüssel: SW15x10</t>
  </si>
  <si>
    <t>Roll lenght: 250 mm ; Roll diameter: Ø108 mm ; Axis lenght: 276 mm ; Axis diameter: Ø20 mm ; Key: SW15x10</t>
  </si>
  <si>
    <t>Rouleau longueur: 250 mm ; Rouleau diamètre: Ø108 mm ; Axe longueur: 276 mm ; Axe diamètre: Ø20 mm ; Méplat: SW15x10</t>
  </si>
  <si>
    <t>TQ 108/250/20/282-SW14X13TE</t>
  </si>
  <si>
    <t>Rol TQ108/250/20/282-SW14x13</t>
  </si>
  <si>
    <t>TQ 108/250/20/282-SW15X10TE</t>
  </si>
  <si>
    <t>Rol TQ108/250/20/282-SW15x10</t>
  </si>
  <si>
    <t>10,650</t>
  </si>
  <si>
    <t>TQ 108/250/20/287-SW14X13TE</t>
  </si>
  <si>
    <t>Rol TQ108/250/20/287-SW14x13</t>
  </si>
  <si>
    <t>12,930</t>
  </si>
  <si>
    <t>10,340</t>
  </si>
  <si>
    <t>TQ 108/250/20/300-UWDM16X45TE</t>
  </si>
  <si>
    <t>Rol TQ108/250/20/300-UWDM16x45</t>
  </si>
  <si>
    <t>TQ 108/250/RVS20/276-SW15X10TE</t>
  </si>
  <si>
    <t>Rol TQ108/250/RVS20/276-SW15X10-RVS316</t>
  </si>
  <si>
    <t>TQ 108/270/20/305-SW16X10TE</t>
  </si>
  <si>
    <t>Rol TQ108/270/20/305-SW16x10</t>
  </si>
  <si>
    <t>11,840</t>
  </si>
  <si>
    <t>TQ 108/270/20/310-RADØ8+POM-TE</t>
  </si>
  <si>
    <t>Rol TQ108/270/20/310-Radiaal ø08 + POM</t>
  </si>
  <si>
    <t>19,740</t>
  </si>
  <si>
    <t>TQ 108/270/20/370-RADØ8+POM-TE</t>
  </si>
  <si>
    <t>Rol TQ108/270/20/370-Radiaal ø08,7 + POM</t>
  </si>
  <si>
    <t>19,900</t>
  </si>
  <si>
    <t>TQ 108/285/20/315-SW14X10TE</t>
  </si>
  <si>
    <t>Rol TQ108/285/20/315-SW14X10</t>
  </si>
  <si>
    <t>16,200</t>
  </si>
  <si>
    <t>TQ 108/285/20/341-SW14X10TE</t>
  </si>
  <si>
    <t>Rol TQ108/285/20/341-SW14X10</t>
  </si>
  <si>
    <t>TQ 108/290/20/316-SW14X10TE</t>
  </si>
  <si>
    <t>Rol TQ108/290/20/316-SW14X10</t>
  </si>
  <si>
    <t>12,620</t>
  </si>
  <si>
    <t>TQ 108/302/20/341-RADIALØ8TE</t>
  </si>
  <si>
    <t>Rol TQ108/302/20/341-RADIALØ8-20x19.5</t>
  </si>
  <si>
    <t>TQ 108/308/RVS20/345-SW14X9TE</t>
  </si>
  <si>
    <t>Rol TQ108/308/RVS20/345-SW14X9 - 3 mm vd kant</t>
  </si>
  <si>
    <t>22,440</t>
  </si>
  <si>
    <t>TQ 108/310/20/340-SW14X9TE</t>
  </si>
  <si>
    <t>Rol TQ108/310/20/340-SW14x9</t>
  </si>
  <si>
    <t>TQ 108/310/20/341-SW14X10TE</t>
  </si>
  <si>
    <t>Rol TQ108/310/20/341-SW14x10</t>
  </si>
  <si>
    <t>TQ 108/310/20/347-SW14X13TE</t>
  </si>
  <si>
    <t>Rol TQ108/310/20/347-SW14x13</t>
  </si>
  <si>
    <t>12,650</t>
  </si>
  <si>
    <t>TQ 108/310/RVS20/341-SW15X10TE</t>
  </si>
  <si>
    <t>Rol TQ108/310/RVS20/341-SW15X10-RVS304+RVS lagers</t>
  </si>
  <si>
    <t>TQ 108/312/20/345-SW14X7-3MMTE</t>
  </si>
  <si>
    <t>Rol TQ108/312/20/345-SW14X7 - 3 mm vd kant</t>
  </si>
  <si>
    <t>TQ 108/315/20/341-SW12X10TE</t>
  </si>
  <si>
    <t>Rol TQ108/315/20/341-SW12x10</t>
  </si>
  <si>
    <t>13,500</t>
  </si>
  <si>
    <t>TQ 108/315/20/341-SW14X10TE</t>
  </si>
  <si>
    <t>Rol TQ108/315/20/341-SW14x10</t>
  </si>
  <si>
    <t>13,930</t>
  </si>
  <si>
    <t>TQ Rol (H.D.P.E.) ; Rol Ø108 mm 315 mm, As Ø20mm 341mm SW14x10</t>
  </si>
  <si>
    <t>TQ Rolle (H.D.P.E.) ; Rolle Ø108 mm 315 mm, Achse Ø20mm 341mm SW14x10</t>
  </si>
  <si>
    <t>TQ Roll (H.D.P.E.) ; Roll Ø108 mm 315 mm, Axis Ø20mm 341mm SW14x10</t>
  </si>
  <si>
    <t>TQ Rouleau (H.D.P.E.) ; Rouleau Ø108 mm 315 mm, Axe Ø20mm 341mm SW14x10</t>
  </si>
  <si>
    <t>Rol lengte: 315 mm ; Rol diameter: Ø108 mm ; As lengte: 341 mm ; As diameter: Ø20 mm ; Sleutel: SW14x10</t>
  </si>
  <si>
    <t>Rolle Länge: 315 mm ; Rolle Durchmesser: Ø108 mm ; Achse Länge: 341 mm ; Achse Durchmesser: Ø20 mm ; Schlüssel: SW14x10</t>
  </si>
  <si>
    <t>Roll lenght: 315 mm ; Roll diameter: Ø108 mm ; Axis lenght: 341 mm ; Axis diameter: Ø20 mm ; Key: SW14x10</t>
  </si>
  <si>
    <t>Rouleau longueur: 315 mm ; Rouleau diamètre: Ø108 mm ; Axe longueur: 341 mm ; Axe diamètre: Ø20 mm ; Méplat: SW14x10</t>
  </si>
  <si>
    <t>TQ 108/315/20/341-SW14X9TE</t>
  </si>
  <si>
    <t>Rol TQ108/315/20/341-SW14x9</t>
  </si>
  <si>
    <t>TQ Rol (H.D.P.E.) ; Rol Ø108 mm 315 mm, As Ø20mm 341mm SW14x9</t>
  </si>
  <si>
    <t>TQ Rolle (H.D.P.E.) ; Rolle Ø108 mm 315 mm, Achse Ø20mm 341mm SW14x9</t>
  </si>
  <si>
    <t>TQ Roll (H.D.P.E.) ; Roll Ø108 mm 315 mm, Axis Ø20mm 341mm SW14x9</t>
  </si>
  <si>
    <t>TQ Rouleau (H.D.P.E.) ; Rouleau Ø108 mm 315 mm, Axe Ø20mm 341mm SW14x9</t>
  </si>
  <si>
    <t>Rol lengte: 315 mm ; Rol diameter: Ø108 mm ; As lengte: 341 mm ; As diameter: Ø20 mm ; Sleutel: SW14x9</t>
  </si>
  <si>
    <t>Rolle Länge: 315 mm ; Rolle Durchmesser: Ø108 mm ; Achse Länge: 341 mm ; Achse Durchmesser: Ø20 mm ; Schlüssel: SW14x9</t>
  </si>
  <si>
    <t>Roll lenght: 315 mm ; Roll diameter: Ø108 mm ; Axis lenght: 341 mm ; Axis diameter: Ø20 mm ; Key: SW14x9</t>
  </si>
  <si>
    <t>Rouleau longueur: 315 mm ; Rouleau diamètre: Ø108 mm ; Axe longueur: 341 mm ; Axe diamètre: Ø20 mm ; Méplat: SW14x9</t>
  </si>
  <si>
    <t>TQ 108/315/20/341-SW15X10GRTE</t>
  </si>
  <si>
    <t>Rol TQ108/315/20/341-SW15x10-GROEN</t>
  </si>
  <si>
    <t>TQ 108/315/20/341-SW15X10TE</t>
  </si>
  <si>
    <t>Rol TQ108/315/20/341-SW15x10</t>
  </si>
  <si>
    <t>14,670</t>
  </si>
  <si>
    <t>TQ Rol (H.D.P.E.) ; Rol Ø108 mm 315 mm, As Ø20mm 341mm SW15x10</t>
  </si>
  <si>
    <t>TQ Rolle (H.D.P.E.) ; Rolle Ø108 mm 315 mm, Achse Ø20mm 341mm SW15x10</t>
  </si>
  <si>
    <t>TQ Roll (H.D.P.E.) ; Roll Ø108 mm 315 mm, Axis Ø20mm 341mm SW15x10</t>
  </si>
  <si>
    <t>TQ Rouleau (H.D.P.E.) ; Rouleau Ø108 mm 315 mm, Axe Ø20mm 341mm SW15x10</t>
  </si>
  <si>
    <t>Rol lengte: 315 mm ; Rol diameter: Ø108 mm ; As lengte: 341 mm ; As diameter: Ø20 mm ; Sleutel: SW15x10</t>
  </si>
  <si>
    <t>Rolle Länge: 315 mm ; Rolle Durchmesser: Ø108 mm ; Achse Länge: 341 mm ; Achse Durchmesser: Ø20 mm ; Schlüssel: SW15x10</t>
  </si>
  <si>
    <t>Roll lenght: 315 mm ; Roll diameter: Ø108 mm ; Axis lenght: 341 mm ; Axis diameter: Ø20 mm ; Key: SW15x10</t>
  </si>
  <si>
    <t>Rouleau longueur: 315 mm ; Rouleau diamètre: Ø108 mm ; Axe longueur: 341 mm ; Axe diamètre: Ø20 mm ; Méplat: SW15x10</t>
  </si>
  <si>
    <t>TQ 108/315/20/341-SW15X9GRTE</t>
  </si>
  <si>
    <t>Rol TQ108/315/20/341-SW15x9-GROEN</t>
  </si>
  <si>
    <t>12,530</t>
  </si>
  <si>
    <t>TQ 108/315/20/345-SW14X11TE</t>
  </si>
  <si>
    <t>Rol TQ108/315/20/345-SW14x11</t>
  </si>
  <si>
    <t>12,700</t>
  </si>
  <si>
    <t>TQ 108/315/RVS20/345-SW15X10TE</t>
  </si>
  <si>
    <t>Rol TQ108/315/RVS20/345-SW15X10-RVS304</t>
  </si>
  <si>
    <t>22,210</t>
  </si>
  <si>
    <t>TQ 108/343/20/400-SW12X22TE</t>
  </si>
  <si>
    <t>Rol TQ108/343/20/400-SW12x22</t>
  </si>
  <si>
    <t>TQ 108/352/20/383-SW14X10GRTE</t>
  </si>
  <si>
    <t>Rol TQ108/352/20/383-SW14X10 groen</t>
  </si>
  <si>
    <t>TQ 108/354/20/385-SW15X10TE</t>
  </si>
  <si>
    <t>Rol TQ108/354/20/385-SW15x10</t>
  </si>
  <si>
    <t>13,460</t>
  </si>
  <si>
    <t>TQ 108/360/20/405-SW14X10TE</t>
  </si>
  <si>
    <t>Rol TQ108/360/20/405-SW14X10</t>
  </si>
  <si>
    <t>TQ 108/370/20/410-SW14X10TE</t>
  </si>
  <si>
    <t>Rol TQ108/370/20/410-SW14X10</t>
  </si>
  <si>
    <t>21,860</t>
  </si>
  <si>
    <t>13,410</t>
  </si>
  <si>
    <t>TQ 108/375/20/412-SW14X13TE</t>
  </si>
  <si>
    <t>Rol TQ108/375/20/412-SW14x13</t>
  </si>
  <si>
    <t>13,750</t>
  </si>
  <si>
    <t>TQ 108/377/20/406-SW14X9TE</t>
  </si>
  <si>
    <t>Rol TQ108/377/20/406-SW14x9</t>
  </si>
  <si>
    <t>13,170</t>
  </si>
  <si>
    <t>TQ 108/377/RVS304/406-SW14X9TE</t>
  </si>
  <si>
    <t>Rol TQ108/377/20/406-SW14X9-RVS304+RVS lagers-Groen</t>
  </si>
  <si>
    <t>24,570</t>
  </si>
  <si>
    <t>TQ 108/380/20/406-SW14X9TE</t>
  </si>
  <si>
    <t>Rol TQ108/380/20/406-SW14x9</t>
  </si>
  <si>
    <t>12,690</t>
  </si>
  <si>
    <t>TQ Rol (H.D.P.E.) ; Rol Ø108 mm 380 mm, As Ø20mm 406mm SW14x9</t>
  </si>
  <si>
    <t>TQ Rolle (H.D.P.E.) ; Rolle Ø108 mm 380 mm, Achse Ø20mm 406mm SW14x9</t>
  </si>
  <si>
    <t>TQ Roll (H.D.P.E.) ; Roll Ø108 mm 380 mm, Axis Ø20mm 406mm SW14x9</t>
  </si>
  <si>
    <t>TQ Rouleau (H.D.P.E.) ; Rouleau Ø108 mm 380 mm, Axe Ø20mm 406mm SW14x9</t>
  </si>
  <si>
    <t>Rol lengte: 380 mm ; Rol diameter: Ø108 mm ; As lengte: 406 mm ; As diameter: Ø20 mm ; Sleutel: SW14x9</t>
  </si>
  <si>
    <t>Rolle Länge: 380 mm ; Rolle Durchmesser: Ø108 mm ; Achse Länge: 406 mm ; Achse Durchmesser: Ø20 mm ; Schlüssel: SW14x9</t>
  </si>
  <si>
    <t>Roll lenght: 380 mm ; Roll diameter: Ø108 mm ; Axis lenght: 406 mm ; Axis diameter: Ø20 mm ; Key: SW14x9</t>
  </si>
  <si>
    <t>Rouleau longueur: 380 mm ; Rouleau diamètre: Ø108 mm ; Axe longueur: 406 mm ; Axe diamètre: Ø20 mm ; Méplat: SW14x9</t>
  </si>
  <si>
    <t>TQ 108/380/20/406-SW15X10GRTE</t>
  </si>
  <si>
    <t>Rol TQ108/380/20/406-SW15X10-GROEN</t>
  </si>
  <si>
    <t>TQ 108/380/20/406-SW15X10TE</t>
  </si>
  <si>
    <t>Rol TQ108/380/20/406-SW15X10</t>
  </si>
  <si>
    <t>TQ Rol (H.D.P.E.) ; Rol Ø108 mm 380 mm, As Ø20mm 406mm SW15x10</t>
  </si>
  <si>
    <t>TQ Rolle (H.D.P.E.) ; Rolle Ø108 mm 380 mm, Achse Ø20mm 406mm SW15x10</t>
  </si>
  <si>
    <t>TQ Roll (H.D.P.E.) ; Roll Ø108 mm 380 mm, Axis Ø20mm 406mm SW15x10</t>
  </si>
  <si>
    <t>TQ Rouleau (H.D.P.E.) ; Rouleau Ø108 mm 380 mm, Axe Ø20mm 406mm SW15x10</t>
  </si>
  <si>
    <t>Rol lengte: 380 mm ; Rol diameter: Ø108 mm ; As lengte: 406 mm ; As diameter: Ø20 mm ; Sleutel: SW15x10</t>
  </si>
  <si>
    <t>Rolle Länge: 380 mm ; Rolle Durchmesser: Ø108 mm ; Achse Länge: 406 mm ; Achse Durchmesser: Ø20 mm ; Schlüssel: SW15x10</t>
  </si>
  <si>
    <t>Roll lenght: 380 mm ; Roll diameter: Ø108 mm ; Axis lenght: 406 mm ; Axis diameter: Ø20 mm ; Key: SW15x10</t>
  </si>
  <si>
    <t>Rouleau longueur: 380 mm ; Rouleau diamètre: Ø108 mm ; Axe longueur: 406 mm ; Axe diamètre: Ø20 mm ; Méplat: SW15x10</t>
  </si>
  <si>
    <t>TQ 108/380/20/410-SW14X10TE</t>
  </si>
  <si>
    <t>Rol TQ108/380/20/410-SW14X10</t>
  </si>
  <si>
    <t>13,780</t>
  </si>
  <si>
    <t>TQ 108/382/20/442-SW14X25TE</t>
  </si>
  <si>
    <t>Rol TQ108/382/20/442-SW14X25</t>
  </si>
  <si>
    <t>TQ 108/420/20/450-SW12X10TE</t>
  </si>
  <si>
    <t>Rol TQ108/420/20/450-SW12x10</t>
  </si>
  <si>
    <t>18,430</t>
  </si>
  <si>
    <t>TQ 108/425/20/470-SW14X10TE</t>
  </si>
  <si>
    <t>Rol TQ108/425/20/470-SW14X10</t>
  </si>
  <si>
    <t>TQ 108/425/20/491-SW15X10TE</t>
  </si>
  <si>
    <t>Rol TQ108/425/20/491-SW15x10</t>
  </si>
  <si>
    <t>14,740</t>
  </si>
  <si>
    <t>TQ 108/430/20/456-SW14X10TE</t>
  </si>
  <si>
    <t>Rol TQ108/430/20/456-SW14x10</t>
  </si>
  <si>
    <t>15,250</t>
  </si>
  <si>
    <t>TQ 108/455/RVS20/486-SW14X9TE</t>
  </si>
  <si>
    <t>Rol TQ108/455/RVS20/486-SW14X9-RVS316</t>
  </si>
  <si>
    <t>20,390</t>
  </si>
  <si>
    <t>TQ 108/455/RVS303/486-S14X10TE</t>
  </si>
  <si>
    <t>Rol TQ108/455/20/486-SW14X10-RVS303</t>
  </si>
  <si>
    <t>TQ 108/460/20/491-SW15X10TE</t>
  </si>
  <si>
    <t>Rol TQ108/460/20/491-SW15X10</t>
  </si>
  <si>
    <t>TQ 108/460/20/497-SW14X13TE</t>
  </si>
  <si>
    <t>Rol TQ108/460/20/497-SW14x13</t>
  </si>
  <si>
    <t>TQ 108/462/RVS304/491-SW14X9TE</t>
  </si>
  <si>
    <t>Rol TQ108/462/20/491-SW14X9-RVS304+RVS lagers-Groen</t>
  </si>
  <si>
    <t>TQ 108/495/20/560-RIVET+SWTE</t>
  </si>
  <si>
    <t>Rol TQ108/495/20/560-Rivet+SW</t>
  </si>
  <si>
    <t>15,950</t>
  </si>
  <si>
    <t>TQ 108/500/20/540-SW15X10TE</t>
  </si>
  <si>
    <t>Rol TQ108/500/20/540-SW15x10</t>
  </si>
  <si>
    <t>18,850</t>
  </si>
  <si>
    <t>TQ 108/516/20/556-SW15X10TE</t>
  </si>
  <si>
    <t>Rol TQ108/516/20/556-SW15x10</t>
  </si>
  <si>
    <t>TQ 108/518/20/555-SW15X13TE</t>
  </si>
  <si>
    <t>Rol TQ108/518/20/555-SW15X13</t>
  </si>
  <si>
    <t>TQ 108/520/20/550-SW15X10TE</t>
  </si>
  <si>
    <t>Rol TQ108/520/20/550-SW15X10</t>
  </si>
  <si>
    <t>18,860</t>
  </si>
  <si>
    <t>TQ 108/520/20/555-SW14X10TE</t>
  </si>
  <si>
    <t>Rol TQ108/520/20/555-SW14X10</t>
  </si>
  <si>
    <t>TQ 108/525/20/556-SW15X10TE</t>
  </si>
  <si>
    <t>Rol TQ108/525/20/556-SW15x10</t>
  </si>
  <si>
    <t>TQ 108/540/20/606-UWDM16X30TE</t>
  </si>
  <si>
    <t>Rol TQ108/540/20/606-UWDM16x30</t>
  </si>
  <si>
    <t>TQ 108/550/20/587-SW15X13TE</t>
  </si>
  <si>
    <t>Rol TQ108/550/20/587-SW15x13</t>
  </si>
  <si>
    <t>22,690</t>
  </si>
  <si>
    <t>TQ 108/550/20/630-SW15X13TE</t>
  </si>
  <si>
    <t>Rol TQ108/550/20/630-SW15x13</t>
  </si>
  <si>
    <t>TQ 108/580/20/618-SW15X10TE</t>
  </si>
  <si>
    <t>Rol TQ108/20/618-SW15x10</t>
  </si>
  <si>
    <t>TQ 108/580/20/620-SW15X15TE</t>
  </si>
  <si>
    <t>Rol TQ108/20/620-SW15x15</t>
  </si>
  <si>
    <t>21,400</t>
  </si>
  <si>
    <t>TQ 108/580/RVS20/620-SW15X10TE</t>
  </si>
  <si>
    <t>Rol TQ108/580/RVS20/620-SW15x10-RVS304+RVS Lagers</t>
  </si>
  <si>
    <t>31,410</t>
  </si>
  <si>
    <t>TQ 108/588/20/625-SW15X13TE</t>
  </si>
  <si>
    <t>Rol TQ108/588/20/625-SW15x13</t>
  </si>
  <si>
    <t>TQ 108/590/20/622-SW14X10TE</t>
  </si>
  <si>
    <t>Rol TQ108/590/20/622-SW14X10</t>
  </si>
  <si>
    <t>22,880</t>
  </si>
  <si>
    <t>TQ 108/595/20/630-SW15X12TE</t>
  </si>
  <si>
    <t>Rol TQ108/595/20/630-SW15x12</t>
  </si>
  <si>
    <t>TQ 108/600/20/626-SW15X10TE</t>
  </si>
  <si>
    <t>Rol TQ108/600/20/626-SW15x10</t>
  </si>
  <si>
    <t>21,250</t>
  </si>
  <si>
    <t>24,080</t>
  </si>
  <si>
    <t>TQ Rol (H.D.P.E.) ; Rol Ø108 mm 600 mm, As Ø20mm 626mm SW15x10</t>
  </si>
  <si>
    <t>TQ Rolle (H.D.P.E.) ; Rolle Ø108 mm 600 mm, Achse Ø20mm 626mm SW15x10</t>
  </si>
  <si>
    <t>TQ Roll (H.D.P.E.) ; Roll Ø108 mm 600 mm, Axis Ø20mm 626mm SW15x10</t>
  </si>
  <si>
    <t>TQ Rouleau (H.D.P.E.) ; Rouleau Ø108 mm 600 mm, Axe Ø20mm 626mm SW15x10</t>
  </si>
  <si>
    <t>Rol lengte: 600 mm ; Rol diameter: Ø108 mm ; As lengte: 626 mm ; As diameter: Ø20 mm ; Sleutel: SW15x10</t>
  </si>
  <si>
    <t>Rolle Länge: 600 mm ; Rolle Durchmesser: Ø108 mm ; Achse Länge: 626 mm ; Achse Durchmesser: Ø20 mm ; Schlüssel: SW15x10</t>
  </si>
  <si>
    <t>Roll lenght: 600 mm ; Roll diameter: Ø108 mm ; Axis lenght: 626 mm ; Axis diameter: Ø20 mm ; Key: SW15x10</t>
  </si>
  <si>
    <t>Rouleau longueur: 600 mm ; Rouleau diamètre: Ø108 mm ; Axe longueur: 626 mm ; Axe diamètre: Ø20 mm ; Méplat: SW15x10</t>
  </si>
  <si>
    <t>TQ 108/600/20/630-SW15X10GRTE</t>
  </si>
  <si>
    <t>Rol TQ108/600/20/630-SW15x10 - GROEN</t>
  </si>
  <si>
    <t>20,740</t>
  </si>
  <si>
    <t>TQ 108/640/20/706-UWDM16X30TE</t>
  </si>
  <si>
    <t>Rol TQ108/640/20/706-UWDM16x30</t>
  </si>
  <si>
    <t>TQ 108/655/20/740-SW15X10TE</t>
  </si>
  <si>
    <t>Rol TQ108/655/20/740-SW15x10</t>
  </si>
  <si>
    <t>TQ 108/679/303/730 SW15X20TE</t>
  </si>
  <si>
    <t>Rol TQ108/679/RVS303/730-SW15x20</t>
  </si>
  <si>
    <t>35,290</t>
  </si>
  <si>
    <t>TQ 108/680/20/720-SW14X9TE</t>
  </si>
  <si>
    <t>Rol TQ108/680/20/720-SW14X9</t>
  </si>
  <si>
    <t>TQ 108/685/RVS20/730-SW15X10TE</t>
  </si>
  <si>
    <t>Rol TQ108/685/RVS20/730-SW15x10-RVS303+RVS Lagers</t>
  </si>
  <si>
    <t>34,360</t>
  </si>
  <si>
    <t>TQ 108/690/20/727-SW15X13TE</t>
  </si>
  <si>
    <t>Rol TQ108/690/20/727-SW15x13</t>
  </si>
  <si>
    <t>TQ 108/700/20/780-SW15X13TE</t>
  </si>
  <si>
    <t>Rol TQ108/700/20/780-SW15x13</t>
  </si>
  <si>
    <t>21,940</t>
  </si>
  <si>
    <t>TQ 108/700/20/782-SW15X13TE</t>
  </si>
  <si>
    <t>Rol TQ108/700/20/782-SW15x13</t>
  </si>
  <si>
    <t>21,230</t>
  </si>
  <si>
    <t>TQ 108/720/20/775-SW15X13TE</t>
  </si>
  <si>
    <t>Rol TQ108/720/20/775-SW15x13</t>
  </si>
  <si>
    <t>22,560</t>
  </si>
  <si>
    <t>TQ 108/742/20/776-SW15X13TE</t>
  </si>
  <si>
    <t>Rol TQ108/742/20/776-SW15X13</t>
  </si>
  <si>
    <t>23,060</t>
  </si>
  <si>
    <t>TQ 108/745/20/780-SW15X12GRTE</t>
  </si>
  <si>
    <t>Rol TQ108/745/20/780-SW15X12-GROEN</t>
  </si>
  <si>
    <t>23,410</t>
  </si>
  <si>
    <t>TQ 108/745/20/782-SW15X13GRTE</t>
  </si>
  <si>
    <t>Rol TQ108/745/20/782-SW15X13-GROEN</t>
  </si>
  <si>
    <t>31,270</t>
  </si>
  <si>
    <t>TQ 108/745/20/785-SW15X12TE</t>
  </si>
  <si>
    <t>Rol TQ108/745/20/785-SW15X12</t>
  </si>
  <si>
    <t>22,270</t>
  </si>
  <si>
    <t>TQ 108/745/RVS04/782-SW15X13TE</t>
  </si>
  <si>
    <t>Rol TQ108/745/RVS20/782-SW15X13-RVS304+RVS lagers</t>
  </si>
  <si>
    <t>39,660</t>
  </si>
  <si>
    <t>TQ 108/745/RVS20/780-SW15X10TE</t>
  </si>
  <si>
    <t>Rol TQ108/745/RVS20/780-SW15X10-RVS304-GROEN</t>
  </si>
  <si>
    <t>TQ 108/745/RVS20/780-SW15X12TE</t>
  </si>
  <si>
    <t>Rol TQ108/745/RVS20/780-SW15X12-RVS303-GROEN</t>
  </si>
  <si>
    <t>32,270</t>
  </si>
  <si>
    <t>TQ 108/745/RVS20/782-SW15X13TE</t>
  </si>
  <si>
    <t>Rol TQ108/745/RVS20/782-SW15X13-RVS316</t>
  </si>
  <si>
    <t>30,830</t>
  </si>
  <si>
    <t>TQ 108/750/20/782-SW14X10TE</t>
  </si>
  <si>
    <t>Rol TQ108/750/20/782-SW14X10</t>
  </si>
  <si>
    <t>25,990</t>
  </si>
  <si>
    <t>TQ Rol (H.D.P.E.) ; Rol Ø108 mm 750 mm, As Ø20mm 782mm SW14x10</t>
  </si>
  <si>
    <t>TQ Rolle (H.D.P.E.) ; Rolle Ø108 mm 750 mm, Achse Ø20mm 782mm SW14x10</t>
  </si>
  <si>
    <t>TQ Roll (H.D.P.E.) ; Roll Ø108 mm 750 mm, Axis Ø20mm 782mm SW14x10</t>
  </si>
  <si>
    <t>TQ Rouleau (H.D.P.E.) ; Rouleau Ø108 mm 750 mm, Axe Ø20mm 782mm SW14x10</t>
  </si>
  <si>
    <t>Rol lengte: 750 mm ; Rol diameter: Ø108 mm ; As lengte: 782 mm ; As diameter: Ø20 mm ; Sleutel: SW14x10</t>
  </si>
  <si>
    <t>Rolle Länge: 750 mm ; Rolle Durchmesser: Ø108 mm ; Achse Länge: 782 mm ; Achse Durchmesser: Ø20 mm ; Schlüssel: SW14x10</t>
  </si>
  <si>
    <t>Roll lenght: 750 mm ; Roll diameter: Ø108 mm ; Axis lenght: 782 mm ; Axis diameter: Ø20 mm ; Key: SW14x10</t>
  </si>
  <si>
    <t>Rouleau longueur: 750 mm ; Rouleau diamètre: Ø108 mm ; Axe longueur: 782 mm ; Axe diamètre: Ø20 mm ; Méplat: SW14x10</t>
  </si>
  <si>
    <t>TQ 108/750/20/782-SW14X12TE</t>
  </si>
  <si>
    <t>Rol TQ108/750/20/782-SW14x12</t>
  </si>
  <si>
    <t>TQ 108/750/20/782-SW15X10TE</t>
  </si>
  <si>
    <t>Rol TQ108/750/20/782-SW15X10</t>
  </si>
  <si>
    <t>TQ Rol (H.D.P.E.) ; Rol Ø108 mm 750 mm, As Ø20mm 782mm SW15x10</t>
  </si>
  <si>
    <t>TQ Rolle (H.D.P.E.) ; Rolle Ø108 mm 750 mm, Achse Ø20mm 782mm SW15x10</t>
  </si>
  <si>
    <t>TQ Roll (H.D.P.E.) ; Roll Ø108 mm 750 mm, Axis Ø20mm 782mm SW15x10</t>
  </si>
  <si>
    <t>TQ Rouleau (H.D.P.E.) ; Rouleau Ø108 mm 750 mm, Axe Ø20mm 782mm SW15x10</t>
  </si>
  <si>
    <t>Rol lengte: 750 mm ; Rol diameter: Ø108 mm ; As lengte: 782 mm ; As diameter: Ø20 mm ; Sleutel: SW15x10</t>
  </si>
  <si>
    <t>Rolle Länge: 750 mm ; Rolle Durchmesser: Ø108 mm ; Achse Länge: 782 mm ; Achse Durchmesser: Ø20 mm ; Schlüssel: SW15x10</t>
  </si>
  <si>
    <t>Roll lenght: 750 mm ; Roll diameter: Ø108 mm ; Axis lenght: 782 mm ; Axis diameter: Ø20 mm ; Key: SW15x10</t>
  </si>
  <si>
    <t>Rouleau longueur: 750 mm ; Rouleau diamètre: Ø108 mm ; Axe longueur: 782 mm ; Axe diamètre: Ø20 mm ; Méplat: SW15x10</t>
  </si>
  <si>
    <t>TQ 108/750/20/782-SW15X13TE</t>
  </si>
  <si>
    <t>Rol TQ108/750/20/782-SW15x13</t>
  </si>
  <si>
    <t>TQ Rol (H.D.P.E.) ; Rol Ø108 mm 750 mm, As Ø20mm 782mm SW15x13</t>
  </si>
  <si>
    <t>TQ Rolle (H.D.P.E.) ; Rolle Ø108 mm 750 mm, Achse Ø20mm 782mm SW15x13</t>
  </si>
  <si>
    <t>TQ Roll (H.D.P.E.) ; Roll Ø108 mm 750 mm, Axis Ø20mm 782mm SW15x13</t>
  </si>
  <si>
    <t>TQ Rouleau (H.D.P.E.) ; Rouleau Ø108 mm 750 mm, Axe Ø20mm 782mm SW15x13</t>
  </si>
  <si>
    <t>TQ 108/750/20/788-SW14X15TE</t>
  </si>
  <si>
    <t>Rol TQ108/750/20/788-SW14x15</t>
  </si>
  <si>
    <t>TQ 108/750/RVS20/780-SW15X10TE</t>
  </si>
  <si>
    <t>Rol TQ108/750/RVS20/780-SW15X10-RVS304-Groen</t>
  </si>
  <si>
    <t>TQ 108/791/20/823-IWDM10X20TE</t>
  </si>
  <si>
    <t>Rol TQ108/791/20/823-IWD M10X20</t>
  </si>
  <si>
    <t>26,470</t>
  </si>
  <si>
    <t>TQ 108/800/20/830-SW14X10TE</t>
  </si>
  <si>
    <t>Rol TQ108/800/20/830-SW14x10</t>
  </si>
  <si>
    <t>23,680</t>
  </si>
  <si>
    <t>TQ 108/800/RVS20/871-SW10X12TE</t>
  </si>
  <si>
    <t>Rol TQ108/800/RVS20/871-SW10X12-RVS/Groen  + RVS lagers</t>
  </si>
  <si>
    <t>49,490</t>
  </si>
  <si>
    <t>TQ 108/850/20/1000-SW14X9TE</t>
  </si>
  <si>
    <t>Rol TQ108/850/20/1000-SW14x9</t>
  </si>
  <si>
    <t>23,640</t>
  </si>
  <si>
    <t>TQ 108/870/20/935-SW14X7-GRTE</t>
  </si>
  <si>
    <t>Rol TQ108/870/20/935-SW14X7-GROEN</t>
  </si>
  <si>
    <t>25,160</t>
  </si>
  <si>
    <t>TQ 108/875/20/940-SW14X12TE</t>
  </si>
  <si>
    <t>Rol TQ108/875/20/940-SW14X12</t>
  </si>
  <si>
    <t>24,840</t>
  </si>
  <si>
    <t>TQ 108/875/RVS20/960-14X26BLTE</t>
  </si>
  <si>
    <t>Rol TQ108/875/RVS20/960-SW14X26-RVS303+RVS Lagers-Blauw</t>
  </si>
  <si>
    <t>TQ 108/875/RVS20/960SW14X26+TE</t>
  </si>
  <si>
    <t>Rol TQ108/875/RVS20/960-SW14x26-RVS304+RVS Lagers</t>
  </si>
  <si>
    <t>39,820</t>
  </si>
  <si>
    <t>TQ 108/875/RVS20/960-SW14X26TE</t>
  </si>
  <si>
    <t>Rol TQ108/875/RVS20/960-SW14X26-RVS303+RVS Lagers-Groen</t>
  </si>
  <si>
    <t>45,230</t>
  </si>
  <si>
    <t>TQ 108/882/20/952-UWDM16X30TE</t>
  </si>
  <si>
    <t>Rol TQ108/882/20/952-UWDM16X30</t>
  </si>
  <si>
    <t>29,350</t>
  </si>
  <si>
    <t>TQ 108/890/20/956-UWDM16X30TE</t>
  </si>
  <si>
    <t>Rol TQ108/890/20/956-UWDM16x30</t>
  </si>
  <si>
    <t>TQ 108/900/20/990-SW12X15TE</t>
  </si>
  <si>
    <t>Rol TQ108/900/20/990-SW12x15</t>
  </si>
  <si>
    <t>29,100</t>
  </si>
  <si>
    <t>25,770</t>
  </si>
  <si>
    <t>TQ 108/943/RVS20/980-SW14X9TE</t>
  </si>
  <si>
    <t>Rol TQ108/943/RVS20/980-SW14X9 - 3 mm vd kant</t>
  </si>
  <si>
    <t>44,390</t>
  </si>
  <si>
    <t>TQ 108/944/20/975-SW14X10TE</t>
  </si>
  <si>
    <t>Rol TQ108/944/20/975-SW14x10</t>
  </si>
  <si>
    <t>27,010</t>
  </si>
  <si>
    <t>TQ 108/945/20/980-SW15X14GRTE</t>
  </si>
  <si>
    <t>Rol TQ108/945/20/980-SW15x14-GROEN</t>
  </si>
  <si>
    <t>25,340</t>
  </si>
  <si>
    <t>TQ 108/945/20/982-SW15X13TE</t>
  </si>
  <si>
    <t>Rol TQ108/945/20/982-SW15x13</t>
  </si>
  <si>
    <t>TQ 108/950/20/980-SW14X10TE</t>
  </si>
  <si>
    <t>Rol TQ108/950/20/980-SW14x10</t>
  </si>
  <si>
    <t>TQ 108/950/20/982-SW14X10TE</t>
  </si>
  <si>
    <t>Rol TQ108/950/20/982-SW14x10</t>
  </si>
  <si>
    <t>26,400</t>
  </si>
  <si>
    <t>TQ Rol (H.D.P.E.) ; Rol Ø108 mm 950 mm, As Ø20mm 982mm SW14x10</t>
  </si>
  <si>
    <t>TQ Rolle (H.D.P.E.) ; Rolle Ø108 mm 950 mm, Achse Ø20mm 982mm SW14x10</t>
  </si>
  <si>
    <t>TQ Roll (H.D.P.E.) ; Roll Ø108 mm 950 mm, Axis Ø20mm 982mm SW14x10</t>
  </si>
  <si>
    <t>TQ Rouleau (H.D.P.E.) ; Rouleau Ø108 mm 950 mm, Axe Ø20mm 982mm SW14x10</t>
  </si>
  <si>
    <t>Rol lengte: 950 mm ; Rol diameter: Ø108 mm ; As lengte: 982 mm ; As diameter: Ø20 mm ; Sleutel: SW14x10</t>
  </si>
  <si>
    <t>Rolle Länge: 950 mm ; Rolle Durchmesser: Ø108 mm ; Achse Länge: 982 mm ; Achse Durchmesser: Ø20 mm ; Schlüssel: SW14x10</t>
  </si>
  <si>
    <t>Roll lenght: 950 mm ; Roll diameter: Ø108 mm ; Axis lenght: 982 mm ; Axis diameter: Ø20 mm ; Key: SW14x10</t>
  </si>
  <si>
    <t>Rouleau longueur: 950 mm ; Rouleau diamètre: Ø108 mm ; Axe longueur: 982 mm ; Axe diamètre: Ø20 mm ; Méplat: SW14x10</t>
  </si>
  <si>
    <t>TQ 108/950/20/982-SW14X9TE</t>
  </si>
  <si>
    <t>Rol TQ108/950/20/982-SW14x9</t>
  </si>
  <si>
    <t>TQ Rol (H.D.P.E.) ; Rol Ø108 mm 950 mm, As Ø20mm 982mm SW14x9</t>
  </si>
  <si>
    <t>TQ Rolle (H.D.P.E.) ; Rolle Ø108 mm 950 mm, Achse Ø20mm 982mm SW14x9</t>
  </si>
  <si>
    <t>TQ Roll (H.D.P.E.) ; Roll Ø108 mm 950 mm, Axis Ø20mm 982mm SW14x9</t>
  </si>
  <si>
    <t>TQ Rouleau (H.D.P.E.) ; Rouleau Ø108 mm 950 mm, Axe Ø20mm 982mm SW14x9</t>
  </si>
  <si>
    <t>Rol lengte: 950 mm ; Rol diameter: Ø108 mm ; As lengte: 982 mm ; As diameter: Ø20 mm ; Sleutel: SW14x9</t>
  </si>
  <si>
    <t>Rolle Länge: 950 mm ; Rolle Durchmesser: Ø108 mm ; Achse Länge: 982 mm ; Achse Durchmesser: Ø20 mm ; Schlüssel: SW14x9</t>
  </si>
  <si>
    <t>Roll lenght: 950 mm ; Roll diameter: Ø108 mm ; Axis lenght: 982 mm ; Axis diameter: Ø20 mm ; Key: SW14x9</t>
  </si>
  <si>
    <t>Rouleau longueur: 950 mm ; Rouleau diamètre: Ø108 mm ; Axe longueur: 982 mm ; Axe diamètre: Ø20 mm ; Méplat: SW14x9</t>
  </si>
  <si>
    <t>TQ 108/950/20/982-SW15X10GRTE</t>
  </si>
  <si>
    <t>Rol TQ108/950/20/982-SW15x10-GROEN</t>
  </si>
  <si>
    <t>24,900</t>
  </si>
  <si>
    <t>TQ 108/950/20/982-SW15X10TE</t>
  </si>
  <si>
    <t>Rol TQ108/950/20/982-SW15x10</t>
  </si>
  <si>
    <t>TQ Rol (H.D.P.E.) ; Rol Ø108 mm 950 mm, As Ø20mm 982mm SW15x10</t>
  </si>
  <si>
    <t>TQ Rolle (H.D.P.E.) ; Rolle Ø108 mm 950 mm, Achse Ø20mm 982mm SW15x10</t>
  </si>
  <si>
    <t>TQ Roll (H.D.P.E.) ; Roll Ø108 mm 950 mm, Axis Ø20mm 982mm SW15x10</t>
  </si>
  <si>
    <t>TQ Rouleau (H.D.P.E.) ; Rouleau Ø108 mm 950 mm, Axe Ø20mm 982mm SW15x10</t>
  </si>
  <si>
    <t>Rol lengte: 950 mm ; Rol diameter: Ø108 mm ; As lengte: 982 mm ; As diameter: Ø20 mm ; Sleutel: SW15x10</t>
  </si>
  <si>
    <t>Rolle Länge: 950 mm ; Rolle Durchmesser: Ø108 mm ; Achse Länge: 982 mm ; Achse Durchmesser: Ø20 mm ; Schlüssel: SW15x10</t>
  </si>
  <si>
    <t>Roll lenght: 950 mm ; Roll diameter: Ø108 mm ; Axis lenght: 982 mm ; Axis diameter: Ø20 mm ; Key: SW15x10</t>
  </si>
  <si>
    <t>Rouleau longueur: 950 mm ; Rouleau diamètre: Ø108 mm ; Axe longueur: 982 mm ; Axe diamètre: Ø20 mm ; Méplat: SW15x10</t>
  </si>
  <si>
    <t>TQ 108/950/20/982-SW15X13GRTE</t>
  </si>
  <si>
    <t>Rol TQ108/950/20/982-SW15x13-GROEN</t>
  </si>
  <si>
    <t>TQ 108/960/20/1000-SW15X10TE</t>
  </si>
  <si>
    <t>Rol TQ108/960/20/1000-SW15X10</t>
  </si>
  <si>
    <t>27,550</t>
  </si>
  <si>
    <t>TQ 108/960/20/1000-SW15X15TE</t>
  </si>
  <si>
    <t>Rol TQ108/960/20/1000-SW15X15</t>
  </si>
  <si>
    <t>28,990</t>
  </si>
  <si>
    <t>TQ 108/960/RVS20/1000SW15X10TE</t>
  </si>
  <si>
    <t>Rol TQ108/960/RVS20/1000-SW15x10-RVS304+RVS Lagers</t>
  </si>
  <si>
    <t>42,370</t>
  </si>
  <si>
    <t>TQ 108/989/20/1026-SW15X13GRTE</t>
  </si>
  <si>
    <t>Rol TQ108/989/20/1026-SW15x13-GROEN</t>
  </si>
  <si>
    <t>28,390</t>
  </si>
  <si>
    <t>TQ 133/1000/25/1095-RIV+SWGRTE</t>
  </si>
  <si>
    <t>Rol TQ133/1000/25/1095-Rivet + SW15X20-GROEN</t>
  </si>
  <si>
    <t>44,640</t>
  </si>
  <si>
    <t>TQ 133/1109/30/1180-SW22X30GTE</t>
  </si>
  <si>
    <t>Rol TQ133/1109/30/1180-SW22X30-GROEN</t>
  </si>
  <si>
    <t>49,710</t>
  </si>
  <si>
    <t>TQ 133/1109/30/1180-SW22X30TE</t>
  </si>
  <si>
    <t>Rol TQ133/1109/30/1180-SW22X30</t>
  </si>
  <si>
    <t>52,530</t>
  </si>
  <si>
    <t>TQ 133/1114/30/1180-SW22X30GTE</t>
  </si>
  <si>
    <t>Rol TQ133/1114/30/118-SW22X30-GROEN</t>
  </si>
  <si>
    <t>21,220</t>
  </si>
  <si>
    <t>48,890</t>
  </si>
  <si>
    <t>TQ 133/1115/25/1180-SW14X16TE</t>
  </si>
  <si>
    <t>Rol TQ133/1115/25/1180-SW14X16 - Teruggedraaide as einde</t>
  </si>
  <si>
    <t>47,950</t>
  </si>
  <si>
    <t>TQ 133/1115/25/1180-SW-14X16TE</t>
  </si>
  <si>
    <t>Rol TQ133/1115/25/1180-SW14X16</t>
  </si>
  <si>
    <t>54,210</t>
  </si>
  <si>
    <t>TQ 133/1115/25/1180-SW22X13TE</t>
  </si>
  <si>
    <t>Rol TQ133/1115/25/1180-SW22X13</t>
  </si>
  <si>
    <t>47,240</t>
  </si>
  <si>
    <t>TQ 133/1120/30/1180-SW22X16TE</t>
  </si>
  <si>
    <t>Rol TQ133/1120/30/1180-SW22X16</t>
  </si>
  <si>
    <t>49,180</t>
  </si>
  <si>
    <t>TQ 133/1144/30/1200-SW22X22TE</t>
  </si>
  <si>
    <t>Rol TQ133/1144/30/1200-SW22x22</t>
  </si>
  <si>
    <t>TQ 133/1150/25/1182-SW15X13GTE</t>
  </si>
  <si>
    <t>Rol TQ133/1150/25/1182-SW15x13-GROEN</t>
  </si>
  <si>
    <t>46,800</t>
  </si>
  <si>
    <t>TQ 133/1150/25/1182-SW18X13GTE</t>
  </si>
  <si>
    <t>Rol TQ133/1150/25/1182-SW18x13-GROEN</t>
  </si>
  <si>
    <t>TQ 133/1150/25/1182-SW18X13TE</t>
  </si>
  <si>
    <t>Rol TQ133/1150/25/1182-SW18x13</t>
  </si>
  <si>
    <t>11-03_TQ Roller HDPE Ø 133</t>
  </si>
  <si>
    <t>TQ Rol (H.D.P.E.) ; Rol Ø133 mm 1150 mm, As Ø25mm 1182mm SW18x13</t>
  </si>
  <si>
    <t>TQ Rolle (H.D.P.E.) ; Rolle Ø133 mm 1150 mm, Achse Ø25mm 1182mm SW18x13</t>
  </si>
  <si>
    <t>TQ Roll (H.D.P.E.) ; Roll Ø133 mm 1150 mm, Axis Ø25mm 1182mm SW18x13</t>
  </si>
  <si>
    <t>TQ Rouleau (H.D.P.E.) ; Rouleau Ø133 mm 1150 mm, Axe Ø25mm 1182mm SW18x13</t>
  </si>
  <si>
    <t>Rol lengte: 1150 mm ; Rol diameter: Ø133 mm ; As lengte: 1182 mm ; As diameter: Ø25 mm ; Sleutel: SW18x13</t>
  </si>
  <si>
    <t>Rolle Länge: 1150 mm ; Rolle Durchmesser: Ø133 mm ; Achse Länge: 1182 mm ; Achse Durchmesser: Ø25 mm ; Schlüssel: SW18x13</t>
  </si>
  <si>
    <t>Roll lenght: 1150 mm ; Roll diameter: Ø133 mm ; Axis lenght: 1182 mm ; Axis diameter: Ø25 mm ; Key: SW18x13</t>
  </si>
  <si>
    <t>Rouleau longueur: 1150 mm ; Rouleau diamètre: Ø133 mm ; Axe longueur:1182 mm ; Axe diamètre: Ø25 mm ; Méplat: SW18x13</t>
  </si>
  <si>
    <t>TQ 133/1150/30/1182-SW14X10TE</t>
  </si>
  <si>
    <t>Rol TQ133/1150/30/1182-SW14x10</t>
  </si>
  <si>
    <t>TQ Rol (H.D.P.E.) ; Rol Ø133 mm 1150 mm, As Ø30mm 1182mm SW14x10</t>
  </si>
  <si>
    <t>TQ Rolle (H.D.P.E.) ; Rolle Ø133 mm 1150 mm, Achse Ø30mm 1182mm SW14x10</t>
  </si>
  <si>
    <t>TQ Roll (H.D.P.E.) ; Roll Ø133 mm 1150 mm, Axis Ø30mm 1182mm SW14x10</t>
  </si>
  <si>
    <t>TQ Rouleau (H.D.P.E.) ; Rouleau Ø133 mm 1150 mm, Axe Ø30mm 1182mm SW14x10</t>
  </si>
  <si>
    <t>Rol lengte: 1150 mm ; Rol diameter: Ø133 mm ; As lengte: 1182 mm ; As diameter: Ø30 mm ; Sleutel: SW14x10</t>
  </si>
  <si>
    <t>Rolle Länge: 1150 mm ; Rolle Durchmesser: Ø133 mm ; Achse Länge: 1182 mm ; Achse Durchmesser: Ø30 mm ; Schlüssel: SW14x10</t>
  </si>
  <si>
    <t>Roll lenght: 1150 mm ; Roll diameter: Ø133 mm ; Axis lenght: 1182 mm ; Axis diameter: Ø30 mm ; Key: SW14x10</t>
  </si>
  <si>
    <t>Rouleau longueur: 1150 mm ; Rouleau diamètre: Ø133 mm ; Axe longueur:1182 mm ; Axe diamètre: Ø30 mm ; Méplat: SW14x10</t>
  </si>
  <si>
    <t>TQ 133/1313/25/1380-SW14X16TE</t>
  </si>
  <si>
    <t>Rol TQ133/1313/25/1380-SW14x16</t>
  </si>
  <si>
    <t>52,450</t>
  </si>
  <si>
    <t>TQ 133/1350/25/1430-SW14X9TE</t>
  </si>
  <si>
    <t>Rol TQ133/1350/25/1430-SW14X9</t>
  </si>
  <si>
    <t>TQ 133/1395/25/1434-SW14X9-4TE</t>
  </si>
  <si>
    <t>Rol TQ133/1395/25/1434-SW14X9 - 4 mm vd kant</t>
  </si>
  <si>
    <t>56,650</t>
  </si>
  <si>
    <t>TQ 133/1397/25/1434-RIVET+SWTE</t>
  </si>
  <si>
    <t>Rol TQ133/1397/25/1434-Rivet + SW14x9</t>
  </si>
  <si>
    <t>65,320</t>
  </si>
  <si>
    <t>TQ 133/1698/30/1741-SW22X16TE</t>
  </si>
  <si>
    <t>Rol TQ133/1698/30/1741-SW22X16</t>
  </si>
  <si>
    <t>78,670</t>
  </si>
  <si>
    <t>TQ 133/1715/25/1780-SW14X16TE</t>
  </si>
  <si>
    <t>Rol TQ133/1715/25/1780-SW14X16</t>
  </si>
  <si>
    <t>75,030</t>
  </si>
  <si>
    <t>TQ 133/1783/25/1826-5MMGRTE</t>
  </si>
  <si>
    <t>Rol TQ133/1783/25/1826-SW15X10 - 5 mm vd kant - GROEN</t>
  </si>
  <si>
    <t>88,120</t>
  </si>
  <si>
    <t>TQ 133/1900/30/1965-SW22X16TE</t>
  </si>
  <si>
    <t>Rol TQ133/1900/30/1965-SW22X16</t>
  </si>
  <si>
    <t>87,960</t>
  </si>
  <si>
    <t>TQ 133/2000/30/2065-SW22X16TE</t>
  </si>
  <si>
    <t>Rol TQ133/2000/30/2065-SW22X16</t>
  </si>
  <si>
    <t>78,810</t>
  </si>
  <si>
    <t>TQ 133/2015/30/2075-SW22X13TE</t>
  </si>
  <si>
    <t>Rol TQ133/2015/30/2075-SW22X13</t>
  </si>
  <si>
    <t>93,790</t>
  </si>
  <si>
    <t>TQ 133/2020/30/2070-M14X25GRTE</t>
  </si>
  <si>
    <t>Rol TQ133/2020/30/2070- 3mm vd kant + IWD M14X25 - GROEN</t>
  </si>
  <si>
    <t>118,380</t>
  </si>
  <si>
    <t>TQ 133/2020/30/2070-SW22X18GTE</t>
  </si>
  <si>
    <t>Rol TQ133/2020/30/2070-SW22X18+ inw. M14x25 - GROEN</t>
  </si>
  <si>
    <t>TQ 133/2020/40/2070-SW22X14TE</t>
  </si>
  <si>
    <t>Rol TQ133/2020/40/2070-SW22X14-As einde Ø30</t>
  </si>
  <si>
    <t>141,920</t>
  </si>
  <si>
    <t>TQ 133/215/25/255-SW17X13GRTE</t>
  </si>
  <si>
    <t>Rol TQ133/215/25/255-SW17X13-GROEN</t>
  </si>
  <si>
    <t>16,630</t>
  </si>
  <si>
    <t>TQ 133/240/25/285-SW18X17TE</t>
  </si>
  <si>
    <t>Rol TQ133/240/25/285-SW18X17</t>
  </si>
  <si>
    <t>18,470</t>
  </si>
  <si>
    <t>TQ 133/250/25/276-ONBEWERKTTE</t>
  </si>
  <si>
    <t>Rol TQ133/250/25/276-onbewerkt</t>
  </si>
  <si>
    <t>15,930</t>
  </si>
  <si>
    <t>TQ 133/250/30/276-SW14X10BLTE</t>
  </si>
  <si>
    <t>Rol TQ133/250/30/276-SW14X10- Blauw</t>
  </si>
  <si>
    <t>TQ 133/310/25/347-SW18X13TE</t>
  </si>
  <si>
    <t>Rol TQ133/310/25/347-SW18X13</t>
  </si>
  <si>
    <t>TQ 133/312/25/345-SW14X11TE</t>
  </si>
  <si>
    <t>Rol TQ133/312/25/345-SW14X11</t>
  </si>
  <si>
    <t>19,750</t>
  </si>
  <si>
    <t>TQ 133/315/25/341-SW14X9TE</t>
  </si>
  <si>
    <t>Rol TQ133/315/25/341-SW14X9</t>
  </si>
  <si>
    <t>TQ Rol (H.D.P.E.) ; Rol Ø133 mm 315 mm, As Ø25mm 341mm SW14x9</t>
  </si>
  <si>
    <t>TQ Rolle (H.D.P.E.) ; Rolle Ø133 mm 315 mm, Achse Ø25mm 341mm SW14x9</t>
  </si>
  <si>
    <t>TQ Roll (H.D.P.E.) ; Roll Ø133 mm 315 mm, Axis Ø25mm 341mm SW14x9</t>
  </si>
  <si>
    <t>TQ Rouleau (H.D.P.E.) ; Rouleau Ø133 mm 315 mm, Axe Ø25mm 341mm SW14x9</t>
  </si>
  <si>
    <t>Rol lengte: 315 mm ; Rol diameter: Ø133 mm ; As lengte: 341 mm ; As diameter: Ø25 mm ; Sleutel: SW14x9</t>
  </si>
  <si>
    <t>Rolle Länge: 315 mm ; Rolle Durchmesser: Ø133 mm ; Achse Länge: 341 mm ; Achse Durchmesser: Ø25 mm ; Schlüssel: SW14x9</t>
  </si>
  <si>
    <t>Roll lenght: 315 mm ; Roll diameter: Ø133 mm ; Axis lenght: 341 mm ; Axis diameter: Ø25 mm ; Key: SW 14x9</t>
  </si>
  <si>
    <t>Rouleau longueur: 315 mm ; Rouleau diamètre: Ø133 mm ; Axe longueur:341 mm ; Axe diamètre: Ø25 mm ; Méplat: SW14x9</t>
  </si>
  <si>
    <t>TQ 133/315/25/341-SW18X10TE</t>
  </si>
  <si>
    <t>Rol TQ133/315/25/341-SW18X10</t>
  </si>
  <si>
    <t>TQ 133/315/RVS25/341-SW15X10TE</t>
  </si>
  <si>
    <t>Rol TQ133/315/RVS25/341-SW15X10-RVS304</t>
  </si>
  <si>
    <t>34,790</t>
  </si>
  <si>
    <t>TQ 133/345/25/386-SW17X10.5TE</t>
  </si>
  <si>
    <t>Rol TQ133/345/25/386-SW17x10.5</t>
  </si>
  <si>
    <t>19,600</t>
  </si>
  <si>
    <t>TQ 133/345/25/395-SW17X15GRTE</t>
  </si>
  <si>
    <t>Rol TQ133/345/25/395-SW17x15-GROEN</t>
  </si>
  <si>
    <t>TQ 133/355/25/386-SW14X10GRTE</t>
  </si>
  <si>
    <t>Rol TQ133/355/25/366-SW14X10-GROEN</t>
  </si>
  <si>
    <t>19,980</t>
  </si>
  <si>
    <t>TQ 133/355/25/386-SW14X10TE</t>
  </si>
  <si>
    <t>Rol TQ133/355/25/386-SW14X10</t>
  </si>
  <si>
    <t>20,400</t>
  </si>
  <si>
    <t>TQ 133/355/25-20/386-SW14X12TE</t>
  </si>
  <si>
    <t>TQ 133/355/25-20/386-SW14X12 as 25-20</t>
  </si>
  <si>
    <t>19,990</t>
  </si>
  <si>
    <t>TQ 133/358/25/400-SW14X10TE</t>
  </si>
  <si>
    <t>Rol TQ133/358/25/400-SW14x10</t>
  </si>
  <si>
    <t>21,020</t>
  </si>
  <si>
    <t>TQ 133/360/25/418-SW18X12TE</t>
  </si>
  <si>
    <t>Rol TQ133/360/25/418-SW18X12</t>
  </si>
  <si>
    <t>TQ 133/365/25/406-SW14X9TE</t>
  </si>
  <si>
    <t>Rol TQ133/365/25/406-SW14X9</t>
  </si>
  <si>
    <t>TQ 133/369/25/406-SW18X13TE</t>
  </si>
  <si>
    <t>Rol TQ133/369/25/406-SW18X13</t>
  </si>
  <si>
    <t>24,170</t>
  </si>
  <si>
    <t>TQ 133/375/25/412-SW18X13TE</t>
  </si>
  <si>
    <t>Rol TQ133/375/25/412-SW18X13</t>
  </si>
  <si>
    <t>20,800</t>
  </si>
  <si>
    <t>TQ 133/375/25/541-SW14X10TE</t>
  </si>
  <si>
    <t>Rol TQ133/375/25/541-SW14X10 - K1: As onbewerkt</t>
  </si>
  <si>
    <t>TQ 133/375/RVS25/406-SW18X10TE</t>
  </si>
  <si>
    <t>Rol TQ133/375/RVS25/406-SW18X10-RVS304</t>
  </si>
  <si>
    <t>TQ 133/377/25/406-SW14X9TE</t>
  </si>
  <si>
    <t>TQ 133/380/25/406-SW14X9TE</t>
  </si>
  <si>
    <t>Rol TQ133/380/25/406-SW14X9</t>
  </si>
  <si>
    <t>TQ Rol (H.D.P.E.) ; Rol Ø133 mm 380 mm, As Ø25mm 406mm SW14x9</t>
  </si>
  <si>
    <t>TQ Rolle (H.D.P.E.) ; Rolle Ø133 mm 380 mm, Achse Ø25mm 406mm SW14x9</t>
  </si>
  <si>
    <t>TQ Roll (H.D.P.E.) ; Roll Ø133 mm 380 mm, Axis Ø25mm 406mm SW14x9</t>
  </si>
  <si>
    <t>TQ Rouleau (H.D.P.E.) ; Rouleau Ø133 mm 380 mm, Axe Ø25mm 406mm SW14x9</t>
  </si>
  <si>
    <t>Rol lengte: 380 mm ; Rol diameter: Ø133 mm ; As lengte: 406 mm ; As diameter: Ø25 mm ; Sleutel: SW14x9</t>
  </si>
  <si>
    <t>Rolle Länge: 380 mm ; Rolle Durchmesser: Ø133 mm ; Achse Länge: 406 mm ; Achse Durchmesser: Ø25 mm ; Schlüssel: SW14x9</t>
  </si>
  <si>
    <t>Roll lenght: 380 mm ; Roll diameter: Ø133 mm ; Axis lenght: 406 mm ; Axis diameter: Ø25 mm ; Key: SW 14x9</t>
  </si>
  <si>
    <t>Rouleau longueur: 380 mm ; Rouleau diamètre: Ø133 mm ; Axe longueur:406 mm ; Axe diamètre: Ø25 mm ; Méplat: SW14x9</t>
  </si>
  <si>
    <t>TQ 133/380/25/406-SW15X10GRTE</t>
  </si>
  <si>
    <t>Rol TQ133/380/25/406-SW15X10-GROEN</t>
  </si>
  <si>
    <t>22,000</t>
  </si>
  <si>
    <t>TQ 133/380/25/406-SW18X10TE</t>
  </si>
  <si>
    <t>Rol TQ133/380/25/406-SW18x10</t>
  </si>
  <si>
    <t>TQ Rol (H.D.P.E.) ; Rol Ø133 mm 380 mm, As Ø25mm 406mm SW18x10</t>
  </si>
  <si>
    <t>TQ Rolle (H.D.P.E.) ; Rolle Ø133 mm 380 mm, Achse Ø25mm 406mm SW18x10</t>
  </si>
  <si>
    <t>TQ Roll (H.D.P.E.) ; Roll Ø133 mm 380 mm, Axis Ø25mm 406mm SW18x10</t>
  </si>
  <si>
    <t>TQ Rouleau (H.D.P.E.) ; Rouleau Ø133 mm 380 mm, Axe Ø25mm 406mm SW18x10</t>
  </si>
  <si>
    <t>Rol lengte: 380 mm ; Rol diameter: Ø133 mm ; As lengte: 406 mm ; As diameter: Ø25 mm ; Sleutel: SW18x10</t>
  </si>
  <si>
    <t>Rolle Länge: 380 mm ; Rolle Durchmesser: Ø133 mm ; Achse Länge: 406 mm ; Achse Durchmesser: Ø25 mm ; Schlüssel: SW18x10</t>
  </si>
  <si>
    <t>Roll lenght: 380 mm ; Roll diameter: Ø133 mm ; Axis lenght: 406 mm ; Axis diameter: Ø25 mm ; Key: SW 18x10</t>
  </si>
  <si>
    <t>Rouleau longueur: 380 mm ; Rouleau diamètre: Ø133 mm ; Axe longueur:406 mm ; Axe diamètre: Ø25 mm ; Méplat: SW18x10</t>
  </si>
  <si>
    <t>TQ 133/380/25/406-SW18X13TE</t>
  </si>
  <si>
    <t>Rol TQ133/380/25/406-SW18X13</t>
  </si>
  <si>
    <t>TQ Rol (H.D.P.E.) ; Rol Ø133 mm 380 mm, As Ø25mm 406mm SW18x13</t>
  </si>
  <si>
    <t>TQ Rolle (H.D.P.E.) ; Rolle Ø133 mm 380 mm, Achse Ø25mm 406mm SW18x13</t>
  </si>
  <si>
    <t>TQ Roll (H.D.P.E.) ; Roll Ø133 mm 380 mm, Axis Ø25mm 406mm SW18x13</t>
  </si>
  <si>
    <t>TQ Rouleau (H.D.P.E.) ; Rouleau Ø133 mm 380 mm, Axe Ø25mm 406mm SW18x13</t>
  </si>
  <si>
    <t>Rol lengte: 380 mm ; Rol diameter: Ø133 mm ; As lengte: 406 mm ; As diameter: Ø25 mm ; Sleutel: SW18x13</t>
  </si>
  <si>
    <t>Rolle Länge: 380 mm ; Rolle Durchmesser: Ø133 mm ; Achse Länge: 406 mm ; Achse Durchmesser: Ø25 mm ; Schlüssel: SW18x13</t>
  </si>
  <si>
    <t>Roll lenght: 380 mm ; Roll diameter: Ø133 mm ; Axis lenght: 406 mm ; Axis diameter: Ø25 mm ; Key: SW 18x13</t>
  </si>
  <si>
    <t>Rouleau longueur: 380 mm ; Rouleau diamètre: Ø133 mm ; Axe longueur:406 mm ; Axe diamètre: Ø25 mm ; Méplat: SW18x13</t>
  </si>
  <si>
    <t>TQ 133/380/25/410-SW14X10GRTE</t>
  </si>
  <si>
    <t>Rol TQ133/380/25/410-SW14x10-GROEN</t>
  </si>
  <si>
    <t>21,080</t>
  </si>
  <si>
    <t>TQ 133/380/30/406-SW14X10TE</t>
  </si>
  <si>
    <t>Rol TQ133/380/30/406-SW14X10</t>
  </si>
  <si>
    <t>TQ Rol (H.D.P.E.) ; Rol Ø133 mm 380 mm, As Ø30mm 406mm SW14x10</t>
  </si>
  <si>
    <t>TQ Rolle (H.D.P.E.) ; Rolle Ø133 mm 380 mm, Achse Ø30mm 406mm SW14x10</t>
  </si>
  <si>
    <t>TQ Roll (H.D.P.E.) ; Roll Ø133 mm 380 mm, Axis Ø30mm 406mm SW14x10</t>
  </si>
  <si>
    <t>TQ Rouleau (H.D.P.E.) ; Rouleau Ø133 mm 380 mm, Axe Ø30mm 406mm SW14x10</t>
  </si>
  <si>
    <t>Rol lengte: 380 mm ; Rol diameter: Ø133 mm ; As lengte: 406 mm ; As diameter: Ø30 mm ; Sleutel: SW14x10</t>
  </si>
  <si>
    <t>Rolle Länge: 380 mm ; Rolle Durchmesser: Ø133 mm ; Achse Länge: 406 mm ; Achse Durchmesser: Ø30 mm ; Schlüssel: SW14x10</t>
  </si>
  <si>
    <t>Roll lenght: 380 mm ; Roll diameter: Ø133 mm ; Axis lenght: 406 mm ; Axis diameter: Ø30 mm ; Key: SW 14x10</t>
  </si>
  <si>
    <t>Rouleau longueur: 380 mm ; Rouleau diamètre: Ø133 mm ; Axe longueur:406 mm ; Axe diamètre: ø30 mm ; Méplat: SW14x10</t>
  </si>
  <si>
    <t>TQ 133/390/25/440-SW15X10TE</t>
  </si>
  <si>
    <t>Rol TQ133/390/25/440-SW15X10</t>
  </si>
  <si>
    <t>29,950</t>
  </si>
  <si>
    <t>TQ 133/412/25/451-SW14X10TE</t>
  </si>
  <si>
    <t>Rol TQ133/412/25/451-SW14X10</t>
  </si>
  <si>
    <t>21,740</t>
  </si>
  <si>
    <t>TQ 133/425/25/456-SW14X10GRTE</t>
  </si>
  <si>
    <t>Rol TQ133/425/25/456-SW14X10-GROEN</t>
  </si>
  <si>
    <t>21,560</t>
  </si>
  <si>
    <t>TQ 133/425/25/456-SW14X10TE</t>
  </si>
  <si>
    <t>Rol TQ133/425/25/456-SW14x10</t>
  </si>
  <si>
    <t>TQ 133/430/25/460-SW14X10TE</t>
  </si>
  <si>
    <t>Rol TQ133/430/25/460-SW14X10</t>
  </si>
  <si>
    <t>TQ 133/455/25/490-SW14X10TE</t>
  </si>
  <si>
    <t>Rol TQ133/455/25/490-SW14X10</t>
  </si>
  <si>
    <t>22,400</t>
  </si>
  <si>
    <t>TQ 133/455/25/491-SW15X10GRTE</t>
  </si>
  <si>
    <t>Rol TQ133/455/25/491-SW15X10-GROEN</t>
  </si>
  <si>
    <t>29,970</t>
  </si>
  <si>
    <t>TQ 133/458/30/495-SW18X13TE</t>
  </si>
  <si>
    <t>Rol TQ133/458/30/495-SW18X13</t>
  </si>
  <si>
    <t>23,990</t>
  </si>
  <si>
    <t>TQ 133/460/25/491-SW15X10GTE</t>
  </si>
  <si>
    <t>Rol TQ133/460/25/491-SW15X10-GROEN</t>
  </si>
  <si>
    <t>TQ 133/462/25/497-SW14X12TE</t>
  </si>
  <si>
    <t>Rol TQ133/462/25/497-SW14X12</t>
  </si>
  <si>
    <t>TQ 133/465/25/491-SW14X10TE</t>
  </si>
  <si>
    <t>Rol TQ133/465/25/491-SW14X10</t>
  </si>
  <si>
    <t>29,120</t>
  </si>
  <si>
    <t>TQ Rol (H.D.P.E.) ; Rol Ø133 mm 465 mm, As Ø25mm 491mm SW14x10</t>
  </si>
  <si>
    <t>TQ Rolle (H.D.P.E.) ; Rolle Ø133 mm 465 mm, Achse Ø25mm 491mm SW14x10</t>
  </si>
  <si>
    <t>TQ Roll (H.D.P.E.) ; Roll Ø133 mm 465 mm, Axis Ø25mm 491mm SW14x10</t>
  </si>
  <si>
    <t>TQ Rouleau (H.D.P.E.) ; Rouleau Ø133 mm 465 mm, Axe Ø25mm 491mm SW14x10</t>
  </si>
  <si>
    <t>Rol lengte: 465 mm ; Rol diameter: Ø133 mm ; As lengte: 491 mm ; As diameter: Ø25 mm ; Sleutel: SW14x10</t>
  </si>
  <si>
    <t>Rolle Länge: 465 mm ; Rolle Durchmesser: Ø133 mm ; Achse Länge: 491 mm ; Achse Durchmesser: Ø25 mm ; Schlüssel: SW14x10</t>
  </si>
  <si>
    <t>Roll lenght: 465 mm ; Roll diameter: Ø133 mm ; Axis lenght: 491 mm ; Axis diameter: Ø25 mm ; Key: SW 14x10</t>
  </si>
  <si>
    <t>Rouleau longueur: 465 mm ; Rouleau diamètre: Ø133 mm ; Axe longueur:491 mm ; Axe diamètre: Ø25 mm ; Méplat: SW14x10</t>
  </si>
  <si>
    <t>TQ 133/465/25/491-SW14X9TE</t>
  </si>
  <si>
    <t>Rol TQ133/465/25/491-SW14X9</t>
  </si>
  <si>
    <t>22,930</t>
  </si>
  <si>
    <t>TQ Rol (H.D.P.E.) ; Rol Ø133 mm 465 mm, As Ø25mm 491mm SW14x9</t>
  </si>
  <si>
    <t>TQ Rolle (H.D.P.E.) ; Rolle Ø133 mm 465 mm, Achse Ø25mm 491mm SW14x9</t>
  </si>
  <si>
    <t>TQ Roll (H.D.P.E.) ; Roll Ø133 mm 465 mm, Axis Ø25mm 491mm SW14x9</t>
  </si>
  <si>
    <t>TQ Rouleau (H.D.P.E.) ; Rouleau Ø133 mm 465 mm, Axe Ø25mm 491mm SW14x9</t>
  </si>
  <si>
    <t>Rol lengte: 465 mm ; Rol diameter: Ø133 mm ; As lengte: 491 mm ; As diameter: Ø25 mm ; Sleutel: SW14x9</t>
  </si>
  <si>
    <t>Rolle Länge: 465 mm ; Rolle Durchmesser: Ø133 mm ; Achse Länge: 491 mm ; Achse Durchmesser: Ø25 mm ; Schlüssel: SW14x9</t>
  </si>
  <si>
    <t>Roll lenght: 465 mm ; Roll diameter: Ø133 mm ; Axis lenght: 491 mm ; Axis diameter: Ø25 mm ; Key: SW 14x9</t>
  </si>
  <si>
    <t>Rouleau longueur: 465 mm ; Rouleau diamètre: Ø133 mm ; Axe longueur:491 mm ; Axe diamètre: Ø25 mm ; Méplat: SW14x9</t>
  </si>
  <si>
    <t>TQ 133/465/25/491-SW15X10GRTE</t>
  </si>
  <si>
    <t>Rol TQ133/465/25/491-SW15X10-GROEN</t>
  </si>
  <si>
    <t>TQ 133/465/25/491-SW18X10TE</t>
  </si>
  <si>
    <t>Rol TQ133/465/25/491-SW18X10</t>
  </si>
  <si>
    <t>25,690</t>
  </si>
  <si>
    <t>TQ Rol (H.D.P.E.) ; Rol Ø133 mm 465 mm, As Ø25mm 491mm SW18x10</t>
  </si>
  <si>
    <t>TQ Rolle (H.D.P.E.) ; Rolle Ø133 mm 465 mm, Achse Ø25mm 491mm SW18x10</t>
  </si>
  <si>
    <t>TQ Roll (H.D.P.E.) ; Roll Ø133 mm 465 mm, Axis Ø25mm 491mm SW18x10</t>
  </si>
  <si>
    <t>TQ Rouleau (H.D.P.E.) ; Rouleau Ø133 mm 465 mm, Axe Ø25mm 491mm SW18x10</t>
  </si>
  <si>
    <t>Rol lengte: 465 mm ; Rol diameter: Ø133 mm ; As lengte: 491 mm ; As diameter: Ø25 mm ; Sleutel: SW18x10</t>
  </si>
  <si>
    <t>Rolle Länge: 465 mm ; Rolle Durchmesser: Ø133 mm ; Achse Länge: 491 mm ; Achse Durchmesser: Ø25 mm ; Schlüssel: SW18x10</t>
  </si>
  <si>
    <t>Roll lenght: 465 mm ; Roll diameter: Ø133 mm ; Axis lenght: 491 mm ; Axis diameter: Ø25 mm ; Key: SW 18x10</t>
  </si>
  <si>
    <t>Rouleau longueur: 465 mm ; Rouleau diamètre: Ø133 mm ; Axe longueur:491 mm ; Axe diamètre: Ø25 mm ; Méplat: SW18x13</t>
  </si>
  <si>
    <t>TQ 133/465/25/491-SW18X13TE</t>
  </si>
  <si>
    <t>Rol TQ133/465/25/491-SW18x13</t>
  </si>
  <si>
    <t>22,680</t>
  </si>
  <si>
    <t>TQ Rol (H.D.P.E.) ; Rol Ø133 mm 465 mm, As Ø25mm 491mm SW18x13</t>
  </si>
  <si>
    <t>TQ Rolle (H.D.P.E.) ; Rolle Ø133 mm 465 mm, Achse Ø25mm 491mm SW18x13</t>
  </si>
  <si>
    <t>TQ Roll (H.D.P.E.) ; Roll Ø133 mm 465 mm, Axis Ø25mm 491mm SW18x13</t>
  </si>
  <si>
    <t>TQ Rouleau (H.D.P.E.) ; Rouleau Ø133 mm 465 mm, Axe Ø25mm 491mm SW18x13</t>
  </si>
  <si>
    <t>Rol lengte: 465 mm ; Rol diameter: Ø133 mm ; As lengte: 491 mm ; As diameter: Ø25 mm ; Sleutel: SW18x13</t>
  </si>
  <si>
    <t>Rolle Länge: 465 mm ; Rolle Durchmesser: Ø133 mm ; Achse Länge: 491 mm ; Achse Durchmesser: Ø25 mm ; Schlüssel: SW18x13</t>
  </si>
  <si>
    <t>Roll lenght: 465 mm ; Roll diameter: Ø133 mm ; Axis lenght: 491 mm ; Axis diameter: Ø25 mm ; Key: SW 18x13</t>
  </si>
  <si>
    <t>TQ 133/465/30/491-SW18X13TE</t>
  </si>
  <si>
    <t>Rol TQ133/465/30/491-SW18x13</t>
  </si>
  <si>
    <t>23,510</t>
  </si>
  <si>
    <t>TQ Rol (H.D.P.E.) ; Rol Ø133 mm 465 mm, As Ø30mm 491mm SW18x13</t>
  </si>
  <si>
    <t>TQ Rolle (H.D.P.E.) ; Rolle Ø133 mm 465 mm, Achse Ø30mm 491mm SW18x13</t>
  </si>
  <si>
    <t>TQ Roll (H.D.P.E.) ; Roll Ø133 mm 465 mm, Axis Ø30mm 491mm SW18x13</t>
  </si>
  <si>
    <t>TQ Rouleau (H.D.P.E.) ; Rouleau Ø133 mm 465 mm, Axe Ø30mm 491mm SW18x13</t>
  </si>
  <si>
    <t>Rol lengte: 465 mm ; Rol diameter: Ø133 mm ; As lengte: 491 mm ; As diameter: Ø30 mm ; Sleutel: SW18x13</t>
  </si>
  <si>
    <t>Rolle Länge: 465 mm ; Rolle Durchmesser: Ø133 mm ; Achse Länge: 491 mm ; Achse Durchmesser: Ø30 mm ; Schlüssel: SW18x13</t>
  </si>
  <si>
    <t>Roll lenght: 465 mm ; Roll diameter: Ø133 mm ; Axis lenght: 491 mm ; Axis diameter: Ø30 mm ; Key: SW 18x13</t>
  </si>
  <si>
    <t>Rouleau longueur: 465 mm ; Rouleau diamètre: Ø133 mm ; Axe longueur:491 mm ; Axe diamètre: Ø30 mm ; Méplat: SW18x13</t>
  </si>
  <si>
    <t>TQ 133/495/25/565-SW15X10TE</t>
  </si>
  <si>
    <t>Rol TQ133/495/25/565-SW15X10</t>
  </si>
  <si>
    <t>24,450</t>
  </si>
  <si>
    <t>TQ 133/595/25/630-SW18X12TE</t>
  </si>
  <si>
    <t>Rol TQ133/595/25/630-SW18X12</t>
  </si>
  <si>
    <t>30,160</t>
  </si>
  <si>
    <t>TQ 133/650/30/676-SW14X10TE</t>
  </si>
  <si>
    <t>Rol TQ133/650/30/676-SW14x10</t>
  </si>
  <si>
    <t>TQ 133/655/25/695-SW15X13TE</t>
  </si>
  <si>
    <t>Rol TQ133/655/25/695-SW15x13</t>
  </si>
  <si>
    <t>TQ 133/658/25/695-SW15X13TE</t>
  </si>
  <si>
    <t>Rol TQ133/658/25/695-SW15x13</t>
  </si>
  <si>
    <t>29,920</t>
  </si>
  <si>
    <t>TQ 133/660/25/691-SW15X10GRTE</t>
  </si>
  <si>
    <t>Rol TQ133/660/25/691-SW15X10-GROEN</t>
  </si>
  <si>
    <t>32,200</t>
  </si>
  <si>
    <t>TQ 133/660/25/695-SW15X10GRTE</t>
  </si>
  <si>
    <t>Rol TQ133/660/25/695-SW15X10-GROEN</t>
  </si>
  <si>
    <t>32,440</t>
  </si>
  <si>
    <t>TQ 133/660/25/699-SW14X12TE</t>
  </si>
  <si>
    <t>Rol TQ133/660/25/699-SW14x12</t>
  </si>
  <si>
    <t>TQ 133/660/25/711-SW15X20GRTE</t>
  </si>
  <si>
    <t>Rol TQ133/660/25/711-SW15X20-GROEN</t>
  </si>
  <si>
    <t>TQ 133/660/30/706-SW22X13TE</t>
  </si>
  <si>
    <t>Rol TQ133/660/30/706-SW22X13</t>
  </si>
  <si>
    <t>33,880</t>
  </si>
  <si>
    <t>TQ 133/663/25/700-SW15X13TE</t>
  </si>
  <si>
    <t>Rol TQ133/663/25/700-SW15x13</t>
  </si>
  <si>
    <t>TQ 133/665/25/705-SW15X13TE</t>
  </si>
  <si>
    <t>Rol TQ133/665/25/705-SW15x13</t>
  </si>
  <si>
    <t>36,680</t>
  </si>
  <si>
    <t>TQ 133/665/25/705-SW15X14TE</t>
  </si>
  <si>
    <t>Rol TQ133/665/25/705-SW15x14</t>
  </si>
  <si>
    <t>32,330</t>
  </si>
  <si>
    <t>TQ 133/683/25/728-SW18X12-4TE</t>
  </si>
  <si>
    <t>Rol TQ133/683/25/728-SW18X12 op 4 mm vd kant</t>
  </si>
  <si>
    <t>TQ 133/685/25/728-SW18X12-4TE</t>
  </si>
  <si>
    <t>Rol TQ133/685/25/728-SW18X12 op 4 mm vd kant</t>
  </si>
  <si>
    <t>32,790</t>
  </si>
  <si>
    <t>TQ 133/685/25/728-SW18X12TE</t>
  </si>
  <si>
    <t>Rol TQ133/685/25/728-SW18X12</t>
  </si>
  <si>
    <t>32,310</t>
  </si>
  <si>
    <t>TQ 133/685/25/734-SW18X12-4TE</t>
  </si>
  <si>
    <t>Rol TQ133/685/25/734-SW18X12 op 4 mm vd kant</t>
  </si>
  <si>
    <t>TQ 133/687/30/696-12X20TE</t>
  </si>
  <si>
    <t>Rol TQ133/687/30/696-IWD M12X20</t>
  </si>
  <si>
    <t>42,200</t>
  </si>
  <si>
    <t>TQ 133/716/25/770-SW15X15TE</t>
  </si>
  <si>
    <t>Rol TQ133/716/25/770-SW15X15</t>
  </si>
  <si>
    <t>34,740</t>
  </si>
  <si>
    <t>TQ 133/720/25/780-SW15X13TE</t>
  </si>
  <si>
    <t>Rol TQ133/720/25/780-SW15X13</t>
  </si>
  <si>
    <t>TQ 133/725/25/790-SW14X16TE</t>
  </si>
  <si>
    <t>Rol TQ133/725/25/790-SW14X16TE</t>
  </si>
  <si>
    <t>39,230</t>
  </si>
  <si>
    <t>TQ 133/730/25/774-SW17X12TE</t>
  </si>
  <si>
    <t>Rol TQ133/730/25/774-SW17X12</t>
  </si>
  <si>
    <t>34,550</t>
  </si>
  <si>
    <t>TQ 133/750/25/782-SW17X10TE</t>
  </si>
  <si>
    <t>Rol TQ133/750/25/782-SW17X10</t>
  </si>
  <si>
    <t>TQ Rol (H.D.P.E.) ; Rol Ø133 mm 750 mm, As Ø25mm 782mm SW17x10</t>
  </si>
  <si>
    <t>TQ Rolle (H.D.P.E.) ; Rolle Ø133 mm 750 mm, Achse Ø25mm 782mm SW17x10</t>
  </si>
  <si>
    <t>TQ Roll (H.D.P.E.) ; Roll Ø133 mm 750 mm, Axis Ø25mm 782mm SW17x10</t>
  </si>
  <si>
    <t>TQ Rouleau (H.D.P.E.) ; Rouleau Ø133 mm 750 mm, Axe Ø25mm 782mm SW17x10</t>
  </si>
  <si>
    <t>Rol lengte: 750 mm ; Rol diameter: Ø133 mm ; As lengte: 782mm ; As diameter: Ø25 mm ; Sleutel: SW17x10</t>
  </si>
  <si>
    <t>Rolle Länge: 750 mm ; Rolle Durchmesser: Ø133 mm ; Achse Länge: 782 mm ; Achse Durchmesser: Ø25 mm ; Schlüssel: SW17x10</t>
  </si>
  <si>
    <t>Roll lenght: 750 mm ; Roll diameter: Ø133 mm ; Axis lenght: 782 mm ; Axis diameter: Ø25 mm ; Key: SW 14x10</t>
  </si>
  <si>
    <t>Rouleau longueur: 750 mm ; Rouleau diamètre: Ø133 mm ; Axe longueur:782 mm ; Axe diamètre: Ø25 mm ; Méplat: SW17x10</t>
  </si>
  <si>
    <t>TQ 133/793/RVS25/830-SW18X13TE</t>
  </si>
  <si>
    <t>Rol TQ133/793/RVS25/830-SW18x13-RVS303+RVS Lagers-GROEN</t>
  </si>
  <si>
    <t>57,410</t>
  </si>
  <si>
    <t>TQ 133/814/25/852-SW15X13+IWTE</t>
  </si>
  <si>
    <t>Rol TQ133/814/25/852-SW15x13+IWDM12x30-GROEN</t>
  </si>
  <si>
    <t>47,730</t>
  </si>
  <si>
    <t>TQ 133/886/25/930-SW14X16TE</t>
  </si>
  <si>
    <t>Rol TQ133/886/25/930-SW14X16</t>
  </si>
  <si>
    <t>39,190</t>
  </si>
  <si>
    <t>TQ 133/890/25/930-SW17X12TE</t>
  </si>
  <si>
    <t>Rol TQ133/890/25/930-SW17X12</t>
  </si>
  <si>
    <t>TQ 133/895/25/930-SW14X12TE</t>
  </si>
  <si>
    <t>Rol TQ133/895/25/930-SW14X12</t>
  </si>
  <si>
    <t>TQ 133/897/RVS25/930-SW18X11TE</t>
  </si>
  <si>
    <t>Rol TQ133/897/RVS25/930-SW18x11-RVS303+RVS Lagers</t>
  </si>
  <si>
    <t>TQ 133/942/25/980-SW14X13GRTE</t>
  </si>
  <si>
    <t>Rol TQ133/942/25/980-SW14x13-GROEN</t>
  </si>
  <si>
    <t>48,260</t>
  </si>
  <si>
    <t>TQ 133/950/25/982-SW17X13TE</t>
  </si>
  <si>
    <t>Rol TQ133/950/25/982-SW17X13</t>
  </si>
  <si>
    <t>47,010</t>
  </si>
  <si>
    <t>TQ 159/1145/35/1182-SW18X13TE</t>
  </si>
  <si>
    <t>Rol TQ159/1145/35/1182-SW18X13</t>
  </si>
  <si>
    <t>76,890</t>
  </si>
  <si>
    <t>TQ 159/1398/35/1600-SW16X98TE</t>
  </si>
  <si>
    <t>Rol TQ159/1398/35/1600-SW16X98</t>
  </si>
  <si>
    <t>80,190</t>
  </si>
  <si>
    <t>TQ 159/275/35/306-SW14X10TE</t>
  </si>
  <si>
    <t>Rol TQ159/275/35/306-SW14X10</t>
  </si>
  <si>
    <t>30,110</t>
  </si>
  <si>
    <t>TQ 159/380/35/410-SW22X10TE</t>
  </si>
  <si>
    <t>Rol TQ159/380/35/410-SW22X10</t>
  </si>
  <si>
    <t>TQ 159/452/35/483-SW16X10TE</t>
  </si>
  <si>
    <t>Rol TQ159/452/35/483-SW16X10</t>
  </si>
  <si>
    <t>TQ 159/460/35/497-SW22X13TE</t>
  </si>
  <si>
    <t>Rol TQ159/460/35/497-SW22X13</t>
  </si>
  <si>
    <t>TQ 159/465/35/497-SW15X10TE</t>
  </si>
  <si>
    <t>Rol TQ159/465/35/497-SW15x10</t>
  </si>
  <si>
    <t>32,730</t>
  </si>
  <si>
    <t>TQ 159/465/35/497-SW22X12TE</t>
  </si>
  <si>
    <t>Rol TQ159/465/35/497-SW22x12</t>
  </si>
  <si>
    <t>36,340</t>
  </si>
  <si>
    <t>TQ 159/510/35/560-SW29X10TE</t>
  </si>
  <si>
    <t>Rol TQ159/510/35/560-SW29X10</t>
  </si>
  <si>
    <t>37,820</t>
  </si>
  <si>
    <t>TQ 159/523/35/560-SW17X11TE</t>
  </si>
  <si>
    <t>Rol TQ159/523/35/560-SW17X11</t>
  </si>
  <si>
    <t>45,070</t>
  </si>
  <si>
    <t>TQ 159/530/35/570-SW15X15TE</t>
  </si>
  <si>
    <t>Rol TQ159/530/35/570-SW15X15</t>
  </si>
  <si>
    <t>39,330</t>
  </si>
  <si>
    <t>TQ 159/550/35/580-IWDM12X25TE</t>
  </si>
  <si>
    <t>Rol TQ159/550/35/580-IWD M12X25</t>
  </si>
  <si>
    <t>51,840</t>
  </si>
  <si>
    <t>TQ 159/570/35/614-SW22X16TE</t>
  </si>
  <si>
    <t>Rol TQ159/570/35/614-SW22X16</t>
  </si>
  <si>
    <t>39,650</t>
  </si>
  <si>
    <t>TQ 159/592/35/640-SW18X12-3MTE</t>
  </si>
  <si>
    <t>Rol TQ159/592/35/640-SW18X12-3 mm vd kant+teruggedraaideas</t>
  </si>
  <si>
    <t>41,180</t>
  </si>
  <si>
    <t>TQ 159/666/35/703-SW22X13TE</t>
  </si>
  <si>
    <t>Rol TQ159/666/35/703-SW22X13</t>
  </si>
  <si>
    <t>TQ 159/745/40/782-SW22X13TE</t>
  </si>
  <si>
    <t>Rol TQ159/745/40/782-SW22X13</t>
  </si>
  <si>
    <t>TQ 159/750/40/782-SW22X13TE</t>
  </si>
  <si>
    <t>Rol TQ159/750/40/782-SW22X13</t>
  </si>
  <si>
    <t>TQ 159/950/35/988-SW15X13TE</t>
  </si>
  <si>
    <t>Rol TQ159/950/35/988-SW15x13</t>
  </si>
  <si>
    <t>56,470</t>
  </si>
  <si>
    <t>TQ 89 SHOWMODEL BLAUWTE</t>
  </si>
  <si>
    <t>Showmodel TQ blauw</t>
  </si>
  <si>
    <t>TQ 89/1000/20/1010-IWDM10X15TE</t>
  </si>
  <si>
    <t>Rol TQ89/1000/20/1010-IWD M10X15</t>
  </si>
  <si>
    <t>30,050</t>
  </si>
  <si>
    <t>TQ 89/1000/20/1010-IWDM8X15TE</t>
  </si>
  <si>
    <t>Rol TQ89/1000/20/1010-IWD M8X15</t>
  </si>
  <si>
    <t>32,420</t>
  </si>
  <si>
    <t>TQ 89/1000/20/1030-IWDM10X15TE</t>
  </si>
  <si>
    <t>Rol TQ89/1000/20/1030-IWD M10X15</t>
  </si>
  <si>
    <t>36,760</t>
  </si>
  <si>
    <t>29,410</t>
  </si>
  <si>
    <t>TQ 89/1060/20/1140-SW15X13TE</t>
  </si>
  <si>
    <t>Rol TQ89/1060/20/1140-SW15X13</t>
  </si>
  <si>
    <t>24,860</t>
  </si>
  <si>
    <t>TQ 89/1090/20/1170-SW15X10TE</t>
  </si>
  <si>
    <t>Rol TQ89/1090/20/1170-SW15X10</t>
  </si>
  <si>
    <t>25,060</t>
  </si>
  <si>
    <t>TQ 89/1090/20/1170-SW15X13TE</t>
  </si>
  <si>
    <t>Rol TQ89/1090/20/1170-SW15X13</t>
  </si>
  <si>
    <t>25,200</t>
  </si>
  <si>
    <t>TQ 89/1097/20/1146-SW14X19TE</t>
  </si>
  <si>
    <t>Rol TQ89/1097/20/1146-SW14X19</t>
  </si>
  <si>
    <t>TQ 89/1115/20/1180-SW14X16TE</t>
  </si>
  <si>
    <t>Rol TQ89/1115/20/1180-SW14x16</t>
  </si>
  <si>
    <t>TQ 89/1115/20/1182-SW14X10TE</t>
  </si>
  <si>
    <t>Rol TQ89/1115/20/1182-SW14x10</t>
  </si>
  <si>
    <t>TQ 89/1115/RVS/1180-SW14X16TE</t>
  </si>
  <si>
    <t>Rol TQ89/1115/RVS20/1180-SW14x16+RVS303+RVS Lagers</t>
  </si>
  <si>
    <t>42,190</t>
  </si>
  <si>
    <t>TQ 89/1115/RVS20/1180SW14X16TE</t>
  </si>
  <si>
    <t>Rol TQ89/1115/RVSØ20/1180-SW14x10-RVS304</t>
  </si>
  <si>
    <t>36,370</t>
  </si>
  <si>
    <t>TQ 89/1120/20/1160-14X10-6GRTE</t>
  </si>
  <si>
    <t>Rol TQ89/1120/20/1160-SW14x10 - 6 steunringen Ø133 mm- Groen</t>
  </si>
  <si>
    <t>52,790</t>
  </si>
  <si>
    <t>TQ 89/113/20/146-SW14X11GRTE</t>
  </si>
  <si>
    <t>Rol TQ89/113/20/146-SW14x11-GROEN</t>
  </si>
  <si>
    <t>TQ 89/1144/20/1200-SW14X10TE</t>
  </si>
  <si>
    <t>Rol TQ89/1144/20/1200-SW14x10</t>
  </si>
  <si>
    <t>TQ 89/1145/20/1182-14X13-5RITE</t>
  </si>
  <si>
    <t>Rol TQ89/1145/20/1182-SW14x13 - 13 steunringen Ø133 mm</t>
  </si>
  <si>
    <t>49,190</t>
  </si>
  <si>
    <t>TQ 89/1145/20/1182-SW15X13-5TE</t>
  </si>
  <si>
    <t>Rol TQ89/1145/20/1182-SW15x13 - 5 steunringen Ø133 mm</t>
  </si>
  <si>
    <t>47,980</t>
  </si>
  <si>
    <t>TQ 89/1145/20/1182-SW15X13GRTE</t>
  </si>
  <si>
    <t>Rol TQ89/1145/20/1182-SW15x13-GROEN</t>
  </si>
  <si>
    <t>27,630</t>
  </si>
  <si>
    <t>TQ 89/1150/20/1182-SW14X9TE</t>
  </si>
  <si>
    <t>Rol TQ89/1150/20/1182-SW14X9</t>
  </si>
  <si>
    <t>11-01_TQ Roller HDPE Ø 89</t>
  </si>
  <si>
    <t>TQ Rol (H.D.P.E.) ; Rol Ø89 mm 1150 mm, As Ø20mm 1182mm SW14x9</t>
  </si>
  <si>
    <t>TQ Rolle (H.D.P.E.) ; Rolle Ø89 mm 1150 mm, Achse Ø20mm 1182mm SW14x9</t>
  </si>
  <si>
    <t>TQ Roll (H.D.P.E.) ; Roll Ø89 mm 1150 mm, Axis Ø20mm 1182mm SW14x9</t>
  </si>
  <si>
    <t>TQ Rouleau (H.D.P.E.) ; Rouleau Ø89 mm 1150 mm, Axe Ø20mm 1182mm SW14x9</t>
  </si>
  <si>
    <t>Rol lengte: 1150 mm ; Rol diameter: Ø89 mm ; As lengte: 1182 mm ; As diameter: Ø20 mm ; Sleutel: SW14x9</t>
  </si>
  <si>
    <t>Rolle Länge: 1150 mm ; Rolle Durchmesser: Ø89 mm ; Achse Länge: 1182 mm ; Achse Durchmesser: Ø20 mm ; Schlüssel: SW14x9</t>
  </si>
  <si>
    <t>Roll lenght: 1150 mm ; Roll diameter: Ø89 mm ; Axis lenght: 1182 mm ; Axis diameter: Ø20 mm ; Key: SW14x9</t>
  </si>
  <si>
    <t>Rouleau longueur: 1150 mm ; Rouleau diamètre: Ø89 mm ; Axe longueur: 1182 mm ; Axe diamètre: Ø20 mm ; Méplat: SW14x9</t>
  </si>
  <si>
    <t>TQ 89/1150/20/1182-SW15X13TE</t>
  </si>
  <si>
    <t>Rol TQ89/1150/20/1182-SW15X13</t>
  </si>
  <si>
    <t>TQ Rol (H.D.P.E.) ; Rol Ø89 mm 1150 mm, As Ø20mm 1182mm SW15x13</t>
  </si>
  <si>
    <t>TQ Rolle (H.D.P.E.) ; Rolle Ø89 mm 1150 mm, Achse Ø20mm 1182mm SW15x13</t>
  </si>
  <si>
    <t>TQ Roll (H.D.P.E.) ; Roll Ø89 mm 1150 mm, Axis Ø20mm 1182mm SW15x13</t>
  </si>
  <si>
    <t>TQ Rouleau (H.D.P.E.) ; Rouleau Ø89 mm 1150 mm, Axe Ø20mm 1182mm SW15x13</t>
  </si>
  <si>
    <t>Rol lengte: 1150 mm ; Rol diameter: Ø89 mm ; As lengte: 1182 mm ; As diameter: Ø20 mm ; Sleutel: SW15x13</t>
  </si>
  <si>
    <t>Rolle Länge: 1150 mm ; Rolle Durchmesser: Ø89 mm ; Achse Länge: 1182 mm ; Achse Durchmesser: Ø20 mm ; Schlüssel: SW15x13</t>
  </si>
  <si>
    <t>Roll lenght: 1150 mm ; Roll diameter: Ø89 mm ; Axis lenght: 1182 mm ; Axis diameter: Ø20 mm ; Key: SW15x13</t>
  </si>
  <si>
    <t>Rouleau longueur: 1150 mm ; Rouleau diamètre: Ø89 mm ; Axe longueur: 1182 mm ; Axe diamètre: Ø20 mm ; Méplat: SW15x13</t>
  </si>
  <si>
    <t>TQ 89/1150/20/1182-SW17X10+ITE</t>
  </si>
  <si>
    <t>Rol TQ89/1150/20/1182-SW17X10-IWDM12x20</t>
  </si>
  <si>
    <t>21,050</t>
  </si>
  <si>
    <t>TQ 89/1150/20/1190-SW14X9TE</t>
  </si>
  <si>
    <t>Rol TQ89/1150/20/1190-SW14X9</t>
  </si>
  <si>
    <t>TQ 89/1155/20/1205-SW14X10TE</t>
  </si>
  <si>
    <t>Rol TQ89/1155/20/1205-SW14x10</t>
  </si>
  <si>
    <t>26,670</t>
  </si>
  <si>
    <t>TQ 89/116/20/151-SW14X12TE</t>
  </si>
  <si>
    <t>Rol TQ89/116/20/151-SW14X12</t>
  </si>
  <si>
    <t>TQ 89/1170/20/1205-SW14X10TE</t>
  </si>
  <si>
    <t>Rol TQ89/1170/20/1205-SW14x10</t>
  </si>
  <si>
    <t>TQ 89/1175/20/1205-SW14X10BLTE</t>
  </si>
  <si>
    <t>Rol TQ 89/1175/20/1205-SW14X10BLTE</t>
  </si>
  <si>
    <t>TQ 89/1190/20/1230-IWDM10X30TE</t>
  </si>
  <si>
    <t>Rol TQ89/1190/20/1230-IWDM10X30</t>
  </si>
  <si>
    <t>TQ 89/120/20/151-SW14X10TE</t>
  </si>
  <si>
    <t>Rol TQ89/120/20/151-SW14X10</t>
  </si>
  <si>
    <t>TQ 89/1220/20/1251-SW14X10GRTE</t>
  </si>
  <si>
    <t>Rol TQ89/1220/20/1251-SW14X10-GROEN</t>
  </si>
  <si>
    <t>25,777</t>
  </si>
  <si>
    <t>TQ 89/1243/20/1280-SW15X13TE</t>
  </si>
  <si>
    <t>Rol TQ89/1243/20/1280-SW15X13</t>
  </si>
  <si>
    <t>27,870</t>
  </si>
  <si>
    <t>TQ 89/1245/20/1285-SW15X15TE</t>
  </si>
  <si>
    <t>Rol TQ89/1245/20/1285-SW15X15</t>
  </si>
  <si>
    <t>TQ 89/1282/20/1332-SW15X15+ITE</t>
  </si>
  <si>
    <t>Rol TQ89/1282/20/1332-SW15x15+IWD - 13 steunringen</t>
  </si>
  <si>
    <t>TQ 89/1290/20/1330-M10X30GRTE</t>
  </si>
  <si>
    <t>Rol TQ89/1290/20/1330-M10x30-GROEN</t>
  </si>
  <si>
    <t>38,330</t>
  </si>
  <si>
    <t>TQ 89/1298/RVS/1302-IM10X30GTE</t>
  </si>
  <si>
    <t>Rol TQ89/1298/RVS20/1302-IWDM10x30-RVS304+RVS Lagers</t>
  </si>
  <si>
    <t>62,990</t>
  </si>
  <si>
    <t>TQ 89/1300/20/1350-SW14X10TE</t>
  </si>
  <si>
    <t>Rol TQ89/1300/20/1350-SW14X10</t>
  </si>
  <si>
    <t>TQ 89/1310/20/1342-SW14X10TE</t>
  </si>
  <si>
    <t>Rol TQ89/1310/20/1342-SW14X10</t>
  </si>
  <si>
    <t>TQ 89/1345/20/1382-SW15X13GRTE</t>
  </si>
  <si>
    <t>Rol TQ89/1345/20/1382-SW15x13-GROEN</t>
  </si>
  <si>
    <t>30,310</t>
  </si>
  <si>
    <t>TQ 89/1345/20/1382-SW15X13TE</t>
  </si>
  <si>
    <t>Rol TQ89/1345/20/1382-SW15x13 Blauw</t>
  </si>
  <si>
    <t>TQ 89/1350/20/1430-SW15X13TE</t>
  </si>
  <si>
    <t>Rol TQ89/1350/20/1430-SW15x13</t>
  </si>
  <si>
    <t>TQ 89/1365/20/1425-SW15X10TE</t>
  </si>
  <si>
    <t>Rol TQ89/1365/20/1425-SW15x10</t>
  </si>
  <si>
    <t>29,070</t>
  </si>
  <si>
    <t>TQ 89/1391/20/1430-15X14+IWDTE</t>
  </si>
  <si>
    <t>Rol TQ89/1391/20/1430-15X14+IWDM8x25</t>
  </si>
  <si>
    <t>35,190</t>
  </si>
  <si>
    <t>TQ 89/1395/20/1432-15X13-13RTE</t>
  </si>
  <si>
    <t>Rol TQ89/1395/20/1432-SW15x13 - 13 steunringen Ø133 mm</t>
  </si>
  <si>
    <t>50,550</t>
  </si>
  <si>
    <t>TQ 89/1395/20/1432-SW15X13GRTE</t>
  </si>
  <si>
    <t>Rol TQ89/1395/20/1432-SW15x13-GROEN</t>
  </si>
  <si>
    <t>34,150</t>
  </si>
  <si>
    <t>TQ 89/1395/20/1432-SW15X13TE</t>
  </si>
  <si>
    <t>Rol TQ89/1395/20/1432-SW15x13</t>
  </si>
  <si>
    <t>TQ 89/143/20/176-SW14X11GRTE</t>
  </si>
  <si>
    <t>Rol TQ89/143/20/176-SW14x11-GROEN</t>
  </si>
  <si>
    <t>8,350</t>
  </si>
  <si>
    <t>TQ 89/145/20/176-SW14X10TE</t>
  </si>
  <si>
    <t>Rol TQ89/145/20/176-SW14X10</t>
  </si>
  <si>
    <t>TQ 89/145/20/176-SW14X11GRTE</t>
  </si>
  <si>
    <t>Rol TQ89/145/20/176-SW14X10-Groen</t>
  </si>
  <si>
    <t>TQ 89/145/RVS304/176-SW14X10TE</t>
  </si>
  <si>
    <t>Rol TQ89/145/RVS20/176-SW14x10-RVS304</t>
  </si>
  <si>
    <t>11,300</t>
  </si>
  <si>
    <t>TQ 89/1460/20/1500-IW10X25GRTE</t>
  </si>
  <si>
    <t>Rol TQ89/1460/20/1500-IWDM10X25-GROEN</t>
  </si>
  <si>
    <t>35,930</t>
  </si>
  <si>
    <t>TQ 89/1460/20/1500-SW14X10TE</t>
  </si>
  <si>
    <t>Rol TQ89/1460/20/1500-SW14X10</t>
  </si>
  <si>
    <t>31,520</t>
  </si>
  <si>
    <t>TQ 89/1460/20/1500-SW15X12TE</t>
  </si>
  <si>
    <t>Rol TQ89/1460/20/1500-SW15X12</t>
  </si>
  <si>
    <t>35,680</t>
  </si>
  <si>
    <t>TQ 89/1469/20/1500-SW15X10+ITE</t>
  </si>
  <si>
    <t>Rol TQ89/1469/20/1500-SW15x10-IWDM10x15-Groen</t>
  </si>
  <si>
    <t>49,970</t>
  </si>
  <si>
    <t>TQ 89/1470/20/1500-SW15X10GRTE</t>
  </si>
  <si>
    <t>Rol TQ89/1470/20/1500-SW15X10-GROEN</t>
  </si>
  <si>
    <t>31,500</t>
  </si>
  <si>
    <t>TQ 89/150/20/176-SW14X10TE</t>
  </si>
  <si>
    <t>Rol TQ89/150/20/176-SW14X10</t>
  </si>
  <si>
    <t>8,360</t>
  </si>
  <si>
    <t>TQ 89/150/RVS303/176-SW14X10TE</t>
  </si>
  <si>
    <t>Rol TQ89/150/RVS20/176-SW14X10-RVS303</t>
  </si>
  <si>
    <t>42,890</t>
  </si>
  <si>
    <t>TQ 89/150/RVS304/176-SW14X10TE</t>
  </si>
  <si>
    <t>Rol TQ89/150/RVS20/176-SW14x10-RVS304</t>
  </si>
  <si>
    <t>TQ 89/1525/20/1555-SW15X10TE</t>
  </si>
  <si>
    <t>Rol TQ89/1525/20/1555-SW15X10</t>
  </si>
  <si>
    <t>TQ 89/155/20/226-SW14X10TE</t>
  </si>
  <si>
    <t>Rol TQ89/155/20/226-SW14X10</t>
  </si>
  <si>
    <t>TQ 89/157/20/186-SW14X9TE</t>
  </si>
  <si>
    <t>Rol TQ89/157/20/186-SW14X9</t>
  </si>
  <si>
    <t>TQ 89/1745/20/1782-SW15X13TE</t>
  </si>
  <si>
    <t>Rol TQ89/1745/20/1782-SW15X13TE</t>
  </si>
  <si>
    <t>44,130</t>
  </si>
  <si>
    <t>35,300</t>
  </si>
  <si>
    <t>TQ 89/179/20/210-SW15X10TE</t>
  </si>
  <si>
    <t>Rol TQ89/179/20/210-SW15x10</t>
  </si>
  <si>
    <t>8,440</t>
  </si>
  <si>
    <t>TQ 89/180/20/208 IWDM10X15GRTE</t>
  </si>
  <si>
    <t>Rol TQ89/180/20/208-IWD M10X15 GROEN</t>
  </si>
  <si>
    <t>11,110</t>
  </si>
  <si>
    <t>TQ 89/180/20/210-SW14X10GRTE</t>
  </si>
  <si>
    <t>Rol TQ89/180/20/210-SW14x10-GROEN</t>
  </si>
  <si>
    <t>TQ 89/180/20/226-SW15X10TE</t>
  </si>
  <si>
    <t>Rol TQ89/180/20/226-SW15x10</t>
  </si>
  <si>
    <t>TQ 89/180/20/260-RADIALØ7-10TE</t>
  </si>
  <si>
    <t>Rol TQ89/180/20/260-RADIALØ7-20x30/10x17</t>
  </si>
  <si>
    <t>11,150</t>
  </si>
  <si>
    <t>TQ 89/181/20/216-SW14X12TE</t>
  </si>
  <si>
    <t>Rol TQ89/181/20/216-SW14X12</t>
  </si>
  <si>
    <t>TQ 89/185/20/216-SW14X10GRTE</t>
  </si>
  <si>
    <t>Rol TQ89/185/20/216-SW14X10-GROEN</t>
  </si>
  <si>
    <t>TQ 89/185/20/216-SW14X10TE</t>
  </si>
  <si>
    <t>Rol TQ89/185/20/216-SW14X10</t>
  </si>
  <si>
    <t>9,600</t>
  </si>
  <si>
    <t>TQ 89/185/RVS304/216-SW14X10TE</t>
  </si>
  <si>
    <t>Rol TQ89/185/RVS20/216-SW14x10-RVS304</t>
  </si>
  <si>
    <t>TQ 89/190/20/220-SW15X10GRTE</t>
  </si>
  <si>
    <t>Rol TQ89/190/20/220-SW15X10 Groen</t>
  </si>
  <si>
    <t>9,730</t>
  </si>
  <si>
    <t>TQ 89/190/20/230-SW14X10TE</t>
  </si>
  <si>
    <t>Rol TQ89/190/20/230-SW14X10</t>
  </si>
  <si>
    <t>8,550</t>
  </si>
  <si>
    <t>TQ 89/190/RVS20/216-SW14X10TE</t>
  </si>
  <si>
    <t>Rol TQ89/190/RVS20/216-SW14x10-RVS304</t>
  </si>
  <si>
    <t>TQ 89/195/20/226-SW15X10GRTE</t>
  </si>
  <si>
    <t>Rol TQ89/195/20/226-SW15X10-GROEN</t>
  </si>
  <si>
    <t>9,060</t>
  </si>
  <si>
    <t>TQ 89/195/20/226-SW15X10TE</t>
  </si>
  <si>
    <t>Rol TQ89/195/20/226-SW15X10</t>
  </si>
  <si>
    <t>TQ 89/195/RVS304/226-SW15X10TE</t>
  </si>
  <si>
    <t>Rol TQ89/195/RVS20/226-SW15x10-RVS304+RVS Lagers</t>
  </si>
  <si>
    <t>TQ 89/200/20/226-SW14X10TE</t>
  </si>
  <si>
    <t>Rol TQ89/200/20/226-SW14X10</t>
  </si>
  <si>
    <t>TQ Rol (H.D.P.E.) ; Rol Ø89 mm 200 mm, As Ø20mm 226mm SW14x10</t>
  </si>
  <si>
    <t>TQ Rolle (H.D.P.E.) ; Rolle Ø89 mm 200 mm, Achse Ø20mm 226mm SW14x10</t>
  </si>
  <si>
    <t>TQ Roll (H.D.P.E.) ; Roll Ø89 mm 200 mm, Axis Ø20mm 226mm SW14x10</t>
  </si>
  <si>
    <t>TQ Rouleau (H.D.P.E.) ; Rouleau Ø89 mm 200 mm, Axe Ø20mm 226mm SW14x10</t>
  </si>
  <si>
    <t>Rol lengte: 200 mm ; Rol diameter: Ø89 mm ; As lengte: 226 mm ; As diameter: Ø20 mm ; Sleutel: SW14x10</t>
  </si>
  <si>
    <t>Rolle Länge: 200 mm ; Rolle Durchmesser: Ø89 mm ; Achse Länge: 226 mm ; Achse Durchmesser: Ø20 mm ; Schlüssel: SW14x10</t>
  </si>
  <si>
    <t>Roll lenght: 200 mm ; Roll diameter: Ø89 mm ; Axis lenght: 226 mm ; Axis diameter: Ø20 mm ; Key: SW14x10</t>
  </si>
  <si>
    <t>Rouleau longueur: 200 mm ; Rouleau diamètre: Ø89 mm ; Axe longueur:226 mm ; Axe diamètre: Ø20 mm ; Méplat: SW14x10</t>
  </si>
  <si>
    <t>TQ 89/200/20/226-SW14X9TE</t>
  </si>
  <si>
    <t>Rol TQ89/200/20/226-SW14x9</t>
  </si>
  <si>
    <t>TQ Rol (H.D.P.E.) ; Rol Ø89 mm 200 mm, As Ø20mm 226mm SW14x9</t>
  </si>
  <si>
    <t>TQ Rolle (H.D.P.E.) ; Rolle Ø89 mm 200 mm, Achse Ø20mm 226mm SW14x9</t>
  </si>
  <si>
    <t>TQ Roll (H.D.P.E.) ; Roll Ø89 mm 200 mm, Axis Ø20mm 226mm SW14x9</t>
  </si>
  <si>
    <t>TQ Rouleau (H.D.P.E.) ; Rouleau Ø89 mm 200 mm, Axe Ø20mm 226mm SW14x9</t>
  </si>
  <si>
    <t>Rol lengte: 200 mm ; Rol diameter: Ø89 mm ; As lengte: 226 mm ; As diameter: Ø20 mm ; Sleutel: SW14x9</t>
  </si>
  <si>
    <t>Rolle Länge: 200 mm ; Rolle Durchmesser: Ø89 mm ; Achse Länge: 226 mm ; Achse Durchmesser: Ø20 mm ; Schlüssel: SW14x9</t>
  </si>
  <si>
    <t>Roll lenght: 200 mm ; Roll diameter: Ø89 mm ; Axis lenght: 226 mm ; Axis diameter: Ø20 mm ; Key: SW14x9</t>
  </si>
  <si>
    <t>Rouleau longueur: 200 mm ; Rouleau diamètre: Ø89 mm ; Axe longueur:226 mm ; Axe diamètre: Ø20 mm ; Méplat: SW14x9</t>
  </si>
  <si>
    <t>TQ 89/200/20/226-SW15X10GRTE</t>
  </si>
  <si>
    <t>Rol TQ89/200/20/226-SW15X10-Groen</t>
  </si>
  <si>
    <t>TQ 89/200/20/226-SW15X10TE</t>
  </si>
  <si>
    <t>Rol TQ89/200/20/226-SW15X10</t>
  </si>
  <si>
    <t>TQ Rol (H.D.P.E.) ; Rol Ø89 mm 200 mm, As Ø20mm 226mm SW15x10</t>
  </si>
  <si>
    <t>TQ Rolle (H.D.P.E.) ; Rolle Ø89 mm 200 mm, Achse Ø20mm 226mm SW15x10</t>
  </si>
  <si>
    <t>TQ Roll (H.D.P.E.) ; Roll Ø89 mm 200 mm, Axis Ø20mm 226mm SW15x10</t>
  </si>
  <si>
    <t>TQ Rouleau (H.D.P.E.) ; Rouleau Ø89 mm 200 mm, Axe Ø20mm 226mm SW15x10</t>
  </si>
  <si>
    <t>Rol lengte: 200 mm ; Rol diameter: Ø89 mm ; As lengte: 226 mm ; As diameter: Ø20 mm ; Sleutel: SW15x10</t>
  </si>
  <si>
    <t>Rolle Länge: 200 mm ; Rolle Durchmesser: Ø89 mm ; Achse Länge: 226 mm ; Achse Durchmesser: Ø20 mm ; Schlüssel: SW15x10</t>
  </si>
  <si>
    <t>Roll lenght: 200 mm ; Roll diameter: Ø89 mm ; Axis lenght: 226 mm ; Axis diameter: Ø20 mm ; Key: SW15x10</t>
  </si>
  <si>
    <t>Rouleau longueur: 200 mm ; Rouleau diamètre: Ø89 mm ; Axe longueur:226 mm ; Axe diamètre: Ø20 mm ; Méplat: SW15x10</t>
  </si>
  <si>
    <t>TQ 89/200/20/232-SW17X9TE</t>
  </si>
  <si>
    <t>Rol TQ89/200/20/232-SW17x9</t>
  </si>
  <si>
    <t>TQ 89/200/20/260-UWDM16X50TE</t>
  </si>
  <si>
    <t>Rol TQ89/200/20/260-UWDM16x50+POM</t>
  </si>
  <si>
    <t>22,550</t>
  </si>
  <si>
    <t>TQ 89/200/RVS20/226-SW14X10-TE</t>
  </si>
  <si>
    <t>Rol TQ89/200/RVS20/226-SW14X10-RVS316</t>
  </si>
  <si>
    <t>TQ 89/200/RVS20/226-SW15X10-TE</t>
  </si>
  <si>
    <t>Rol TQ89/200/RVS20/226-SW15X10-RVS316+RVS lagers</t>
  </si>
  <si>
    <t>TQ 89/200/RVS304/226-SW14X10TE</t>
  </si>
  <si>
    <t>Rol TQ89/200/RVS20/226-SW14x10-RVS304</t>
  </si>
  <si>
    <t>14,370</t>
  </si>
  <si>
    <t>TQ 89/200/RVS316/226-SW14X10TE</t>
  </si>
  <si>
    <t>Rol TQ89/200/RVS20/226-SW14X10-RVS316+RVS Lagers</t>
  </si>
  <si>
    <t>15,470</t>
  </si>
  <si>
    <t>TQ 89/200/RVS316/226-SW15X10TE</t>
  </si>
  <si>
    <t>Rol TQ89/200/RVS20/226-SW15X10-RVS316</t>
  </si>
  <si>
    <t>TQ 89/205/20/240-SW14X8-3MMTE</t>
  </si>
  <si>
    <t>Rol TQ89/205/20/240-SW14X8 - 3 mm vd kant</t>
  </si>
  <si>
    <t>TQ 89/207/20/240-SW14X11TE</t>
  </si>
  <si>
    <t>Rol TQ89/207/20/240-SW14X11</t>
  </si>
  <si>
    <t>9,280</t>
  </si>
  <si>
    <t>TQ 89/210/20/240-SW14X10TE</t>
  </si>
  <si>
    <t>Rol TQ89/210/20/240-SW14x10</t>
  </si>
  <si>
    <t>11,430</t>
  </si>
  <si>
    <t>9,260</t>
  </si>
  <si>
    <t>TQ 89/210/20/240-SW15X10TE</t>
  </si>
  <si>
    <t>Rol TQ89/210/20/240-SW15x10</t>
  </si>
  <si>
    <t>TQ 89/214/RVS20/246-SW13X5+ITE</t>
  </si>
  <si>
    <t>Rol TQ89/214/RVS20/246-SW13x5-IWDM10x15</t>
  </si>
  <si>
    <t>17,320</t>
  </si>
  <si>
    <t>TQ 89/219/20/250-SW15X10TE</t>
  </si>
  <si>
    <t>Rol TQ89/219/20/250-SW15X10</t>
  </si>
  <si>
    <t>9,080</t>
  </si>
  <si>
    <t>TQ 89/220/20/250-SW15X10TE</t>
  </si>
  <si>
    <t>Rol TQ89/220/20/250-SW15x10</t>
  </si>
  <si>
    <t>TQ 89/220/20/254-SW14X10TE</t>
  </si>
  <si>
    <t>Rol TQ89/220/20/254-SW14X10</t>
  </si>
  <si>
    <t>TQ 89/225/20/276-SW14X10TE</t>
  </si>
  <si>
    <t>Rol TQ89/225/20/276-SW14X10</t>
  </si>
  <si>
    <t>TQ 89/227/20/309-SW10X15TE</t>
  </si>
  <si>
    <t>Rol TQ89/227/20/309-SW10X15</t>
  </si>
  <si>
    <t>TQ 89/227/20/372-SW10X15TE</t>
  </si>
  <si>
    <t>Rol TQ89/227/20/372-SW10X15</t>
  </si>
  <si>
    <t>TQ 89/230/20/276-SW15X10TE</t>
  </si>
  <si>
    <t>Rol TQ89/230/20/276-SW15X10</t>
  </si>
  <si>
    <t>9,580</t>
  </si>
  <si>
    <t>TQ 89/230/20/290-SW14X9TE</t>
  </si>
  <si>
    <t>Rol TQ89/230/20/290-SW14X9</t>
  </si>
  <si>
    <t>10,550</t>
  </si>
  <si>
    <t>9,570</t>
  </si>
  <si>
    <t>TQ 89/234/20/265-SW10X10TE</t>
  </si>
  <si>
    <t>Rol TQ89/234/20/265-SW10x10</t>
  </si>
  <si>
    <t>TQ 89/235/20/266-SW14X10GRTE</t>
  </si>
  <si>
    <t>Rol TQ89/235/20/266-SW14X10-GROEN</t>
  </si>
  <si>
    <t>TQ 89/235/20/266-SW14X10TE</t>
  </si>
  <si>
    <t>Rol TQ89/235/20/266-SW14X10</t>
  </si>
  <si>
    <t>TQ 89/235/20/276-SW12X15GRTE</t>
  </si>
  <si>
    <t>Rol TQ89/235/20/276-SW12X15-GROEN</t>
  </si>
  <si>
    <t>9,620</t>
  </si>
  <si>
    <t>TQ 89/235/RVS/20/266-SW14X10TE</t>
  </si>
  <si>
    <t>Rol TQ89/235/RVS20/266-SW14x10-RVS304</t>
  </si>
  <si>
    <t>TQ 89/235/RVS20/266SW14X10GRTE</t>
  </si>
  <si>
    <t>Rol TQ89/235/RVS20/266-SW14x10-RVS303+RVS Lagers-Groen</t>
  </si>
  <si>
    <t>TQ 89/235/RVS20/266-SW14X10TE</t>
  </si>
  <si>
    <t>Rol TQ89/235/RVS20/266-SW14x10-RVS303</t>
  </si>
  <si>
    <t>TQ 89/239/20/270-SW14X10TE</t>
  </si>
  <si>
    <t>Rol TQ89/239/20/270-SW14x10</t>
  </si>
  <si>
    <t>9,640</t>
  </si>
  <si>
    <t>TQ 89/240/20/266-SW14X10GRTE</t>
  </si>
  <si>
    <t>Rol TQ89/240/20/266-SW14x10-GROEN</t>
  </si>
  <si>
    <t>9,120</t>
  </si>
  <si>
    <t>TQ 89/240/20/266-SW14X10TE</t>
  </si>
  <si>
    <t>Rol TQ89/240/20/266-SW14x10</t>
  </si>
  <si>
    <t>TQ 89/240/20/266-SW15X10TE</t>
  </si>
  <si>
    <t>Rol TQ89/240/20/266-SW15x10</t>
  </si>
  <si>
    <t>TQ 89/240/20/270-SW14X10TE</t>
  </si>
  <si>
    <t>Rol TQ89/240/20/270-SW14x10</t>
  </si>
  <si>
    <t>TQ 89/240/20/270-SW15X10TE</t>
  </si>
  <si>
    <t>Rol TQ89/240/20/270-SW15x10</t>
  </si>
  <si>
    <t>TQ 89/240/20/276-SW14X10GRTE</t>
  </si>
  <si>
    <t>Rol TQ89/240/20/276-SW14X10-GROEN</t>
  </si>
  <si>
    <t>10,240</t>
  </si>
  <si>
    <t>TQ 89/240/20/280-SW15X13GRTE</t>
  </si>
  <si>
    <t>Rol TQ89/240/20/280-SW15X13-GROEN</t>
  </si>
  <si>
    <t>TQ 89/240/20/280-SW15X15GRTE</t>
  </si>
  <si>
    <t>Rol TQ89/240/20/280-SW15X15-GROEN</t>
  </si>
  <si>
    <t>10,180</t>
  </si>
  <si>
    <t>TQ 89/240/20/360-SW14X10TE</t>
  </si>
  <si>
    <t>Rol TQ89/240/20/360-1x SW14x10 + 1x uitwendig M20x95</t>
  </si>
  <si>
    <t>13,690</t>
  </si>
  <si>
    <t>TQ 89/240/RVS20/266-SW14X10TE</t>
  </si>
  <si>
    <t>Rol TQ89/240/RVS20/266-SW14X10-RVS304</t>
  </si>
  <si>
    <t>TQ 89/240/RVS20/266-SW14X10-TE</t>
  </si>
  <si>
    <t>Rol TQ89/240/RVS20/266-SW14X10-RVS316</t>
  </si>
  <si>
    <t>13,390</t>
  </si>
  <si>
    <t>TQ 89/244/20/275-SW15X10TE</t>
  </si>
  <si>
    <t>Rol TQ89/244/20/275-SW15X10</t>
  </si>
  <si>
    <t>9,560</t>
  </si>
  <si>
    <t>TQ 89/245/20/275-SW15X10GRTE</t>
  </si>
  <si>
    <t>Rol TQ89/245/20/275-SW15x10-GROEN</t>
  </si>
  <si>
    <t>TQ 89/245/20/275-SW15X12GRTE</t>
  </si>
  <si>
    <t>Rol TQ89/245/20/275-SW15x12-GROEN</t>
  </si>
  <si>
    <t>TQ 89/245/20/276-SW14X10TE</t>
  </si>
  <si>
    <t>Rol TQ89/245/20/276-SW14X10</t>
  </si>
  <si>
    <t>9,590</t>
  </si>
  <si>
    <t>TQ 89/245/20/276-SW14X9TE</t>
  </si>
  <si>
    <t>Rol TQ89/245/20/276-SW14X9</t>
  </si>
  <si>
    <t>TQ 89/245/20/276-SW15X10GRTE</t>
  </si>
  <si>
    <t>Rol TQ89/245/20/276-SW15x10-GROEN</t>
  </si>
  <si>
    <t>14,510</t>
  </si>
  <si>
    <t>TQ 89/245/20/276-SW15X10TE</t>
  </si>
  <si>
    <t>Rol TQ89/245/20/276-SW15x10</t>
  </si>
  <si>
    <t>TQ 89/245/20/280-SW14X10TE</t>
  </si>
  <si>
    <t>Rol TQ89/245/20/280-SW14x10</t>
  </si>
  <si>
    <t>9,870</t>
  </si>
  <si>
    <t>TQ 89/245/RVS20/276-SW14X10GTE</t>
  </si>
  <si>
    <t>Rol TQ89/245/RVS20/276-SW14X10-Groen-RVS303</t>
  </si>
  <si>
    <t>TQ 89/245/RVS20/276-SW15X10GTE</t>
  </si>
  <si>
    <t>Rol TQ89/245/RVS20/276-SW15x10-GROEN+RVS Lager</t>
  </si>
  <si>
    <t>TQ 89/245/RVS20/276-SW15X10TE</t>
  </si>
  <si>
    <t>Rol TQ89/245/RVS20/276-SW15x10-RVS316+C3 staal Lagers</t>
  </si>
  <si>
    <t>TQ 89/245/RVS304/276-SW15X10TE</t>
  </si>
  <si>
    <t>Rol TQ89/245/RVS20/276-SW15x10-RVS304</t>
  </si>
  <si>
    <t>TQ 89/245/RVS316/276-SW14X10TE</t>
  </si>
  <si>
    <t>Rol TQ89/245/RVS20/276-SW14x10-RVS316+RVS Lagers</t>
  </si>
  <si>
    <t>TQ 89/245/RVS316/276-SW15X10TE</t>
  </si>
  <si>
    <t>Rol TQ89/245/RVS20/276-SW15x10-RVS316+RVS Lagers</t>
  </si>
  <si>
    <t>TQ 89/246/20/275-SW14X9TE</t>
  </si>
  <si>
    <t>Rol TQ89/246/20/275-SW14X9</t>
  </si>
  <si>
    <t>TQ 89/250/20/276-ONBEWERKTTE</t>
  </si>
  <si>
    <t>Rol TQ89/250/20/276-AS ONBEWERKT</t>
  </si>
  <si>
    <t>8,730</t>
  </si>
  <si>
    <t>TQ 89/250/20/276-SW14X10TE</t>
  </si>
  <si>
    <t>Rol TQ89/250/20/276-SW14X10</t>
  </si>
  <si>
    <t>TQ Rol (H.D.P.E.) ; Rol Ø89 mm 250 mm, As Ø20mm 276mm SW14x10</t>
  </si>
  <si>
    <t>TQ Rolle (H.D.P.E.) ; Rolle Ø89 mm 250 mm, Achse Ø20mm 276mm SW14x10</t>
  </si>
  <si>
    <t>TQ Roll (H.D.P.E.) ; Roll Ø89 mm 250 mm, Axis Ø20mm 276mm SW14x10</t>
  </si>
  <si>
    <t>TQ Rouleau (H.D.P.E.) ; Rouleau Ø89 mm 250 mm, Axe Ø20mm 276mm SW14x10</t>
  </si>
  <si>
    <t>Rol lengte: 250 mm ; Rol diameter: Ø89 mm ; As lengte: 276 mm ; As diameter: Ø20 mm ; Sleutel: SW14x10</t>
  </si>
  <si>
    <t>Rolle Länge: 250 mm ; Rolle Durchmesser: Ø89 mm ; Achse Länge: 276 mm ; Achse Durchmesser: Ø20 mm ; Schlüssel: SW14x10</t>
  </si>
  <si>
    <t>Roll lenght: 250 mm ; Roll diameter: Ø89 mm ; Axis lenght: 276 mm ; Axis diameter: Ø20 mm ; Key: SW14x10</t>
  </si>
  <si>
    <t>Rouleau longueur: 250 mm ; Rouleau diamètre: Ø89 mm ; Axe longueur:276 mm ; Axe diamètre: Ø20 mm ; Méplat: SW14x10</t>
  </si>
  <si>
    <t>TQ 89/250/20/276-SW14X9TE</t>
  </si>
  <si>
    <t>Rol TQ89/250/20/276-SW14X9</t>
  </si>
  <si>
    <t>TQ Rol (H.D.P.E.) ; Rol Ø89 mm 250 mm, As Ø20mm 276mm SW14x9</t>
  </si>
  <si>
    <t>TQ Rolle (H.D.P.E.) ; Rolle Ø89 mm 250 mm, Achse Ø20mm 276mm SW14x9</t>
  </si>
  <si>
    <t>TQ Roll (H.D.P.E.) ; Roll Ø89 mm 250 mm, Axis Ø20mm 276mm SW14x9</t>
  </si>
  <si>
    <t>TQ Rouleau (H.D.P.E.) ; Rouleau Ø89 mm 250 mm, Axe Ø20mm 276mm SW14x9</t>
  </si>
  <si>
    <t>Rol lengte: 250 mm ; Rol diameter: Ø89 mm ; As lengte: 276 mm ; As diameter: Ø20 mm ; Sleutel: SW14x9</t>
  </si>
  <si>
    <t>Rolle Länge: 250 mm ; Rolle Durchmesser: Ø89 mm ; Achse Länge: 276 mm ; Achse Durchmesser: Ø20 mm ; Schlüssel: SW14x9</t>
  </si>
  <si>
    <t>Roll lenght: 250 mm ; Roll diameter: Ø89 mm ; Axis lenght: 276 mm ; Axis diameter: Ø20 mm ; Key: SW14x9</t>
  </si>
  <si>
    <t>Rouleau longueur: 250 mm ; Rouleau diamètre: Ø89 mm ; Axe longueur:276 mm ; Axe diamètre: Ø20 mm ; Méplat: SW14x9</t>
  </si>
  <si>
    <t>TQ 89/250/20/276-SW15X10GRTE</t>
  </si>
  <si>
    <t>Rol TQ89/250/20/276-SW15X10-GROEN</t>
  </si>
  <si>
    <t>TQ 89/250/20/276-SW15X10TE</t>
  </si>
  <si>
    <t>Rol TQ89/250/20/276-SW15x10</t>
  </si>
  <si>
    <t>11,070</t>
  </si>
  <si>
    <t>TQ Rol (H.D.P.E.) ; Rol Ø89 mm 250 mm, As Ø20mm 276mm SW15x10</t>
  </si>
  <si>
    <t>TQ Rolle (H.D.P.E.) ; Rolle Ø89 mm 250 mm, Achse Ø20mm 276mm SW15x10</t>
  </si>
  <si>
    <t>TQ Roll (H.D.P.E.) ; Roll Ø89 mm 250 mm, Axis Ø20mm 276mm SW15x10</t>
  </si>
  <si>
    <t>TQ Rouleau (H.D.P.E.) ; Rouleau Ø89 mm 250 mm, Axe Ø20mm 276mm SW15x10</t>
  </si>
  <si>
    <t>Rol lengte: 250 mm ; Rol diameter: Ø89 mm ; As lengte: 276 mm ; As diameter: Ø20 mm ; Sleutel: SW15x10</t>
  </si>
  <si>
    <t>Rolle Länge: 250 mm ; Rolle Durchmesser: Ø89 mm ; Achse Länge: 276 mm ; Achse Durchmesser: Ø20 mm ; Schlüssel: SW15x10</t>
  </si>
  <si>
    <t>Roll lenght: 250 mm ; Roll diameter: Ø89 mm ; Axis lenght: 276 mm ; Axis diameter: Ø20 mm ; Key: SW15x10</t>
  </si>
  <si>
    <t>Rouleau longueur: 250 mm ; Rouleau diamètre: Ø89 mm ; Axe longueur:276 mm ; Axe diamètre: Ø20 mm ; Méplat: SW15x10</t>
  </si>
  <si>
    <t>TQ 89/250/20/276-SW15X13TE</t>
  </si>
  <si>
    <t>Rol TQ89/250/20/276-SW15x13</t>
  </si>
  <si>
    <t>TQ Rol (H.D.P.E.) ; Rol Ø89 mm 250 mm, As Ø20mm 276mm SW15x13</t>
  </si>
  <si>
    <t>TQ Rolle (H.D.P.E.) ; Rolle Ø89 mm 250 mm, Achse Ø20mm 276mm SW15x13</t>
  </si>
  <si>
    <t>TQ Roll (H.D.P.E.) ; Roll Ø89 mm 250 mm, Axis Ø20mm 276mm SW15x13</t>
  </si>
  <si>
    <t>TQ Rouleau (H.D.P.E.) ; Rouleau Ø89 mm 250 mm, Axe Ø20mm 276mm SW15x13</t>
  </si>
  <si>
    <t>Rol lengte: 250 mm ; Rol diameter: Ø89 mm ; As lengte: 276 mm ; As diameter: Ø20 mm ; Sleutel: SW15x13</t>
  </si>
  <si>
    <t>Rolle Länge: 250 mm ; Rolle Durchmesser: Ø89 mm ; Achse Länge: 276 mm ; Achse Durchmesser: Ø20 mm ; Schlüssel: SW15x13</t>
  </si>
  <si>
    <t>Roll lenght: 250 mm ; Roll diameter: Ø89 mm ; Axis lenght: 276 mm ; Axis diameter: Ø20 mm ; Key: SW15x13</t>
  </si>
  <si>
    <t>Rouleau longueur: 250 mm ; Rouleau diamètre: Ø89 mm ; Axe longueur:276 mm ; Axe diamètre: Ø20 mm ; Méplat: SW15x13</t>
  </si>
  <si>
    <t>TQ 89/250/20/279-SW14X9TE</t>
  </si>
  <si>
    <t>Rol TQ89/250/20/279-SW14X9</t>
  </si>
  <si>
    <t>9,390</t>
  </si>
  <si>
    <t>TQ 89/250/20/280-SW17X10TE</t>
  </si>
  <si>
    <t>Rol TQ89/250/20/280-SW17x10</t>
  </si>
  <si>
    <t>9,150</t>
  </si>
  <si>
    <t>TQ 89/250/20/287-SW15X13TE</t>
  </si>
  <si>
    <t>Rol TQ89/250/20/287-SW15x13</t>
  </si>
  <si>
    <t>TQ 89/250/RVS20/276-SW10X10TE</t>
  </si>
  <si>
    <t>Rol TQ 89/250/RVS20/276-SW10X10-RVS303</t>
  </si>
  <si>
    <t>TQ 89/250/RVS20/276-SW15X10TE</t>
  </si>
  <si>
    <t>Rol TQ89/250/RVS20/276-SW15x10-RVS304+6204 2RS staal Lagers</t>
  </si>
  <si>
    <t>TQ 89/250/RVS20/376-SW15X10TE</t>
  </si>
  <si>
    <t>Rol TQ89/250/RVS20/376-SW15x10-Groen-RVS303</t>
  </si>
  <si>
    <t>22,240</t>
  </si>
  <si>
    <t>TQ 89/250/RVS304/276-SW15X10TE</t>
  </si>
  <si>
    <t>Rol TQ89/250/RVS20/276-SW15x10-RVS304+RVS Lagers</t>
  </si>
  <si>
    <t>14,870</t>
  </si>
  <si>
    <t>TQ 89/250/RVS316/276-SW14X10TE</t>
  </si>
  <si>
    <t>Rol TQ89/250/RVS20/276-SW14x10-RVS316</t>
  </si>
  <si>
    <t>16,260</t>
  </si>
  <si>
    <t>TQ 89/250/RVS316/276-SW15X10TE</t>
  </si>
  <si>
    <t>Rol TQ89/250/RVS20/276-SW15x10-RVS316</t>
  </si>
  <si>
    <t>TQ 89/250/RVS316/303-SW15X20TE</t>
  </si>
  <si>
    <t>Rol TQ89/250/RVS20/303-SW15X20-RVS316L</t>
  </si>
  <si>
    <t>TQ 89/259/20/300-SW12X15TE</t>
  </si>
  <si>
    <t>Rol TQ89/259/20/300-SW12X15</t>
  </si>
  <si>
    <t>10,640</t>
  </si>
  <si>
    <t>TQ 89/260/20/291-SW17X10TE</t>
  </si>
  <si>
    <t>Rol TQ89/260/20/291-SW17x10</t>
  </si>
  <si>
    <t>TQ 89/265/RVS20/315-SW17X12-TE</t>
  </si>
  <si>
    <t>Rol TQ89/265/RVS20/315-SW17X12-RVS304+RVS lagers</t>
  </si>
  <si>
    <t>TQ 89/265/RVS20/356-SW15X40GTE</t>
  </si>
  <si>
    <t>Rol TQ89/265/20/356-SW15x40-RVS303-GROEN</t>
  </si>
  <si>
    <t>TQ 89/275/20/306-SW14X10GRTE</t>
  </si>
  <si>
    <t>Rol TQ89/275/20/306-SW14x10-GROEN</t>
  </si>
  <si>
    <t>TQ 89/280/20/315-SW15X12GRTE</t>
  </si>
  <si>
    <t>Rol TQ89/280/20/315-SW15x12-GROEN</t>
  </si>
  <si>
    <t>10,040</t>
  </si>
  <si>
    <t>TQ 89/280/20/316-SW14X10TE</t>
  </si>
  <si>
    <t>Rol TQ89/280/20/316-SW14x10</t>
  </si>
  <si>
    <t>TQ 89/280/20/341-SW15X10TE</t>
  </si>
  <si>
    <t>Rol TQ89/280/20/341-SW15x10</t>
  </si>
  <si>
    <t>10,210</t>
  </si>
  <si>
    <t>TQ 89/282/20/315-SW14X10GRTE</t>
  </si>
  <si>
    <t>Rol TQ89/282/20/315-SW14x10</t>
  </si>
  <si>
    <t>9,710</t>
  </si>
  <si>
    <t>TQ 89/283/20/315-SW14X10GRTE</t>
  </si>
  <si>
    <t>Rol TQ89/283/20/315-SW14X10-GROEN</t>
  </si>
  <si>
    <t>TQ 89/285/20/316-SW14X10GRTE</t>
  </si>
  <si>
    <t>Rol TQ89/285/20/316-SW14x10-Groen</t>
  </si>
  <si>
    <t>10,670</t>
  </si>
  <si>
    <t>TQ 89/285/20/316-SW14X10TE</t>
  </si>
  <si>
    <t>Rol TQ89/285/20/316-SW14x10</t>
  </si>
  <si>
    <t>12,190</t>
  </si>
  <si>
    <t>TQ 89/285/20/316-SW15X10GRTE</t>
  </si>
  <si>
    <t>Rol TQ89/285/20/316-SW15x10-GROEN</t>
  </si>
  <si>
    <t>TQ 89/285/20/320-SW10X12TE</t>
  </si>
  <si>
    <t>Rol TQ89/285/20/320-SW10x12</t>
  </si>
  <si>
    <t>TQ 89/285/20/330-SW12X14TE</t>
  </si>
  <si>
    <t>Rol TQ89/285/20/330-SW12x14</t>
  </si>
  <si>
    <t>11,780</t>
  </si>
  <si>
    <t>TQ 89/285/RVS304/316-SW14X10TE</t>
  </si>
  <si>
    <t>Rol TQ89/285/RVS20/316-SW14x10-RVS304</t>
  </si>
  <si>
    <t>14,050</t>
  </si>
  <si>
    <t>TQ 89/290/20/316-SW14X10GRTE</t>
  </si>
  <si>
    <t>Rol TQ89/290/20/316-SW14x10-Groen</t>
  </si>
  <si>
    <t>TQ 89/290/20/316-SW14X10TE</t>
  </si>
  <si>
    <t>Rol TQ89/290/20/316-SW14x10</t>
  </si>
  <si>
    <t>TQ 89/290/20/328-RADIALØ3.3TE</t>
  </si>
  <si>
    <t>Rol TQ89/290/20/328-RADIALØ3.3-20x21.5+SW15x16</t>
  </si>
  <si>
    <t>13,280</t>
  </si>
  <si>
    <t>TQ 89/290/20/330-SW12X10TE</t>
  </si>
  <si>
    <t>Rol TQ89/290/20/330-SW12X10</t>
  </si>
  <si>
    <t>10,750</t>
  </si>
  <si>
    <t>TQ 89/290/RVS20/316-SW14X10TE</t>
  </si>
  <si>
    <t>Rol TQ89/290/RVS20/316-SW14x10-RVS304</t>
  </si>
  <si>
    <t>20,350</t>
  </si>
  <si>
    <t>TQ 89/290/RVS20/370-RADØ07-TE</t>
  </si>
  <si>
    <t>Rol TQ89/290/RVS20/370-Radiaal ø07 - RVS316 - 20x40/10x15</t>
  </si>
  <si>
    <t>27,140</t>
  </si>
  <si>
    <t>TQ 89/295/20/325-SW17X10GRTE</t>
  </si>
  <si>
    <t>Rol TQ89/295/20/325-SW17x10-Groen</t>
  </si>
  <si>
    <t>TQ 89/300/20/331-SW15X10GRTE</t>
  </si>
  <si>
    <t>Rol TQ89/300/20/331-SW15x10-GROEN</t>
  </si>
  <si>
    <t>11,190</t>
  </si>
  <si>
    <t>TQ 89/305/20/336-IWDM8X24TE</t>
  </si>
  <si>
    <t>Rol TQ89/305/20/336-SW15x10+IWD M8X24</t>
  </si>
  <si>
    <t>TQ 89/305/20/336-SW15X10TE</t>
  </si>
  <si>
    <t>Rol TQ89/305/20/336-SW15X10</t>
  </si>
  <si>
    <t>12,200</t>
  </si>
  <si>
    <t>TQ 89/305/20/337-SW15X10GRTE</t>
  </si>
  <si>
    <t>Rol TQ89/305/20/337-SW15X10-GROEN</t>
  </si>
  <si>
    <t>11,220</t>
  </si>
  <si>
    <t>TQ 89/309/20/339-SW17X9.5TE</t>
  </si>
  <si>
    <t>Rol TQ89/309/20/339-SW17X9.5</t>
  </si>
  <si>
    <t>30,980</t>
  </si>
  <si>
    <t>TQ 89/309/20/340-SW14X10TE</t>
  </si>
  <si>
    <t>Rol TQ89/309/20/340-SW14X10</t>
  </si>
  <si>
    <t>10,990</t>
  </si>
  <si>
    <t>TQ 89/309/20/340-SW15X10GRTE</t>
  </si>
  <si>
    <t>Rol TQ89/309/20/340-SW15X10-GROEN</t>
  </si>
  <si>
    <t>TQ 89/310/20/340-SW15X10GRTE</t>
  </si>
  <si>
    <t>Rol TQ89/310/20/340-SW15x10-Groen</t>
  </si>
  <si>
    <t>13,240</t>
  </si>
  <si>
    <t>12,170</t>
  </si>
  <si>
    <t>TQ 89/310/20/341-SW14X10TE</t>
  </si>
  <si>
    <t>Rol TQ89/310/20/341-SW14x10</t>
  </si>
  <si>
    <t>TQ 89/310/20/341-SW15X10GRTE</t>
  </si>
  <si>
    <t>Rol TQ89/310/20/341-SW15x10-GROEN</t>
  </si>
  <si>
    <t>10,970</t>
  </si>
  <si>
    <t>TQ 89/310/20/341-SW15X10TE</t>
  </si>
  <si>
    <t>Rol TQ89/310/20/341-SW15x10</t>
  </si>
  <si>
    <t>TQ 89/310/20/345-SW14X10TE</t>
  </si>
  <si>
    <t>Rol TQ89/310/20/345-SW14x10</t>
  </si>
  <si>
    <t>TQ 89/310/20/406-SW15X10TE</t>
  </si>
  <si>
    <t>Rol TQ89/310/20/406-SW15x10</t>
  </si>
  <si>
    <t>TQ 89/310/RVS20/341-SW14X10GTE</t>
  </si>
  <si>
    <t>Rol TQ89/310/RVS20/341-SW14X10-Groen-RVS303</t>
  </si>
  <si>
    <t>18,940</t>
  </si>
  <si>
    <t>TQ 89/310/RVS303/341SW15X10LTE</t>
  </si>
  <si>
    <t>Rol TQ89/310/RVS20/341-SW15X10+RVS303+RVS lagers</t>
  </si>
  <si>
    <t>19,970</t>
  </si>
  <si>
    <t>TQ 89/310/RVS304/341-SW14X10TE</t>
  </si>
  <si>
    <t>Rol TQ89/310/RVS20/341-SW14X10-RVS304</t>
  </si>
  <si>
    <t>20,910</t>
  </si>
  <si>
    <t>16,080</t>
  </si>
  <si>
    <t>TQ 89/310/RVS304/341SW15X10LTE</t>
  </si>
  <si>
    <t>Rol TQ89/310/RVS20/341-SW15X10+RVS304+RVS lagers</t>
  </si>
  <si>
    <t>TQ 89/310/RVS316/341-SW14X10TE</t>
  </si>
  <si>
    <t>Rol TQ89/310/RVS20/341-SW14X10-RVS316</t>
  </si>
  <si>
    <t>TQ 89/310/RVS316/341SW15X10LTE</t>
  </si>
  <si>
    <t>Rol TQ89/310/RVS20/341-SW15X10-RVS316+RVS lagers</t>
  </si>
  <si>
    <t>TQ 89/310/RVS316/341-SW15X10TE</t>
  </si>
  <si>
    <t>Rol TQ89/310/RVS20/341-SW15X10-RVS316</t>
  </si>
  <si>
    <t>20,110</t>
  </si>
  <si>
    <t>TQ 89/314/20/345-SW14X10TE</t>
  </si>
  <si>
    <t>Rol TQ89/314/20/345-SW14x10</t>
  </si>
  <si>
    <t>TQ 89/315/20/341-SW14X10TE</t>
  </si>
  <si>
    <t>Rol TQ89/315/20/341-SW14x10</t>
  </si>
  <si>
    <t>TQ Rol (H.D.P.E.) ; Rol Ø89 mm 315 mm, As Ø20mm 341mm SW14x10</t>
  </si>
  <si>
    <t>TQ Rolle (H.D.P.E.) ; Rolle Ø89 mm 315 mm, Achse Ø20mm 341mm SW14x10</t>
  </si>
  <si>
    <t>TQ Roll (H.D.P.E.) ; Roll Ø89 mm 315 mm, Axis Ø20mm 341mm SW14x10</t>
  </si>
  <si>
    <t>TQ Rouleau (H.D.P.E.) ; Rouleau Ø89 mm 315 mm, Axe Ø20mm 341mm SW14x10</t>
  </si>
  <si>
    <t>Rol lengte: 315 mm ; Rol diameter: Ø89 mm ; As lengte: 341 mm ; As diameter: Ø20 mm ; Sleutel: SW14x10</t>
  </si>
  <si>
    <t>Rolle Länge: 315 mm ; Rolle Durchmesser: Ø89 mm ; Achse Länge: 341 mm ; Achse Durchmesser: Ø20 mm ; Schlüssel: SW14x10</t>
  </si>
  <si>
    <t>Roll lenght: 315 mm ; Roll diameter: Ø89 mm ; Axis lenght: 341 mm ; Axis diameter: Ø20 mm ; Key: SW14x10</t>
  </si>
  <si>
    <t>Rouleau longueur: 315 mm ; Rouleau diamètre: Ø89 mm ; Axe longueur:341 mm ; Axe diamètre: Ø20 mm ; Méplat: SW14x10</t>
  </si>
  <si>
    <t>TQ 89/315/20/341-SW14X9TE</t>
  </si>
  <si>
    <t>Rol TQ89/315/20/341-SW14x9</t>
  </si>
  <si>
    <t>TQ Rol (H.D.P.E.) ; Rol Ø89 mm 315 mm, As Ø20mm 341mm SW14x9</t>
  </si>
  <si>
    <t>TQ Rolle (H.D.P.E.) ; Rolle Ø89 mm 315 mm, Achse Ø20mm 341mm SW14x9</t>
  </si>
  <si>
    <t>TQ Roll (H.D.P.E.) ; Roll Ø89 mm 315 mm, Axis Ø20mm 341mm SW14x9</t>
  </si>
  <si>
    <t>TQ Rouleau (H.D.P.E.) ; Rouleau Ø89 mm 315 mm, Axe Ø20mm 341mm SW14x9</t>
  </si>
  <si>
    <t>Rol lengte: 315 mm ; Rol diameter: Ø89 mm ; As lengte: 341 mm ; As diameter: Ø20 mm ; Sleutel: SW14x9</t>
  </si>
  <si>
    <t>Rolle Länge: 315 mm ; Rolle Durchmesser: Ø89 mm ; Achse Länge: 341 mm ; Achse Durchmesser: Ø20 mm ; Schlüssel: SW14x9</t>
  </si>
  <si>
    <t>Roll lenght: 315 mm ; Roll diameter: Ø89 mm ; Axis lenght: 341 mm ; Axis diameter: Ø20 mm ; Key: SW14x9</t>
  </si>
  <si>
    <t>Rouleau longueur: 315 mm ; Rouleau diamètre: Ø89 mm ; Axe longueur:341 mm ; Axe diamètre: Ø20 mm ; Méplat: SW14x9</t>
  </si>
  <si>
    <t>TQ 89/315/20/341-SW15X10GRTE</t>
  </si>
  <si>
    <t>Rol TQ89/315/20/341-SW15x10-GROEN</t>
  </si>
  <si>
    <t>TQ 89/315/20/341-SW15X10TE</t>
  </si>
  <si>
    <t>Rol TQ89/315/20/341-SW15x10</t>
  </si>
  <si>
    <t>12,960</t>
  </si>
  <si>
    <t>TQ Rol (H.D.P.E.) ; Rol Ø89 mm 315 mm, As Ø20mm 341mm SW15x10</t>
  </si>
  <si>
    <t>TQ Rolle (H.D.P.E.) ; Rolle Ø89 mm 315 mm, Achse Ø20mm 341mm SW15x10</t>
  </si>
  <si>
    <t>TQ Roll (H.D.P.E.) ; Roll Ø89 mm 315 mm, Axis Ø20mm 341mm SW15x10</t>
  </si>
  <si>
    <t>TQ Rouleau (H.D.P.E.) ; Rouleau Ø89 mm 315 mm, Axe Ø20mm 341mm SW15x10</t>
  </si>
  <si>
    <t>Rol lengte: 315 mm ; Rol diameter: Ø89 mm ; As lengte: 341 mm ; As diameter: Ø20 mm ; Sleutel: SW15x10</t>
  </si>
  <si>
    <t>Rolle Länge: 315 mm ; Rolle Durchmesser: Ø89 mm ; Achse Länge: 341 mm ; Achse Durchmesser: Ø20 mm ; Schlüssel: SW15x10</t>
  </si>
  <si>
    <t>Roll lenght: 315 mm ; Roll diameter: Ø89 mm ; Axis lenght: 341 mm ; Axis diameter: Ø20 mm ; Key: SW15x10</t>
  </si>
  <si>
    <t>Rouleau longueur: 315 mm ; Rouleau diamètre: Ø89 mm ; Axe longueur:341 mm ; Axe diamètre: Ø20 mm ; Méplat: SW15x10</t>
  </si>
  <si>
    <t>TQ 89/315/20/341-SW17X10TE</t>
  </si>
  <si>
    <t>Rol TQ89/315/20/341-SW17x10</t>
  </si>
  <si>
    <t>TQ 89/315/20/345-SW15X10TE</t>
  </si>
  <si>
    <t>Rol TQ89/315/20/345-SW15x10</t>
  </si>
  <si>
    <t>TQ Rol (H.D.P.E.) ; Rol Ø89 mm 315 mm, As Ø20mm 345mm SW14x10</t>
  </si>
  <si>
    <t>TQ Rolle (H.D.P.E.) ; Rolle Ø89 mm 315 mm, Achse Ø20mm 345mm SW14x10</t>
  </si>
  <si>
    <t>TQ Roll (H.D.P.E.) ; Roll Ø89 mm 315 mm, Axis Ø20mm 345mm SW14x10</t>
  </si>
  <si>
    <t>TQ Rouleau (H.D.P.E.) ; Rouleau Ø89 mm 315 mm, Axe Ø20mm 345mm SW14x9</t>
  </si>
  <si>
    <t>Rol lengte: 315 mm ; Rol diameter: Ø89 mm ; As lengte: 345 mm ; As diameter: Ø20 mm ; Sleutel: SW14x10</t>
  </si>
  <si>
    <t>Rolle Länge: 315 mm ; Rolle Durchmesser: Ø89 mm ; Achse Länge: 345 mm ; Achse Durchmesser: Ø20 mm ; Schlüssel: SW14x10</t>
  </si>
  <si>
    <t>Roll lenght: 315 mm ; Roll diameter: Ø89 mm ; Axis lenght: 345 mm ; Axis diameter: Ø20 mm ; Key: SW14x10</t>
  </si>
  <si>
    <t>Rouleau longueur: 315 mm ; Rouleau diamètre: Ø89 mm ; Axe longueur:345 mm ; Axe diamètre: Ø20 mm ; Méplat: SW14x10</t>
  </si>
  <si>
    <t>TQ 89/315/20/355-UWDM16X35TE</t>
  </si>
  <si>
    <t>Rol TQ89/315/20/355-UWDM16x35 + POM</t>
  </si>
  <si>
    <t>16,640</t>
  </si>
  <si>
    <t>TQ 89/315/20/365-SW14X10TE</t>
  </si>
  <si>
    <t>Rol TQ89/315/20/365-SW14x10</t>
  </si>
  <si>
    <t>11,660</t>
  </si>
  <si>
    <t>TQ 89/315/20/405-IWDM10X20TE</t>
  </si>
  <si>
    <t>Rol TQ89/315/20/405-IWD M10X20</t>
  </si>
  <si>
    <t>TQ 89/315/20/426-UWDM16X100TE</t>
  </si>
  <si>
    <t>Rol TQ89/315/20/426-UWDM16x100+POM</t>
  </si>
  <si>
    <t>21,240</t>
  </si>
  <si>
    <t>TQ 89/315/RVS20/341-SW15X10TE</t>
  </si>
  <si>
    <t>Rol TQ89/315/RVS20/341-SW15x10-RVS303</t>
  </si>
  <si>
    <t>17,380</t>
  </si>
  <si>
    <t>TQ 89/315/RVS316/341-SW15X10TE</t>
  </si>
  <si>
    <t>Rol TQ89/315/RVS316/341-SW15x10-RVS316TI</t>
  </si>
  <si>
    <t>18,700</t>
  </si>
  <si>
    <t>TQ 89/318/20/352-SW17X13GRTE</t>
  </si>
  <si>
    <t>Rol TQ89/318/20/352-SW17x13-GROEN</t>
  </si>
  <si>
    <t>11,230</t>
  </si>
  <si>
    <t>TQ 89/335/20/365-SW15X10GRTE</t>
  </si>
  <si>
    <t>Rol TQ89/335/20/365-SW15x10-GROEN</t>
  </si>
  <si>
    <t>15,010</t>
  </si>
  <si>
    <t>TQ 89/340/20/375-SW15X10GRTE</t>
  </si>
  <si>
    <t>Rol TQ89/340/20/375-SW15x10-GROEN</t>
  </si>
  <si>
    <t>TQ 89/345/20/376-SW17X10BLTE</t>
  </si>
  <si>
    <t>Rol TQ89/345/20/376-SW17x10-BLAUW</t>
  </si>
  <si>
    <t>TQ 89/348/RVS20/378-SW15X10TE</t>
  </si>
  <si>
    <t>Rol TQ89/348/RVS20/378-SW15X10-RVS304</t>
  </si>
  <si>
    <t>19,790</t>
  </si>
  <si>
    <t>TQ 89/350/20/380-15X10TE</t>
  </si>
  <si>
    <t>Rol TQ89/350/20/380-SW15X10-GROEN</t>
  </si>
  <si>
    <t>11,620</t>
  </si>
  <si>
    <t>TQ 89/350/20/380-SW17X10TE</t>
  </si>
  <si>
    <t>Rol TQ89/350/20/380-SW17x10</t>
  </si>
  <si>
    <t>TQ 89/350/20/386-SW14X10TE</t>
  </si>
  <si>
    <t>Rol TQ89/350/20/386-SW14x10</t>
  </si>
  <si>
    <t>13,510</t>
  </si>
  <si>
    <t>TQ 89/350/RVS20/380-15X10GRTE</t>
  </si>
  <si>
    <t>Rol TQ89/350/RVS20/380-SW15X10-RVS303-Groen</t>
  </si>
  <si>
    <t>15,770</t>
  </si>
  <si>
    <t>TQ 89/354/20/390-SW17X10TE</t>
  </si>
  <si>
    <t>Rol TQ89/354/20/390-SW17x10</t>
  </si>
  <si>
    <t>11,880</t>
  </si>
  <si>
    <t>TQ 89/355/20/386-SW14X10GRTE</t>
  </si>
  <si>
    <t>Rol TQ89/355/20/386-SW14X10-GROEN</t>
  </si>
  <si>
    <t>TQ 89/355/20/386-SW14X10TE</t>
  </si>
  <si>
    <t>Rol TQ89/355/20/386-SW14X10</t>
  </si>
  <si>
    <t>TQ 89/355/20/395-SW14X10GRTE</t>
  </si>
  <si>
    <t>Rol TQ89/355/20/395-SW14X10-GROEN</t>
  </si>
  <si>
    <t>TQ 89/355/RVS304/386-SW14X10TE</t>
  </si>
  <si>
    <t>Rol TQ89/355/RVS20/386-SW14x10-RVS304</t>
  </si>
  <si>
    <t>TQ 89/360/20/385-SW14X10TE</t>
  </si>
  <si>
    <t>Rol TQ89/360/20/385-SW14X10</t>
  </si>
  <si>
    <t>TQ 89/360/20/406-IWDM8X15TE</t>
  </si>
  <si>
    <t>Rol TQ89/360/RVS20/406-IWDM8x15-2 rol op 1 as</t>
  </si>
  <si>
    <t>75,190</t>
  </si>
  <si>
    <t>TQ 89/360/20/406-SW15X10TE</t>
  </si>
  <si>
    <t>Rol TQ89/360/20/406-SW15x10</t>
  </si>
  <si>
    <t>11,490</t>
  </si>
  <si>
    <t>TQ 89/362/RVS304/392-SW15X10TE</t>
  </si>
  <si>
    <t>Rol TQ89/362/RVS20/392-SW15X10TE-RVS304</t>
  </si>
  <si>
    <t>20,560</t>
  </si>
  <si>
    <t>TQ 89/370/20/402-SW15X10GRTE</t>
  </si>
  <si>
    <t>Rol TQ89/370/20/402-SW15x10-GROEN</t>
  </si>
  <si>
    <t>13,570</t>
  </si>
  <si>
    <t>TQ 89/372/20/404-SW15X10TE</t>
  </si>
  <si>
    <t>Rol TQ89/372/20/404-SW15X10</t>
  </si>
  <si>
    <t>11,960</t>
  </si>
  <si>
    <t>TQ 89/372/20/409-SW14X13TE</t>
  </si>
  <si>
    <t>Rol TQ89/372/20/409-SW14X13</t>
  </si>
  <si>
    <t>15,680</t>
  </si>
  <si>
    <t>TQ 89/374/20/405-SW15X10TE</t>
  </si>
  <si>
    <t>Rol TQ89/374/20/405-SW15x10</t>
  </si>
  <si>
    <t>11,420</t>
  </si>
  <si>
    <t>TQ 89/374/20/406-SW15X10TE</t>
  </si>
  <si>
    <t>Rol TQ89/374/20/406-SW15x10</t>
  </si>
  <si>
    <t>TQ 89/375/20/405-SW15X10GTE</t>
  </si>
  <si>
    <t>Rol TQ89/375/20/405-SW15x10</t>
  </si>
  <si>
    <t>TQ 89/375/20/406-SW14X10-9GRTE</t>
  </si>
  <si>
    <t>Rol TQ89/375/20/406-SW14x10 - 9 steunringen Ø133 mm- Groen</t>
  </si>
  <si>
    <t>TQ 89/375/20/406-SW15X10TE</t>
  </si>
  <si>
    <t>Rol TQ89/375/20/406-SW15x10</t>
  </si>
  <si>
    <t>10,980</t>
  </si>
  <si>
    <t>TQ 89/375/20/406-SW17X10TE</t>
  </si>
  <si>
    <t>Rol TQ89/375/20/406-SW17x10</t>
  </si>
  <si>
    <t>13,130</t>
  </si>
  <si>
    <t>TQ 89/375/RVS20/406-SW14X10GTE</t>
  </si>
  <si>
    <t>Rol TQ89/375/RVS20/406-SW14X10-Groen-RVS303</t>
  </si>
  <si>
    <t>TQ 89/375/RVS304/406-SW15X10TE</t>
  </si>
  <si>
    <t>Rol TQ89/375/RVS20/406-SW15x10-RVS304</t>
  </si>
  <si>
    <t>TQ 89/375/RVS304/440-SW14X14TE</t>
  </si>
  <si>
    <t>Rol TQ89/375/RVS20/440-SW14x14-RVS304</t>
  </si>
  <si>
    <t>TQ 89/379/20/410-SW16X10TE</t>
  </si>
  <si>
    <t>Rol TQ89/379/20/410-SW16X10</t>
  </si>
  <si>
    <t>12,010</t>
  </si>
  <si>
    <t>TQ 89/380/20/406-SW14X10TE</t>
  </si>
  <si>
    <t>Rol TQ89/380/20/406-SW14x10</t>
  </si>
  <si>
    <t>TQ Rol (H.D.P.E.) ; Rol Ø89 mm 380 mm, As Ø20mm 406mm SW14x10</t>
  </si>
  <si>
    <t>TQ Rolle (H.D.P.E.) ; Rolle Ø89 mm 380 mm, Achse Ø20mm 406mm SW14x10</t>
  </si>
  <si>
    <t>TQ Roll (H.D.P.E.) ; Roll Ø89 mm 380 mm, Axis Ø20mm 406mm SW14x10</t>
  </si>
  <si>
    <t>TQ Rouleau (H.D.P.E.) ; Rouleau Ø89 mm 380 mm, Axe Ø20mm 406mm SW14x10</t>
  </si>
  <si>
    <t>Rol lengte: 380 mm ; Rol diameter: Ø89 mm ; As lengte: 406 mm ; As diameter: Ø20 mm ; Sleutel: SW14x10</t>
  </si>
  <si>
    <t>Rolle Länge: 380 mm ; Rolle Durchmesser: Ø89 mm ; Achse Länge: 406 mm ; Achse Durchmesser: Ø20 mm ; Schlüssel: SW14x10</t>
  </si>
  <si>
    <t>Roll lenght: 380 mm ; Roll diameter: Ø89 mm ; Axis lenght: 406 mm ; Axis diameter: Ø20 mm ; Key: SW14x10</t>
  </si>
  <si>
    <t>Rouleau longueur: 380 mm ; Rouleau diamètre: Ø89 mm ; Axe longueur: 406 mm ; Axe diamètre: Ø20 mm ; Méplat: SW14x10</t>
  </si>
  <si>
    <t>TQ 89/380/20/406-SW15X10GRTE</t>
  </si>
  <si>
    <t>Rol TQ89/380/20/406-SW15x10-GROEN</t>
  </si>
  <si>
    <t>TQ 89/380/20/406-SW15X10TE</t>
  </si>
  <si>
    <t>Rol TQ89/380/20/406-SW15x10</t>
  </si>
  <si>
    <t>12,140</t>
  </si>
  <si>
    <t>TQ Rol (H.D.P.E.) ; Rol Ø89 mm 380 mm, As Ø20mm 406mm SW15x10</t>
  </si>
  <si>
    <t>TQ Rolle (H.D.P.E.) ; Rolle Ø89 mm 380 mm, Achse Ø20mm 406mm SW15x10</t>
  </si>
  <si>
    <t>TQ Roll (H.D.P.E.) ; Roll Ø89 mm 380 mm, Axis Ø20mm 406mm SW15x10</t>
  </si>
  <si>
    <t>TQ Rouleau (H.D.P.E.) ; Rouleau Ø89 mm 380 mm, Axe Ø20mm 406mm SW15x10</t>
  </si>
  <si>
    <t>Rol lengte: 380 mm ; Rol diameter: Ø89 mm ; As lengte: 406 mm ; As diameter: Ø20 mm ; Sleutel: SW15x10</t>
  </si>
  <si>
    <t>Rolle Länge: 380 mm ; Rolle Durchmesser: Ø89 mm ; Achse Länge: 406 mm ; Achse Durchmesser: Ø20 mm ; Schlüssel: SW15x10</t>
  </si>
  <si>
    <t>Roll lenght: 380 mm ; Roll diameter: Ø89 mm ; Axis lenght: 406 mm ; Axis diameter: Ø20 mm ; Key: SW15x10</t>
  </si>
  <si>
    <t>Rouleau longueur: 380 mm ; Rouleau diamètre: Ø89 mm ; Axe longueur: 406 mm ; Axe diamètre: Ø20 mm ; Méplat: SW15x10</t>
  </si>
  <si>
    <t>TQ 89/380/20/406-SW15X13TE</t>
  </si>
  <si>
    <t>Rol TQ89/380/20/406-SW15x13</t>
  </si>
  <si>
    <t>TQ Rol (H.D.P.E.) ; Rol Ø89 mm 380 mm, As Ø20mm 406mm SW15x13</t>
  </si>
  <si>
    <t>TQ Rolle (H.D.P.E.) ; Rolle Ø89 mm 380 mm, Achse Ø20mm 406mm SW15x13</t>
  </si>
  <si>
    <t>TQ Roll (H.D.P.E.) ; Roll Ø89 mm 380 mm, Axis Ø20mm 406mm SW15x13</t>
  </si>
  <si>
    <t>TQ Rouleau (H.D.P.E.) ; Rouleau Ø89 mm 380 mm, Axe Ø20mm 406mm SW15x13</t>
  </si>
  <si>
    <t>Rol lengte: 380 mm ; Rol diameter: Ø89 mm ; As lengte: 406 mm ; As diameter: Ø20 mm ; Sleutel: SW15x13</t>
  </si>
  <si>
    <t>Rolle Länge: 380 mm ; Rolle Durchmesser: Ø89 mm ; Achse Länge: 406 mm ; Achse Durchmesser: Ø20 mm ; Schlüssel: SW15x13</t>
  </si>
  <si>
    <t>Roll lenght: 380 mm ; Roll diameter: Ø89 mm ; Axis lenght: 406 mm ; Axis diameter: Ø20 mm ; Key: SW15x13</t>
  </si>
  <si>
    <t>Rouleau longueur: 380 mm ; Rouleau diamètre: Ø89 mm ; Axe longueur: 406 mm ; Axe diamètre: Ø20 mm ; Méplat: SW15x13</t>
  </si>
  <si>
    <t>TQ 89/380/20/410-SW14X10GRTE</t>
  </si>
  <si>
    <t>Rol TQ89/380/20/410-SW14x10-GROEN</t>
  </si>
  <si>
    <t>13,580</t>
  </si>
  <si>
    <t>TQ 89/380/20/420-IWDM12X15TE</t>
  </si>
  <si>
    <t>Rol TQ89/380/20/420-IWD M12X15</t>
  </si>
  <si>
    <t>TQ 89/380/RVS20/406-SW14X10GTE</t>
  </si>
  <si>
    <t>Rol TQ89/380/RVS20/406-SW14X10-Groen-RVS303</t>
  </si>
  <si>
    <t>20,050</t>
  </si>
  <si>
    <t>TQ 89/380/RVS316/406-SW14X10TE</t>
  </si>
  <si>
    <t>Rol TQ89/380/RVS20/406-SW14x10-RVS316</t>
  </si>
  <si>
    <t>TQ 89/380/RVS316/406-SW15X10TE</t>
  </si>
  <si>
    <t>Rol TQ89/380/RVS20/406-SW15x10-RVS316+RVS Lagers</t>
  </si>
  <si>
    <t>20,180</t>
  </si>
  <si>
    <t>TQ 89/385/20/425-SW15X10TE</t>
  </si>
  <si>
    <t>Rol TQ89/385/20/425-SW15X10</t>
  </si>
  <si>
    <t>TQ 89/385/20/425-SW16X10TE</t>
  </si>
  <si>
    <t>Rol TQ89/385/20/425-SW16X10</t>
  </si>
  <si>
    <t>TQ 89/395/20/426-SW15X10GRTE</t>
  </si>
  <si>
    <t>Rol TQ89/395/20/426-SW15X10-GROEN</t>
  </si>
  <si>
    <t>TQ 89/400/RVS304/450-IM12X20TE</t>
  </si>
  <si>
    <t>Rol TQ89/400/RVS20/450-IWDM12x20-RVS304+RVS Lagers</t>
  </si>
  <si>
    <t>TQ 89/405/RVS303/436-SW15X10TE</t>
  </si>
  <si>
    <t>Rol TQ89/405/RVS20/436-SW15X10-RVS303+RVS lagers</t>
  </si>
  <si>
    <t>23,980</t>
  </si>
  <si>
    <t>TQ 89/420/20/456-SW14X10TE</t>
  </si>
  <si>
    <t>Rol TQ89/420/20/456-SW14X10</t>
  </si>
  <si>
    <t>TQ 89/420/20/490-RADIALØ7-10TE</t>
  </si>
  <si>
    <t>Rol TQ89/420/20/490-RADIALØ7-20x27/10x8</t>
  </si>
  <si>
    <t>15,620</t>
  </si>
  <si>
    <t>TQ 89/425/20/491-SW15X10TE</t>
  </si>
  <si>
    <t>Rol TQ89/425/20/491-SW15X10</t>
  </si>
  <si>
    <t>12,790</t>
  </si>
  <si>
    <t>TQ 89/425/RVS304/456-SW14X10TE</t>
  </si>
  <si>
    <t>Rol TQ89/425/RVS20/456-SW14x10-RVS304-Groen+RVS Lagers</t>
  </si>
  <si>
    <t>21,340</t>
  </si>
  <si>
    <t>TQ 89/440/20/475-SW15X10TE</t>
  </si>
  <si>
    <t>Rol TQ89/440/20/475-SW15X10</t>
  </si>
  <si>
    <t>16,730</t>
  </si>
  <si>
    <t>13,380</t>
  </si>
  <si>
    <t>TQ 89/448/20/490-SW14X10TE</t>
  </si>
  <si>
    <t>Rol TQ89/448/20/490-SW14X10</t>
  </si>
  <si>
    <t>TQ 89/450/20/480-SW17X10TE</t>
  </si>
  <si>
    <t>Rol TQ89/450/20/480-SW17X10</t>
  </si>
  <si>
    <t>19,860</t>
  </si>
  <si>
    <t>TQ 89/450/20/490-SW14X10TE</t>
  </si>
  <si>
    <t>Rol TQ89/450/20/490-SW14X10</t>
  </si>
  <si>
    <t>TQ 89/453/RVS20/492-SW15X10TE</t>
  </si>
  <si>
    <t>Rol TQ89/453/RVS20/492-SW15X10-RVS304</t>
  </si>
  <si>
    <t>TQ 89/455/RVS20/490-SW14X9TE</t>
  </si>
  <si>
    <t>Rol TQ89/455/RVS20/490-SW14x9-RVS303</t>
  </si>
  <si>
    <t>TQ 89/459/20/490-SW15X10+IWDTE</t>
  </si>
  <si>
    <t>Rol TQ89/459/20/490-SW15X10+IWDM8x25</t>
  </si>
  <si>
    <t>TQ 89/459/20/490-SW15X10GRTE</t>
  </si>
  <si>
    <t>Rol TQ89/459/20/490-SW15x10-Groen</t>
  </si>
  <si>
    <t>TQ 89/459/20/491-SW15X10+IWDTE</t>
  </si>
  <si>
    <t>Rol TQ89/459/20/491-SW15X10+IWDM8x24-Groen</t>
  </si>
  <si>
    <t>17,340</t>
  </si>
  <si>
    <t>TQ 89/460/20/490-SW15X10GRTE</t>
  </si>
  <si>
    <t>Rol TQ89/460/20/490-SW15X10-GROEN</t>
  </si>
  <si>
    <t>13,490</t>
  </si>
  <si>
    <t>TQ 89/460/20/490-SW15X10TE</t>
  </si>
  <si>
    <t>Rol TQ89/460/20/490-SW15X10</t>
  </si>
  <si>
    <t>TQ 89/460/20/491-SW14X10TE</t>
  </si>
  <si>
    <t>Rol TQ89/460/20/491-SW14X10</t>
  </si>
  <si>
    <t>12,380</t>
  </si>
  <si>
    <t>TQ 89/460/20/491-SW15X10TE</t>
  </si>
  <si>
    <t>Rol TQ89/460/20/491-SW15X10</t>
  </si>
  <si>
    <t>17,610</t>
  </si>
  <si>
    <t>TQ 89/460/20/500-SW15X10TE</t>
  </si>
  <si>
    <t>Rol TQ89/460/20/500-SW15X10</t>
  </si>
  <si>
    <t>TQ 89/460/RVS303/490-SW14X10TE</t>
  </si>
  <si>
    <t>Rol TQ89/460/RVS20/490-SW14X10-RVS303</t>
  </si>
  <si>
    <t>18,730</t>
  </si>
  <si>
    <t>TQ 89/465/20/491-SW14X10GRTE</t>
  </si>
  <si>
    <t>Rol TQ89/465/20/491-SW14x10-GROEN</t>
  </si>
  <si>
    <t>TQ 89/465/20/491-SW14X10TE</t>
  </si>
  <si>
    <t>Rol TQ89/465/20/491-SW14X10</t>
  </si>
  <si>
    <t>TQ Rol (H.D.P.E.) ; Rol Ø89 mm 465 mm, As Ø20mm 491mm SW14x10</t>
  </si>
  <si>
    <t>TQ Rolle (H.D.P.E.) ; Rolle Ø89 mm 465 mm, Achse Ø20mm 491mm SW14x10</t>
  </si>
  <si>
    <t>TQ Roll (H.D.P.E.) ; Roll Ø89 mm 465 mm, Axis Ø20mm 491mm SW14x10</t>
  </si>
  <si>
    <t>TQ Rouleau (H.D.P.E.) ; Rouleau Ø89 mm 465 mm, Axe Ø20mm 491mm SW14x10</t>
  </si>
  <si>
    <t>Rol lengte: 465 mm ; Rol diameter: Ø89 mm ; As lengte: 491 mm ; As diameter: Ø20 mm ; Sleutel: SW14x10</t>
  </si>
  <si>
    <t>Rolle Länge: 465 mm ; Rolle Durchmesser: Ø89 mm ; Achse Länge: 491 mm ; Achse Durchmesser: Ø20 mm ; Schlüssel: SW14x10</t>
  </si>
  <si>
    <t>Roll lenght: 465 mm ; Roll diameter: Ø89 mm ; Axis lenght: 491 mm ; Axis diameter: Ø20 mm ; Key: SW14x10</t>
  </si>
  <si>
    <t>Rouleau longueur: 465 mm ; Rouleau diamètre: Ø89 mm ; Axe longueur: 491 mm ; Axe diamètre: Ø20 mm ; Méplat: SW14x10</t>
  </si>
  <si>
    <t>TQ 89/465/20/491-SW14X9TE</t>
  </si>
  <si>
    <t>Rol TQ89/465/20/491-SW14X9</t>
  </si>
  <si>
    <t>TQ Rol (H.D.P.E.) ; Rol Ø89 mm 465 mm, As Ø20mm 491mm SW14x9</t>
  </si>
  <si>
    <t>TQ Rolle (H.D.P.E.) ; Rolle Ø89 mm 465 mm, Achse Ø20mm 491mm SW14x9</t>
  </si>
  <si>
    <t>TQ Roll (H.D.P.E.) ; Roll Ø89 mm 465 mm, Axis Ø20mm 491mm SW14x9</t>
  </si>
  <si>
    <t>TQ Rouleau (H.D.P.E.) ; Rouleau Ø89 mm 465 mm, Axe Ø20mm 491mm SW14x9</t>
  </si>
  <si>
    <t>Rol lengte: 465 mm ; Rol diameter: Ø89 mm ; As lengte: 491 mm ; As diameter: Ø20 mm ; Sleutel: SW14x9</t>
  </si>
  <si>
    <t>Rolle Länge: 465 mm ; Rolle Durchmesser: Ø89 mm ; Achse Länge: 491 mm ; Achse Durchmesser: Ø20 mm ; Schlüssel: SW14x9</t>
  </si>
  <si>
    <t>Roll lenght: 465 mm ; Roll diameter: Ø89 mm ; Axis lenght: 491 mm ; Axis diameter: Ø20 mm ; Key: SW14x9</t>
  </si>
  <si>
    <t>Rouleau longueur: 465 mm ; Rouleau diamètre: Ø89 mm ; Axe longueur: 491 mm ; Axe diamètre: Ø20 mm ; Méplat: SW14x9</t>
  </si>
  <si>
    <t>TQ 89/465/20/491-SW15X10GRTE</t>
  </si>
  <si>
    <t>Rol TQ89/465/20/491-SW15X10-GROEN</t>
  </si>
  <si>
    <t>TQ 89/465/20/491-SW15X10TE</t>
  </si>
  <si>
    <t>Rol TQ89/465/20/491-SW15X10</t>
  </si>
  <si>
    <t>15,300</t>
  </si>
  <si>
    <t>TQ Rol (H.D.P.E.) ; Rol Ø89 mm 465 mm, As Ø20mm 491mm SW15x10</t>
  </si>
  <si>
    <t>TQ Rolle (H.D.P.E.) ; Rolle Ø89 mm 465 mm, Achse Ø20mm 491mm SW15x10</t>
  </si>
  <si>
    <t>TQ Roll (H.D.P.E.) ; Roll Ø89 mm 465 mm, Axis Ø20mm 491mm SW15x10</t>
  </si>
  <si>
    <t>TQ Rouleau (H.D.P.E.) ; Rouleau Ø89 mm 465 mm, Axe Ø20mm 491mm SW15x10</t>
  </si>
  <si>
    <t>Rol lengte: 465 mm ; Rol diameter: Ø89 mm ; As lengte: 491 mm ; As diameter: Ø20 mm ; Sleutel: SW15x10</t>
  </si>
  <si>
    <t>Rolle Länge: 465 mm ; Rolle Durchmesser: Ø89 mm ; Achse Länge: 491 mm ; Achse Durchmesser: Ø20 mm ; Schlüssel: SW15x10</t>
  </si>
  <si>
    <t>Roll lenght: 465 mm ; Roll diameter: Ø89 mm ; Axis lenght: 491 mm ; Axis diameter: Ø20 mm ; Key: SW15x10</t>
  </si>
  <si>
    <t>Rouleau longueur: 465 mm ; Rouleau diamètre: Ø89 mm ; Axe longueur: 491 mm ; Axe diamètre: Ø20 mm ; Méplat: SW15x10</t>
  </si>
  <si>
    <t>TQ 89/466/RVS304/496SW15X10TE</t>
  </si>
  <si>
    <t>Rol TQ89/466/RVS20/496-SW15X10-RVS304+RVS lagers</t>
  </si>
  <si>
    <t>23,080</t>
  </si>
  <si>
    <t>TQ 89/466/RVS304/496-SW15X10TE</t>
  </si>
  <si>
    <t>Rol TQ89/466/RVS20/496-SW15X10-RVS304</t>
  </si>
  <si>
    <t>TQ 89/467/RVS20/498-SW15X10TE</t>
  </si>
  <si>
    <t>Rol TQ89/467/RVS20/498-SW15x10-RVS303+RVS Lagers</t>
  </si>
  <si>
    <t>TQ 89/469/RVS20/500-SW15X10TE</t>
  </si>
  <si>
    <t>Rol TQ89/469/RVS20/500-SW15X10-RVS304</t>
  </si>
  <si>
    <t>TQ 89/470/20/520-IWDM12X20GRTE</t>
  </si>
  <si>
    <t>Rol TQ89/470/20/520-IWD M12X20 GROEN</t>
  </si>
  <si>
    <t>15,490</t>
  </si>
  <si>
    <t>TQ 89/475/20/505-SW17X10GRTE</t>
  </si>
  <si>
    <t>Rol TQ89/475/20/505-SW17X10 - GROEN</t>
  </si>
  <si>
    <t>TQ 89/475/20/506-SW14X10TE</t>
  </si>
  <si>
    <t>Rol TQ89/475/20/506-SW14X10</t>
  </si>
  <si>
    <t>15,460</t>
  </si>
  <si>
    <t>TQ 89/475/20/506-SW17X10TE</t>
  </si>
  <si>
    <t>Rol TQ89/475/20/506-SW17X10</t>
  </si>
  <si>
    <t>14,800</t>
  </si>
  <si>
    <t>TQ 89/475/RVS20/540-SW14X16TE</t>
  </si>
  <si>
    <t>Rol TQ89/475/RVS20/540-SW14x16-RVS304</t>
  </si>
  <si>
    <t>TQ 89/475/RVS304/540-SW14X16TE</t>
  </si>
  <si>
    <t>19,930</t>
  </si>
  <si>
    <t>TQ 89/484/RVS316/524-SW15X10TE</t>
  </si>
  <si>
    <t>Rol TQ89/484/RVS20/524-SW15X10-RVS316</t>
  </si>
  <si>
    <t>20,850</t>
  </si>
  <si>
    <t>TQ 89/485/20/525-SW16X10TE</t>
  </si>
  <si>
    <t>Rol TQ89/485/20/525-SW16x10</t>
  </si>
  <si>
    <t>13,840</t>
  </si>
  <si>
    <t>TQ 89/490/20/530-SW10X10TE</t>
  </si>
  <si>
    <t>Rol TQ89/490/20/530-SW10x10</t>
  </si>
  <si>
    <t>TQ 89/495/RVS20/532-SW15X13GTE</t>
  </si>
  <si>
    <t>Rol TQ89/495/RVS20/532-SW15X13-RVS303+RVS Lagers-Groen</t>
  </si>
  <si>
    <t>25,300</t>
  </si>
  <si>
    <t>TQ 89/495/RVS20/570-UWM16X30TE</t>
  </si>
  <si>
    <t>Rol TQ89/495/RVS20/570-UWDM16x30-RVS303</t>
  </si>
  <si>
    <t>27,960</t>
  </si>
  <si>
    <t>TQ 89/500/20/521-SW15X10TE</t>
  </si>
  <si>
    <t>Rol TQ89/500/20/521-SW15X10</t>
  </si>
  <si>
    <t>14,140</t>
  </si>
  <si>
    <t>TQ 89/500/20/532-SW14X12TE</t>
  </si>
  <si>
    <t>Rol TQ89/500/20/532-SW14X12</t>
  </si>
  <si>
    <t>TQ 89/500/20/532-SW15X13GRTE</t>
  </si>
  <si>
    <t>Rol TQ89/500/20/532-SW15X13-GROEN</t>
  </si>
  <si>
    <t>17,130</t>
  </si>
  <si>
    <t>TQ 89/500/20/570-IWDM10X30GRTE</t>
  </si>
  <si>
    <t>Rol TQ89/500/20/570-IWD M10X30 GROEN</t>
  </si>
  <si>
    <t>19,120</t>
  </si>
  <si>
    <t>TQ 89/500/RVS20/532-SW15X13GTE</t>
  </si>
  <si>
    <t>Rol TQ89/500/RVS20/532-SW15X13-RVS303+RVS lagers-Groen</t>
  </si>
  <si>
    <t>TQ 89/525/RVS20/556-SW14X10GTE</t>
  </si>
  <si>
    <t>Rol TQ89/525/RVS20/556-SW14X10-Groen-RVS303</t>
  </si>
  <si>
    <t>26,300</t>
  </si>
  <si>
    <t>TQ 89/530/20/561-SW15X10TE</t>
  </si>
  <si>
    <t>Rol TQ89/530/20/561-SW15X10</t>
  </si>
  <si>
    <t>16,280</t>
  </si>
  <si>
    <t>TQ 89/535/20/575-SW15X10GRTE</t>
  </si>
  <si>
    <t>Rol TQ89/535/20/575-SW15X10-GROEN</t>
  </si>
  <si>
    <t>TQ 89/545/20/582-SW15X13GRTE</t>
  </si>
  <si>
    <t>Rol TQ89/545/20/582-SW15X13-GROEN</t>
  </si>
  <si>
    <t>16,590</t>
  </si>
  <si>
    <t>TQ 89/545/20/582-SW15X13TE</t>
  </si>
  <si>
    <t>Rol TQ89/545/20/582-SW15X13 Blauw</t>
  </si>
  <si>
    <t>TQ 89/550/RVS20/580-15X10GRTE</t>
  </si>
  <si>
    <t>Rol TQ89/550/RVS20/580-SW15X10-RVS303-Groen</t>
  </si>
  <si>
    <t>23,420</t>
  </si>
  <si>
    <t>TQ 89/575/20/640-SW14X10TE</t>
  </si>
  <si>
    <t>Rol TQ89/575/20/640-SW14x10</t>
  </si>
  <si>
    <t>17,850</t>
  </si>
  <si>
    <t>TQ 89/575/20/640-SW14X15TE</t>
  </si>
  <si>
    <t>Rol TQ89/575/20/640-SW14X15</t>
  </si>
  <si>
    <t>16,980</t>
  </si>
  <si>
    <t>TQ 89/575/20/640-SW14X16TE</t>
  </si>
  <si>
    <t>Rol TQ89/575/20/640-SW14X16</t>
  </si>
  <si>
    <t>TQ 89/575/RVS20/640-SW14X16TE</t>
  </si>
  <si>
    <t>Rol TQ89/575RVS20/640-SW14x16-RVS304</t>
  </si>
  <si>
    <t>TQ 89/575/RVS304/640-SW14X16TE</t>
  </si>
  <si>
    <t>Rol TQ89/575/RVS20/640-SW14x16-RVS304</t>
  </si>
  <si>
    <t>30,240</t>
  </si>
  <si>
    <t>TQ 89/584/RVS316/624-SW15X10TE</t>
  </si>
  <si>
    <t>Rol TQ89/584/RVS20/624-SW15X10-RVS316</t>
  </si>
  <si>
    <t>26,480</t>
  </si>
  <si>
    <t>TQ 89/585/20/625-SW15X10TE</t>
  </si>
  <si>
    <t>Rol TQ89/585/20/625-SW15X10</t>
  </si>
  <si>
    <t>17,740</t>
  </si>
  <si>
    <t>TQ 89/585/20/625-SW15X13TE</t>
  </si>
  <si>
    <t>Rol TQ89/585/20/625-SW15X13</t>
  </si>
  <si>
    <t>TQ 89/585/20/626-SW16X10TE</t>
  </si>
  <si>
    <t>Rol TQ89/585/20/626-SW16x10</t>
  </si>
  <si>
    <t>17,750</t>
  </si>
  <si>
    <t>TQ 89/585/RVS303/645-SW15X20TE</t>
  </si>
  <si>
    <t>Rol TQ89/585/RVS20/645-SW15X20-RVS303+RVS lagers</t>
  </si>
  <si>
    <t>28,900</t>
  </si>
  <si>
    <t>TQ 89/595/20/626-SW14X10TE</t>
  </si>
  <si>
    <t>Rol TQ89/595/20/626-SW14x10</t>
  </si>
  <si>
    <t>17,060</t>
  </si>
  <si>
    <t>TQ 89/595/20/626-SW15X10TE</t>
  </si>
  <si>
    <t>Rol TQ89/595/20/626-SW15x10</t>
  </si>
  <si>
    <t>TQ 89/595/20/632-SW15X13-5RITE</t>
  </si>
  <si>
    <t>Rol TQ89/595/20/632-SW15x13 - 5 steunringen Ø133 mm</t>
  </si>
  <si>
    <t>23,490</t>
  </si>
  <si>
    <t>TQ 89/595/RVS316/626-SW15X10TE</t>
  </si>
  <si>
    <t>Rol TQ89/595/RVS20/626-SW15X10-RVS316</t>
  </si>
  <si>
    <t>24,260</t>
  </si>
  <si>
    <t>TQ 89/600/20/626-IWDM8X15BLTE</t>
  </si>
  <si>
    <t>Rol TQ89/600/20/626-IWD M8X15 BLAUW</t>
  </si>
  <si>
    <t>TQ 89/600/20/632-SW15X10TE</t>
  </si>
  <si>
    <t>Rol TQ89/600/20/632-SW15X10</t>
  </si>
  <si>
    <t>17,810</t>
  </si>
  <si>
    <t>TQ 89/600/20/632-SW15X13GRTE</t>
  </si>
  <si>
    <t>Rol TQ89/600/20/632-SW15X13-GROEN</t>
  </si>
  <si>
    <t>TQ 89/600/20/636-SW14X9TE</t>
  </si>
  <si>
    <t>Rol TQ89/600/20/636-SW14x9</t>
  </si>
  <si>
    <t>17,460</t>
  </si>
  <si>
    <t>TQ 89/600/20/645-IWDM8X25GRTE</t>
  </si>
  <si>
    <t>Rol TQ89/600/20/645-IWD M8X25 GROEN</t>
  </si>
  <si>
    <t>TQ 89/600/20/650-SW14X10TE</t>
  </si>
  <si>
    <t>Rol TQ89/600/20/650-SW14X10</t>
  </si>
  <si>
    <t>15,610</t>
  </si>
  <si>
    <t>TQ 89/600/RVS20/626-SW15X10-TE</t>
  </si>
  <si>
    <t>Rol TQ89/600/RVS20/626-SW15x10-RVS316+Lagers RVS 7 steunring</t>
  </si>
  <si>
    <t>59,530</t>
  </si>
  <si>
    <t>TQ 89/600/RVS20/660-SW14X10TE</t>
  </si>
  <si>
    <t>Rol TQ89/600/RVS20/660-SW14X10-RVS304+RVS lagers</t>
  </si>
  <si>
    <t>32,140</t>
  </si>
  <si>
    <t>TQ 89/610/20/645-SW14X10TE</t>
  </si>
  <si>
    <t>Rol TQ89/610/20/645-SW14x10</t>
  </si>
  <si>
    <t>61,750</t>
  </si>
  <si>
    <t>17,570</t>
  </si>
  <si>
    <t>TQ 89/635/RVS316/670-SW15X10TE</t>
  </si>
  <si>
    <t>Rol TQ89/635/RVS20/670-SW15X10-RVS316</t>
  </si>
  <si>
    <t>TQ 89/650/20/666-ONBEWERKTTE</t>
  </si>
  <si>
    <t>Rol TQ89/650/20/666 - as onbewerkt</t>
  </si>
  <si>
    <t>21,290</t>
  </si>
  <si>
    <t>TQ 89/650/20/670-IWDM+RINGTE</t>
  </si>
  <si>
    <t>Rol TQ89/650/20/670-IWD M10X15 + 7 steunringen Ø133 mm</t>
  </si>
  <si>
    <t>30,810</t>
  </si>
  <si>
    <t>TQ 89/650/20/670-IWDM10X15TE</t>
  </si>
  <si>
    <t>Rol TQ89/650/20/670-IWD M10X15</t>
  </si>
  <si>
    <t>21,210</t>
  </si>
  <si>
    <t>TQ 89/650/20/680-IWDM+RINGTE</t>
  </si>
  <si>
    <t>Rol TQ89/650/20/680-IWD M10X15 + 7 steunringen Ø133 mm</t>
  </si>
  <si>
    <t>30,660</t>
  </si>
  <si>
    <t>TQ 89/650/20/680-IWDM10X15TE</t>
  </si>
  <si>
    <t>Rol TQ89/650/20/680-IWD M10X15</t>
  </si>
  <si>
    <t>21,027</t>
  </si>
  <si>
    <t>TQ 89/655/20/692-SW15X13TE</t>
  </si>
  <si>
    <t>Rol TQ89/655/20/692-SW15X13</t>
  </si>
  <si>
    <t>TQ 89/655/20/740-SW15X10TE</t>
  </si>
  <si>
    <t>Rol TQ89/655/20/740-SW15x10</t>
  </si>
  <si>
    <t>TQ 89/660/20/702-SW15X13TE</t>
  </si>
  <si>
    <t>Rol TQ89/660/20/702-SW15X13</t>
  </si>
  <si>
    <t>19,330</t>
  </si>
  <si>
    <t>TQ 89/660/20/705-SW14X8-3MMTE</t>
  </si>
  <si>
    <t>Rol TQ89/660/20/705-SW14X8 - 3 mm vd kant</t>
  </si>
  <si>
    <t>TQ 89/660/20/706-SW17X13TE</t>
  </si>
  <si>
    <t>Rol TQ89/660/20/706-SW17X13</t>
  </si>
  <si>
    <t>TQ 89/670/20/701-SW14X10TE</t>
  </si>
  <si>
    <t>Rol TQ89/670/20/701-SW14x10</t>
  </si>
  <si>
    <t>TQ 89/670/RVS316/705-SW15X10TE</t>
  </si>
  <si>
    <t>Rol TQ89/670/RVS20/705-SW15X10-RVS316</t>
  </si>
  <si>
    <t>28,540</t>
  </si>
  <si>
    <t>TQ 89/675/RVS304/740-SW14X10TE</t>
  </si>
  <si>
    <t>Rol TQ89/675/RVS20/740-SW14x10-RVS304</t>
  </si>
  <si>
    <t>25,730</t>
  </si>
  <si>
    <t>TQ 89/690/20/742-SW10X11GRTE</t>
  </si>
  <si>
    <t>Rol TQ89/690/20/742-SW10X11-GROEN</t>
  </si>
  <si>
    <t>TQ 89/695/20/726-SW15X10TE</t>
  </si>
  <si>
    <t>Rol TQ89/695/20/726-SW15x10</t>
  </si>
  <si>
    <t>19,250</t>
  </si>
  <si>
    <t>TQ 89/700/20/780-SW15X14TE</t>
  </si>
  <si>
    <t>Rol TQ89/700/20/780-SW15x14</t>
  </si>
  <si>
    <t>TQ 89/720/20/790-SW14X10TE</t>
  </si>
  <si>
    <t>Rol TQ89/720/20/790-SW14X10</t>
  </si>
  <si>
    <t>TQ 89/720/20/790-SW14X15TE</t>
  </si>
  <si>
    <t>Rol TQ89/720/20/790-SW14X15</t>
  </si>
  <si>
    <t>19,570</t>
  </si>
  <si>
    <t>TQ 89/720/20/790-SW14X16TE</t>
  </si>
  <si>
    <t>Rol TQ89/720/20/790-SW14X16</t>
  </si>
  <si>
    <t>TQ 89/725/20/785-SW12X20TE</t>
  </si>
  <si>
    <t>Rol TQ89/725/20/785-SW12X20</t>
  </si>
  <si>
    <t>TQ 89/725/20/790-SW14X10TE</t>
  </si>
  <si>
    <t>Rol TQ89/725/20/790-SW14X10</t>
  </si>
  <si>
    <t>TQ 89/725/20/790-SW14X12TE</t>
  </si>
  <si>
    <t>Rol TQ89/725/20/790-SW14X12</t>
  </si>
  <si>
    <t>TQ 89/725/20/790-SW14X16GRTE</t>
  </si>
  <si>
    <t>Rol TQ89/725/20/790-SW14X16-GROEN</t>
  </si>
  <si>
    <t>19,640</t>
  </si>
  <si>
    <t>TQ 89/725/20/790-SW14X16TE</t>
  </si>
  <si>
    <t>Rol TQ89/725/20/790-SW14X16</t>
  </si>
  <si>
    <t>21,810</t>
  </si>
  <si>
    <t>TQ 89/725/RVS20/790-SW14X16TE</t>
  </si>
  <si>
    <t>Rol TQ89/725/RVS20/790-SW14x16-RVS304</t>
  </si>
  <si>
    <t>TQ 89/725/RVS20/790-SW14X16-TE</t>
  </si>
  <si>
    <t>Rol TQ89/725/RVS20/790-SW14X16+RVS303+RVS Lagers</t>
  </si>
  <si>
    <t>37,260</t>
  </si>
  <si>
    <t>TQ 89/725/RVS304/790-SW14X16TE</t>
  </si>
  <si>
    <t>28,370</t>
  </si>
  <si>
    <t>TQ 89/739/20/800-SW15X25GRTE</t>
  </si>
  <si>
    <t>Rol TQ89/739/20/800-SW15X25-GROEN</t>
  </si>
  <si>
    <t>TQ 89/740/20/780-SW15X13TE</t>
  </si>
  <si>
    <t>Rol TQ89/740/20/780-SW15X13</t>
  </si>
  <si>
    <t>18,100</t>
  </si>
  <si>
    <t>TQ 89/740/20/780-SW15X14GRTE</t>
  </si>
  <si>
    <t>Rol TQ89/740/20/780-SW15x14-GROEN</t>
  </si>
  <si>
    <t>21,930</t>
  </si>
  <si>
    <t>TQ 89/740/20/782-SW15X13GRTE</t>
  </si>
  <si>
    <t>Rol TQ89/740/20/782-SW15x13-GROEN</t>
  </si>
  <si>
    <t>TQ 89/744/RVS20/781-SW15X13GTE</t>
  </si>
  <si>
    <t>Rol TQ89/744/RVS20/781-SW15X13-Groen-RVS303</t>
  </si>
  <si>
    <t>35,610</t>
  </si>
  <si>
    <t>TQ 89/745/20/782-SW15X13-5RITE</t>
  </si>
  <si>
    <t>Rol TQ89/745/20/782-SW15x13 - 5 steunringen Ø133 mm</t>
  </si>
  <si>
    <t>25,230</t>
  </si>
  <si>
    <t>TQ 89/745/20/782-SW15X13GRTE</t>
  </si>
  <si>
    <t>Rol TQ89/745/20/782-SW15x13-GROEN</t>
  </si>
  <si>
    <t>TQ 89/745/20/785-SW10X14TE</t>
  </si>
  <si>
    <t>Rol TQ89/745/20/785-SW10X14 Blauw</t>
  </si>
  <si>
    <t>TQ 89/745/RVS20/782-SW15X13TE</t>
  </si>
  <si>
    <t>Rol TQ89/745/RVS20/782-SW15x13 - RVS316 + 4 steunringen</t>
  </si>
  <si>
    <t>46,400</t>
  </si>
  <si>
    <t>TQ 89/745/RVS20/782-SW15X13WTE</t>
  </si>
  <si>
    <t>Rol TQ89/745/RVS20/782-SW15x13 - RVS316 + 9 steunringen</t>
  </si>
  <si>
    <t>90,770</t>
  </si>
  <si>
    <t>TQ 89/750/20/776-ONBEWERKTTE</t>
  </si>
  <si>
    <t>Rol TQ89/750/20/776-As onbewerkt</t>
  </si>
  <si>
    <t>TQ 89/750/20/776-SW15X10TE</t>
  </si>
  <si>
    <t>Rol TQ89/750/20/776-SW15X10</t>
  </si>
  <si>
    <t>TQ 89/750/20/780-SW14X10TE</t>
  </si>
  <si>
    <t>Rol TQ89/750/20/780-SW14x10</t>
  </si>
  <si>
    <t>TQ 89/750/20/780-SW15X10TE</t>
  </si>
  <si>
    <t>Rol TQ89/750/20/780-SW15x10</t>
  </si>
  <si>
    <t>TQ 89/750/20/780-SW15X14GRTE</t>
  </si>
  <si>
    <t>Rol TQ89/750/20/780-SW15x14-GROEN</t>
  </si>
  <si>
    <t>TQ 89/750/20/782-SW15X10-4RITE</t>
  </si>
  <si>
    <t>Rol TQ89/750/20/782-SW15x10 - 4 steunringen Ø133 mm</t>
  </si>
  <si>
    <t>TQ 89/750/20/782-SW15X10GRTE</t>
  </si>
  <si>
    <t>Rol TQ89/750/20/782-SW15x10-GROEN</t>
  </si>
  <si>
    <t>TQ 89/750/20/782-SW15X10TE</t>
  </si>
  <si>
    <t>Rol TQ89/750/20/782-SW15x10</t>
  </si>
  <si>
    <t>TQ Rol (H.D.P.E.) ; Rol Ø89 mm 750 mm, As Ø20mm 782mm SW15x10</t>
  </si>
  <si>
    <t>TQ Rolle (H.D.P.E.) ; Rolle Ø89 mm 750 mm, Achse Ø20mm 782mm SW15x10</t>
  </si>
  <si>
    <t>TQ Roll (H.D.P.E.) ; Roll Ø89 mm 750 mm, Axis Ø20mm 782mm SW15x10</t>
  </si>
  <si>
    <t>TQ Rouleau (H.D.P.E.) ; Rouleau Ø89 mm 750 mm, Axe Ø20mm 782mm SW15x10</t>
  </si>
  <si>
    <t>Rol lengte: 750 mm ; Rol diameter: Ø89 mm ; As lengte: 782 mm ; As diameter: Ø20 mm ; Sleutel: SW15x10</t>
  </si>
  <si>
    <t>Rolle Länge: 750 mm ; Rolle Durchmesser: Ø89 mm ; Achse Länge: 782 mm ; Achse Durchmesser: Ø20 mm ; Schlüssel: SW15x10</t>
  </si>
  <si>
    <t>Roll lenght: 750 mm ; Roll diameter: Ø89 mm ; Axis lenght: 782 mm ; Axis diameter: Ø20 mm ; Key: SW15x10</t>
  </si>
  <si>
    <t>Rouleau longueur: 750 mm ; Rouleau diamètre: Ø89 mm ; Axe longueur:782 mm ; Axe diamètre: Ø20 mm ; Méplat: SW15x10</t>
  </si>
  <si>
    <t>TQ 89/750/20/782-SW15X13TE</t>
  </si>
  <si>
    <t>Rol TQ89/750/20/782-SW15x13</t>
  </si>
  <si>
    <t>21,990</t>
  </si>
  <si>
    <t>TQ Rol (H.D.P.E.) ; Rol Ø89 mm 750 mm, As Ø20mm 782mm SW15x13</t>
  </si>
  <si>
    <t>TQ Rolle (H.D.P.E.) ; Rolle Ø89 mm 750 mm, Achse Ø20mm 782mm SW15x13</t>
  </si>
  <si>
    <t>TQ Roll (H.D.P.E.) ; Roll Ø89 mm 750 mm, Axis Ø20mm 782mm SW15x13</t>
  </si>
  <si>
    <t>TQ Rouleau (H.D.P.E.) ; Rouleau Ø89 mm 750 mm, Axe Ø20mm 782mm SW15x13</t>
  </si>
  <si>
    <t>Rol lengte: 750 mm ; Rol diameter: Ø89 mm ; As lengte: 782 mm ; As diameter: Ø20 mm ; Sleutel: SW15x13</t>
  </si>
  <si>
    <t>Rolle Länge: 750 mm ; Rolle Durchmesser: Ø89 mm ; Achse Länge: 782 mm ; Achse Durchmesser: Ø20 mm ; Schlüssel: SW15x13</t>
  </si>
  <si>
    <t>Roll lenght: 750 mm ; Roll diameter: Ø89 mm ; Axis lenght: 782 mm ; Axis diameter: Ø20 mm ; Key: SW15x13</t>
  </si>
  <si>
    <t>Rouleau longueur: 750 mm ; Rouleau diamètre: Ø89 mm ; Axe longueur:782 mm ; Axe diamètre: Ø20 mm ; Méplat: SW15x13</t>
  </si>
  <si>
    <t>TQ 89/750/20/782-SW17X10TE</t>
  </si>
  <si>
    <t>Rol TQ89/750/20/782-SW17x10</t>
  </si>
  <si>
    <t>TQ Rol (H.D.P.E.) ; Rol Ø89 mm 750 mm, As Ø20mm 782mm SW17x10</t>
  </si>
  <si>
    <t>TQ Rolle (H.D.P.E.) ; Rolle Ø89 mm 750 mm, Achse Ø20mm 782mm SW17x10</t>
  </si>
  <si>
    <t>TQ Roll (H.D.P.E.) ; Roll Ø89 mm 750 mm, Axis Ø20mm 782mm SW17x10</t>
  </si>
  <si>
    <t>TQ Rouleau (H.D.P.E.) ; Rouleau Ø89 mm 750 mm, Axe Ø20mm 782mm SW17x10</t>
  </si>
  <si>
    <t>Rol lengte: 750 mm ; Rol diameter: Ø89 mm ; As lengte: 782 mm ; As diameter: Ø20 mm ; Sleutel: SW17x10</t>
  </si>
  <si>
    <t>Rolle Länge: 750 mm ; Rolle Durchmesser: Ø89 mm ; Achse Länge: 782 mm ; Achse Durchmesser: Ø20 mm ; Schlüssel: SW17x10</t>
  </si>
  <si>
    <t>Roll lenght: 750 mm ; Roll diameter: Ø89 mm ; Axis lenght: 782 mm ; Axis diameter: Ø20 mm ; Key: SW17x10</t>
  </si>
  <si>
    <t>Rouleau longueur: 750 mm ; Rouleau diamètre: Ø89 mm ; Axe longueur:782 mm ; Axe diamètre: Ø20 mm ; Méplat: SW17x10</t>
  </si>
  <si>
    <t>TQ 89/750/20/786-SW14X13TE</t>
  </si>
  <si>
    <t>Rol TQ89/750/20/786-SW14X13</t>
  </si>
  <si>
    <t>TQ 89/750/20/786-SW14X9TE</t>
  </si>
  <si>
    <t>Rol TQ89/750/20/786-SW14x9</t>
  </si>
  <si>
    <t>TQ 89/750/20/788-SW14X15TE</t>
  </si>
  <si>
    <t>Rol TQ89/750/20/788-SW14x15</t>
  </si>
  <si>
    <t>TQ 89/750/20/800-SW15X10GRTE</t>
  </si>
  <si>
    <t>Rol TQ89/750/20/800-SW15x10-GROEN</t>
  </si>
  <si>
    <t>TQ 89/750/20/940-SW15X10GRTE</t>
  </si>
  <si>
    <t>Rol TQ89/750/20/940-SW15x10-GROEN</t>
  </si>
  <si>
    <t>TQ 89/750/20/950-SW15X10GRTE</t>
  </si>
  <si>
    <t>Rol TQ89/750/20/950-SW15x10-GROEN</t>
  </si>
  <si>
    <t>23,560</t>
  </si>
  <si>
    <t>TQ 89/750/RVS304/782-SW15X13TE</t>
  </si>
  <si>
    <t>Rol TQ89/750/RVS20/782-SW15x13-RVS304+RVS Lagers + 11 ringen</t>
  </si>
  <si>
    <t>49,060</t>
  </si>
  <si>
    <t>TQ 89/750/RVS316/782-SW14X13TE</t>
  </si>
  <si>
    <t>Rol TQ89/750/RVS20/782-SW14x13 - RVS316 + 4 steunringen</t>
  </si>
  <si>
    <t>64,650</t>
  </si>
  <si>
    <t>TQ 89/750/RVS316/803-SW15X20TE</t>
  </si>
  <si>
    <t>Rol TQ89/750/RVS20/803-SW15X20 - RVS316L + 9 steunringen</t>
  </si>
  <si>
    <t>72,400</t>
  </si>
  <si>
    <t>TQ 89/765/20/780 IWDM10X15GRTE</t>
  </si>
  <si>
    <t>Rol TQ89/765/20/780-IWD M10X15 GROEN</t>
  </si>
  <si>
    <t>TQ 89/770/RVS303/830SW15X20TE</t>
  </si>
  <si>
    <t>Rol TQ89/770/RVS20/830-SW15X20-RVS303+RVS lagers</t>
  </si>
  <si>
    <t>34,070</t>
  </si>
  <si>
    <t>TQ 89/775/RVS316/835-14X12GRTE</t>
  </si>
  <si>
    <t>Rol TQ89/775/RVS20/835-SW14X12 - RVS316L - Groen</t>
  </si>
  <si>
    <t>31,940</t>
  </si>
  <si>
    <t>TQ 89/790/20/830-SW15X10GRTE</t>
  </si>
  <si>
    <t>Rol TQ89/790/20/830-SW15x10-GROEN</t>
  </si>
  <si>
    <t>TQ 89/795/20/826-SW15X10TE</t>
  </si>
  <si>
    <t>Rol TQ89/795/20/826-SW15X10</t>
  </si>
  <si>
    <t>TQ 89/800/20/818-IWDM8X24TE</t>
  </si>
  <si>
    <t>Rol TQ89/800/20/818-IWD M8X24</t>
  </si>
  <si>
    <t>23,210</t>
  </si>
  <si>
    <t>TQ 89/800/20/820-IWDM+RINGTE</t>
  </si>
  <si>
    <t>Rol TQ89/800/20/820-IWD M10X15 + Ringen</t>
  </si>
  <si>
    <t>31,840</t>
  </si>
  <si>
    <t>TQ 89/800/20/820-IWDM10X15GRTE</t>
  </si>
  <si>
    <t>Rol TQ89/800/20/820-IWDM10X15-GROEN</t>
  </si>
  <si>
    <t>TQ 89/800/20/820-IWDM10X15TE</t>
  </si>
  <si>
    <t>Rol TQ89/800/20/820-IWD M10X15</t>
  </si>
  <si>
    <t>TQ 89/800/20/830-IWDM+RINGTE</t>
  </si>
  <si>
    <t>Rol TQ89/800/20/830-IWD M10X20 + Ringen</t>
  </si>
  <si>
    <t>32,370</t>
  </si>
  <si>
    <t>TQ 89/800/20/830-IWDM10X15TE</t>
  </si>
  <si>
    <t>Rol TQ89/800/20/830-IWD M10X15</t>
  </si>
  <si>
    <t>22,910</t>
  </si>
  <si>
    <t>TQ 89/800/20/830-IWDM10X20TE</t>
  </si>
  <si>
    <t>Rol TQ89/800/20/830-IWD M10X20</t>
  </si>
  <si>
    <t>23,090</t>
  </si>
  <si>
    <t>TQ 89/800/RVS20/874-SW15X20TE</t>
  </si>
  <si>
    <t>Rol TQ89/800/RVS20/874-SW15X20-RVS304</t>
  </si>
  <si>
    <t>TQ 89/800/RVS20/938-SW15X22TE</t>
  </si>
  <si>
    <t>Rol TQ89/800/RVS20/938-SW15X22-RVS/groen + RVS lagers</t>
  </si>
  <si>
    <t>48,650</t>
  </si>
  <si>
    <t>45,120</t>
  </si>
  <si>
    <t>TQ 89/810/20/880-IWDM10X25GRTE</t>
  </si>
  <si>
    <t>Rol TQ89/810/20/880-IWD M10X25-GROEN</t>
  </si>
  <si>
    <t>TQ 89/830/20/867-SW17X9GRTE</t>
  </si>
  <si>
    <t>Rol TQ89/830/20/867-SW17X9-GROEN</t>
  </si>
  <si>
    <t>TQ 89/840/20/875-SW14X10GRTE</t>
  </si>
  <si>
    <t>Rol TQ89/840/20/875-SW14x10-GROEN</t>
  </si>
  <si>
    <t>20,670</t>
  </si>
  <si>
    <t>TQ 89/850/20/882-SW15X13TE</t>
  </si>
  <si>
    <t>Rol TQ89/850/20/882-SW15x13</t>
  </si>
  <si>
    <t>25,500</t>
  </si>
  <si>
    <t>TQ 89/850/20/890-SW14X10TE</t>
  </si>
  <si>
    <t>Rol TQ89/850/20/890-SW14x10</t>
  </si>
  <si>
    <t>TQ 89/850/20/950-SW12X20TE</t>
  </si>
  <si>
    <t>Rol TQ89/850/20/950-SW12X20</t>
  </si>
  <si>
    <t>21,770</t>
  </si>
  <si>
    <t>TQ 89/870/20/902-SW15X13GRTE</t>
  </si>
  <si>
    <t>Rol TQ89/870/20/902-SW15x13-GROEN</t>
  </si>
  <si>
    <t>TQ 89/870/20/907-SW14X13TE</t>
  </si>
  <si>
    <t>Rol TQ89/870/20/907-SW14x13</t>
  </si>
  <si>
    <t>21,970</t>
  </si>
  <si>
    <t>TQ 89/870/20/910-SW15X13GRTE</t>
  </si>
  <si>
    <t>Rol TQ89/870/20/910-SW15x13-GROEN</t>
  </si>
  <si>
    <t>TQ 89/870/20/940-SW15X15GRTE</t>
  </si>
  <si>
    <t>Rol TQ89/870/20/940-SW15X15-GROEN</t>
  </si>
  <si>
    <t>TQ 89/875/20/915-SW15X13GRTE</t>
  </si>
  <si>
    <t>Rol TQ89/875/20/915-SW15X13-GROEN</t>
  </si>
  <si>
    <t>TQ 89/875/20/940-SW14X10TE</t>
  </si>
  <si>
    <t>Rol TQ89/875/20/940-SW14X10</t>
  </si>
  <si>
    <t>TQ 89/875/20/940-SW14X16GRTE</t>
  </si>
  <si>
    <t>Rol TQ89/875/20/940-SW14X16-GROEN</t>
  </si>
  <si>
    <t>TQ 89/875/20/940-SW14X16TE</t>
  </si>
  <si>
    <t>Rol TQ89/875/20/940-SW14X16</t>
  </si>
  <si>
    <t>TQ 89/875/20/940-SW14X18GRTE</t>
  </si>
  <si>
    <t>Rol TQ89/875/20/940-SW14X18-GROEN</t>
  </si>
  <si>
    <t>TQ 89/875/20/940-SW15X13TE</t>
  </si>
  <si>
    <t>Rol TQ89/875/20/940-SW15X13</t>
  </si>
  <si>
    <t>TQ 89/875/20/940-SW15X14TE</t>
  </si>
  <si>
    <t>Rol TQ89/875/20/940-SW15X14</t>
  </si>
  <si>
    <t>TQ 89/875/RVS20/940-SW14X16TE</t>
  </si>
  <si>
    <t>Rol TQ89/875RVS20/940-SW14x16-RVS304</t>
  </si>
  <si>
    <t>TQ 89/875/RVS303/940-SW14X16TE</t>
  </si>
  <si>
    <t>Rol TQ89/875/RVS20/940-SW14X16-RVS303+RVS lagers</t>
  </si>
  <si>
    <t>TQ 89/875/RVS304/940-SW14X10TE</t>
  </si>
  <si>
    <t>Rol TQ89/875/RVS20/940-SW14x10-RVS304</t>
  </si>
  <si>
    <t>32,710</t>
  </si>
  <si>
    <t>TQ 89/875/RVS304/940-SW14X16TE</t>
  </si>
  <si>
    <t>Rol TQ89/875/RVS20/940-SW14x16-RVS304</t>
  </si>
  <si>
    <t>36,440</t>
  </si>
  <si>
    <t>TQ 89/885/20/916-SW17X10TE</t>
  </si>
  <si>
    <t>Rol TQ89/885/20/916-SW17x10</t>
  </si>
  <si>
    <t>21,710</t>
  </si>
  <si>
    <t>TQ 89/891/20/940-SW14X19TE</t>
  </si>
  <si>
    <t>Rol TQ89/891/20/940-SW14x19</t>
  </si>
  <si>
    <t>TQ 89/895/20/935-SW15X13GRTE</t>
  </si>
  <si>
    <t>Rol TQ89/895/20/935-SW15X13-GROEN</t>
  </si>
  <si>
    <t>TQ 89/915/20/955-SW15X10TE</t>
  </si>
  <si>
    <t>Rol TQ89/915/20/955-SW15x10</t>
  </si>
  <si>
    <t>22,460</t>
  </si>
  <si>
    <t>23,270</t>
  </si>
  <si>
    <t>TQ 89/915/20/955-SW15X12TE</t>
  </si>
  <si>
    <t>Rol TQ89/915/20/955-SW15x12</t>
  </si>
  <si>
    <t>22,100</t>
  </si>
  <si>
    <t>TQ 89/930/20/968-RADIALØ3.3TE</t>
  </si>
  <si>
    <t>Rol TQ89/930/20/968-RADIALØ3.3-20x21.5+SW15x16</t>
  </si>
  <si>
    <t>TQ 89/940/20/980-SW15X13GRTE</t>
  </si>
  <si>
    <t>Rol TQ89/940/20/980-SW15x13-GROEN</t>
  </si>
  <si>
    <t>TQ 89/941/20/980-SW15X14GRTE</t>
  </si>
  <si>
    <t>Rol TQ89/941/20/980-SW15X14-Groen</t>
  </si>
  <si>
    <t>TQ 89/943/20/980-SW15X13TE</t>
  </si>
  <si>
    <t>Rol TQ89/943/20/980-SW15x13 Groen</t>
  </si>
  <si>
    <t>TQ 89/944/20/975-SW14X10TE</t>
  </si>
  <si>
    <t>Rol TQ89/944/20/975-SW14x10</t>
  </si>
  <si>
    <t>22,340</t>
  </si>
  <si>
    <t>TQ 89/945/20/976-SW15X10+IWDTE</t>
  </si>
  <si>
    <t>Rol TQ89/945/20/976-SW15x10-IWDM6x30</t>
  </si>
  <si>
    <t>TQ 89/945/20/980-SW15X14GRTE</t>
  </si>
  <si>
    <t>Rol TQ89/945/20/980-SW15X14-Groen</t>
  </si>
  <si>
    <t>TQ 89/945/20/982-15X13-10RITE</t>
  </si>
  <si>
    <t>Rol TQ89/945/20/982-15x13 - 10 steunringen Ø133 mm</t>
  </si>
  <si>
    <t>41,540</t>
  </si>
  <si>
    <t>TQ 89/945/20/982-15X13-16RITE</t>
  </si>
  <si>
    <t>Rol TQ89/945/20/982-15x13 - 16 steunringen Ø133 mm</t>
  </si>
  <si>
    <t>44,350</t>
  </si>
  <si>
    <t>TQ 89/945/20/982-15X13-6RITE</t>
  </si>
  <si>
    <t>Rol TQ89/945/20/982-15x13 - 6+4 steunringen Ø133 mm</t>
  </si>
  <si>
    <t>TQ 89/945/20/982-SW15X13-13TE</t>
  </si>
  <si>
    <t>Rol TQ89/945/20/982-SW15x13 - 13 steunringen Ø133 mm</t>
  </si>
  <si>
    <t>TQ 89/945/20/982-SW15X13-13WTE</t>
  </si>
  <si>
    <t>130,030</t>
  </si>
  <si>
    <t>TQ 89/945/20/982-SW15X13GRTE</t>
  </si>
  <si>
    <t>Rol TQ89/945/20/982-SW15x13-GROEN</t>
  </si>
  <si>
    <t>TQ 89/945/20/982-SW15X13TE</t>
  </si>
  <si>
    <t>Rol TQ89/945/20/982-SW15x13</t>
  </si>
  <si>
    <t>TQ 89/945/20/983-SW15X13-12TE</t>
  </si>
  <si>
    <t>Rol TQ89/945/20/983-SW15x13 - 12 steunringen Ø133 mm</t>
  </si>
  <si>
    <t>TQ 89/945/20/985-SW15X13+IWDTE</t>
  </si>
  <si>
    <t>Rol TQ89/945/20/985-SW15x13-IWDM10x13</t>
  </si>
  <si>
    <t>23,390</t>
  </si>
  <si>
    <t>TQ 89/945/20/985-SW15X13GRTE</t>
  </si>
  <si>
    <t>Rol TQ89/945/20/985-SW15X13- GROEN</t>
  </si>
  <si>
    <t>22,990</t>
  </si>
  <si>
    <t>TQ 89/945/20RVS/982-15X13-5RTE</t>
  </si>
  <si>
    <t>Rol TQ89/945/RVS20/982-15x13 - 5 steunringen Ø133 mm</t>
  </si>
  <si>
    <t>49,070</t>
  </si>
  <si>
    <t>TQ 89/950/20/982-SW14X13GRTE</t>
  </si>
  <si>
    <t>Rol TQ89/950/20/982-SW14x13-GROEN</t>
  </si>
  <si>
    <t>TQ 89/950/20/982-SW15X13TE</t>
  </si>
  <si>
    <t>Rol TQ89/950/20/982-SW15x13</t>
  </si>
  <si>
    <t>TQ Rol (H.D.P.E.) ; Rol Ø89 mm 950 mm, As Ø20mm 982mm SW15x13</t>
  </si>
  <si>
    <t>TQ Rolle (H.D.P.E.) ; Rolle Ø89 mm 950 mm, Achse Ø20mm 982mm SW15x13</t>
  </si>
  <si>
    <t>TQ Roll (H.D.P.E.) ; Roll Ø89 mm 950 mm, Axis Ø20mm 982mm SW15x13</t>
  </si>
  <si>
    <t>TQ Rouleau (H.D.P.E.) ; Rouleau Ø89 mm 950 mm, Axe Ø20mm 982mm SW15x13</t>
  </si>
  <si>
    <t>Rol lengte: 950 mm ; Rol diameter: Ø89 mm ; As lengte: 982 mm ; As diameter: Ø20 mm ; Sleutel: SW15x13</t>
  </si>
  <si>
    <t>Rolle Länge: 950 mm ; Rolle Durchmesser: Ø89 mm ; Achse Länge: 982 mm ; Achse Durchmesser: Ø20 mm ; Schlüssel: SW15x13</t>
  </si>
  <si>
    <t>Roll lenght: 950 mm ; Roll diameter: Ø89 mm ; Axis lenght: 982 mm ; Axis diameter: Ø20 mm ; Key: SW15x13</t>
  </si>
  <si>
    <t>Rouleau longueur: 950 mm ; Rouleau diamètre: Ø89 mm ; Axe longueur:982 mm ; Axe diamètre: Ø20 mm ; Méplat: SW15x13</t>
  </si>
  <si>
    <t>TQ 89/950/RVS20/982-SW14X13TE</t>
  </si>
  <si>
    <t>Rol TQ89/950/RVS20/982-SW14X13-RVS316</t>
  </si>
  <si>
    <t>37,770</t>
  </si>
  <si>
    <t>TQ 89/950/RVS20/982-SW15X10LTE</t>
  </si>
  <si>
    <t>Rol TQ89/950/RVS20/982-SW15X10-RVS304+Lagers RVS</t>
  </si>
  <si>
    <t>TQ 89/991/20/1040-SW14X19TE</t>
  </si>
  <si>
    <t>Rol TQ89/991/20/1040-SW14x19TE</t>
  </si>
  <si>
    <t>27,280</t>
  </si>
  <si>
    <t>TQ 89/995/20/1032-SW15X13TE</t>
  </si>
  <si>
    <t>Rol TQ89/995/20/1032-SW15x13</t>
  </si>
  <si>
    <t>TQ BUISØ108 PETE</t>
  </si>
  <si>
    <t>TQ Buis Ø108x6,0 PE blauw</t>
  </si>
  <si>
    <t>126,940</t>
  </si>
  <si>
    <t>TQ BUISØ133 PETE</t>
  </si>
  <si>
    <t>TQ Buis Ø133x5,5 PE blauw</t>
  </si>
  <si>
    <t>195,080</t>
  </si>
  <si>
    <t>TQ BUIS-Ø89 PETE</t>
  </si>
  <si>
    <t>TQ Buis-Ø89x6,0 PE blauw</t>
  </si>
  <si>
    <t>84,690</t>
  </si>
  <si>
    <t>TQ INSTELKOSTEN</t>
  </si>
  <si>
    <t>TQ Instelkosten</t>
  </si>
  <si>
    <t>TQ LABYRINT ASØ25 (133)TE</t>
  </si>
  <si>
    <t>TQ Onderdeel LABYRINT As Ø25 voor TQ133</t>
  </si>
  <si>
    <t>1,740</t>
  </si>
  <si>
    <t>TQ LABYRINT ASØ30 (133)TE</t>
  </si>
  <si>
    <t>TQ Onderdeel LABYRINT As Ø30 voor TQ133</t>
  </si>
  <si>
    <t>TQ LABYRINT Ø20(89/108)TE</t>
  </si>
  <si>
    <t>TQ Onderdeel LABYRINT As Ø20 voor TQ89/108</t>
  </si>
  <si>
    <t>1,080</t>
  </si>
  <si>
    <t>TQ LAGERPOT Ø25 TQ133X10.0TE</t>
  </si>
  <si>
    <t>TQ Onderdeel LAGERPOT Ø25 voor TQ133x10.0</t>
  </si>
  <si>
    <t>1,100</t>
  </si>
  <si>
    <t>TQ LAGERPOT Ø30 TQ133X10.0TE</t>
  </si>
  <si>
    <t>TQ Onderdeel LAGERPOT Ø30 voor TQ133x10.0</t>
  </si>
  <si>
    <t>TQ LAGERPOT TQ089X6.0TE</t>
  </si>
  <si>
    <t>TQ Onderdeel LAGERPOT voor TQ89x6.0</t>
  </si>
  <si>
    <t>TQ LAGERPOT TQ108X6.0TE</t>
  </si>
  <si>
    <t>TQ Onderdeel LAGERPOT voor TQ108x6.0</t>
  </si>
  <si>
    <t>0,520</t>
  </si>
  <si>
    <t>TQ MIDDENPOT TQ089ASØ20TE</t>
  </si>
  <si>
    <t>TQ Onderdeel MIDDENPOT voor TQ89x6.0 as Ø20</t>
  </si>
  <si>
    <t>TQ MIDDENPOT TQ108ASØ20TE</t>
  </si>
  <si>
    <t>TQ Onderdeel MIDDENPOT voor TQ108x6.0 as Ø20</t>
  </si>
  <si>
    <t>TQ MIDDENPOT TQ133ASØ25TE</t>
  </si>
  <si>
    <t>TQ Onderdeel MIDDENPOT voor TQ133x10.0 as Ø25</t>
  </si>
  <si>
    <t>0,570</t>
  </si>
  <si>
    <t>T-REX40-10.000X120X10</t>
  </si>
  <si>
    <t>T-REX40-10.000 x 120 x 10 mm (volle rol) ROOD</t>
  </si>
  <si>
    <t>240,000</t>
  </si>
  <si>
    <t>37,500</t>
  </si>
  <si>
    <t>T-REX40-10.000X180X12CH</t>
  </si>
  <si>
    <t>T-REX40-10.000 x 180 x 12 mm (volle rol) ROOD</t>
  </si>
  <si>
    <t>400,000</t>
  </si>
  <si>
    <t>90,560</t>
  </si>
  <si>
    <t>T-REX40-20.000X080X08BK</t>
  </si>
  <si>
    <t>T-REX40-20.000 x 080 x 08 mm (volle rol) ROOD</t>
  </si>
  <si>
    <t>128,000</t>
  </si>
  <si>
    <t>72,180</t>
  </si>
  <si>
    <t>T-REX40-20.000X080X08CH</t>
  </si>
  <si>
    <t>57,200</t>
  </si>
  <si>
    <t>T-REX40-20.000X080X10BK</t>
  </si>
  <si>
    <t>T-REX40-20.000 x 080 x 10 mm (volle rol) ROOD</t>
  </si>
  <si>
    <t>79,050</t>
  </si>
  <si>
    <t>03-03_T-REX40 Side Skirt Rubber</t>
  </si>
  <si>
    <t xml:space="preserve">T-REX40 Zijgeleidingsrubber ; Rood 80x10 mm </t>
  </si>
  <si>
    <t>T-REX40 Seitenführungsgummi ;  Rot 80x10mm</t>
  </si>
  <si>
    <t>T-REX40 Side Skirt Rubber ;  Red 80x10mm</t>
  </si>
  <si>
    <t>T-REX40 Bavettes ; Rouge 80x10mm</t>
  </si>
  <si>
    <t>Afmetingen: 20.000x80x10mm ; Kleur: rood ; Slijtvast rubber &lt; 110 mm³ ; Shore-hardheid ± 40° - 45° ; Treksterkte 20 N./mm²; Rek 650%; Soortelijk gewicht 1,12</t>
  </si>
  <si>
    <t>Abmessungen: 20.000x80x10mm ; Farbe: Rot ; Abrieb &lt; 110 mm³ ; Shore Härte ± 40° - 45° ; Spezifisches Gewicht 1,12</t>
  </si>
  <si>
    <t xml:space="preserve">Dimensions: 20.000x80x10mm ; Colour: Red ; Abrasion &lt; 110 mm³ ; Shore ± 40° - 45° ; Specific weight 1,14 </t>
  </si>
  <si>
    <t xml:space="preserve">Dimensions: 20.000x80x10mm ; Couleur: Rouge ; Abrasion &lt; 110 mm³ ; Dureté Shore ± 40° - 45° ; Specific weight 1,12 </t>
  </si>
  <si>
    <t>A blended natural rubber compound with excellent tensile strength and wet abrasion resistance. ; T-REX40 side skirt products are used as side skirting material against spilling and abrasion in a wide variety of applications. ; Produced according to ISO and DIN standards. ; The Operating temperatures for longer periods suggested between -30 °C to +90 °C and for short periods could be -55 °C to +110°C.</t>
  </si>
  <si>
    <t>Side skirts near loading shutes</t>
  </si>
  <si>
    <t>Gummi ca. 40 Shore</t>
  </si>
  <si>
    <t>T-REX40-20.000X080X10CH</t>
  </si>
  <si>
    <t>67,260</t>
  </si>
  <si>
    <t>T-REX40 Side Skirt Rubber ;  Red 80x20mm</t>
  </si>
  <si>
    <t>T-REX40-20.000X080X10ZE</t>
  </si>
  <si>
    <t>70,540</t>
  </si>
  <si>
    <t>T-REX40-20.000X100X10BK</t>
  </si>
  <si>
    <t>T-REX40-20.000 x 100 x 10 mm (volle rol) ROOD</t>
  </si>
  <si>
    <t>98,600</t>
  </si>
  <si>
    <t xml:space="preserve">T-REX40 Zijgeleidingsrubber ; Rood 100x10 mm </t>
  </si>
  <si>
    <t>T-REX40 Seitenführungsgummi ;  Rot 100x10mm</t>
  </si>
  <si>
    <t>T-REX40 Side Skirt Rubber ;  Red 100x10mm</t>
  </si>
  <si>
    <t>T-REX40 Bavettes ; Rouge 100x10mm</t>
  </si>
  <si>
    <t>Afmetingen: 20.000x100x10mm ; Kleur: rood ; Slijtvast rubber &lt; 110 mm³ ; Shore-hardheid ± 40° - 45° ; Treksterkte 20 N./mm²; Rek 650%; Soortelijk gewicht 1,12</t>
  </si>
  <si>
    <t>Abmessungen: 20.000x100x10mm ; Farbe: Rot ; Abrieb &lt; 110 mm³ ; Shore Härte ± 40° - 45° ; Spezifisches Gewicht 1,12</t>
  </si>
  <si>
    <t xml:space="preserve">Dimensions: 20.000x100x10mm ; Colour: Red ; Abrasion &lt; 110 mm³ ; Shore ± 40° - 45° ; Specific weight 1,14 </t>
  </si>
  <si>
    <t xml:space="preserve">Dimensions: 20.000x100x10mm ; Couleur: Rouge ; Abrasion &lt; 110 mm³ ; Dureté Shore ± 40° - 45° ; Specific weight 1,12 </t>
  </si>
  <si>
    <t>T-REX40-20.000X100X10CH</t>
  </si>
  <si>
    <t>210,000</t>
  </si>
  <si>
    <t>89,900</t>
  </si>
  <si>
    <t>T-REX40 Side Skirt Rubber ;  Red 8100x10mm</t>
  </si>
  <si>
    <t>T-REX40-20.000X120X10BK</t>
  </si>
  <si>
    <t>T-REX40-20.000 x 120 x 10 mm (volle rol) ROOD</t>
  </si>
  <si>
    <t>118,150</t>
  </si>
  <si>
    <t xml:space="preserve">T-REX40 Zijgeleidingsrubber ; Rood 120x10 mm </t>
  </si>
  <si>
    <t>T-REX40 Seitenführungsgummi ;  Rot 120x10mm</t>
  </si>
  <si>
    <t>T-REX40 Side Skirt Rubber ;  Red 120x10mm</t>
  </si>
  <si>
    <t>T-REX40 Bavettes ; Rouge 120x10mm</t>
  </si>
  <si>
    <t>Afmetingen: 20.000x120x10mm ; Kleur: rood ; Slijtvast rubber &lt; 110 mm³ ; Shore-hardheid ± 40° - 45° ; Treksterkte 20 N./mm²; Rek 650%; Soortelijk gewicht 1,12</t>
  </si>
  <si>
    <t>Abmessungen: 20.000x120x10mm ; Farbe: Rot ; Abrieb &lt; 110 mm³ ; Shore Härte ± 40° - 45° ; Spezifisches Gewicht 1,12</t>
  </si>
  <si>
    <t xml:space="preserve">Dimensions: 20.000x120x10mm ; Colour: Red ; Abrasion &lt; 110 mm³ ; Shore ± 40° - 45° ; Specific weight 1,14 </t>
  </si>
  <si>
    <t xml:space="preserve">Dimensions: 20.000x120x10mm ; Couleur: Rouge ; Abrasion &lt; 110 mm³ ; Dureté Shore ± 40° - 45° ; Specific weight 1,12 </t>
  </si>
  <si>
    <t>T-REX40-20.000X120X10CH</t>
  </si>
  <si>
    <t>100,890</t>
  </si>
  <si>
    <t>T-REX40-20.000X120X15BK</t>
  </si>
  <si>
    <t>T-REX40-20.000 x 120 x 15 mm (volle rol) ROOD</t>
  </si>
  <si>
    <t>T-REX40-20.000X150X10BK</t>
  </si>
  <si>
    <t>T-REX40-20.000 x 150 x 10 mm (volle rol) ROOD</t>
  </si>
  <si>
    <t>147,900</t>
  </si>
  <si>
    <t xml:space="preserve">T-REX40 Zijgeleidingsrubber ; Rood 150x10 mm </t>
  </si>
  <si>
    <t>T-REX40 Seitenführungsgummi ;  Rot 150x10mm</t>
  </si>
  <si>
    <t>T-REX40 Side Skirt Rubber ;  Red 150x10mm</t>
  </si>
  <si>
    <t>T-REX40 Bavettes ; Rouge 150x10mm</t>
  </si>
  <si>
    <t>Afmetingen: 20.000x150x10mm ; Kleur: rood ; Slijtvast rubber &lt; 110 mm³ ; Shore-hardheid ± 40° - 45° ; Treksterkte 20 N./mm²; Rek 650%; Soortelijk gewicht 1,12</t>
  </si>
  <si>
    <t>Abmessungen: 20.000x150x10mm ; Farbe: Rot ; Abrieb &lt; 110 mm³ ; Shore Härte ± 40° - 45° ; Spezifisches Gewicht 1,12</t>
  </si>
  <si>
    <t xml:space="preserve">Dimensions: 20.000x150x10mm ; Colour: Red ; Abrasion &lt; 110 mm³ ; Shore ± 40° - 45° ; Specific weight 1,14 </t>
  </si>
  <si>
    <t xml:space="preserve">Dimensions: 20.000x150x10mm ; Couleur: Rouge ; Abrasion &lt; 110 mm³ ; Dureté Shore ± 40° - 45° ; Specific weight 1,12 </t>
  </si>
  <si>
    <t>T-REX40-20.000X150X10CH</t>
  </si>
  <si>
    <t>300,000</t>
  </si>
  <si>
    <t>134,850</t>
  </si>
  <si>
    <t>T-REX40-20.000X200X10BK</t>
  </si>
  <si>
    <t>T-REX40-20.000 x 200 x 10 mm (volle rol) ROOD</t>
  </si>
  <si>
    <t>197,200</t>
  </si>
  <si>
    <t xml:space="preserve">T-REX40 Zijgeleidingsrubber ; Rood 200x10 mm </t>
  </si>
  <si>
    <t>T-REX40 Seitenführungsgummi ;  Rot 200x10mm</t>
  </si>
  <si>
    <t>T-REX40 Side Skirt Rubber ;  Red 200x10mm</t>
  </si>
  <si>
    <t>T-REX40 Bavettes ; Rouge 200x10mm</t>
  </si>
  <si>
    <t>Afmetingen: 20.000x200x10mm ; Kleur: rood ; Slijtvast rubber &lt; 110 mm³ ; Shore-hardheid ± 40° - 45° ; Treksterkte 20 N./mm²; Rek 650%; Soortelijk gewicht 1,12</t>
  </si>
  <si>
    <t>Abmessungen: 20.000x200x10mm ; Farbe: Rot ; Abrieb &lt; 110 mm³ ; Shore Härte ± 40° - 45° ; Spezifisches Gewicht 1,12</t>
  </si>
  <si>
    <t xml:space="preserve">Dimensions: 20.000x200x10mm ; Colour: Red ; Abrasion &lt; 110 mm³ ; Shore ± 40° - 45° ; Specific weight 1,14 </t>
  </si>
  <si>
    <t xml:space="preserve">Dimensions: 20.000x200x10mm ; Couleur: Rouge ; Abrasion &lt; 110 mm³ ; Dureté Shore ± 40° - 45° ; Specific weight 1,12 </t>
  </si>
  <si>
    <t>T-REX40-20.000X200X10CH</t>
  </si>
  <si>
    <t>178,650</t>
  </si>
  <si>
    <t>T-REX40-20.000X300X10CH</t>
  </si>
  <si>
    <t>T-REX40-20.000 x 300 x 10 mm (volle rol) ROOD</t>
  </si>
  <si>
    <t>263,470</t>
  </si>
  <si>
    <t>T-REX40B-ROOD-MLL-03CH</t>
  </si>
  <si>
    <t>T-REX40B-rood-03-met lijmlaag</t>
  </si>
  <si>
    <t>03-01_T-REX40 with Bonding Layer</t>
  </si>
  <si>
    <t>T-REX40B Rood 3 mm ; Slijtvast met lijmlaag</t>
  </si>
  <si>
    <t>T-REX40B Rot 3 mm ; Abriebfestes Verschleißgummi mit Kontaktschicht</t>
  </si>
  <si>
    <t>T-REX40B Red 3 mm ; Wear resistant rubber with bondinglayer</t>
  </si>
  <si>
    <t>T-REX40B Rouge 3 mm ; Caoutchouc anti abrasion avec face adhésive</t>
  </si>
  <si>
    <t>Met lijmlaag ; Slijtvast rubber &lt; 110 mm³ ; Kleur: rood; Shore-hardheid ± 40° - 45° ; Treksterkte 20 N./mm²; Rek 650%; Soortelijk gewicht 1,12</t>
  </si>
  <si>
    <t>Mit Kontaktschicht ; Abriebfestes Verschleißgummi &lt; 110mm³ ; Farbe: Rot ; Shore Härte ± 40° - 45° ; Reißfestigkeit 20 N./mm² ; Reißdehnung 650 % ; Spezifisches Gewicht 1,12</t>
  </si>
  <si>
    <t>With bonding layer ; Wear resistant rubber &lt; 110 mm³ ; Colour: Red ; Shore Hardness ± 40° - 45° ; Tensile Strength 20 N./mm² ; Elongation 650 % ; Specific weight 1,12</t>
  </si>
  <si>
    <t>Avec face adhésive ; Caoutchouc anti abrasion &lt; 110 mm³ ; Couleur: Rouge ; Dureté Shore ± 40° - 45° ; Résistance à la rupture 20 N./mm² ; Allongement 650 % ; Poids spécifique 1,12</t>
  </si>
  <si>
    <t>Een gemengde natuurrubbersamenstelling met uitstekende treksterkte en slijtvastheid. ; T-REX40B-producten worden gebruikt als rubberen voeringmateriaal tegen aankoeken, schuren en stoten in een breed scala aan toepassingen. ; Geproduceerd volgens ISO- en DIN-normen. ; De bedrijfstemperaturen voor langere periodes liggen tussen -30 °C en +90 °C en voor korte periodes tussen -55 °C en +110 °C.</t>
  </si>
  <si>
    <r>
      <t xml:space="preserve">Eine Naturgummimischung mit ausgezeichneter Zugfestigkeit und Abriebfestigkeit. ; T-REX40B-Produkte werden als Gummierungsmaterial gegen Anbacken, Abrieb und </t>
    </r>
    <r>
      <rPr>
        <sz val="10"/>
        <color rgb="FFFF0000"/>
        <rFont val="Arial"/>
        <family val="2"/>
      </rPr>
      <t xml:space="preserve">Schläge </t>
    </r>
    <r>
      <rPr>
        <sz val="10"/>
        <color indexed="8"/>
        <rFont val="Arial"/>
        <family val="2"/>
      </rPr>
      <t>in einer Vielzahl von Anwendungen eingesetzt. ; Hergestellt nach ISO- und DIN-Normen. ; Die Betriebstemperaturen liegen längerfristig zwischen -30 °C und +90 °C und kurzzeitig zwischen -55 °C und +110 °C.</t>
    </r>
  </si>
  <si>
    <t>A blended natural rubber compound with excellent tensile strength and abrasion resistance. ; T-REX40B products are used as rubber lining material against caking, abrasion and impact in a wide variety of applications. ; Produced according to ISO and DIN standards. ; The operating temperatures for longer periods suggested between -30 °C to +90 °C and for short periods could be -55 °C to +110°C.</t>
  </si>
  <si>
    <t>Un composé de caoutchouc naturel mélangé avec une excellente résistance à la rupture et à l'abrasion. ; Les produits T-REX40B sont utilisés comme matériel de revêtement en caoutchouc contre l'agglomération, l'abrasion et les chocs dans une grande variété d'applications. ; Produit selon les normes ISO et DIN. ; Les températures de fonctionnement pour des périodes plus longues suggérées entre -30 °C et +90 °C et pour de courtes périodes pourraient être de -55 °C à +110 °C.</t>
  </si>
  <si>
    <t>T-REX40 rot mit VKS</t>
  </si>
  <si>
    <t>T-REX40B-ROOD-MLL-04CH</t>
  </si>
  <si>
    <t>T-REX40B-rood-04-met lijmlaag</t>
  </si>
  <si>
    <t>T-REX40B Rood 4 mm ; Slijtvast met lijmlaag</t>
  </si>
  <si>
    <t>T-REX40B Rot 4 mm ; Abriebfestes Verschleißgummi mit Kontaktschicht</t>
  </si>
  <si>
    <t>T-REX40B Red 4 mm ; Wear resistant rubber with bondinglayer</t>
  </si>
  <si>
    <t>T-REX40B Rouge 4 mm ; Caoutchouc anti abrasion avec face adhésive</t>
  </si>
  <si>
    <t>Eine gemischte Natur Gummimischung mit ausgezeichneter Zugfestigkeit und Abriebfestigkeit. ; T-REX40B-Produkte werden als Gummierungsmaterial gegen Anbacken, Abrieb und Schlag in einer Vielzahl von Anwendungen eingesetzt. ; Hergestellt nach ISO- und DIN-Normen. ; Die Betriebstemperaturen liegen längerfristig zwischen -30 °C und +90 °C und kurzzeitig zwischen -55 °C und +110 °C.</t>
  </si>
  <si>
    <t>T-REX40B-ROOD-MLL-05CH</t>
  </si>
  <si>
    <t>T-REX40B-rood-05-met lijmlaag</t>
  </si>
  <si>
    <t>30,960</t>
  </si>
  <si>
    <t>T-REX40B Rood 5 mm ; Slijtvast met lijmlaag</t>
  </si>
  <si>
    <t>T-REX40B Rot 5 mm ; Abriebfestes Verschleißgummi mit Kontaktschicht</t>
  </si>
  <si>
    <t>T-REX40B Red 5 mm ; Wear resistant rubber with bondinglayer</t>
  </si>
  <si>
    <t>T-REX40B Rouge 5 mm ; Caoutchouc anti abrasion avec face adhésive</t>
  </si>
  <si>
    <t>T-REX40B-ROOD-MLL-06CH</t>
  </si>
  <si>
    <t>T-REX40B-rood-06-met lijmlaag</t>
  </si>
  <si>
    <t>31,280</t>
  </si>
  <si>
    <t>T-REX40B Rood 6 mm ; Slijtvast met lijmlaag</t>
  </si>
  <si>
    <t>T-REX40B Rot 6 mm ; Abriebfestes Verschleißgummi mit Kontaktschicht</t>
  </si>
  <si>
    <t>T-REX40B Red 6 mm ; Wear resistant rubber with bondinglayer</t>
  </si>
  <si>
    <t>T-REX40B Rouge 6 mm ; Caoutchouc anti abrasion avec face adhésive</t>
  </si>
  <si>
    <t>T-REX40B-ROOD-MLL-08CH</t>
  </si>
  <si>
    <t>T-REX40B-rood-08-met lijmlaag</t>
  </si>
  <si>
    <t>T-REX40B Rood 8 mm ; Slijtvast met lijmlaag</t>
  </si>
  <si>
    <t>T-REX40B Rot 8 mm ; Abriebfestes Verschleißgummi mit Kontaktschicht</t>
  </si>
  <si>
    <t>T-REX40B Red 8 mm ; Wear resistant rubber with bondinglayer</t>
  </si>
  <si>
    <t>T-REX40B Rouge 8 mm ; Caoutchouc anti abrasion avec face adhésive</t>
  </si>
  <si>
    <t>T-REX40B-ROOD-MLL-08ZE</t>
  </si>
  <si>
    <t>43,350</t>
  </si>
  <si>
    <t>Verschleißschutz 40 Shore</t>
  </si>
  <si>
    <t>T-REX40B-ROOD-MLL-10CH</t>
  </si>
  <si>
    <t>T-REX40B-rood-10-met lijmlaag</t>
  </si>
  <si>
    <t>46,430</t>
  </si>
  <si>
    <t>T-REX40B Rood 10 mm ; Slijtvast met lijmlaag</t>
  </si>
  <si>
    <t>T-REX40B Rot 10 mm ; Abriebfestes Verschleißgummi mit Kontaktschicht</t>
  </si>
  <si>
    <t>T-REX40B Red 10 mm ; Wear resistant rubber with bondinglayer</t>
  </si>
  <si>
    <t>T-REX40B Rouge 10 mm ; Caoutchouc anti abrasion avec face adhésive</t>
  </si>
  <si>
    <t>T-REX40B-ROOD-MLL-10ZE</t>
  </si>
  <si>
    <t>T-REX40B-ROOD-MLL-12CH</t>
  </si>
  <si>
    <t>T-REX40B-rood-12-met lijmlaag</t>
  </si>
  <si>
    <t>54,470</t>
  </si>
  <si>
    <t>T-REX40B Rood 12 mm ; Slijtvast met lijmlaag</t>
  </si>
  <si>
    <t>T-REX40B Rot 12 mm ; Abriebfestes Verschleißgummi mit Kontaktschicht</t>
  </si>
  <si>
    <t>T-REX40B Red 12 mm ; Wear resistant rubber with bondinglayer</t>
  </si>
  <si>
    <t>T-REX40B Rouge 12 mm ; Caoutchouc anti abrasion avec face adhésive</t>
  </si>
  <si>
    <t>T-REX40B-ROOD-MLL-1400-10CH</t>
  </si>
  <si>
    <t>T-REX40B-rood-1400-10-met lijmlaag</t>
  </si>
  <si>
    <t>53,630</t>
  </si>
  <si>
    <t>T-REX40B-ROOD-MLL-1400-20CH</t>
  </si>
  <si>
    <t>T-REX40B-rood-1400-20-met lijmlaag</t>
  </si>
  <si>
    <t>93,450</t>
  </si>
  <si>
    <t>T-REX40B Rood 20 mm ; Slijtvast met lijmlaag</t>
  </si>
  <si>
    <t>T-REX40B Rot 20 mm ; Abriebfestes Verschleißgummi mit Kontaktschicht</t>
  </si>
  <si>
    <t>T-REX40B Red 20 mm ; Wear resistant rubber with bondinglayer</t>
  </si>
  <si>
    <t>T-REX40B Rouge 20 mm ; Caoutchouc anti abrasion avec face adhésive</t>
  </si>
  <si>
    <t>T-REX40B-ROOD-MLL-15CH</t>
  </si>
  <si>
    <t>T-REX40B-rood-15-met lijmlaag</t>
  </si>
  <si>
    <t>66,490</t>
  </si>
  <si>
    <t>T-REX40B Rood 15 mm ; Slijtvast met lijmlaag</t>
  </si>
  <si>
    <t>T-REX40B Rot 15 mm ; Abriebfestes Verschleißgummi mit Kontaktschicht</t>
  </si>
  <si>
    <t>T-REX40B Red 15 mm ; Wear resistant rubber with bondinglayer</t>
  </si>
  <si>
    <t>T-REX40B Rouge 15 mm ; Caoutchouc anti abrasion avec face adhésive</t>
  </si>
  <si>
    <t>T-REX40B-ROOD-MLL-20CH</t>
  </si>
  <si>
    <t>T-REX40B-rood-20-met lijmlaag</t>
  </si>
  <si>
    <t>86,530</t>
  </si>
  <si>
    <t>T-REX40B-ROOD-MLL-20ZE</t>
  </si>
  <si>
    <t>96,900</t>
  </si>
  <si>
    <t>T-REX40B-ROOD-MLL-25ZE</t>
  </si>
  <si>
    <t>T-REX40B-rood-25-met lijmlaag</t>
  </si>
  <si>
    <t>95,470</t>
  </si>
  <si>
    <t>T-REX40B Rood 25 mm ; Slijtvast met lijmlaag</t>
  </si>
  <si>
    <t>T-REX40B Rot 25 mm ; Abriebfestes Verschleißgummi mit Kontaktschicht</t>
  </si>
  <si>
    <t>T-REX40B Red 25 mm ; Wear resistant rubber with bondinglayer</t>
  </si>
  <si>
    <t>T-REX40B Rouge 25 mm ; Caoutchouc anti abrasion avec face adhésive</t>
  </si>
  <si>
    <t>T-REX40 rot ohne VKS</t>
  </si>
  <si>
    <t>T-REX40B-ROOD-MLL-BEIGE-10TR</t>
  </si>
  <si>
    <t>T-REX40B-rood-10-met beige lijmlaag</t>
  </si>
  <si>
    <t>12047, Trelleborg Izarra S.A.U.</t>
  </si>
  <si>
    <t>T-REX40B-ZWART-MLL-20CH</t>
  </si>
  <si>
    <t>T-REX40B-zwart-20-met lijmlaag</t>
  </si>
  <si>
    <t>60,117</t>
  </si>
  <si>
    <t>T-REX40-GROEN-ZLL-06CH</t>
  </si>
  <si>
    <t>T-REX40-groen-06-zonder lijmlaag</t>
  </si>
  <si>
    <t xml:space="preserve">03-02_T-REX40 without Bonding Layer </t>
  </si>
  <si>
    <t>T-REX40 Groen 6 mm ; Slijtvast zonder lijmlaag</t>
  </si>
  <si>
    <t>T-REX40 Grün 6 mm ; Abriebfestes Verschleißgummi ohne Kontaktschicht</t>
  </si>
  <si>
    <t>T-REX40 Green 6 mm ; Wear resistant rubber without bondinglayer</t>
  </si>
  <si>
    <t>T-REX40 Vert 6 mm ; Caoutchouc anti abrasion sans face adhésive</t>
  </si>
  <si>
    <t>Zonder lijmlaag ; Slijtvast rubber &lt; 110 mm³ ; Kleur: Groen; Shore-hardheid ± 40° - 45° ; Treksterkte 20 N./mm²; Rek 650%; Soortelijk gewicht 1,12</t>
  </si>
  <si>
    <t>Ohne Kontaktschicht ; Abriebfestes Verschleißgummi &lt; 110mm³ ; Farbe: Grün ; Shore Härte ± 40° - 45° ; Reißfestigkeit 20 N./mm² ; Reißdehnung 650 % ; Spezifisches Gewicht 1,12</t>
  </si>
  <si>
    <t>Without bonding layer ; Wear resistant rubber &lt; 110 mm³ ; Colour: Green ; Shore Hardness ± 40° - 45° ; Tensile Strength 20 N./mm² ; Elongation 650 % ; Specific weight 1,12</t>
  </si>
  <si>
    <t>Sans face adhésive ; Caoutchouc anti abrasion &lt; 110 mm³ ; Couleur: Vert ; Dureté Shore ± 40° - 45° ; Résistance à la rupture 20 N./mm² ; Allongement 650 % ; Poids spécifique 1,12</t>
  </si>
  <si>
    <t>Een gemengde natuurrubbersamenstelling met uitstekende treksterkte en slijtvastheid. ; T-REX40-producten worden gebruikt als rubberen voeringmateriaal tegen aankoeken, schuren en stoten in een breed scala aan toepassingen. ; Geproduceerd volgens ISO- en DIN-normen. ; De bedrijfstemperaturen voor langere periodes liggen tussen -30 °C en +90 °C en voor korte periodes tussen -55 °C en +110 °C.</t>
  </si>
  <si>
    <t>Eine gemischte Natur Gummimischung mit ausgezeichneter Zugfestigkeit und Abriebfestigkeit. ; T-REX40-Produkte werden als Gummierungsmaterial gegen Anbacken, Abrieb und Schlag in einer Vielzahl von Anwendungen eingesetzt. ; Hergestellt nach ISO- und DIN-Normen. ; Die Betriebstemperaturen liegen längerfristig zwischen -30 °C und +90 °C und kurzzeitig zwischen -55 °C und +110 °C.</t>
  </si>
  <si>
    <t>A blended natural rubber compound with excellent tensile strength and abrasion resistance. ; T-REX40-products are used as rubber lining material against caking, abrasion and impact in a wide variety of applications. ; Produced according to ISO and DIN standards. ; The operating temperatures for longer periods suggested between -30 °C to +90 °C and for short periods could be -55 °C to +110°C.</t>
  </si>
  <si>
    <t>Un composé de caoutchouc naturel mélangé avec une excellente résistance à la rupture et à l'abrasion. ; Les produits T-REX40 sont utilisés comme matériel de revêtement en caoutchouc contre l'agglomération, l'abrasion et les chocs dans une grande variété d'applications. ; Produit selon les normes ISO et DIN. ; Les températures de fonctionnement pour des périodes plus longues suggérées entre -30 °C et +90 °C et pour de courtes périodes pourraient être de -55 °C à +110 °C.</t>
  </si>
  <si>
    <t>T-REX40-GROEN-ZLL-08CH</t>
  </si>
  <si>
    <t>T-REX40-groen-08-zonder lijmlaag</t>
  </si>
  <si>
    <t>T-REX40 Groen 8 mm ; Slijtvast zonder lijmlaag</t>
  </si>
  <si>
    <t>T-REX40 Grün 8 mm ; Abriebfestes Verschleißgummi ohne Kontaktschicht</t>
  </si>
  <si>
    <t>T-REX40 Green 8 mm ; Wear resistant rubber without bondinglayer</t>
  </si>
  <si>
    <t>T-REX40 Vert 8 mm ; Caoutchouc anti abrasion sans face adhésive</t>
  </si>
  <si>
    <t>T-REX40-GROEN-ZLL-10CH</t>
  </si>
  <si>
    <t>T-REX40-groen-10-zonder lijmlaag</t>
  </si>
  <si>
    <t>42,390</t>
  </si>
  <si>
    <t>T-REX40 Groen 10 mm ; Slijtvast zonder lijmlaag</t>
  </si>
  <si>
    <t>T-REX40 Grün 10 mm ; Abriebfestes Verschleißgummi ohne Kontaktschicht</t>
  </si>
  <si>
    <t>T-REX40 Green 10 mm ; Wear resistant rubber without bondinglayer</t>
  </si>
  <si>
    <t>T-REX40 Vert 10 mm ; Caoutchouc anti abrasion sans face adhésive</t>
  </si>
  <si>
    <t>T-REX40-GROEN-ZLL-10ZE</t>
  </si>
  <si>
    <t>48,810</t>
  </si>
  <si>
    <t>T-REX40-ROOD-ZLL-03CH</t>
  </si>
  <si>
    <t>T-REX40-rood-03-zonder lijmlaag</t>
  </si>
  <si>
    <t>T-REX40 Rood 3 mm ; Slijtvast zonder lijmlaag</t>
  </si>
  <si>
    <t>T-REX40 Rot 3 mm ; Abriebfestes Verschleißgummi ohne Kontaktschicht</t>
  </si>
  <si>
    <t>T-REX40 Red 3 mm ; Wear resistant rubber without bondinglayer</t>
  </si>
  <si>
    <t>T-REX40 Rouge 3 mm ; Caoutchouc anti abrasion sans face adhésive</t>
  </si>
  <si>
    <t>Ohne Kontaktschicht ; Abriebfestes Verschleißgummi &lt; 110mm³ ; Farbe: Rot ; Shore Härte ± 40° - 45° ; Reißfestigkeit 20 N./mm² ; Reißdehnung 650 % ; Spezifisches Gewicht 1,12</t>
  </si>
  <si>
    <t>Without bonding layer ; Wear resistant rubber &lt; 110 mm³ ; Colour: Red ; Shore Hardness ± 40° - 45° ; Tensile Strength 20 N./mm² ; Elongation 650 % ; Specific weight 1,12</t>
  </si>
  <si>
    <t>Sans face adhésive ; Caoutchouc anti abrasion &lt; 110 mm³ ; Couleur: Rouge ; Dureté Shore ± 40° - 45° ; Résistance à la rupture 20 N./mm² ; Allongement 650 % ; Poids spécifique 1,12</t>
  </si>
  <si>
    <t>T-REX40-ROOD-ZLL-04CH</t>
  </si>
  <si>
    <t>T-REX40-rood-04-zonder lijmlaag</t>
  </si>
  <si>
    <t>T-REX40 Rood 4 mm ; Slijtvast zonder lijmlaag</t>
  </si>
  <si>
    <t>T-REX40 Rot 4 mm ; Abriebfestes Verschleißgummi ohne Kontaktschicht</t>
  </si>
  <si>
    <t>T-REX40 Red 4 mm ; Wear resistant rubber without bondinglayer</t>
  </si>
  <si>
    <t>T-REX40 Rouge 4 mm ; Caoutchouc anti abrasion sans face adhésive</t>
  </si>
  <si>
    <t>Zonder lijmlaag ; Slijtvast rubber &lt; 110 mm³ ; Kleur: Rood; Shore-hardheid ± 40° - 45° ; Treksterkte 20 N./mm²; Rek 650%; Soortelijk gewicht 1,12</t>
  </si>
  <si>
    <t>T-REX40-ROOD-ZLL-04ZE</t>
  </si>
  <si>
    <t>17,020</t>
  </si>
  <si>
    <t>T-REX40-ROOD-ZLL-05CH</t>
  </si>
  <si>
    <t>T-REX40-rood-05-zonder lijmlaag</t>
  </si>
  <si>
    <t>T-REX40 Rood 5 mm ; Slijtvast zonder lijmlaag</t>
  </si>
  <si>
    <t>T-REX40 Rot 5 mm ; Abriebfestes Verschleißgummi ohne Kontaktschicht</t>
  </si>
  <si>
    <t>T-REX40 Red 5 mm ; Wear resistant rubber without bondinglayer</t>
  </si>
  <si>
    <t>T-REX40 Rouge 5 mm ; Caoutchouc anti abrasion sans face adhésive</t>
  </si>
  <si>
    <t>T-REX40-ROOD-ZLL-06CH</t>
  </si>
  <si>
    <t>T-REX40-rood-06-zonder lijmlaag</t>
  </si>
  <si>
    <t>27,670</t>
  </si>
  <si>
    <t>T-REX40 Rood 6 mm ; Slijtvast zonder lijmlaag</t>
  </si>
  <si>
    <t>T-REX40 Rot 6 mm ; Abriebfestes Verschleißgummi ohne Kontaktschicht</t>
  </si>
  <si>
    <t>T-REX40 Red 6 mm ; Wear resistant rubber without bondinglayer</t>
  </si>
  <si>
    <t>T-REX40 Rouge 6 mm ; Caoutchouc anti abrasion sans face adhésive</t>
  </si>
  <si>
    <t>T-REX40-ROOD-ZLL-06ZA</t>
  </si>
  <si>
    <t>T-REX40-ROOD-ZLL-06ZE</t>
  </si>
  <si>
    <t>23,550</t>
  </si>
  <si>
    <t>T-REX40-ROOD-ZLL-08CH</t>
  </si>
  <si>
    <t>T-REX40-rood-08-zonder lijmlaag</t>
  </si>
  <si>
    <t>36,060</t>
  </si>
  <si>
    <t>T-REX40 Rood 8 mm ; Slijtvast zonder lijmlaag</t>
  </si>
  <si>
    <t>T-REX40 Rot 8 mm ; Abriebfestes Verschleißgummi ohne Kontaktschicht</t>
  </si>
  <si>
    <t>T-REX40 Red 8 mm ; Wear resistant rubber without bondinglayer</t>
  </si>
  <si>
    <t>T-REX40 Rouge 8 mm ; Caoutchouc anti abrasion sans face adhésive</t>
  </si>
  <si>
    <t>T-REX40-ROOD-ZLL-08-WA</t>
  </si>
  <si>
    <t>17687, Wagu Handels GmbH</t>
  </si>
  <si>
    <t>34,750</t>
  </si>
  <si>
    <t>T-REX40-ROOD-ZLL-08ZA</t>
  </si>
  <si>
    <t>34,450</t>
  </si>
  <si>
    <t>T-REX40-ROOD-ZLL-08ZE</t>
  </si>
  <si>
    <t>T-REX40-ROOD-ZLL-10CH</t>
  </si>
  <si>
    <t>T-REX40-rood-10-zonder lijmlaag</t>
  </si>
  <si>
    <t>40,040</t>
  </si>
  <si>
    <t>T-REX40 Rood 10 mm ; Slijtvast zonder lijmlaag</t>
  </si>
  <si>
    <t>T-REX40 Rot 10 mm ; Abriebfestes Verschleißgummi ohne Kontaktschicht</t>
  </si>
  <si>
    <t>T-REX40 Red 10 mm ; Wear resistant rubber without bondinglayer</t>
  </si>
  <si>
    <t>T-REX40 Rouge 10 mm ; Caoutchouc anti abrasion sans face adhésive</t>
  </si>
  <si>
    <t>T-REX40-ROOD-ZLL-10ZA</t>
  </si>
  <si>
    <t>T-REX40-ROOD-ZLL-10ZE</t>
  </si>
  <si>
    <t>T-REX40-ROOD-ZLL-12CH</t>
  </si>
  <si>
    <t>T-REX40-rood-12-zonder lijmlaag</t>
  </si>
  <si>
    <t>48,080</t>
  </si>
  <si>
    <t>T-REX40 Rood 12 mm ; Slijtvast zonder lijmlaag</t>
  </si>
  <si>
    <t>T-REX40 Rot 12 mm ; Abriebfestes Verschleißgummi ohne Kontaktschicht</t>
  </si>
  <si>
    <t>T-REX40 Red 12 mm ; Wear resistant rubber without bondinglayer</t>
  </si>
  <si>
    <t>T-REX40 Rouge 12 mm ; Caoutchouc anti abrasion sans face adhésive</t>
  </si>
  <si>
    <t>T-REX40-ROOD-ZLL-1400-10CH</t>
  </si>
  <si>
    <t>T-REX40-rood-1400-10-zonder lijmlaag</t>
  </si>
  <si>
    <t>T-REX40-ROOD-ZLL-1400-20CH</t>
  </si>
  <si>
    <t>T-REX40-rood-1400-20-zonder lijmlaag</t>
  </si>
  <si>
    <t>86,550</t>
  </si>
  <si>
    <t>T-REX40 Rood 20 mm ; Slijtvast zonder lijmlaag</t>
  </si>
  <si>
    <t>T-REX40 Rot 20 mm ; Abriebfestes Verschleißgummi ohne Kontaktschicht</t>
  </si>
  <si>
    <t>T-REX40 Red 20 mm ; Wear resistant rubber without bondinglayer</t>
  </si>
  <si>
    <t>T-REX40 Rouge 20 mm ; Caoutchouc anti abrasion sans face adhésive</t>
  </si>
  <si>
    <t>T-REX40-ROOD-ZLL-15CH</t>
  </si>
  <si>
    <t>T-REX40-rood-15-zonder lijmlaag</t>
  </si>
  <si>
    <t>60,100</t>
  </si>
  <si>
    <t>T-REX40 Rood 15 mm ; Slijtvast zonder lijmlaag</t>
  </si>
  <si>
    <t>T-REX40 Rot 15 mm ; Abriebfestes Verschleißgummi ohne Kontaktschicht</t>
  </si>
  <si>
    <t>T-REX40 Red 15 mm ; Wear resistant rubber without bondinglayer</t>
  </si>
  <si>
    <t>T-REX40 Rouge 15 mm ; Caoutchouc anti abrasion sans face adhésive</t>
  </si>
  <si>
    <t>T-REX40-ROOD-ZLL-15ZE</t>
  </si>
  <si>
    <t>65,790</t>
  </si>
  <si>
    <t>T-REX40-ROOD-ZLL-20CH</t>
  </si>
  <si>
    <t>T-REX40-rood-20-zonder lijmlaag</t>
  </si>
  <si>
    <t>80,140</t>
  </si>
  <si>
    <t>T-REX40-ROOD-ZLL-20ZE</t>
  </si>
  <si>
    <t>82,000</t>
  </si>
  <si>
    <t>T-REX40-ROOD-ZLL-25CH</t>
  </si>
  <si>
    <t>T-REX40-rood-25-zonder lijmlaag</t>
  </si>
  <si>
    <t>99,490</t>
  </si>
  <si>
    <t>T-REX40 Rood 25 mm ; Slijtvast zonder lijmlaag</t>
  </si>
  <si>
    <t>T-REX40 Rot 25 mm ; Abriebfestes Verschleißgummi ohne Kontaktschicht</t>
  </si>
  <si>
    <t>T-REX40 Red 25 mm ; Wear resistant rubber without bondinglayer</t>
  </si>
  <si>
    <t>T-REX40 Rouge 25 mm ; Caoutchouc anti abrasion sans face adhésive</t>
  </si>
  <si>
    <t>T-REX45-CARAMEL-ZLL-02ZE</t>
  </si>
  <si>
    <t>T-REX-CARAMEL-02-Zonder lijmlaag-NR/SBR</t>
  </si>
  <si>
    <t>13,902</t>
  </si>
  <si>
    <t>03-11_Caramel</t>
  </si>
  <si>
    <t>T-REX45 Karamel 2 mm ; Slijtvast zonder lijmlaag</t>
  </si>
  <si>
    <t>T-REX45 Karamell 2 mm ; Abriebfestes Verschleißgummi ohne Kontaktschicht</t>
  </si>
  <si>
    <t>T-REX45 Caramel 2 mm ; Wear resistant rubber without bondinglayer</t>
  </si>
  <si>
    <t>T-REX45 Caramel 2 mm ; Caoutchouc anti abrasion sans face adhésive</t>
  </si>
  <si>
    <t>Zonder lijmlaag ; Slijtvast rubber &lt; 110 mm³ ; Kleur: Karamel; Shore-hardheid ± 45° ; Treksterkte 20 N./mm²; Rek 650%; Soortelijk gewicht 1,12</t>
  </si>
  <si>
    <t>Ohne Kontaktschicht ; Abriebfestes Verschleißgummi &lt; 110mm³ ; Farbe: Karamell ; Shore Härte ± 45° ; Reißfestigkeit 20 N./mm² ; Reißdehnung 650 % ; Spezifisches Gewicht 1,12</t>
  </si>
  <si>
    <t>Without bonding layer ; Wear resistant rubber &lt; 110 mm³ ; Colour: Caramel ; Shore Hardness ± 45° ; Tensile Strength 20 N./mm² ; Elongation 650 % ; Specific weight 1,12</t>
  </si>
  <si>
    <t>Sans face adhésive ; Caoutchouc anti abrasion &lt; 110 mm³ ; Couleur: Caramel ; Dureté Shore ± 45° ; Résistance à la rupture 20 N./mm² ; Allongement 650 % ; Poids spécifique 1,12</t>
  </si>
  <si>
    <t>Een gemengd natuurlijk rubbermix met een uitstekende treksterkte en weerstand tegen natte slijtage. T-REX45-producten worden gebruikt als rubberen voeringmateriaal tegen aankoeken, schuren en stoten in een breed scala aan toepassingen. ; Geproduceerd volgens ISO- en DIN-normen.</t>
  </si>
  <si>
    <t>Eine Naturgummimischung mit ausgezeichneter Zugfestigkeit und Nassabriebfestigkeit. T-REX45-Produkte werden als Gummierungsmaterial gegen Anbacken, Abrieb und Schläge in einer Vielzahl von Anwendungen eingesetzt. ; Produziert nach ISO- und DIN-Normen.</t>
  </si>
  <si>
    <t>A blended natural rubber compound with excellent tensile strength and wet abrasion resistance. T-REX45 products are used as rubber lining material against caking, abrasion and impact in a wide variety of applications. ;; Produced according to ISO and DIN standards.</t>
  </si>
  <si>
    <t>Un composé de caoutchouc naturel mélangé avec une excellente résistance à la traction et à l'abrasion humide. Les produits T-REX45 sont utilisés comme matériau calorifuge pour empêcher l'agglomération, l'abrasion et les impacts dans une variété d'applications. ; Produit selon les normes ISO et DIN.</t>
  </si>
  <si>
    <t>T-REX45-CARAMEL-ZLL-03CH</t>
  </si>
  <si>
    <t>T-REX-CARAMEL-03-Zonder lijmlaag-NR/SBR</t>
  </si>
  <si>
    <t>14,880</t>
  </si>
  <si>
    <t>T-REX45 Karamel 3 mm ; Slijtvast zonder lijmlaag</t>
  </si>
  <si>
    <t>T-REX45 Karamell 3 mm ; Abriebfestes Verschleißgummi ohne Kontaktschicht</t>
  </si>
  <si>
    <t>T-REX45 Caramel 3 mm ; Wear resistant rubber without bondinglayer</t>
  </si>
  <si>
    <t>T-REX45 Caramel 3 mm ; Caoutchouc anti abrasion sans face adhésive</t>
  </si>
  <si>
    <t>Een gemengd natuurlijk rubbermix met een uitstekende treksterkte en weerstand tegen natte slijtage. T-REX45-producten worden gebruikt als rubberen voeringmateriaal tegen aankoeken, schuren en stoten in een breed scala aan toepassingen. Geproduceerd volgens ISO- en DIN-normen.</t>
  </si>
  <si>
    <t>Eine gemischte Naturgummimischung mit ausgezeichneter Zugfestigkeit und Nassabriebfestigkeit. T-REX45-Produkte werden als Gummierungsmaterial gegen Anbacken, Abrieb und Schlag in einer Vielzahl von Anwendungen eingesetzt. Produziert nach ISO- und DIN-Normen.</t>
  </si>
  <si>
    <t>A blended natural rubber compound with excellent tensile strength and wet abrasion resistance. T-REX45 products are used as rubber lining material against caking, abrasion and impact in a wide variety of applications. Produced according to ISO and DIN standards.</t>
  </si>
  <si>
    <t>Un composé de caoutchouc naturel mélangé avec une excellente résistance à la traction et à l'abrasion humide. Les produits T-REX45 sont utilisés comme matériau calorifuge pour empêcher l'agglomération, l'abrasion et les impacts dans une variété d'applications. Produit selon les normes ISO et DIN.</t>
  </si>
  <si>
    <t>HITEC40</t>
  </si>
  <si>
    <t>T-REX45-CARAMEL-ZLL-03ZE</t>
  </si>
  <si>
    <t>T-REX45-CARAMEL-ZLL-04CH</t>
  </si>
  <si>
    <t>T-REX-CARAMEL-04-Zonder lijmlaag-NR/SBR</t>
  </si>
  <si>
    <t>21,870</t>
  </si>
  <si>
    <t>T-REX45 Karamel 4 mm ; Slijtvast zonder lijmlaag</t>
  </si>
  <si>
    <t>T-REX45 Karamell 4 mm ; Abriebfestes Verschleißgummi ohne Kontaktschicht</t>
  </si>
  <si>
    <t>T-REX45 Caramel 4 mm ; Wear resistant rubber without bondinglayer</t>
  </si>
  <si>
    <t>T-REX45 Caramel 4 mm ; Caoutchouc anti abrasion sans face adhésive</t>
  </si>
  <si>
    <t>T-REX45-CARAMEL-ZLL-04ZE</t>
  </si>
  <si>
    <t>20,706</t>
  </si>
  <si>
    <t>T-REX45-CARAMEL-ZLL-05CH</t>
  </si>
  <si>
    <t>T-REX-CARAMEL-05-Zonder lijmlaag-NR/SBR</t>
  </si>
  <si>
    <t>T-REX45 Karamel 5 mm ; Slijtvast zonder lijmlaag</t>
  </si>
  <si>
    <t>T-REX45 Karamell 5 mm ; Abriebfestes Verschleißgummi ohne Kontaktschicht</t>
  </si>
  <si>
    <t>T-REX45 Caramel 5 mm ; Wear resistant rubber without bondinglayer</t>
  </si>
  <si>
    <t>T-REX45 Caramel 5 mm ; Caoutchouc anti abrasion sans face adhésive</t>
  </si>
  <si>
    <t>T-REX45-CARAMEL-ZLL-05ZE</t>
  </si>
  <si>
    <t>20,461</t>
  </si>
  <si>
    <t>T-REX45-CARAMEL-ZLL-06CH</t>
  </si>
  <si>
    <t>T-REX-CARAMEL-06-Zonder lijmlaag-NR/SBR</t>
  </si>
  <si>
    <t>26,880</t>
  </si>
  <si>
    <t>T-REX45 Karamel 6 mm ; Slijtvast zonder lijmlaag</t>
  </si>
  <si>
    <t>T-REX45 Karamell 6 mm ; Abriebfestes Verschleißgummi ohne Kontaktschicht</t>
  </si>
  <si>
    <t>T-REX45 Caramel 6 mm ; Wear resistant rubber without bondinglayer</t>
  </si>
  <si>
    <t>T-REX45 Caramel 6 mm ; Caoutchouc anti abrasion sans face adhésive</t>
  </si>
  <si>
    <t>T-REX45-CARAMEL-ZLL-06ZE</t>
  </si>
  <si>
    <t>24,147</t>
  </si>
  <si>
    <t>T-REX45-CARAMEL-ZLL-08CH</t>
  </si>
  <si>
    <t>T-REX-CARAMEL-08-Zonder lijmlaag-NR/SBR</t>
  </si>
  <si>
    <t>35,750</t>
  </si>
  <si>
    <t>T-REX45 Karamel 8 mm ; Slijtvast zonder lijmlaag</t>
  </si>
  <si>
    <t>T-REX45 Karamell 8 mm ; Abriebfestes Verschleißgummi ohne Kontaktschicht</t>
  </si>
  <si>
    <t>T-REX45 Caramel 8 mm ; Wear resistant rubber without bondinglayer</t>
  </si>
  <si>
    <t>T-REX45 Caramel 8 mm ; Caoutchouc anti abrasion sans face adhésive</t>
  </si>
  <si>
    <t>T-REX45-CARAMEL-ZLL-08ZE</t>
  </si>
  <si>
    <t>39,500</t>
  </si>
  <si>
    <t>T-REX45-CARAMEL-ZLL-10CH</t>
  </si>
  <si>
    <t>T-REX-CARAMEL-10-Zonder lijmlaag-NR/SBR</t>
  </si>
  <si>
    <t>43,970</t>
  </si>
  <si>
    <t>T-REX45 Karamel 10 mm ; Slijtvast zonder lijmlaag</t>
  </si>
  <si>
    <t>T-REX45 Karamell 10 mm ; Abriebfestes Verschleißgummi ohne Kontaktschicht</t>
  </si>
  <si>
    <t>T-REX45 Caramel 10 mm ; Wear resistant rubber without bondinglayer</t>
  </si>
  <si>
    <t>T-REX45 Caramel 10 mm ; Caoutchouc anti abrasion sans face adhésive</t>
  </si>
  <si>
    <t>T-REX45-CARAMEL-ZLL-10ZE</t>
  </si>
  <si>
    <t>41,160</t>
  </si>
  <si>
    <t>T-REX50-20.000X100X10CH</t>
  </si>
  <si>
    <t>T-REX50-20.000 x 100 x 10 mm (volle rol) ORANJE</t>
  </si>
  <si>
    <t>108,510</t>
  </si>
  <si>
    <t>03-06_T-REX50 Side Skirt Rubber</t>
  </si>
  <si>
    <t>T-REX50 Zijgeleidingsrubber ; Orange 100x10mm</t>
  </si>
  <si>
    <t>T-REX50 Seitenführungsgummi ; Orange 100x10mm</t>
  </si>
  <si>
    <t>T-REX50 Side Skirt Rubber ; Orange 100x10mm</t>
  </si>
  <si>
    <t>T-REX50 Bavettes ; Orange 100x10mm</t>
  </si>
  <si>
    <t>Afmetingen: 20.000x100x10mm ; Kleur: Oranje ; Slijtvast rubber &lt; 170 mm³ ; Shore-hardheid ± 50° - 55° ; Treksterkte 17 N./mm²; Rek 600%; Soortelijk gewicht 1,09</t>
  </si>
  <si>
    <t>Abmessungen: 20.000x100x10mm ; Farbe: Orange ; Abrieb &lt; 170 mm³ ; Shore Härte ± 50° - 55° ; Spezifisches Gewicht 1,09</t>
  </si>
  <si>
    <t>Dimensions: 20.000x100x10mm ; Colour: Orange ; Abrasion &lt; 170 mm³ ; Shore ± 50° - 55° ; Specific weight 1,12</t>
  </si>
  <si>
    <t xml:space="preserve">Dimensions: 20.000x100x10mm ; Couleur: Orange ; Abrasion &lt; 170 mm³ ; Dureté Shore ± 50° - 55° ; Specific weight 1,09 </t>
  </si>
  <si>
    <t>A blended natural rubber compound with excellent tensile strength and wet abrasion resistance. ; T-REX50 side skirt products are used as side skirting material against spilling and abrasion in a wide variety of applications. ; Produced according to ISO and DIN standards. ; The Operating temperatures for longer periods suggested between -30 °C to +90 °C and for short periods could be -55 °C to +110°C.</t>
  </si>
  <si>
    <t>T-REX50-20.000X120X10CH</t>
  </si>
  <si>
    <t>T-REX50-20.000 x 120 x 10 mm (volle rol) ORANJE</t>
  </si>
  <si>
    <t>130,190</t>
  </si>
  <si>
    <t>T-REX50 Zijgeleidingsrubber ; Orange 120x10mm</t>
  </si>
  <si>
    <t>T-REX50 Seitenführungsgummi ; Orange 120x10mm</t>
  </si>
  <si>
    <t>T-REX50 Side Skirt Rubber ; Orange 120x10mm</t>
  </si>
  <si>
    <t>T-REX50 Bavettes ; Orange 120x10mm</t>
  </si>
  <si>
    <t>Afmetingen: 20.000x120x10mm ; Kleur: Oranje ; Slijtvast rubber &lt; 170 mm³ ; Shore-hardheid ± 50° - 55° ; Treksterkte 17 N./mm²; Rek 600%; Soortelijk gewicht 1,09</t>
  </si>
  <si>
    <t>Abmessungen: 20.000x120x10mm ; Farbe: Orange ; Abrieb &lt; 170 mm³ ; Shore Härte ± 50° - 55° ; Spezifisches Gewicht 1,09</t>
  </si>
  <si>
    <t>Dimensions: 20.000x120x10mm ; Colour: Orange ; Abrasion &lt; 170 mm³ ; Shore ± 50° - 55° ; Specific weight 1,12</t>
  </si>
  <si>
    <t xml:space="preserve">Dimensions: 20.000x120x10mm ; Couleur: Orange ; Abrasion &lt; 170 mm³ ; Dureté Shore ± 50° - 55° ; Specific weight 1,09 </t>
  </si>
  <si>
    <t>T-REX50-20.000X150X10CH</t>
  </si>
  <si>
    <t>T-REX50-20.000 x 150 x 10 mm (volle rol) ORANJE</t>
  </si>
  <si>
    <t>162,770</t>
  </si>
  <si>
    <t>T-REX50 Zijgeleidingsrubber ; Orange 150x10mm</t>
  </si>
  <si>
    <t>T-REX50 Seitenführungsgummi ; Orange 150x10mm</t>
  </si>
  <si>
    <t>T-REX50 Side Skirt Rubber ; Orange 150x10mm</t>
  </si>
  <si>
    <t>T-REX50 Bavettes ; Orange 150x10mm</t>
  </si>
  <si>
    <t>Afmetingen: 20.000x150x10mm ; Kleur: Oranje ; Slijtvast rubber &lt; 170 mm³ ; Shore-hardheid ± 50° - 55° ; Treksterkte 17 N./mm²; Rek 600%; Soortelijk gewicht 1,09</t>
  </si>
  <si>
    <t>Abmessungen: 20.000x150x10mm ; Farbe: Orange ; Abrieb &lt; 170 mm³ ; Shore Härte ± 50° - 55° ; Spezifisches Gewicht 1,09</t>
  </si>
  <si>
    <t>Dimensions: 20.000x150x10mm ; Colour: Orange ; Abrasion &lt; 170 mm³ ; Shore ± 50° - 55° ; Specific weight 1,12</t>
  </si>
  <si>
    <t xml:space="preserve">Dimensions: 20.000x150x10mm ; Couleur: Orange ; Abrasion &lt; 170 mm³ ; Dureté Shore ± 50° - 55° ; Specific weight 1,09 </t>
  </si>
  <si>
    <t>T-REX50-20.000X200X10CH</t>
  </si>
  <si>
    <t>T-REX50-20.000 x 200 x 10 mm (volle rol) ORANJE</t>
  </si>
  <si>
    <t>230,590</t>
  </si>
  <si>
    <t>T-REX50 Zijgeleidingsrubber ; Orange 200x10mm</t>
  </si>
  <si>
    <t>T-REX50 Seitenführungsgummi ; Orange 200x10mm</t>
  </si>
  <si>
    <t>T-REX50 Side Skirt Rubber ; Orange 200x10mm</t>
  </si>
  <si>
    <t>T-REX50 Bavettes ; Orange 200x10mm</t>
  </si>
  <si>
    <t>Afmetingen: 20.000x200x10mm ; Kleur: Oranje ; Slijtvast rubber &lt; 170 mm³ ; Shore-hardheid ± 50° - 55° ; Treksterkte 17 N./mm²; Rek 600%; Soortelijk gewicht 1,09</t>
  </si>
  <si>
    <t>Abmessungen: 20.000x200x10mm ; Farbe: Orange ; Abrieb &lt; 170 mm³ ; Shore Härte ± 50° - 55° ; Spezifisches Gewicht 1,09</t>
  </si>
  <si>
    <t>Dimensions: 20.000x200x10mm ; Colour: Orange ; Abrasion &lt; 170 mm³ ; Shore ± 50° - 55° ; Specific weight 1,12</t>
  </si>
  <si>
    <t xml:space="preserve">Dimensions: 20.000x200x10mm ; Couleur: Orange ; Abrasion &lt; 170 mm³ ; Dureté Shore ± 50° - 55° ; Specific weight 1,09 </t>
  </si>
  <si>
    <t>T-REX50B-ORANJE-MLL-02ZE</t>
  </si>
  <si>
    <t>T-REX50B-ORANJE-MLL-02 mm</t>
  </si>
  <si>
    <t>11,402</t>
  </si>
  <si>
    <t>03-04_T-REX50 with Bonding Layer</t>
  </si>
  <si>
    <t>T-REX50B Oranje 2 mm ; Slijtvast met lijmlaag</t>
  </si>
  <si>
    <t>T-REX50B Orange 2 mm ; Abriebfestes Verschleißgummi mit Kontaktschicht</t>
  </si>
  <si>
    <t>T-REX50B Orange 2 mm ; Wear resistant rubber with bondinglayer</t>
  </si>
  <si>
    <t>T-REX50B Orange 2 mm ; Caoutchouc anti abrasion avec face adhésive</t>
  </si>
  <si>
    <t>Met lijmlaag ; Slijtvast rubber &lt; 170 mm³ ; Kleur: Oranje; Shore-hardheid ± 50° - 55° ; Treksterkte 17 N./mm²; Rek 600%; Soortelijk gewicht 1,09</t>
  </si>
  <si>
    <t>Mit Kontaktschicht ; Abriebfestes Verschleißgummi &lt; 170mm³ ; Farbe: Orange ; Shore Härte ± 50° - 55° ; Reißfestigkeit 17 N./mm² ; Reißdehnung 600 % ; Spezifisches Gewicht 1,09</t>
  </si>
  <si>
    <t>With bonding layer ; Wear resistant rubber &lt; 170 mm³ ; Colour: Orange ; Shore Hardness ± 50° - 55° ; Tensile Strength 17 N./mm² ; Elongation 600 % ; Specific weight 1,09</t>
  </si>
  <si>
    <t>Avec face adhésive ; Caoutchouc anti abrasion &lt; 170 mm³ ; Couleur: Orange ; Dureté Shore ± 50° - 55° ; Résistance à la rupture 17 N./mm² ; Allongement 600 % ; Poids spécifique 1,09</t>
  </si>
  <si>
    <t>Een gemengde natuurrubbersamenstelling met uitstekende treksterkte en slijtvastheid. ; T-REX50B-producten worden gebruikt als rubberen voeringmateriaal tegen aankoeken, schuren en stoten in een breed scala aan toepassingen. ; Geproduceerd volgens ISO- en DIN-normen. ; De bedrijfstemperaturen voor langere periodes liggen tussen -30 °C en +90 °C en voor korte periodes tussen -55 °C en +110 °C.</t>
  </si>
  <si>
    <t>Eine Naturgummimischung mit ausgezeichneter Zugfestigkeit und Abriebfestigkeit. ; T-REX50B-Produkte werden als Gummierungsmaterial gegen Anbacken, Abrieb und Schläge in einer Vielzahl von Anwendungen eingesetzt. ; Hergestellt nach ISO- und DIN-Normen. ; Die Betriebstemperaturen liegen längerfristig zwischen -30 °C und +90 °C und kurzzeitig zwischen -55 °C und +110 °C.</t>
  </si>
  <si>
    <t>A blended natural rubber compound with excellent tensile strength and abrasion resistance. ; T-REX50B products are used as rubber lining material against caking, abrasion and impact in a wide variety of applications. ; Produced according to ISO and DIN standards. ; The operating temperatures for longer periods suggested between -30 °C to +90 °C and for short periods could be -55 °C to +110°C.</t>
  </si>
  <si>
    <t>Un composé de caoutchouc naturel mélangé avec une excellente résistance à la rupture et à l'abrasion. ; Les produits T-REX50B sont utilisés comme matériel de revêtement en caoutchouc contre l'agglomération, l'abrasion et les chocs dans une grande variété d'applications. ; Produit selon les normes ISO et DIN. ; Les températures de fonctionnement pour des périodes plus longues suggérées entre -30 °C et +90 °C et pour de courtes périodes pourraient être de -55 °C à +110 °C.</t>
  </si>
  <si>
    <t>Verschleißschutz 50 Shore</t>
  </si>
  <si>
    <t>T-REX50B-ORANJE-MLL-03CH</t>
  </si>
  <si>
    <t>T-REX50B-ORANJE-MLL-03 mm</t>
  </si>
  <si>
    <t>21,520</t>
  </si>
  <si>
    <t>T-REX50B Oranje 3 mm ; Slijtvast met lijmlaag</t>
  </si>
  <si>
    <t>T-REX50B Orange 3 mm ; Abriebfestes Verschleißgummi mit Kontaktschicht</t>
  </si>
  <si>
    <t>T-REX50B Orange 3 mm ; Wear resistant rubber with bondinglayer</t>
  </si>
  <si>
    <t>T-REX50B Orange 3 mm ; Caoutchouc anti abrasion avec face adhésive</t>
  </si>
  <si>
    <t>Eine gemischte Natur Gummimischung mit ausgezeichneter Zugfestigkeit und Abriebfestigkeit. ; T-REX50B-Produkte werden als Gummierungsmaterial gegen Anbacken, Abrieb und Schlag in einer Vielzahl von Anwendungen eingesetzt. ; Hergestellt nach ISO- und DIN-Normen. ; Die Betriebstemperaturen liegen längerfristig zwischen -30 °C und +90 °C und kurzzeitig zwischen -55 °C und +110 °C.</t>
  </si>
  <si>
    <t>086</t>
  </si>
  <si>
    <t>T-REX50 Orange m. VKS</t>
  </si>
  <si>
    <t>T-REX50B-ORANJE-MLL-05CH</t>
  </si>
  <si>
    <t>T-REX50B-ORANJE-MLL-05 mm</t>
  </si>
  <si>
    <t>30,560</t>
  </si>
  <si>
    <t>T-REX50B Oranje 5 mm ; Slijtvast met lijmlaag</t>
  </si>
  <si>
    <t>T-REX50B Orange 5 mm ; Abriebfestes Verschleißgummi mit Kontaktschicht</t>
  </si>
  <si>
    <t>T-REX50B Orange 5 mm ; Wear resistant rubber with bondinglayer</t>
  </si>
  <si>
    <t>T-REX50B Orange 5 mm ; Caoutchouc anti abrasion avec face adhésive</t>
  </si>
  <si>
    <t>T-REX50B-ORANJE-MLL-06CH</t>
  </si>
  <si>
    <t>T-REX50B-ORANJE-MLL-06 mm</t>
  </si>
  <si>
    <t>35,710</t>
  </si>
  <si>
    <t>T-REX50B Oranje 6 mm ; Slijtvast met lijmlaag</t>
  </si>
  <si>
    <t>T-REX50B Orange 6 mm ; Abriebfestes Verschleißgummi mit Kontaktschicht</t>
  </si>
  <si>
    <t>T-REX50B Orange 6 mm ; Wear resistant rubber with bondinglayer</t>
  </si>
  <si>
    <t>T-REX50B Orange 6 mm ; Caoutchouc anti abrasion avec face adhésive</t>
  </si>
  <si>
    <t>T-REX50B-ORANJE-MLL-08CH</t>
  </si>
  <si>
    <t>T-REX50B-ORANJE-MLL-08 mm</t>
  </si>
  <si>
    <t>T-REX50B Oranje 8 mm ; Slijtvast met lijmlaag</t>
  </si>
  <si>
    <t>T-REX50B Orange 8 mm ; Abriebfestes Verschleißgummi mit Kontaktschicht</t>
  </si>
  <si>
    <t>T-REX50B Orange 8 mm ; Wear resistant rubber with bondinglayer</t>
  </si>
  <si>
    <t>T-REX50B Orange 8 mm ; Caoutchouc anti abrasion avec face adhésive</t>
  </si>
  <si>
    <t>T-REX50B-ORANJE-MLL-10CH</t>
  </si>
  <si>
    <t>T-REX50B-ORANJE-MLL-10 mm</t>
  </si>
  <si>
    <t>59,150</t>
  </si>
  <si>
    <t>T-REX50B Oranje 10 mm ; Slijtvast met lijmlaag</t>
  </si>
  <si>
    <t>T-REX50B Orange 10 mm ; Abriebfestes Verschleißgummi mit Kontaktschicht</t>
  </si>
  <si>
    <t>T-REX50B Orange 10 mm ; Wear resistant rubber with bondinglayer</t>
  </si>
  <si>
    <t>T-REX50B Orange 10 mm ; Caoutchouc anti abrasion avec face adhésive</t>
  </si>
  <si>
    <t>T-REX50B-ORANJE-MLL-12CH</t>
  </si>
  <si>
    <t>T-REX50B-ORANJE-MLL-12 mm</t>
  </si>
  <si>
    <t>65,670</t>
  </si>
  <si>
    <t>T-REX50B Oranje 12 mm ; Slijtvast met lijmlaag</t>
  </si>
  <si>
    <t>T-REX50B Orange 12 mm ; Abriebfestes Verschleißgummi mit Kontaktschicht</t>
  </si>
  <si>
    <t>T-REX50B Orange 12 mm ; Wear resistant rubber with bondinglayer</t>
  </si>
  <si>
    <t>T-REX50B Orange 12 mm ; Caoutchouc anti abrasion avec face adhésive</t>
  </si>
  <si>
    <t>T-REX50B-ORANJE-MLL-15CH</t>
  </si>
  <si>
    <t>T-REX50B-ORANJE-MLL-15 mm</t>
  </si>
  <si>
    <t>89,430</t>
  </si>
  <si>
    <t>T-REX50B Oranje 15 mm ; Slijtvast met lijmlaag</t>
  </si>
  <si>
    <t>T-REX50B Orange 15 mm ; Abriebfestes Verschleißgummi mit Kontaktschicht</t>
  </si>
  <si>
    <t>T-REX50B Orange 15 mm ; Wear resistant rubber with bondinglayer</t>
  </si>
  <si>
    <t>T-REX50B Orange 15 mm ; Caoutchouc anti abrasion avec face adhésive</t>
  </si>
  <si>
    <t>T-REX50-ORANJE-ZLL-03CH</t>
  </si>
  <si>
    <t>T-REX50-ORANJE-ZLL- 03 mm</t>
  </si>
  <si>
    <t>15,553</t>
  </si>
  <si>
    <t xml:space="preserve">03-05_T-REX50 without Bonding Layer </t>
  </si>
  <si>
    <t>T-REX50 Oranje 3 mm ; Slijtvast zonder lijmlaag</t>
  </si>
  <si>
    <t>T-REX50 Orange 3 mm ; Abriebfestes Verschleißgummi ohne Kontaktschicht</t>
  </si>
  <si>
    <t>T-REX50 Orange 3 mm ; Wear resistant rubber without bondinglayer</t>
  </si>
  <si>
    <t>T-REX50 Orange 3 mm ; Caoutchouc anti abrasion sans face adhésive</t>
  </si>
  <si>
    <t>Zonder lijmlaag ; Slijtvast rubber &lt; 170 mm³ ; Kleur: Oranje; Shore-hardheid ± 50° - 55° ; Treksterkte 17 N./mm²; Rek 600%; Soortelijk gewicht 1,09</t>
  </si>
  <si>
    <t>Ohne Kontaktschicht ; Abriebfestes Verschleißgummi &lt; 170mm³ ; Farbe: Orange ; Shore Härte ± 50° - 55° ; Reißfestigkeit 17 N./mm² ; Reißdehnung 600 % ; Spezifisches Gewicht 1,09</t>
  </si>
  <si>
    <t>Without bonding layer ; Wear resistant rubber &lt; 170 mm³ ; Colour: Orange ; Shore Hardness ± 50° - 55° ; Tensile Strength 17 N./mm² ; Elongation 600 % ; Specific weight 1,09</t>
  </si>
  <si>
    <t>Sans face adhésive ; Caoutchouc anti abrasion &lt; 170 mm³ ; Couleur: Orange ; Dureté Shore ± 50° - 55° ; Résistance à la rupture 17 N./mm² ; Allongement 600 % ; Poids spécifique 1,09</t>
  </si>
  <si>
    <t>Een gemengde natuurrubbersamenstelling met uitstekende treksterkte en slijtvastheid. ; T-REX50-producten worden gebruikt als rubberen voeringmateriaal tegen aankoeken, schuren en stoten in een breed scala aan toepassingen. ; Geproduceerd volgens ISO- en DIN-normen. ; De bedrijfstemperaturen voor langere periodes liggen tussen -30 °C en +90 °C en voor korte periodes tussen -55 °C en +110 °C.</t>
  </si>
  <si>
    <t>Eine gemischte Natur Gummimischung mit ausgezeichneter Zugfestigkeit und Abriebfestigkeit. ; T-REX50-Produkte werden als Gummierungsmaterial gegen Anbacken, Abrieb und Schlag in einer Vielzahl von Anwendungen eingesetzt. ; Hergestellt nach ISO- und DIN-Normen. ; Die Betriebstemperaturen liegen längerfristig zwischen -30 °C und +90 °C und kurzzeitig zwischen -55 °C und +110 °C.</t>
  </si>
  <si>
    <t>A blended natural rubber compound with excellent tensile strength and abrasion resistance. ; T-REX50 products are used as rubber lining material against caking, abrasion and impact in a wide variety of applications. ; Produced according to ISO and DIN standards. ; The operating temperatures for longer periods suggested between -30 °C to +90 °C and for short periods could be -55 °C to +110°C.</t>
  </si>
  <si>
    <t>Un composé de caoutchouc naturel mélangé avec une excellente résistance à la rupture et à l'abrasion. ; Les produits T-REX50 sont utilisés comme matériel de revêtement en caoutchouc contre l'agglomération, l'abrasion et les chocs dans une grande variété d'applications. ; Produit selon les normes ISO et DIN. ; Les températures de fonctionnement pour des périodes plus longues suggérées entre -30 °C et +90 °C et pour de courtes périodes pourraient être de -55 °C à +110 °C.</t>
  </si>
  <si>
    <t>085</t>
  </si>
  <si>
    <t>T-REX50 Orange o. VKS</t>
  </si>
  <si>
    <t>T-REX50-ORANJE-ZLL-06CH</t>
  </si>
  <si>
    <t>T-REX50-ORANJE-ZLL- 06 mm</t>
  </si>
  <si>
    <t>30,870</t>
  </si>
  <si>
    <t>T-REX50 Oranje 6 mm ; Slijtvast zonder lijmlaag</t>
  </si>
  <si>
    <t>T-REX50 Orange 6 mm ; Abriebfestes Verschleißgummi ohne Kontaktschicht</t>
  </si>
  <si>
    <t>T-REX50 Orange 6 mm ; Wear resistant rubber without bondinglayer</t>
  </si>
  <si>
    <t>T-REX50 Orange 6 mm ; Caoutchouc anti abrasion sans face adhésive</t>
  </si>
  <si>
    <t>T-REX50-ORANJE-ZLL-08CH</t>
  </si>
  <si>
    <t>T-REX50-ORANJE-ZLL-08 mm</t>
  </si>
  <si>
    <t>T-REX50 Oranje 8 mm ; Slijtvast zonder lijmlaag</t>
  </si>
  <si>
    <t>T-REX50 Orange 8 mm ; Abriebfestes Verschleißgummi ohne Kontaktschicht</t>
  </si>
  <si>
    <t>T-REX50 Orange 8 mm ; Wear resistant rubber without bondinglayer</t>
  </si>
  <si>
    <t>T-REX50 Orange 8 mm ; Caoutchouc anti abrasion sans face adhésive</t>
  </si>
  <si>
    <t>T-REX50-ORANJE-ZLL-08-TA</t>
  </si>
  <si>
    <t>13,107</t>
  </si>
  <si>
    <t>T-REX50-ORANJE-ZLL-08ZE</t>
  </si>
  <si>
    <t>37,647</t>
  </si>
  <si>
    <t>T-REX50-ORANJE-ZLL-10CH</t>
  </si>
  <si>
    <t>T-REX50-ORANJE-ZLL-10 mm</t>
  </si>
  <si>
    <t>53,800</t>
  </si>
  <si>
    <t>T-REX50 Oranje 10 mm ; Slijtvast zonder lijmlaag</t>
  </si>
  <si>
    <t>T-REX50 Orange 10 mm ; Abriebfestes Verschleißgummi ohne Kontaktschicht</t>
  </si>
  <si>
    <t>T-REX50 Orange 10 mm ; Wear resistant rubber without bondinglayer</t>
  </si>
  <si>
    <t>T-REX50 Orange 10 mm ; Caoutchouc anti abrasion sans face adhésive</t>
  </si>
  <si>
    <t>T-REX50-ORANJE-ZLL-12CH</t>
  </si>
  <si>
    <t>T-REX50-ORANJE-ZLL-12 mm</t>
  </si>
  <si>
    <t>61,090</t>
  </si>
  <si>
    <t>T-REX50 Oranje 12 mm ; Slijtvast zonder lijmlaag</t>
  </si>
  <si>
    <t>T-REX50 Orange 12 mm ; Abriebfestes Verschleißgummi ohne Kontaktschicht</t>
  </si>
  <si>
    <t>T-REX50 Orange 12 mm ; Wear resistant rubber without bondinglayer</t>
  </si>
  <si>
    <t>T-REX50 Orange 12 mm ; Caoutchouc anti abrasion sans face adhésive</t>
  </si>
  <si>
    <t>T-REX50-ORANJE-ZLL-15CH</t>
  </si>
  <si>
    <t>T-REX50-ORANJE-ZLL-15 mm</t>
  </si>
  <si>
    <t>75,890</t>
  </si>
  <si>
    <t>T-REX50 Oranje 15 mm ; Slijtvast zonder lijmlaag</t>
  </si>
  <si>
    <t>T-REX50 Orange 15 mm ; Abriebfestes Verschleißgummi ohne Kontaktschicht</t>
  </si>
  <si>
    <t>T-REX50 Orange 15 mm ; Wear resistant rubber without bondinglayer</t>
  </si>
  <si>
    <t>T-REX50 Orange 15 mm ; Caoutchouc anti abrasion sans face adhésive</t>
  </si>
  <si>
    <t>T-REX55B-WIT-MLL-06ZE</t>
  </si>
  <si>
    <t>T-REX55b-wit-06-met lijmlaag</t>
  </si>
  <si>
    <t>37,380</t>
  </si>
  <si>
    <t>T-REX55B-WIT-MLL-08ZE</t>
  </si>
  <si>
    <t>T-REX55b-wit-08-met lijmlaag</t>
  </si>
  <si>
    <t>36,412</t>
  </si>
  <si>
    <t>T-REX55-WIT-ZLL-05-O&amp;VZE</t>
  </si>
  <si>
    <t>T-REX55-wit-05-zonder lijmlaag O&amp;V</t>
  </si>
  <si>
    <t>T-REX60-10.000X250X15BK</t>
  </si>
  <si>
    <t>T-REX60-10.000 x 250 x 15 mm (volle rol) ZWART</t>
  </si>
  <si>
    <t>142,140</t>
  </si>
  <si>
    <t>T-REX60-20.000X080X10CH</t>
  </si>
  <si>
    <t>T-REX60-20.000 x 080 x 10 mm (volle rol) ZWART</t>
  </si>
  <si>
    <t>T-REX60 Zijgeleidingsrubber ; Zwart 80x10mm</t>
  </si>
  <si>
    <t>T-REX60 Seitenführungsgummi ; Black 80x10mm</t>
  </si>
  <si>
    <t>T-REX60 Side Skirt Rubber ; Black 80x10mm</t>
  </si>
  <si>
    <t>T-REX60 Bavettes ;  Noir 80x10mm</t>
  </si>
  <si>
    <t>Afmetingen: 20.000x80x10mm ; Kleur: Zwart ; Slijtvast rubber &lt; 130 mm³ ; Shore-hardheid ± 60° - 65° ; Treksterkte 15 N./mm²; Rek 490%; Soortelijk gewicht 1,14</t>
  </si>
  <si>
    <t>Abmessungen: 20.000x80x10mm ; Farbe: Schwarz ; Abrieb &lt; 130 mm³ ; Shore Härte ± 60° - 65° ; Spezifisches Gewicht 1,14</t>
  </si>
  <si>
    <t>Dimensions: 20.000x80x10mm ; Colour: Black ; Abrasion &lt; 130 mm³ ; Shore ± 60° - 65° ; Specific weight 1,14</t>
  </si>
  <si>
    <t>Dimensions: 20.000x80x10mm ; Couleur: Noir ; Abrasion &lt; 130 mm³ ; Dureté Shore ± 60° - 65° ; Specific weight 1,14</t>
  </si>
  <si>
    <t>A blended natural rubber compound with excellent tensile strength and wet abrasion resistance. ; T-REX60 side skirt products are used as side skirting material against spilling and abrasion in a wide variety of applications. ; Produced according to ISO and DIN standards. ; The Operating temperatures for longer periods suggested between -30 °C to +90 °C and for short periods could be -55 °C to +110°C.</t>
  </si>
  <si>
    <t>T-REX60-20.000X080X20BK</t>
  </si>
  <si>
    <t>T-REX60-20.000 x 080 x 20 mm (volle rol) ZWART</t>
  </si>
  <si>
    <t>116,000</t>
  </si>
  <si>
    <t>T-REX60 Zijgeleidingsrubber ; Zwart 80x20mm</t>
  </si>
  <si>
    <t>T-REX60 Seitenführungsgummi ; Black 80x120mm</t>
  </si>
  <si>
    <t>T-REX60 Side Skirt Rubber ; Black 80x20mm</t>
  </si>
  <si>
    <t>T-REX60 Bavettes ;  Noir 80x20mm</t>
  </si>
  <si>
    <t>Abmessungen: 20.000x80x20mm ; Farbe: Schwarz ; Abrieb &lt; 130 mm³ ; Shore Härte ± 60° - 65° ; Spezifisches Gewicht 1,14</t>
  </si>
  <si>
    <t>T-REX60-20.000X100X10CH</t>
  </si>
  <si>
    <t>T-REX60-20.000 x 100 x 10 mm (volle rol) ZWART</t>
  </si>
  <si>
    <t>67,630</t>
  </si>
  <si>
    <t>T-REX60 Zijgeleidingsrubber ; Zwart 100x10mm</t>
  </si>
  <si>
    <t>T-REX60 Seitenführungsgummi ; Black 100x10mm</t>
  </si>
  <si>
    <t>T-REX60 Side Skirt Rubber ; Black 100x10mm</t>
  </si>
  <si>
    <t>T-REX60 Bavettes ;  Noir 100x10mm</t>
  </si>
  <si>
    <t>Afmetingen: 20.000x100x10mm ; Kleur: Zwart ; Slijtvast rubber &lt; 130 mm³ ; Shore-hardheid ± 60° - 65° ; Treksterkte 15 N./mm²; Rek 490%; Soortelijk gewicht 1,14</t>
  </si>
  <si>
    <t>Abmessungen: 20.000x100x10mm ; Farbe: Schwarz ; Abrieb &lt; 130 mm³ ; Shore Härte ± 60° - 65° ; Spezifisches Gewicht 1,14</t>
  </si>
  <si>
    <t>Dimensions: 20.000x100x10mm ; Colour: Black ; Abrasion &lt; 130 mm³ ; Shore ± 60° - 65° ; Specific weight 1,14</t>
  </si>
  <si>
    <t>Dimensions: 20.000x100x10mm ; Couleur: Noir ; Abrasion &lt; 130 mm³ ; Dureté Shore ± 60° - 65° ; Specific weight 1,14</t>
  </si>
  <si>
    <t>T-REX60-20.000X100X15BK</t>
  </si>
  <si>
    <t>T-REX60-20.000 x 100 x 15 mm (volle rol) ZWART</t>
  </si>
  <si>
    <t>106,720</t>
  </si>
  <si>
    <t>T-REX60-20.000X100X20BK</t>
  </si>
  <si>
    <t>T-REX60-20.000 x 100 x 20 mm (volle rol) ZWART</t>
  </si>
  <si>
    <t>143,520</t>
  </si>
  <si>
    <t>T-REX60-20.000X120X10CH</t>
  </si>
  <si>
    <t>T-REX60-20.000 x 120 x 10 mm (volle rol) ZWART</t>
  </si>
  <si>
    <t>T-REX60 Zijgeleidingsrubber ; Zwart 120x10mm</t>
  </si>
  <si>
    <t>T-REX60 Seitenführungsgummi ; Black 120x10mm</t>
  </si>
  <si>
    <t>T-REX60 Side Skirt Rubber ; Black 120x10mm</t>
  </si>
  <si>
    <t>T-REX60 Bavettes ;  Noir 120x10mm</t>
  </si>
  <si>
    <t>Afmetingen: 20.000x120x10mm ; Kleur: Zwart ; Slijtvast rubber &lt; 130 mm³ ; Shore-hardheid ± 60° - 65° ; Treksterkte 15 N./mm²; Rek 490%; Soortelijk gewicht 1,14</t>
  </si>
  <si>
    <t>Abmessungen: 20.000x120x10mm ; Farbe: Schwarz ; Abrieb &lt; 130 mm³ ; Shore Härte ± 60° - 65° ; Spezifisches Gewicht 1,14</t>
  </si>
  <si>
    <t>Dimensions: 20.000x120x10mm ; Colour: Black ; Abrasion &lt; 130 mm³ ; Shore ± 60° - 65° ; Specific weight 1,14</t>
  </si>
  <si>
    <t>Dimensions: 20.000x120x10mm ; Couleur: Noir ; Abrasion &lt; 130 mm³ ; Dureté Shore ± 60° - 65° ; Specific weight 1,14</t>
  </si>
  <si>
    <t>T-REX60-20.000X150X10BK</t>
  </si>
  <si>
    <t>T-REX60-20.000 x 150 x 10 mm (volle rol) ZWART</t>
  </si>
  <si>
    <t>103,680</t>
  </si>
  <si>
    <t>T-REX60 Zijgeleidingsrubber ; Zwart 150x10mm</t>
  </si>
  <si>
    <t>T-REX60 Seitenführungsgummi ; Black 150x10mm</t>
  </si>
  <si>
    <t>T-REX60 Side Skirt Rubber ; Black 150x10mm</t>
  </si>
  <si>
    <t>T-REX60 Bavettes ;  Noir 150x10mm</t>
  </si>
  <si>
    <t>Afmetingen: 20.000x150x10mm ; Kleur: Zwart ; Slijtvast rubber &lt; 130 mm³ ; Shore-hardheid ± 60° - 65° ; Treksterkte 15 N./mm²; Rek 490%; Soortelijk gewicht 1,14</t>
  </si>
  <si>
    <t>Abmessungen: 20.000x150x10mm ; Farbe: Schwarz ; Abrieb &lt; 130 mm³ ; Shore Härte ± 60° - 65° ; Spezifisches Gewicht 1,14</t>
  </si>
  <si>
    <t>Dimensions: 20.000x150x10mm ; Colour: Black ; Abrasion &lt; 130 mm³ ; Shore ± 60° - 65° ; Specific weight 1,14</t>
  </si>
  <si>
    <t>Dimensions: 20.000x150x10mm ; Couleur: Noir ; Abrasion &lt; 130 mm³ ; Dureté Shore ± 60° - 65° ; Specific weight 1,14</t>
  </si>
  <si>
    <t>T-REX60-20.000X150X10CH</t>
  </si>
  <si>
    <t>100,650</t>
  </si>
  <si>
    <t>T-REX60-20.000X150X15BK</t>
  </si>
  <si>
    <t>T-REX60-20.000 x 150 x 15 mm (volle rol) ZWART</t>
  </si>
  <si>
    <t>161,000</t>
  </si>
  <si>
    <t>T-REX60-20.000X150X20BK</t>
  </si>
  <si>
    <t>T-REX60-20.000 x 150 x 20 mm (volle rol) ZWART</t>
  </si>
  <si>
    <t>215,280</t>
  </si>
  <si>
    <t>T-REX60-20.000X200X10BK</t>
  </si>
  <si>
    <t>T-REX60-20.000 x 200 x 10 mm (volle rol) ZWART</t>
  </si>
  <si>
    <t>124,100</t>
  </si>
  <si>
    <t>T-REX60 Zijgeleidingsrubber ; Zwart 200x10mm</t>
  </si>
  <si>
    <t>T-REX60 Seitenführungsgummi ; Black 200x10mm</t>
  </si>
  <si>
    <t>T-REX60 Side Skirt Rubber ; Black 200x10mm</t>
  </si>
  <si>
    <t>T-REX60 Bavettes ;  Noir 200x10mm</t>
  </si>
  <si>
    <t>Afmetingen: 20.000x200x10mm ; Kleur: Zwart ; Slijtvast rubber &lt; 130 mm³ ; Shore-hardheid ± 60° - 65° ; Treksterkte 15 N./mm²; Rek 490%; Soortelijk gewicht 1,14</t>
  </si>
  <si>
    <t>Abmessungen: 20.000x200x10mm ; Farbe: Schwarz ; Abrieb &lt; 130 mm³ ; Shore Härte ± 60° - 65° ; Spezifisches Gewicht 1,14</t>
  </si>
  <si>
    <t>Dimensions: 20.000x200x10mm ; Colour: Black ; Abrasion &lt; 130 mm³ ; Shore ± 60° - 65° ; Specific weight 1,14</t>
  </si>
  <si>
    <t>Dimensions: 20.000x200x10mm ; Couleur: Noir ; Abrasion &lt; 130 mm³ ; Dureté Shore ± 60° - 65° ; Specific weight 1,14</t>
  </si>
  <si>
    <t>T-REX60-20.000X200X10CH</t>
  </si>
  <si>
    <t>134,400</t>
  </si>
  <si>
    <t>T-REX60-20.000X200X15BK</t>
  </si>
  <si>
    <t>T-REX60-20.000 x 200 x 15 mm (volle rol) ZWART</t>
  </si>
  <si>
    <t>218,040</t>
  </si>
  <si>
    <t>T-REX60-20.000X250X10BK</t>
  </si>
  <si>
    <t>T-REX60-20.000 x 250 x 10 mm (volle rol) ZWART</t>
  </si>
  <si>
    <t>188,600</t>
  </si>
  <si>
    <t>T-REX60-20.000X300X10CH</t>
  </si>
  <si>
    <t>T-REX60-20.000 x 300 x 10 mm (volle rol) ZWART</t>
  </si>
  <si>
    <t>205,790</t>
  </si>
  <si>
    <t>T-REX60B-ZWART-10.000X1.400X25</t>
  </si>
  <si>
    <t>T-REX60B-zwart-10.000x1.400x25-met lijmlaag</t>
  </si>
  <si>
    <t>72,370</t>
  </si>
  <si>
    <t>03-07_T-REX60 with Bonding Layer</t>
  </si>
  <si>
    <t>T-REX60B Zwart 25 mm ; Slijtvast met lijmlaag</t>
  </si>
  <si>
    <t>T-REX60B Schwarz 25 mm ; Abriebfestes Verschleißgummi mit Kontaktschicht</t>
  </si>
  <si>
    <t>T-REX60B Black 25 mm ; Wear resistant rubber with bonding layer</t>
  </si>
  <si>
    <t>T-REX60B Noir 25 mm ; Caoutchouc anti abrasion avec face adhésive</t>
  </si>
  <si>
    <t>Met lijmlaag ; Slijtvast rubber &lt; 130 mm³ ; Kleur: Zwart; Shore-hardheid ± 60° - 65° ; Treksterkte 15 N./mm²; Rek 490%; Soortelijk gewicht 1,14</t>
  </si>
  <si>
    <t>Mit Kontaktschicht ; Abriebfestes Verschleißgummi &lt; 130mm³ ; Farbe: Schwarz ; Shore Härte ± 60° - 65° ; Reißfestigkeit 15 N./mm² ; Reißdehnung 490 % ; Spezifisches Gewicht 1,14</t>
  </si>
  <si>
    <t>With bonding layer ; Wear resistant rubber &lt; 130 mm³ ; Colour: Black ; Shore Hardness ± 60° - 65° ; Tensile Strength 15 N./mm² ; Elongation 490 % ; Specific weight 1,14</t>
  </si>
  <si>
    <t>Avec face adhésive ; Caoutchouc anti abrasion &lt; 130 mm³ ; Couleur: Noir ; Dureté Shore ± 60° - 65° ; Résistance à la rupture 15 N./mm² ; Allongement 490 % ; Poids spécifique 1,14</t>
  </si>
  <si>
    <t>Een gemengde natuurrubbersamenstelling met uitstekende treksterkte en slijtvastheid. ; T-REX60B-producten worden gebruikt als rubberen voeringmateriaal tegen aankoeken, schuren en stoten in een breed scala aan toepassingen. ; Geproduceerd volgens ISO- en DIN-normen. ; De bedrijfstemperaturen voor langere periodes liggen tussen -30 °C en +90 °C en voor korte periodes tussen -55 °C en +110 °C.</t>
  </si>
  <si>
    <t>Eine gemischte Natur Gummimischung mit ausgezeichneter Zugfestigkeit und Abriebfestigkeit. ; T-REX60B-Produkte werden als Gummierungsmaterial gegen Anbacken, Abrieb und Schlag in einer Vielzahl von Anwendungen eingesetzt. ; Hergestellt nach ISO- und DIN-Normen. ; Die Betriebstemperaturen liegen längerfristig zwischen -30 °C und +90 °C und kurzzeitig zwischen -55 °C und +110 °C.</t>
  </si>
  <si>
    <t>A blended natural rubber compound with excellent tensile strength and abrasion resistance. ; T-REX60B products are used as rubber lining material against caking, abrasion and impact in a wide variety of applications. ; Produced according to ISO and DIN standards. ; The operating temperatures for longer periods suggested between -30 °C to +90 °C and for short periods could be -55 °C to +110°C.</t>
  </si>
  <si>
    <t>Un composé de caoutchouc naturel mélangé avec une excellente résistance à la rupture et à l'abrasion. ; Les produits T-REX60B sont utilisés comme matériel de revêtement en caoutchouc contre l'agglomération, l'abrasion et les chocs dans une grande variété d'applications. ; Produit selon les normes ISO et DIN. ; Les températures de fonctionnement pour des périodes plus longues suggérées entre -30 °C et +90 °C et pour de courtes périodes pourraient être de -55 °C à +110 °C.</t>
  </si>
  <si>
    <t>Verschleißschutz 60 Shore</t>
  </si>
  <si>
    <t>T-REX60B-ZWART-10.000X1.500X25</t>
  </si>
  <si>
    <t>T-REX60B-zwart-10.000x1.500x25-met lijmlaag</t>
  </si>
  <si>
    <t>73,600</t>
  </si>
  <si>
    <t>T-REX60B-ZWART-MLL-03CH</t>
  </si>
  <si>
    <t>T-REX60B-zwart-03-met lijmlaag</t>
  </si>
  <si>
    <t>18,890</t>
  </si>
  <si>
    <t>T-REX60B Zwart 3 mm ; Slijtvast met lijmlaag</t>
  </si>
  <si>
    <t>T-REX60B Schwarz 3 mm ; Abriebfestes Verschleißgummi mit Kontaktschicht</t>
  </si>
  <si>
    <t>T-REX60B Black 3 mm ; Wear resistant rubber with bonding layer</t>
  </si>
  <si>
    <t>T-REX60B Noir 3 mm ; Caoutchouc anti abrasion avec face adhésive</t>
  </si>
  <si>
    <t>T-REX60 schwarz m. VKS</t>
  </si>
  <si>
    <t>T-REX60B-ZWART-MLL-04CH</t>
  </si>
  <si>
    <t>T-REX60B-zwart-04-met lijmlaag</t>
  </si>
  <si>
    <t>22,180</t>
  </si>
  <si>
    <t>T-REX60B Zwart 4 mm ; Slijtvast met lijmlaag</t>
  </si>
  <si>
    <t>T-REX60B Schwarz 4 mm ; Abriebfestes Verschleißgummi mit Kontaktschicht</t>
  </si>
  <si>
    <t>T-REX60B Black 4 mm ; Wear resistant rubber with bonding layer</t>
  </si>
  <si>
    <t>T-REX60B Noir 4 mm ; Caoutchouc anti abrasion avec face adhésive</t>
  </si>
  <si>
    <t>T-REX60B-ZWART-MLL-05CH</t>
  </si>
  <si>
    <t>T-REX60B-zwart-05-met lijmlaag</t>
  </si>
  <si>
    <t>24,930</t>
  </si>
  <si>
    <t>T-REX60B Zwart 5 mm ; Slijtvast met lijmlaag</t>
  </si>
  <si>
    <t>T-REX60B Schwarz 5 mm ; Abriebfestes Verschleißgummi mit Kontaktschicht</t>
  </si>
  <si>
    <t>T-REX60B Black 5 mm ; Wear resistant rubber with bonding layer</t>
  </si>
  <si>
    <t>T-REX60B Noir 5 mm ; Caoutchouc anti abrasion avec face adhésive</t>
  </si>
  <si>
    <t>T-REX60B-ZWART-MLL-05-O&amp;VZE</t>
  </si>
  <si>
    <t>T-REX60B-zwart-05-met lijmlaag O&amp;V</t>
  </si>
  <si>
    <t>24,804</t>
  </si>
  <si>
    <t>T-REX60B-ZWART-MLL-05ZE</t>
  </si>
  <si>
    <t>20,520</t>
  </si>
  <si>
    <t>T-REX60B-ZWART-MLL-06CH</t>
  </si>
  <si>
    <t>T-REX60B-zwart-06-met lijmlaag</t>
  </si>
  <si>
    <t>26,180</t>
  </si>
  <si>
    <t>T-REX60B Zwart 6 mm ; Slijtvast met lijmlaag</t>
  </si>
  <si>
    <t>T-REX60B Schwarz 6 mm ; Abriebfestes Verschleißgummi mit Kontaktschicht</t>
  </si>
  <si>
    <t>T-REX60B Black 6 mm ; Wear resistant rubber with bonding layer</t>
  </si>
  <si>
    <t>T-REX60B Noir 6 mm ; Caoutchouc anti abrasion avec face adhésive</t>
  </si>
  <si>
    <t>T-REX60B-ZWART-MLL-06ZE</t>
  </si>
  <si>
    <t>28,560</t>
  </si>
  <si>
    <t>T-REX60B-ZWART-MLL-08CH</t>
  </si>
  <si>
    <t>T-REX60B-zwart-08-met lijmlaag</t>
  </si>
  <si>
    <t>T-REX60B Zwart 8 mm ; Slijtvast met lijmlaag</t>
  </si>
  <si>
    <t>T-REX60B Schwarz 8 mm ; Abriebfestes Verschleißgummi mit Kontaktschicht</t>
  </si>
  <si>
    <t>T-REX60B Black 8 mm ; Wear resistant rubber with bonding layer</t>
  </si>
  <si>
    <t>T-REX60B Noir 8 mm ; Caoutchouc anti abrasion avec face adhésive</t>
  </si>
  <si>
    <t>T-REX60B-ZWART-MLL-08-O&amp;VCH</t>
  </si>
  <si>
    <t>T-REX60B-zwart-08-met lijmlaag O&amp;V</t>
  </si>
  <si>
    <t>44,760</t>
  </si>
  <si>
    <t>T-REX60B-ZWART-MLL-08ZA</t>
  </si>
  <si>
    <t>T-REX60B-ZWART-MLL-08ZE</t>
  </si>
  <si>
    <t>38,250</t>
  </si>
  <si>
    <t>T-REX60B-ZWART-MLL-10CH</t>
  </si>
  <si>
    <t>T-REX60B-zwart-10-met lijmlaag</t>
  </si>
  <si>
    <t>38,760</t>
  </si>
  <si>
    <t>T-REX60B Zwart 10 mm ; Slijtvast met lijmlaag</t>
  </si>
  <si>
    <t>T-REX60B Schwarz 10 mm ; Abriebfestes Verschleißgummi mit Kontaktschicht</t>
  </si>
  <si>
    <t>T-REX60B Black 10 mm ; Wear resistant rubber with bonding layer</t>
  </si>
  <si>
    <t>T-REX60B Noir 10 mm ; Caoutchouc anti abrasion avec face adhésive</t>
  </si>
  <si>
    <t>T-REX60B-ZWART-MLL-10ZA</t>
  </si>
  <si>
    <t>T-REX60B-ZWART-MLL-10ZE</t>
  </si>
  <si>
    <t>T-REX60-zwart-10-met lijmlaag</t>
  </si>
  <si>
    <t>41,310</t>
  </si>
  <si>
    <t>T-REX60B-ZWART-MLL-12CH</t>
  </si>
  <si>
    <t>T-REX60B-zwart-12-met lijmlaag</t>
  </si>
  <si>
    <t>T-REX60B Zwart 12 mm ; Slijtvast met lijmlaag</t>
  </si>
  <si>
    <t>T-REX60B Schwarz 12 mm ; Abriebfestes Verschleißgummi mit Kontaktschicht</t>
  </si>
  <si>
    <t>T-REX60B Black 12 mm ; Wear resistant rubber with bonding layer</t>
  </si>
  <si>
    <t>T-REX60B Noir 12 mm ; Caoutchouc anti abrasion avec face adhésive</t>
  </si>
  <si>
    <t>T-REX60B-ZWART-MLL-1400-10CH</t>
  </si>
  <si>
    <t>T-REX60B-zwart-1400-10-met lijmlaag</t>
  </si>
  <si>
    <t>39,460</t>
  </si>
  <si>
    <t>T-REX60B-ZWART-MLL-1400-15CH</t>
  </si>
  <si>
    <t>T-REX60B-zwart-1400-15-met lijmlaag</t>
  </si>
  <si>
    <t>T-REX60B Zwart 15 mm ; Slijtvast met lijmlaag</t>
  </si>
  <si>
    <t>T-REX60B Schwarz 15 mm ; Abriebfestes Verschleißgummi mit Kontaktschicht</t>
  </si>
  <si>
    <t>T-REX60B Black 15 mm ; Wear resistant rubber with bonding layer</t>
  </si>
  <si>
    <t>T-REX60B Noir 15 mm ; Caoutchouc anti abrasion avec face adhésive</t>
  </si>
  <si>
    <t>T-REX60B-ZWART-MLL-1400-20CH</t>
  </si>
  <si>
    <t>T-REX60B-zwart-1400-20-met lijmlaag</t>
  </si>
  <si>
    <t>74,600</t>
  </si>
  <si>
    <t>T-REX60B Zwart 20 mm ; Slijtvast met lijmlaag</t>
  </si>
  <si>
    <t>T-REX60B Schwarz 20 mm ; Abriebfestes Verschleißgummi mit Kontaktschicht</t>
  </si>
  <si>
    <t>T-REX60B Black 20 mm ; Wear resistant rubber with bonding layer</t>
  </si>
  <si>
    <t>T-REX60B Noir 20 mm ; Caoutchouc anti abrasion avec face adhésive</t>
  </si>
  <si>
    <t>T-REX60B-ZWART-MLL-1500-08CH</t>
  </si>
  <si>
    <t>T-REX60B-zwart-1500-08-met lijmlaag</t>
  </si>
  <si>
    <t>T-REX60B-ZWART-MLL-15CH</t>
  </si>
  <si>
    <t>T-REX60B-zwart-15-met lijmlaag</t>
  </si>
  <si>
    <t>51,190</t>
  </si>
  <si>
    <t>T-REX60B-ZWART-MLL-15ZE</t>
  </si>
  <si>
    <t>58,650</t>
  </si>
  <si>
    <t>T-REX60B-ZWART-MLL-20CH</t>
  </si>
  <si>
    <t>T-REX60B-zwart-20-met lijmlaag</t>
  </si>
  <si>
    <t>69,620</t>
  </si>
  <si>
    <t>T-REX60B-ZWART-MLL-20-GB</t>
  </si>
  <si>
    <t>T-REX60B-ZWART-MLL20-WEEFSELBK</t>
  </si>
  <si>
    <t>T-REX60B-zwart-20-met lijmlaag-weefsel</t>
  </si>
  <si>
    <t>126,000</t>
  </si>
  <si>
    <t>T-REX60B-ZWART-MLL-20ZE</t>
  </si>
  <si>
    <t>72,420</t>
  </si>
  <si>
    <t>T-REX60B-ZWART-MLL-25CH</t>
  </si>
  <si>
    <t>T-REX60B-zwart-25-met lijmlaag</t>
  </si>
  <si>
    <t>79,710</t>
  </si>
  <si>
    <t>T-REX60B-ZWART-MLL-25-TA</t>
  </si>
  <si>
    <t>79,540</t>
  </si>
  <si>
    <t>T-REX60B-ZWART-MLL-25ZE</t>
  </si>
  <si>
    <t>85,970</t>
  </si>
  <si>
    <t>T-REX60B-ZWART-MLL-30CH</t>
  </si>
  <si>
    <t>T-REX60B-zwart-30-met lijmlaag</t>
  </si>
  <si>
    <t>101,388</t>
  </si>
  <si>
    <t>T-REX60B Zwart 30 mm ; Slijtvast met lijmlaag</t>
  </si>
  <si>
    <t>T-REX60B Schwarz 30 mm ; Abriebfestes Verschleißgummi mit Kontaktschicht</t>
  </si>
  <si>
    <t>T-REX60B Black 30 mm ; Wear resistant rubber with bonding layer</t>
  </si>
  <si>
    <t>T-REX60B Noir 30 mm ; Caoutchouc anti abrasion avec face adhésive</t>
  </si>
  <si>
    <t>T-REX60-ZWART-ZLL-03CH</t>
  </si>
  <si>
    <t>T-REX60-zwart-03-zonder lijmlaag</t>
  </si>
  <si>
    <t xml:space="preserve">03-08_T-REX60 without Bonding Layer </t>
  </si>
  <si>
    <t>T-REX60 Zwart 3 mm ; Slijtvast zonder lijmlaag</t>
  </si>
  <si>
    <t>T-REX60 Schwarz 3 mm ; Abriebfestes Verschleißgummi ohne Kontaktschicht</t>
  </si>
  <si>
    <t>T-REX60 Black 3 mm ; Wear resistant rubber without bonding layer</t>
  </si>
  <si>
    <t>T-REX60 Noir 3 mm ; Caoutchouc anti abrasion sans face adhésive</t>
  </si>
  <si>
    <t>Zonder lijmlaag ; Slijtvast rubber &lt; 130 mm³ ; Kleur: Zwart; Shore-hardheid ± 60° - 65° ; Treksterkte 15 N./mm²; Rek 490%; Soortelijk gewicht 1,14</t>
  </si>
  <si>
    <t>Ohne Kontaktschicht ; Abriebfestes Verschleißgummi &lt; 130mm³ ; Farbe: Schwarz ; Shore Härte ± 60° - 65° ; Reißfestigkeit 15 N./mm² ; Reißdehnung 490 % ; Spezifisches Gewicht 1,14</t>
  </si>
  <si>
    <t>Sans face adhésive ; Caoutchouc anti abrasion &lt; 130 mm³ ; Couleur: Noir ; Dureté Shore ± 60° - 65° ; Résistance à la rupture 15 N./mm² ; Allongement 490 % ; Poids spécifique 1,14</t>
  </si>
  <si>
    <t>Een gemengde natuurrubbersamenstelling met uitstekende treksterkte en slijtvastheid. ; T-REX60-producten worden gebruikt als rubberen voeringmateriaal tegen aankoeken, schuren en stoten in een breed scala aan toepassingen. ; Geproduceerd volgens ISO- en DIN-normen. ; De bedrijfstemperaturen voor langere periodes liggen tussen -30 °C en +90 °C en voor korte periodes tussen -55 °C en +110 °C.</t>
  </si>
  <si>
    <t>Eine gemischte Natur Gummimischung mit ausgezeichneter Zugfestigkeit und Abriebfestigkeit. ; T-REX60-Produkte werden als Gummierungsmaterial gegen Anbacken, Abrieb und Schlag in einer Vielzahl von Anwendungen eingesetzt. ; Hergestellt nach ISO- und DIN-Normen. ; Die Betriebstemperaturen liegen längerfristig zwischen -30 °C und +90 °C und kurzzeitig zwischen -55 °C und +110 °C.</t>
  </si>
  <si>
    <t>A blended natural rubber compound with excellent tensile strength and abrasion resistance. ; T-REX60 products are used as rubber lining material against caking, abrasion and impact in a wide variety of applications. ; Produced according to ISO and DIN standards. ; The operating temperatures for longer periods suggested between -30 °C to +90 °C and for short periods could be -55 °C to +110°C.</t>
  </si>
  <si>
    <t>Un composé de caoutchouc naturel mélangé avec une excellente résistance à la rupture et à l'abrasion. ; Les produits T-REX60 sont utilisés comme matériel de revêtement en caoutchouc contre l'agglomération, l'abrasion et les chocs dans une grande variété d'applications. ; Produit selon les normes ISO et DIN. ; Les températures de fonctionnement pour des périodes plus longues suggérées entre -30 °C et +90 °C et pour de courtes périodes pourraient être de -55 °C à +110 °C.</t>
  </si>
  <si>
    <t>T-REX60 schwarz o. VKS</t>
  </si>
  <si>
    <t>T-REX60-ZWART-ZLL-04CH</t>
  </si>
  <si>
    <t>T-REX60-zwart-04-zonder lijmlaag</t>
  </si>
  <si>
    <t>16,520</t>
  </si>
  <si>
    <t>T-REX60 Zwart 4 mm ; Slijtvast zonder lijmlaag</t>
  </si>
  <si>
    <t>T-REX60 Schwarz 4 mm ; Abriebfestes Verschleißgummi ohne Kontaktschicht</t>
  </si>
  <si>
    <t>T-REX60 Black 4 mm ; Wear resistant rubber without bonding layer</t>
  </si>
  <si>
    <t>T-REX60 Noir 4 mm ; Caoutchouc anti abrasion sans face adhésive</t>
  </si>
  <si>
    <t>T-REX60-ZWART-ZLL-05CH</t>
  </si>
  <si>
    <t>T-REX60-zwart-05-zonder lijmlaag</t>
  </si>
  <si>
    <t>19,420</t>
  </si>
  <si>
    <t>T-REX60 Zwart 5 mm ; Slijtvast zonder lijmlaag</t>
  </si>
  <si>
    <t>T-REX60 Schwarz 5 mm ; Abriebfestes Verschleißgummi ohne Kontaktschicht</t>
  </si>
  <si>
    <t>T-REX60 Black 5 mm ; Wear resistant rubber without bonding layer</t>
  </si>
  <si>
    <t>T-REX60 Noir 5 mm ; Caoutchouc anti abrasion sans face adhésive</t>
  </si>
  <si>
    <t>T-REX60-ZWART-ZLL-05ZE</t>
  </si>
  <si>
    <t>14,833</t>
  </si>
  <si>
    <t>T-REX60-ZWART-ZLL-06CH</t>
  </si>
  <si>
    <t>T-REX60-zwart-06-zonder lijmlaag</t>
  </si>
  <si>
    <t>T-REX60 Zwart 6 mm ; Slijtvast zonder lijmlaag</t>
  </si>
  <si>
    <t>T-REX60 Schwarz 6 mm ; Abriebfestes Verschleißgummi ohne Kontaktschicht</t>
  </si>
  <si>
    <t>T-REX60 Black 6 mm ; Wear resistant rubber without bonding layer</t>
  </si>
  <si>
    <t>T-REX60 Noir 6 mm ; Caoutchouc anti abrasion sans face adhésive</t>
  </si>
  <si>
    <t>T-REX60-ZWART-ZLL-06ZE</t>
  </si>
  <si>
    <t>T-REX60 Noir 8 mm ; Caoutchouc anti abrasion sans face adhésive</t>
  </si>
  <si>
    <t>T-REX60-ZWART-ZLL-08CH</t>
  </si>
  <si>
    <t>T-REX60-zwart-08-zonder lijmlaag</t>
  </si>
  <si>
    <t>T-REX60 Zwart 8 mm ; Slijtvast zonder lijmlaag</t>
  </si>
  <si>
    <t>T-REX60 Schwarz 8 mm ; Abriebfestes Verschleißgummi ohne Kontaktschicht</t>
  </si>
  <si>
    <t>T-REX60 Black 8 mm ; Wear resistant rubber without bonding layer</t>
  </si>
  <si>
    <t>T-REX60-ZWART-ZLL-08ZE</t>
  </si>
  <si>
    <t>23,392</t>
  </si>
  <si>
    <t>T-REX60-ZWART-ZLL-10CH</t>
  </si>
  <si>
    <t>T-REX60-zwart-10-zonder lijmlaag</t>
  </si>
  <si>
    <t>T-REX60 Zwart 10 mm ; Slijtvast zonder lijmlaag</t>
  </si>
  <si>
    <t>T-REX60 Schwarz 10 mm ; Abriebfestes Verschleißgummi ohne Kontaktschicht</t>
  </si>
  <si>
    <t>T-REX60 Black 10 mm ; Wear resistant rubber without bonding layer</t>
  </si>
  <si>
    <t>T-REX60 Noir 10 mm ; Caoutchouc anti abrasion sans face adhésive</t>
  </si>
  <si>
    <t>T-REX60-ZWART-ZLL-10ZE</t>
  </si>
  <si>
    <t>31,620</t>
  </si>
  <si>
    <t>T-REX60-ZWART-ZLL-12CH</t>
  </si>
  <si>
    <t>T-REX60-zwart-12-zonder lijmlaag</t>
  </si>
  <si>
    <t>T-REX60 Zwart 12 mm ; Slijtvast zonder lijmlaag</t>
  </si>
  <si>
    <t>T-REX60 Schwarz 12 mm ; Abriebfestes Verschleißgummi ohne Kontaktschicht</t>
  </si>
  <si>
    <t>T-REX60 Black 12 mm ; Wear resistant rubber without bonding layer</t>
  </si>
  <si>
    <t>T-REX60 Noir 12 mm ; Caoutchouc anti abrasion sans face adhésive</t>
  </si>
  <si>
    <t>T-REX60-ZWART-ZLL-1400-10CH</t>
  </si>
  <si>
    <t>T-REX60-zwart-1400-10-zonder lijmlaag</t>
  </si>
  <si>
    <t>32,530</t>
  </si>
  <si>
    <t>T-REX60-ZWART-ZLL-1500-08CH</t>
  </si>
  <si>
    <t>T-REX60-zwart-1500-08-zonder lijmlaag</t>
  </si>
  <si>
    <t>26,750</t>
  </si>
  <si>
    <t>T-REX60-ZWART-ZLL-15CH</t>
  </si>
  <si>
    <t>T-REX60-zwart-15-zonder lijmlaag</t>
  </si>
  <si>
    <t>47,430</t>
  </si>
  <si>
    <t>T-REX60 Zwart 15 mm ; Slijtvast zonder lijmlaag</t>
  </si>
  <si>
    <t>T-REX60 Schwarz 15 mm ; Abriebfestes Verschleißgummi ohne Kontaktschicht</t>
  </si>
  <si>
    <t>T-REX60 Black 15 mm ; Wear resistant rubber without bonding layer</t>
  </si>
  <si>
    <t>T-REX60 Noir 15 mm ; Caoutchouc anti abrasion sans face adhésive</t>
  </si>
  <si>
    <t>T-REX60-ZWART-ZLL-15ZE</t>
  </si>
  <si>
    <t>T-REX60-ZWART-ZLL-20CH</t>
  </si>
  <si>
    <t>T-REX60-zwart-20-zonder lijmlaag</t>
  </si>
  <si>
    <t>63,900</t>
  </si>
  <si>
    <t>T-REX60 Zwart 20 mm ; Slijtvast zonder lijmlaag</t>
  </si>
  <si>
    <t>T-REX60 Schwarz 20 mm ; Abriebfestes Verschleißgummi ohne Kontaktschicht</t>
  </si>
  <si>
    <t>T-REX60 Black 20 mm ; Wear resistant rubber without bonding layer</t>
  </si>
  <si>
    <t>T-REX60 Noir 20 mm ; Caoutchouc anti abrasion sans face adhésive</t>
  </si>
  <si>
    <t>T-REX60-ZWART-ZLL-20ZE</t>
  </si>
  <si>
    <t>59,360</t>
  </si>
  <si>
    <t>T-REX60-ZWART-ZLL-25CH</t>
  </si>
  <si>
    <t>T-REX60-zwart-25-zonder lijmlaag</t>
  </si>
  <si>
    <t>74,670</t>
  </si>
  <si>
    <t>T-REX60 Zwart 25 mm ; Slijtvast zonder lijmlaag</t>
  </si>
  <si>
    <t>T-REX60 Schwarz 25 mm ; Abriebfestes Verschleißgummi ohne Kontaktschicht</t>
  </si>
  <si>
    <t>T-REX60 Black 25 mm ; Wear resistant rubber without bonding layer</t>
  </si>
  <si>
    <t>T-REX60 Noir 25 mm ; Caoutchouc anti abrasion sans face adhésive</t>
  </si>
  <si>
    <t>T-REX60-ZWART-ZLL-25ZE</t>
  </si>
  <si>
    <t>68,951</t>
  </si>
  <si>
    <t>T-REX60-ZWART-ZLL-30CH</t>
  </si>
  <si>
    <t>T-REX60-zwart-30-zonder lijmlaag</t>
  </si>
  <si>
    <t>95,870</t>
  </si>
  <si>
    <t>T-REX60 Zwart 30 mm ; Slijtvast zonder lijmlaag</t>
  </si>
  <si>
    <t>T-REX60 Schwarz 30 mm ; Abriebfestes Verschleißgummi ohne Kontaktschicht</t>
  </si>
  <si>
    <t>T-REX60 Black 30 mm ; Wear resistant rubber without bonding layer</t>
  </si>
  <si>
    <t>T-REX60 Noir 30 mm ; Caoutchouc anti abrasion sans face adhésive</t>
  </si>
  <si>
    <t>T-REX60-ZW-ZLL-2.660X815X40BK</t>
  </si>
  <si>
    <t>T-REX60-zwart-2.660x815x40 mm</t>
  </si>
  <si>
    <t>204,000</t>
  </si>
  <si>
    <t>TREXDIAMOND-3000X1200X10-METBP</t>
  </si>
  <si>
    <t>T-Rex Diamond-massief-3.000x1.200x10</t>
  </si>
  <si>
    <t>12005, Bailey Parks Urethane Inc.</t>
  </si>
  <si>
    <t>455,820</t>
  </si>
  <si>
    <t>TREXDIAMOND-3000X1200X12½-MEBP</t>
  </si>
  <si>
    <t>T-Rex Diamond-strekmetaal-3.000x1.200x12½</t>
  </si>
  <si>
    <t>444,300</t>
  </si>
  <si>
    <t>09-08_T-Rex Diamond, Polyurethane Blue</t>
  </si>
  <si>
    <t>TREXDIAMOND-3000X1200X6½-KATBP</t>
  </si>
  <si>
    <t>T-Rex-Diamond-katoen-3.000x1.200x6½ mm</t>
  </si>
  <si>
    <t>252,070</t>
  </si>
  <si>
    <t>TREXDIAMOND-3000X1200X6½-METBP</t>
  </si>
  <si>
    <t>T-Rex-Diamond-strekmetaal-3.000x1.200x6½ mm</t>
  </si>
  <si>
    <t>229,000</t>
  </si>
  <si>
    <t>TREXDIAMOND-3000X1200X8-METBP</t>
  </si>
  <si>
    <t>T-Rex Diamond-strekmetaal-3.000x1.200x8</t>
  </si>
  <si>
    <t>290,320</t>
  </si>
  <si>
    <t>TREXDIAMOND-DIMPL-430X430X55BP</t>
  </si>
  <si>
    <t>T-Rex-Diamond-430x430x55-dimpled</t>
  </si>
  <si>
    <t>90,140</t>
  </si>
  <si>
    <t>09-06_Polyurethane Blue, Impact Plate V</t>
  </si>
  <si>
    <t>064</t>
  </si>
  <si>
    <t>PU Formartikel</t>
  </si>
  <si>
    <t>TREXDIAMOND-IMPACT-ZAAGTANDRE</t>
  </si>
  <si>
    <t>T-Rex-Diamond-PUR-impact-zaagtand</t>
  </si>
  <si>
    <t>97,300</t>
  </si>
  <si>
    <t>09-07_Polyurethane Blue, Impact Plate Z</t>
  </si>
  <si>
    <t>TRK 60/124/RVS20/175-SW15X13TE</t>
  </si>
  <si>
    <t>Rol TRK60/124/RVS20/175-SW15x13-UWDM+PVC deksel RVS316</t>
  </si>
  <si>
    <t>TROG 159/520/35/580-RADIØ10TE</t>
  </si>
  <si>
    <t>Trogstel TQ159/520/35/580-RADIALØ10-Sluitschakel</t>
  </si>
  <si>
    <t>139,510</t>
  </si>
  <si>
    <t>TROMMELMOTOR-TM620A75-0620Z</t>
  </si>
  <si>
    <t>Trommelmotor-TM620A75-0620Z</t>
  </si>
  <si>
    <t>16046, van der Graaf B.V.</t>
  </si>
  <si>
    <t>15.487,000</t>
  </si>
  <si>
    <t>TRUTRAC-BOOTTT</t>
  </si>
  <si>
    <t>Tru Trac - boot</t>
  </si>
  <si>
    <t>42, TruTrac</t>
  </si>
  <si>
    <t>12007, Tru-Trac Rollers (Pty) Ltd.</t>
  </si>
  <si>
    <t>TRUTRAC-BOOTXHD1600TT</t>
  </si>
  <si>
    <t>Tru Trac - boot XHD 1600</t>
  </si>
  <si>
    <t>TRUTRAC-CAP-REDTT</t>
  </si>
  <si>
    <t>Tru Trac - cap-RED</t>
  </si>
  <si>
    <t>TRUTRAC-CENTRE-TAPER-1000TT</t>
  </si>
  <si>
    <t>TruTrac - trough - reversible - Centre roll BB 1000 mm TAPER</t>
  </si>
  <si>
    <t>60,770</t>
  </si>
  <si>
    <t>TRUTRAC-CENTRE-TAPER-1200TT</t>
  </si>
  <si>
    <t>TruTrac - trough - reversible - Centre roll BB 1200 mm TAPER</t>
  </si>
  <si>
    <t>64,890</t>
  </si>
  <si>
    <t>TRUTRAC-CENTRE-TAPER-1400TT</t>
  </si>
  <si>
    <t>TruTrac - trough - reversible - Centre roll BB 1400 mm TAPER</t>
  </si>
  <si>
    <t>79,310</t>
  </si>
  <si>
    <t>TRUTRAC-CENTRE-TAPER-1600TT</t>
  </si>
  <si>
    <t>TruTrac - trough - reversible - Centre roll BB 1600 mm TAPER</t>
  </si>
  <si>
    <t>232,780</t>
  </si>
  <si>
    <t>TRUTRAC-CENTRE-TAPER-650TT</t>
  </si>
  <si>
    <t>Tru Trac - trough - reversible - Centre roll BB 650 mm TAPER</t>
  </si>
  <si>
    <t>36,050</t>
  </si>
  <si>
    <t>TRUTRAC-CENTRE-TAPER-750TT</t>
  </si>
  <si>
    <t>Tru Trac - trough - reversible - Centre roll BB 750 mm TAPER</t>
  </si>
  <si>
    <t>TRUTRAC-CENTRE-TAPER-800TT</t>
  </si>
  <si>
    <t>Tru Trac - trough - reversible - Centre roll BB 800 mm TAPER</t>
  </si>
  <si>
    <t>TRUTRAC-CENTRE-TAPER-900TT</t>
  </si>
  <si>
    <t>Tru Trac - trough - reversible - Centre roll BB 900 mm TAPER</t>
  </si>
  <si>
    <t>TRUTRAC-COLLARTT</t>
  </si>
  <si>
    <t>Tru Trac - Collar</t>
  </si>
  <si>
    <t>11,330</t>
  </si>
  <si>
    <t>TRUTRAC-COMPLETE BRACKETTT</t>
  </si>
  <si>
    <t>Tru Trac - Complete bracket</t>
  </si>
  <si>
    <t>44,290</t>
  </si>
  <si>
    <t>TRUTRAC-DUAL-2400-COMP-B-PUTT</t>
  </si>
  <si>
    <t>Tru Trac - dual - BB 2400 compact - met blauw PU bekleding</t>
  </si>
  <si>
    <t>2.870,610</t>
  </si>
  <si>
    <t>TRUTRAC-DUALRET-1400-COMP-PUTT</t>
  </si>
  <si>
    <t>Tru Trac - dual - BB 1400 Compact - met rood PU bekleding</t>
  </si>
  <si>
    <t>2.571,910</t>
  </si>
  <si>
    <t>TRUTRAC-DUALRET-2400-COMP-PUTT</t>
  </si>
  <si>
    <t>Tru Trac - dual - BB 2400 compact - met rood PU bekleding</t>
  </si>
  <si>
    <t>3.487,580</t>
  </si>
  <si>
    <t>TRUTRAC-DUALRETURN-1050-R-PUTT</t>
  </si>
  <si>
    <t>Tru Trac - dual - BB 1050 mm - met rood PU bekleding</t>
  </si>
  <si>
    <t>2.354,580</t>
  </si>
  <si>
    <t>TRUTRAC-DUALRETURN-1200TT</t>
  </si>
  <si>
    <t>Tru Trac - dual - BB 1200 mm</t>
  </si>
  <si>
    <t>1.687,140</t>
  </si>
  <si>
    <t>TRUTRAC-DUALRETURN-1400-R-PUTT</t>
  </si>
  <si>
    <t>Tru Trac - dual - BB 1400 mm - met rood PU bekleding</t>
  </si>
  <si>
    <t>2.210,380</t>
  </si>
  <si>
    <t>TRUTRAC-DUALRETURN-1400TT</t>
  </si>
  <si>
    <t>Tru Trac - dual - BB 1400 mm</t>
  </si>
  <si>
    <t>1.621,220</t>
  </si>
  <si>
    <t>TRUTRAC-DUALRETURN-1500TT</t>
  </si>
  <si>
    <t>Tru Trac - dual - BB 1500 mm</t>
  </si>
  <si>
    <t>3.265,600</t>
  </si>
  <si>
    <t>TRUTRAC-DUALRETURN-1600TT</t>
  </si>
  <si>
    <t>Tru Trac - dual - BB 1600 mm</t>
  </si>
  <si>
    <t>1.875,630</t>
  </si>
  <si>
    <t>TRUTRAC-DUALRETURN-1800TT</t>
  </si>
  <si>
    <t>Tru Trac - dual - BB 1800 mm</t>
  </si>
  <si>
    <t>1.970,390</t>
  </si>
  <si>
    <t>TRUTRAC-DUALRETURN-1900TT</t>
  </si>
  <si>
    <t>Tru Trac - dual - BB 1900 mm</t>
  </si>
  <si>
    <t>TRUTRAC-DUALRETURN-2000TT</t>
  </si>
  <si>
    <t>Tru Trac - dual - BB 2000 mm</t>
  </si>
  <si>
    <t>2.002,320</t>
  </si>
  <si>
    <t>TRUTRAC-DUALRETURN-2100TT</t>
  </si>
  <si>
    <t>Tru Trac - dual - BB 2100 mm</t>
  </si>
  <si>
    <t>1.918,840</t>
  </si>
  <si>
    <t>TRUTRAC-DUALRETURN-2200TT</t>
  </si>
  <si>
    <t>Tru Trac - dual - BB 2200 mm</t>
  </si>
  <si>
    <t>TRUTRAC-DUALRETURN-2400TT</t>
  </si>
  <si>
    <t>Tru Trac - dual - BB 2400 mm</t>
  </si>
  <si>
    <t>500,000</t>
  </si>
  <si>
    <t>TRUTRAC-DUALRETURN-2438TT</t>
  </si>
  <si>
    <t>Tru Trac - dual - BB 2438 mm</t>
  </si>
  <si>
    <t>3.242,000</t>
  </si>
  <si>
    <t>1.930,220</t>
  </si>
  <si>
    <t>TRUTRAC-FLAT-0400TT</t>
  </si>
  <si>
    <t>Tru Trac - flat - BB 400 mm</t>
  </si>
  <si>
    <t>958,000</t>
  </si>
  <si>
    <t>490,000</t>
  </si>
  <si>
    <t>10_Belt Tracking</t>
  </si>
  <si>
    <t>10-01_Flat Return Tracker</t>
  </si>
  <si>
    <t>Tru Trac Flat Return ; Bandbreedte 400 mm</t>
  </si>
  <si>
    <t>Tru Trac Flat Return ; Gurtbreite 400 mm</t>
  </si>
  <si>
    <t>Tru Trac Flat Return ; Beltwidth 400 mm</t>
  </si>
  <si>
    <t>Tru Trac Flat Return ; Largeur 400 mm</t>
  </si>
  <si>
    <t>Stuurrol voor het onderpart van de transportband, voor installaties die één of twee richtingen opdraaien.</t>
  </si>
  <si>
    <t>Gurt-Lenkrolle für Anlagen mit ein oder zwei Laufrichtungen.</t>
  </si>
  <si>
    <t>Tracking Roller for the bottom part of a conveyor belt, for installations running one or two directions.</t>
  </si>
  <si>
    <t>Auto-centreur pour installations à sens de rotation unique ou double</t>
  </si>
  <si>
    <t>De Tru-Trac® Trackers hebben een gepatenteerde design die het meest betrouwbare en efficiënte bandstuursysteem op de wereldmarkt aanbiedt. De centrale as is uniek en simpel en bestaat uit pinnen van roestvrije staal, geplaatst in een aandrijfas van zacht staal, die loodrecht op het transportbandvlak staat, alsook een trommel met rubber coating en met afgeschuinde randen die voor het activeren van de tracker zorgen zodra de transportband van het middelpunt migreert. De tracker reageert ononderbroken om de transportband in het middelpunt te positioneren. ; Betrouwbare werking - De Tru-Trac® trackers hebben hun robuustheid, betrouwbaarheid en lange levensduur bewezen en zorgen voor een efficiënte werking onder alle omstandigheden. ; Lagers – Er worden twee 6017 2RS lagers gebruikt, die groot genoeg zijn en aan de RPM-specificatie voldoen. De lagers zijn voorzien van een plastic beschermbehuizing en kunststof einddoppen. ; Onderhoudsvrij – De afgedichte lagers zijn smeringsvrij. ; Bekleding – De tracker is bedekt met een hoogkwalitatief slijtvast natuurrubber van 12 mm. ; Werking onder alle omstandigheden – snelle activering bij natte en droge transportband, zowel boven als onder de grond. ; Veelzijdige montage – De tracker kan aan de schone kant van de transportband gemonteerd worden en vervolgens door opspannen afgesteld worden met behulp van de bijgeleverde montagebeugels. ; Reverseerbare banden – uitstekende resultaten.</t>
  </si>
  <si>
    <r>
      <t>Die Tru-Trac® Trackers haben ein patentiertes Design, welches das zuverlässigste und wirksamste Zentriersystem für Förderbänder auf dem Weltmarkt anbietet. Die Zentralachse ist</t>
    </r>
    <r>
      <rPr>
        <sz val="10"/>
        <color rgb="FFFF0000"/>
        <rFont val="Arial"/>
        <family val="2"/>
      </rPr>
      <t xml:space="preserve"> einzigartig konstruiert. </t>
    </r>
    <r>
      <rPr>
        <sz val="10"/>
        <color indexed="8"/>
        <rFont val="Arial"/>
        <family val="2"/>
      </rPr>
      <t>Sie bestehet aus einem rostfreien Stahlbolzen in einer Welle aus Weichstahl, die senkrecht zu der Bandfläche ist und aus der mit Gummi belegten Trommel mit abgeschrägten Enden, welche die Aktivierung des Trackers gleich nach der Verschiebung des Gurtes vom Zentrum gewährleistet. Der Tracker reagiert ununterbrochen, um die Zentralstellung des Gurtes aufrechtzuerhalten. ; Zuverlässige Funktion - Die Tru-T</t>
    </r>
    <r>
      <rPr>
        <sz val="10"/>
        <color rgb="FFFF0000"/>
        <rFont val="Arial"/>
        <family val="2"/>
      </rPr>
      <t>rac® Trackers hab</t>
    </r>
    <r>
      <rPr>
        <sz val="10"/>
        <color indexed="8"/>
        <rFont val="Arial"/>
        <family val="2"/>
      </rPr>
      <t xml:space="preserve">en sich als fest, zuverlässig und von hoher Lebensdauer bewährt; sie sichern eine effektive Arbeit unter allerart Bedingungen. ; Lager – es </t>
    </r>
    <r>
      <rPr>
        <sz val="10"/>
        <color rgb="FFFF0000"/>
        <rFont val="Arial"/>
        <family val="2"/>
      </rPr>
      <t>wird ein</t>
    </r>
    <r>
      <rPr>
        <sz val="10"/>
        <color indexed="8"/>
        <rFont val="Arial"/>
        <family val="2"/>
      </rPr>
      <t xml:space="preserve"> Paar aus 6017 2RS Lagern eingesetzt, die die erforderliche Größe haben und der Spezifikation für Umdrehungen pro Minute entsprechen, komplettiert mit Kunststoffgehäuse und Kunststoffdeckeln. ; Wartungsfrei – die gedichteten Lager brauchen keine Schmierung. ; Isolierschicht – hochwertige Naturgummioberfläche mit 12 mm Dicke. ; Betrieb unter allen Bedingungen – schnelles Aktivieren wie beim feuchten, so auch bei nassem Gurt, wie unter, so auch über die Erde. ; Verschiedenartige Installation – kann auf der sauberen Bandseite installiert und nachher mit den gelieferten Montageklammern entsprechend eingestellt werden. ; Reversierbare Anlagen – ausgezeichnete Ergebnisse.</t>
    </r>
  </si>
  <si>
    <t>Tru-Trac® Trackers are a patented design that offers the most reliable and effective conveyor belt tracking system available on the worldwide market. The center pivot is unique and simple, consisting of a stainless steel pin in a mild steel shaft, which is perpendicular to the plane of the belt, and its rubberised covered drum and tapered edge that ensures the tracker activates immediately as the belt moves off centre. The tracker continually reacts to keep the belt centred. ; Reliable Performance – The Tru-Trac® Tracker has proven itself to be both robust, reliable, long lasting and provide effective performance in the all conditions. ; Bearings – Uses a pair of 6017 2RS bearings, which due to the size of bearings are well within the load and RPM specifications, complete with a nylon bearing housing and plastic end caps. ; Maintenance Free – Sealed bearings do not require any greasing. ; Lagging – Covered with High Abrasive Natural Rubber, 12 mm. ; Operates in all conditions – Quick activation on both wet and dry belts, both above and below ground. ; Versatile Installation – Can be installed on the clean side of the belt, and then tension can be adjusted easily with the supplied mounting brackets. ; Reversing Belts – Excellent performance.</t>
  </si>
  <si>
    <t>Les traqueurs Tru-Trac® sont brevetés et leur construction garantit le système de centrage des bandes transporteuses le plus fiable et effectif qui peut être offert au marché mondial. L’axe central est unique et simple, composé de goupilles en acier inoxydable dans un arbre en acier doux, perpendiculaire du plan de la bande et du tambour recouvert de caoutchouc avec des extrémités biaisées permettant une activation du traqueur immédiatement après que la bande soit déplacée du centre. Le traqueur réagit continuellement pour garder la bande centrée. ; Fonctionnement fiable - Les traqueurs Tru-Trac® ont prouvé leur solidité et fiabilité, ayant une durée de vie longue et assurant un travail effectif dans des conditions diverses. ; Palier – Un couple de paliers 6017 2RS est utilisé ayant une dimension suffisante, correspondant aux spécifications concernant les révolutions par minute et qui sont complétés avec une boîte de protection en plastique et des couvercles en plastique aux extrémités. ; Pas de maintenance - Les paliers étanchés n’ont pas besoin de lubrification. ; Revêtement – Un revêtement de 12 mm de caoutchouc naturel abrasif d’une haute qualité. ; Fonctionnement dans des conditions diverses – Une activation vite en cas d’une bande sèche aussi bien que mouillée, au-dessus aussi bien que au-dessous de la terre. ; Installation variée – Peut être installé sur la partie libre de la bande et puis par tension il peut être ajusté avec les étriers de montage livrés. ; Bandes bidirectionnelles – Résultats parfaits.</t>
  </si>
  <si>
    <t>Geeft de transportband geen ruimte voor scheefloop ; Eenvoudig te installeren ; Onderhoudsvrij ; Geen contact met de zijkant van transportband ; Trillingsvrije werking ; Werking in alle bedrijfsomstandigheden ; Beproefde gepatenteerde technologie ; Geschikt voor reverseerbare transportbanden ; Montage in of onder de transportband ; Verhoging van de veiligheid ; Verhoging van de productiecapaciteit en verkorten van stilstandperiodes ; Vermindering van de schades aan de zijkanten van de transportbanden en -structuren ; Langere levensduur van de transportband ; Vermindering van mors en uitval ; Verminderde mankracht voor het opruimen van het gemorste materiaal ; Minder energieverbruik ; Betrouwbaar</t>
  </si>
  <si>
    <t>Gibt den Fördergurt kein Raum zum Schieflauf ; Einfache Installation ; Wartungsfrei ; Kein Kontakt mit dem Gurtrand ; Vibrationsfreier Betrieb ; Betrieb unter beliebigen Bedingungen ; Bewährte standardisierte Technologie ; Funktioniert an reversierbaren Förderern ; Kann innen oder unter dem Band installiert werden ; Verbesserte Sicherheit ; Erhöht die Produktivität und reduziert die Ausfallzeit ; Reduziert Beschädigungen der Fördergurtränder und der Gurtstruktur ; Erhöht die Lebensdauer des Gurtes ; Reduziert Verluste durch Materialausschütten ; Reduziert Arbeitseinsatz zur Beseitigung von Materialverlust ; Reduziert Energieverbrauch ; Zuverlässigkeit</t>
  </si>
  <si>
    <t>Gives the conveyor belt no space to misalign ; Simple to install ; Maintenance free ; No contact with the edge of the belt ; Vibration free rolling action ; Operates in all conditions ; Proven patented technology ; Operates on reversible belts ; Can be installed inside or under the belt ; Improved safety ; Increased production and reduced downtime ; Reduced damage to conveyor belt edges and structures ; Increased conveyor life ; Reduced spillage and wastage ; Reduced labour involved in clearing spillages ; Reduced power consumption ; Reliable</t>
  </si>
  <si>
    <t>La bande transporteuse n’a aucun espace sujet au désalignement ; Facile à installer ; Pas besoin de maintenance ; Sans contact avec le bord de la bande ; Un travail sans vibrations ; Un travail dans des conditions diverses ; Une technologie brevetée prouvée ; Un travail avec des bandes transporteuses bidirectionnelles ; Peut être installé à l’intérieur ou sous la bande ; Une sécurité augmentée ; Une productivité augmentée et un temps d’arrêt diminué ; Des endommagements des bords de la bande et des structures transporteuses réduits ; Une durée de la vie de la bande transporteuse prolongée ; Une perte de produit due à un déversement diminuée ; Une force de travail nécessaire pour le nettoyage du produit déversé réduite ; Une consommation d’énergie diminuée ; Fiabilité</t>
  </si>
  <si>
    <t>Stuurrollen voor installaties met één of twee richtingen.</t>
  </si>
  <si>
    <t>Gurt-Lenkrolle für Anlagen mit ein oder zwei Laufrichtungen</t>
  </si>
  <si>
    <t>Tracking rollers for installations with one or two directions.</t>
  </si>
  <si>
    <t>Autocentreur pour des convoyeurs à sens unique ou à double sens</t>
  </si>
  <si>
    <t>Gurtregulierung</t>
  </si>
  <si>
    <t>TRUTRAC-FLAT-0450-RVS-ACIDTT</t>
  </si>
  <si>
    <t>Tru Trac - flat - BB 450 mm - RVS316 - Acid resistant</t>
  </si>
  <si>
    <t>1.044,420</t>
  </si>
  <si>
    <t>TRUTRAC-FLAT-0450TT</t>
  </si>
  <si>
    <t>Tru Trac - flat - BB 450 mm</t>
  </si>
  <si>
    <t>Tru Trac Flat Return ; Bandbreedte 450 mm</t>
  </si>
  <si>
    <t>Tru Trac Flat Return ; Gurtbreite 450 mm</t>
  </si>
  <si>
    <t>Tru Trac Flat Return ; Beltwidth 450 mm</t>
  </si>
  <si>
    <t>Tru Trac Flat Return ; Largeur 450 mm</t>
  </si>
  <si>
    <t>Die Tru-Trac® Trackers haben ein patentiertes Design, welches das zuverlässigste und wirksamste Zentriersystem für Förderbänder auf dem Weltmarkt anbietet. Die Zentralachse ist eigenartig und einfach. Sie bestehet aus einem rostfreien Stahlbolzen in einer Welle aus Weichstahl, die senkrecht zu der Bandfläche ist und aus der mit Gummi belegten Trommel mit abgeschrägten Enden, welche die Aktivierung des Trackers gleich nach der Verschiebung des Gurtes vom Zentrum gewährleistet. Der Tracker reagiert ununterbrochen, um die Zentralstellung des Gurtes aufrechtzuerhalten. ; Zuverlässige Funktion - Die Tru-Trac® haben sich als fest, zuverlässig und von hoher Lebensdauer bewährt; sie sichern eine effektive Arbeit unter allerart Bedingungen. ; Lager – es wirt ein Paar aus 6017 2RS Lagern eingesetzt, die die erforderliche Größe haben und der Spezifikation für Umdrehungen pro Minute entsprechen, komplettiert mit Kunststoffgehäuse und Kunststoffdeckeln. ; Wartungsfrei – die gedichteten Lager brauchen keine Schmierung. ; Isolierschicht – hochwertige Naturgummioberfläche mit 12 mm Dicke. ; Betrieb unter allen Bedingungen – schnelles Aktivieren wie beim feuchten, so auch bei nassem Gurt, wie unter, so auch über die Erde. ; Verschiedenartige Installation – kann auf der sauberen Bandseite installiert und nachher mit den gelieferten Montageklammern entsprechend eingestellt werden. ; Reversierbare Anlagen – ausgezeichnete Ergebnisse.</t>
  </si>
  <si>
    <t>Gurt-Lenkrolle für Anlagen mit eins oder zwei Laufrichtungen</t>
  </si>
  <si>
    <t>TRUTRAC-FLAT-0500TT</t>
  </si>
  <si>
    <t>Tru Trac - flat - BB 500 mm</t>
  </si>
  <si>
    <t>996,000</t>
  </si>
  <si>
    <t>666,410</t>
  </si>
  <si>
    <t>Tru Trac Flat Return ; Bandbreedte 500 mm</t>
  </si>
  <si>
    <t>Tru Trac Flat Return ; Gurtbreite 500 mm</t>
  </si>
  <si>
    <t>Tru Trac Flat Return ; Beltwidth 500 mm</t>
  </si>
  <si>
    <t>Tru Trac Flat Return ; Largeur 500 mm</t>
  </si>
  <si>
    <t>TRUTRAC-FLAT-0600-RVS-ACIDTT</t>
  </si>
  <si>
    <t>Tru Trac - flat - BB 600 mm - RVS316 - Acid resistant</t>
  </si>
  <si>
    <t>1.099,010</t>
  </si>
  <si>
    <t>TRUTRAC-FLAT-0600TT</t>
  </si>
  <si>
    <t>Tru Trac - flat - BB 600 mm</t>
  </si>
  <si>
    <t>1.029,000</t>
  </si>
  <si>
    <t>595,340</t>
  </si>
  <si>
    <t>Tru Trac Flat Return ; Bandbreedte 600 mm</t>
  </si>
  <si>
    <t>Tru Trac Flat Return ; Gurtbreite 600 mm</t>
  </si>
  <si>
    <t>Tru Trac Flat Return ; Beltwidth 600 mm</t>
  </si>
  <si>
    <t>Tru Trac Flat Return ; Largeur 600 mm</t>
  </si>
  <si>
    <t>TRUTRAC-FLAT-0650-PUTT</t>
  </si>
  <si>
    <t>Tru Trac - flat - BB 650 mm - met PU bekleding</t>
  </si>
  <si>
    <t>760,140</t>
  </si>
  <si>
    <t>TRUTRAC-FLAT-0650-RVSTT</t>
  </si>
  <si>
    <t>Tru Trac - flat - BB 650 mm - RVS316</t>
  </si>
  <si>
    <t>947,160</t>
  </si>
  <si>
    <t>TRUTRAC-FLAT-0650TT</t>
  </si>
  <si>
    <t>Tru Trac - flat - BB 650 mm</t>
  </si>
  <si>
    <t>1.054,000</t>
  </si>
  <si>
    <t>704,520</t>
  </si>
  <si>
    <t>Tru Trac Flat Return ; Bandbreedte 650 mm</t>
  </si>
  <si>
    <t>Tru Trac Flat Return ; Gurtbreite 650 mm</t>
  </si>
  <si>
    <t>Tru Trac Flat Return ; Beltwidth 650 mm</t>
  </si>
  <si>
    <t>Tru Trac Flat Return ; Largeur 650 mm</t>
  </si>
  <si>
    <t>TRUTRAC-FLAT-0650-WIT-PUTT</t>
  </si>
  <si>
    <t>Tru Trac - flat - BB 0650mm - met PU bekleding wit</t>
  </si>
  <si>
    <t>1.312,000</t>
  </si>
  <si>
    <t>724,680</t>
  </si>
  <si>
    <t>TRUTRAC-FLAT-0700TT</t>
  </si>
  <si>
    <t>Tru Trac - flat - BB 700 mm</t>
  </si>
  <si>
    <t>610,790</t>
  </si>
  <si>
    <t>Tru Trac Flat Return ; Bandbreedte 700 mm</t>
  </si>
  <si>
    <t>Tru Trac Flat Return ; Gurtbreite 700 mm</t>
  </si>
  <si>
    <t>Tru Trac Flat Return ; Beltwidth 700 mm</t>
  </si>
  <si>
    <t>Tru Trac Flat Return ; Largeur 700 mm</t>
  </si>
  <si>
    <t>TRUTRAC-FLAT-0750TT</t>
  </si>
  <si>
    <t>Tru Trac - flat - BB 750 mm</t>
  </si>
  <si>
    <t>722,030</t>
  </si>
  <si>
    <t>Tru Trac Flat Return ; Bandbreedte 750 mm</t>
  </si>
  <si>
    <t>TRUTRAC-FLAT-0800-SLOWTT</t>
  </si>
  <si>
    <t>Tru Trac - flat - BB 800 mm - low speed</t>
  </si>
  <si>
    <t>707,400</t>
  </si>
  <si>
    <t>10-03_Low Speed Tracker</t>
  </si>
  <si>
    <t>Tru Trac Flat Return Low Speed ; Bandbreedte 800 mm</t>
  </si>
  <si>
    <t>Stuurrol voor onderpart van de transportband, voor installaties die één richting opdraaien met een bandsnelheid van 1 meter per second of langzamer</t>
  </si>
  <si>
    <r>
      <t xml:space="preserve">Gurt-Lenkrolle für Anlagen mit </t>
    </r>
    <r>
      <rPr>
        <sz val="10"/>
        <color rgb="FFFF0000"/>
        <rFont val="Arial"/>
        <family val="2"/>
      </rPr>
      <t>einer La</t>
    </r>
    <r>
      <rPr>
        <sz val="10"/>
        <color indexed="8"/>
        <rFont val="Arial"/>
        <family val="2"/>
      </rPr>
      <t>ufrichtung und Geschwindigkeit von 1 Meter Pro Sekunde oder langsamer</t>
    </r>
  </si>
  <si>
    <t>Tracking roller for the bottom part of a conveyor belt, for installations running one direction at 1 metre per second or slower</t>
  </si>
  <si>
    <t>Auto-centreur pour la partie inférieure d’une bande transporteuse, pour installations à sens unique avec 1m/s plus lent.</t>
  </si>
  <si>
    <t>De Tru-Trac® Flat Low Speed Trackers zijn speciaal ontworpen voor lage snelheid transportbanden met een snelheid van 1 m/sec of minder. Geleiderollen zijn bijgeleverd om de activering van de Tru-Trac® trackers te versnellen. ; Werking – Uitstekende en betrouwbare werking bij gebruik samen met lage snelheid transportbanden. ; Geen schade aan de zijkanten van transportband – Het ontwerp garandeert dat er geen contact met de zijkanten van de transportband bij 90 graden ontstaat. Bij migratie van de transportband van het middelpunt glijdt de band op de hoofdrol waarbij de tracker sneller wordt geactiveerd.</t>
  </si>
  <si>
    <r>
      <t>Die Tru-Trac® Flat Low Speed Trackers sind für Förderbänder, die sich mit einer Geschwindigkeit bis 1 m/s bewegen, bestimmt. Die angebrachten Führungsrollen dienen zur Beschleunigung der Aktivierung des Tru-Trac Trackers. ; Betrieb – Ausgezeichneter und zuverlässiger Betrieb an Förderbändern mit niedriger Geschwindigkeit. ; Keine Bandrandbeschädigung – Das Design verhi</t>
    </r>
    <r>
      <rPr>
        <sz val="10"/>
        <color rgb="FFFF0000"/>
        <rFont val="Arial"/>
        <family val="2"/>
      </rPr>
      <t>ndert Ko</t>
    </r>
    <r>
      <rPr>
        <sz val="10"/>
        <color indexed="8"/>
        <rFont val="Arial"/>
        <family val="2"/>
      </rPr>
      <t>ntakt mit den Bandrändern. Beim Bandschieflauf kommt es zum Abgleiten auf die Hauptrolle und einer schnelleren Aktivierung des Trackers.
•
Wird in Standardbauart und Bauart für schwierige Arbeitsbedingungen geliefert.</t>
    </r>
  </si>
  <si>
    <t>Tru-Trac® Flat Low Speed Trackers are specifically designed for low speed conveyors running at 1 m/s or slower. Activation guide rolls have been incorporated into the design to speed up the activation of the Tru-Trac Tracker. ; Performance – Excellent and reliable performance on low speed conveyors. ; No belt edge damage – The design ensures that no 90º contact with belt-edge occurs. As the belt moves off-centre the belt slides up the guide roll and causes tracker to activate quicker.</t>
  </si>
  <si>
    <t>Les traqueurs plats Tru-Trac® de basse vitesse sont spécialement destinés aux transporteurs de basse vitesse de 1 m/sec ou plus basse. Il y a aussi des rouleaux de guidage accélérant l’activation des traqueurs Tru-Trac®. ; Fonctionnement – Un fonctionnement parfait et fiable pour des transporteurs de basse vitesse. ; Pas d’endommagements sur les bords de la bande – La construction garantit qu’il n’y ait pas d’angle de contact de 90 º avec les bords de la bande. Quand la bande se déplace du centre, elle glisse sur le rouleau principal en causant une activation du traqueur plus vite.</t>
  </si>
  <si>
    <t>TRUTRAC-FLAT-0800TT</t>
  </si>
  <si>
    <t>Tru Trac - flat - BB 800 mm</t>
  </si>
  <si>
    <t>1.149,000</t>
  </si>
  <si>
    <t>740,570</t>
  </si>
  <si>
    <t>Tru Trac Flat Return ; Bandbreedte 800 mm</t>
  </si>
  <si>
    <t>Tru Trac Flat Return ; Gurtbreite 800 mm</t>
  </si>
  <si>
    <t>Tru Trac Flat Return ; Beltwidth 800 mm</t>
  </si>
  <si>
    <t>Tru Trac Flat Return ; Largeur 800 mm</t>
  </si>
  <si>
    <t>TRUTRAC-FLAT-0900FRASTT</t>
  </si>
  <si>
    <t>Tru Trac - flat - BB 900 mm - FRAS</t>
  </si>
  <si>
    <t>TRUTRAC-FLAT-0900TT</t>
  </si>
  <si>
    <t>Tru Trac - flat - BB 900 mm</t>
  </si>
  <si>
    <t>758,080</t>
  </si>
  <si>
    <t>Tru Trac Flat Return ; Bandbreedte 900 mm</t>
  </si>
  <si>
    <t>Tru Trac Flat Return ; Gurtbreite 900 mm</t>
  </si>
  <si>
    <t>Tru Trac Flat Return ; Beltwidth 900 mm</t>
  </si>
  <si>
    <t>Tru Trac Flat Return ; Largeur 900 mm</t>
  </si>
  <si>
    <t>TRUTRAC-FLAT-1000FRASTT</t>
  </si>
  <si>
    <t>Tru Trac - flat - BB 1000 mm - FRAS</t>
  </si>
  <si>
    <t>TRUTRAC-FLAT-1000PTT</t>
  </si>
  <si>
    <t>Tru Trac - flat - BB 1000 mm - met PU bekleding</t>
  </si>
  <si>
    <t>835,330</t>
  </si>
  <si>
    <t>TRUTRAC-FLAT-1000TT</t>
  </si>
  <si>
    <t>Tru Trac - flat - BB 1000 mm</t>
  </si>
  <si>
    <t>1.184,400</t>
  </si>
  <si>
    <t>775,590</t>
  </si>
  <si>
    <t>Tru Trac Flat Return ; Bandbreedte 1000 mm</t>
  </si>
  <si>
    <t>Tru Trac Flat Return ; Gurtbreite 1000 mm</t>
  </si>
  <si>
    <t>Tru Trac Flat Return ; Beltwidth 1000 mm</t>
  </si>
  <si>
    <t>Tru Trac Flat Return ; Largeur 1000 mm</t>
  </si>
  <si>
    <t>TRUTRAC-FLAT-1050-HDTT</t>
  </si>
  <si>
    <t>Tru Trac - flat - BB 1050 mm - HD</t>
  </si>
  <si>
    <t>905,370</t>
  </si>
  <si>
    <t>Tru Trac Flat Return Heavy Duty ; Bandbreedte 1050 mm</t>
  </si>
  <si>
    <t xml:space="preserve">De gepatenteerde Tru-Trac® Heavy Duty Flat Return Trackers zijn ontwikkeld voor bredere transportbanden. De aandrijfas is versterkt. De lagerbehuizing en de kappen zijn gemaakt van staal. ; Voor zware belasting – De stalen lagerbehuizingen zijn gelast in een cilinder dat zich door een grotere robuustheid van de aandrijfas onderscheidt. ; Verbeterd afdichtingssysteem met een zeer solide constructie – De metalen kappen zijn in de lagerbehuizingen geperst. De kappen vervullen ook een afdichtingsfunctie om het binnendringen van materiaal te voorkomen. ; Bekleding – Sterk slijtvast natuurrubber van 12 mm. </t>
  </si>
  <si>
    <t xml:space="preserve">Die patentierten Tru-Trac® Heavy Duty Flat Return Trackers für hohe Belastungen sind für breitere Fördergurte bestimmt. Die Welle ist verstärkt. Das Gehäuse der Lager und die Deckel sind aus Stahl gefertigt. ; Für hohe Belastungen – das Stahlgehäuse der Lager ist in einem Zylinder mit verbesserter Festigkeit der Welle eingeschweißt. ; Dichtungssystem mit sehr fester Konstruktion – die Metallkappen sind in den Lagergehäusen eingepresst und funktionieren auch als Dichtungen, die das Eindringen von Material verhindern. ; Isolierschicht – abreibfestem Naturgummi, 12 mm dick. </t>
  </si>
  <si>
    <t xml:space="preserve">Tru-Trac® patented Heavy Duty Flat Return Trackers are designed for wider heavy duty conveyors belts. The design of the shaft has been reinforced. The bearing housings and end caps have been upgraded to steel. ; Heavy Duty – Steel bearing housings are welded into the barrel with a reinforced solid shaft. ; Improved Rugged Sealing System – Steel End caps are pressed into the bearing housings, these also function as a ‘flinger’ seal to prevent ingress of material. ; Lagging – Covered with High Abrasive Natural Rubber, 12 mm thick. </t>
  </si>
  <si>
    <t>Les traqueurs de centrage pour des chargements grands Tru-Trac® sont brevetés et destinés aux bandes transporteuses plus larges. L’arbre est renforcé. La boîte et les couvercles des paliers sont faits en acier. ; Pour des chargements grands – Les boîtes en acier des paliers sont soudées dans un cylindre avec une solidité de l’arbre améliorée. ; Système d’étanchéité amélioré avec une construction très solide – Les couvercles en métal sont pressés dans les boîtes des paliers ayant aussi une fonction d’étanchement pour prévenir une pénétration de matériel. ; Revêtement – Un revêtement de 12 mm de caoutchouc naturel d’une haute abrasivité.</t>
  </si>
  <si>
    <t>TRUTRAC-FLAT-1050PTT</t>
  </si>
  <si>
    <t>Tru Trac - flat - BB 1050 mm - met PU bekleding</t>
  </si>
  <si>
    <t>853,870</t>
  </si>
  <si>
    <t>TRUTRAC-FLAT-1050TT</t>
  </si>
  <si>
    <t>Tru Trac - flat - BB 1050 mm</t>
  </si>
  <si>
    <t>718,340</t>
  </si>
  <si>
    <t>Tru Trac Flat Return ; Bandbreedte 1050 mm</t>
  </si>
  <si>
    <t>Tru Trac Flat Return ; Gurtbreite 1050 mm</t>
  </si>
  <si>
    <t>Tru Trac Flat Return ; Beltwidth 1050 mm</t>
  </si>
  <si>
    <t>Tru Trac Flat Return ; Largeur 1050 mm</t>
  </si>
  <si>
    <t>TRUTRAC-FLAT-1070-SLOWTT</t>
  </si>
  <si>
    <t>Tru Trac - flat - BB 1070 mm - low speed</t>
  </si>
  <si>
    <t>943,470</t>
  </si>
  <si>
    <t>TRUTRAC-FLAT-1200FRASTT</t>
  </si>
  <si>
    <t>Tru Trac - flat - BB 1200 mm - FRAS</t>
  </si>
  <si>
    <t>1.534,160</t>
  </si>
  <si>
    <t>TRUTRAC-FLAT-1200-HD-PUTT</t>
  </si>
  <si>
    <t>Tru Trac - flat - BB 1200 mm - HD - met PU bekleding</t>
  </si>
  <si>
    <t>1.025,000</t>
  </si>
  <si>
    <t>898,160</t>
  </si>
  <si>
    <t>TRUTRAC-FLAT-1200PTT</t>
  </si>
  <si>
    <t>Tru Trac - flat - BB 1200 mm - met PU bekleding</t>
  </si>
  <si>
    <t>810,610</t>
  </si>
  <si>
    <t>TRUTRAC-FLAT-1200-SLOWTT</t>
  </si>
  <si>
    <t>Tru Trac - flat - BB 1200 mm - low speed</t>
  </si>
  <si>
    <t>Tru Trac Flat Return Low Speed ; Bandbreedte 1200 mm</t>
  </si>
  <si>
    <t>Gurt-Lenkrolle für Anlagen mit ein Laufrichtung und Geschwindigkeit 1 Meter Pro Sekunde oder langsamer</t>
  </si>
  <si>
    <t>Die Tru-Trac® Flat Low Speed Trackers sind für Förderbänder, die sich mit einer Geschwindigkeit bis 1 m/s bewegen, bestimmt. Die angebrachten Führungsrollen dienen zur Beschleunigung der Aktivierung des Tru-Trac Trackers. ; Betrieb – Ausgezeichneter und zuverlässiger Betrieb an Förderbändern mit niedriger Geschwindigkeit. ; Keine Bandrandbeschädigung – Das Design verhindert einen 900-Kontakt mit den Bandrändern. Beim Bandschieflauf kommt es zum Abgleiten auf die Hauptrolle und einer schnelleren Aktivierung des Trackers.
•
Wird in Standardbauart und Bauart für schwierige Arbeitsbedingungen geliefert.</t>
  </si>
  <si>
    <t>TRUTRAC-FLAT-1200TT</t>
  </si>
  <si>
    <t>Tru Trac - flat - BB 1200 mm</t>
  </si>
  <si>
    <t>827,090</t>
  </si>
  <si>
    <t>Tru Trac Flat Return ; Bandbreedte 1200 mm</t>
  </si>
  <si>
    <t>Tru Trac Flat Return ; Gurtbreite 1200 mm</t>
  </si>
  <si>
    <t>Tru Trac Flat Return ; Beltwidth 1200 mm</t>
  </si>
  <si>
    <t>Tru Trac Flat Return ; Largeur 1200 mm</t>
  </si>
  <si>
    <t>TRUTRAC-FLAT-1350-(CTTP)TT</t>
  </si>
  <si>
    <t>Tru Trac - flat - BB 1350 mm - HD - Spec dimensions for CTTP</t>
  </si>
  <si>
    <t>954,810</t>
  </si>
  <si>
    <t>TRUTRAC-FLAT-1350-HDTT</t>
  </si>
  <si>
    <t>Tru Trac - flat - BB 1350 mm - HD</t>
  </si>
  <si>
    <t>Tru Trac Flat Return Heavy Duty ; Bandbreedte 1350 mm</t>
  </si>
  <si>
    <t>Tru Trac Flat Return Heavy Duty ; Gurtbreite 1350 mm</t>
  </si>
  <si>
    <t>Tru Trac Flat Return Heavy Duty ; beltwidth 1350 mm</t>
  </si>
  <si>
    <t>Tru Trac Flat Return Heavy Duty ; Largeur 1350 mm</t>
  </si>
  <si>
    <t>TRUTRAC-FLAT-1400FRASTT</t>
  </si>
  <si>
    <t>Tru Trac - flat - BB 1400 mm - FRAS</t>
  </si>
  <si>
    <t>TRUTRAC-FLAT-1400-HD-PUTT</t>
  </si>
  <si>
    <t>Tru Trac - flat - BB 1400 mm - HD - met PU bekleding</t>
  </si>
  <si>
    <t>992,920</t>
  </si>
  <si>
    <t>TRUTRAC-FLAT-1400-HDTT</t>
  </si>
  <si>
    <t>Tru Trac - flat - BB 1400 mm - HD</t>
  </si>
  <si>
    <t>1.828,280</t>
  </si>
  <si>
    <t>1.052,660</t>
  </si>
  <si>
    <t>Tru Trac Flat Return Heavy Duty ; Bandbreedte 1400 mm</t>
  </si>
  <si>
    <t>Tru Trac Flat Return Heavy Duty ; Gurtbreite 1400 mm</t>
  </si>
  <si>
    <t>Tru Trac Flat Return Heavy Duty ; beltwidth 1400 mm</t>
  </si>
  <si>
    <t>Tru Trac Flat Return Heavy Duty ; Largeur 1400 mm</t>
  </si>
  <si>
    <t>TRUTRAC-FLAT-1400-HD-WIT-PUTT</t>
  </si>
  <si>
    <t>Tru Trac - flat - BB 1400 mm - HD - met wit PU bekleding</t>
  </si>
  <si>
    <t>1.308,100</t>
  </si>
  <si>
    <t>TRUTRAC-FLAT-1400-HD-WITTT</t>
  </si>
  <si>
    <t>Tru Trac - flat - BB 1400 mm - HD - met wit FDA bekleding</t>
  </si>
  <si>
    <t>1.013,040</t>
  </si>
  <si>
    <t>TRUTRAC-FLAT-1400-SLOWTT</t>
  </si>
  <si>
    <t>Tru Trac - flat - BB 1400 mm - low speed</t>
  </si>
  <si>
    <t>938,330</t>
  </si>
  <si>
    <t>Tru Trac Flat Return Low Speed ; Bandbreedte 1400 mm</t>
  </si>
  <si>
    <t>Tru Trac Flat Return Low Speed ; Gurtbreite 1400 mm</t>
  </si>
  <si>
    <t>Tru Trac Flat Return Low Speed ; Belt width 1400 mm</t>
  </si>
  <si>
    <t>Tru Trac Flat Return Low Speed ; Largeur 1400 mm</t>
  </si>
  <si>
    <t>TRUTRAC-FLAT-1500-HDTT</t>
  </si>
  <si>
    <t>Tru Trac - flat - BB 1500 mm - HD</t>
  </si>
  <si>
    <t>1.686,560</t>
  </si>
  <si>
    <t>Tru Trac Flat Return Heavy Duty ; Bandbreedte 1500 mm</t>
  </si>
  <si>
    <t>Tru Trac Flat Return Heavy Duty ; Gurtbreite 1500 mm</t>
  </si>
  <si>
    <t>Tru Trac Flat Return Heavy Duty ; Beltwidth 1500 mm</t>
  </si>
  <si>
    <t>Tru Trac Flat Return Heavy Duty ; Largeur 1500 mm</t>
  </si>
  <si>
    <t>TRUTRAC-FLAT-1600-XHDTT</t>
  </si>
  <si>
    <t>Tru Trac - flat - BB 1600 mm - Extra HD</t>
  </si>
  <si>
    <t>1.890,000</t>
  </si>
  <si>
    <t>1.800,440</t>
  </si>
  <si>
    <t>Tru Trac Flat Return Extra Heavy Duty ; Bandbreedte 1600 mm</t>
  </si>
  <si>
    <t>Tru Trac Flat Return Extra Heavy Duty ; Gurtbreite 1600 mm</t>
  </si>
  <si>
    <t>Tru Trac Flat Return Extra Heavy Duty ; Beltwidth 1600 mm</t>
  </si>
  <si>
    <t>Tru Trac Flat Return Extra Heavy Duty ; Largeur 1600 mm</t>
  </si>
  <si>
    <t>TRUTRAC-FLAT-1800-EXHDTT</t>
  </si>
  <si>
    <t>Tru Trac - flat - BB 1800 mm - Extra Extra HD</t>
  </si>
  <si>
    <t>2.413,290</t>
  </si>
  <si>
    <t>TRUTRAC-FLAT-FDA-0500-PUTT</t>
  </si>
  <si>
    <t>Tru Trac - flat - FDA - BB 0500 mm - met PU bekleding-RVS</t>
  </si>
  <si>
    <t>756,020</t>
  </si>
  <si>
    <t>TRUTRAC-FLAT-FDA-0600-PUTT</t>
  </si>
  <si>
    <t>Tru Trac - flat - FDA - BB 0600 mm - met PU bekleding-RVS</t>
  </si>
  <si>
    <t>1.007,340</t>
  </si>
  <si>
    <t>TRUTRAC-FLAT-FDA-0650-PUSLOWTT</t>
  </si>
  <si>
    <t>Tru Trac - flat - FDA - BB 0650 mm -PU bekleding-SLOW-RVS</t>
  </si>
  <si>
    <t>979,480</t>
  </si>
  <si>
    <t>TRUTRAC-FLAT-FDA-0650-PUTT</t>
  </si>
  <si>
    <t>Tru Trac - flat - FDA - BB 0650 mm - met PU bekleding-RVS</t>
  </si>
  <si>
    <t>836,360</t>
  </si>
  <si>
    <t>TRUTRAC-FLAT-FDA-0700-PUTT</t>
  </si>
  <si>
    <t>Tru Trac - flat - FDA - BB 0700 mm - met PU bekleding-RVS</t>
  </si>
  <si>
    <t>TRUTRAC-FLAT-FDA-0800-PUSLOWTT</t>
  </si>
  <si>
    <t>Tru Trac - flat - FDA - BB 0800 mm -PU bekleding-SLOW-RVS</t>
  </si>
  <si>
    <t>1.062,650</t>
  </si>
  <si>
    <t>TRUTRAC-FLAT-FDA-0800-PUTT</t>
  </si>
  <si>
    <t>Tru Trac - flat - FDA - BB 0800 mm - met PU bekleding-RVS</t>
  </si>
  <si>
    <t>1.065,020</t>
  </si>
  <si>
    <t>TRUTRAC-FLAT-FDA-1000-PUSLOWTT</t>
  </si>
  <si>
    <t>Tru Trac - flat - FDA - BB 1000 mm -PU bekleding-SLOW-RVS</t>
  </si>
  <si>
    <t>1.211,380</t>
  </si>
  <si>
    <t>TRUTRAC-FLAT-FDA-1000-PUTT</t>
  </si>
  <si>
    <t>Tru Trac - flat - FDA - BB 1000 mm - met PU bekleding-RVS</t>
  </si>
  <si>
    <t>1.011,460</t>
  </si>
  <si>
    <t>TRUTRAC-FLAT-FDA-1200-PUSLOWTT</t>
  </si>
  <si>
    <t>Tru Trac - flat - FDA - BB 1200 mm -PU bekleding-SLOW-RVS</t>
  </si>
  <si>
    <t>1.483,410</t>
  </si>
  <si>
    <t>TRUTRAC-FLAT-FDA-1200-PUTT</t>
  </si>
  <si>
    <t>Tru Trac - flat - FDA - BB 1200 mm - met PU bekleding-RVS</t>
  </si>
  <si>
    <t>1.239,090</t>
  </si>
  <si>
    <t>TRUTRAC-FLAT-FDA-400-PUTT</t>
  </si>
  <si>
    <t>Tru Trac - flat - FDA - BB 400 mm - met PU bekleding</t>
  </si>
  <si>
    <t>TRUTRAC-FLAT-FDA-550-PUTT</t>
  </si>
  <si>
    <t>Tru Trac - flat - FDA - BB 550 mm - met PU bekleding</t>
  </si>
  <si>
    <t>781,770</t>
  </si>
  <si>
    <t>TRUTRAC-FLAT-L-BRACKET-4GAATTT</t>
  </si>
  <si>
    <t>Tru Trac - Flat - L-Brackets, 4-gaats</t>
  </si>
  <si>
    <t>TRUTRAC-FLAT-L-BRACKET-8GAATTT</t>
  </si>
  <si>
    <t>Tru Trac - Flat - Lang L-Brackets, 8-gaats</t>
  </si>
  <si>
    <t>34,500</t>
  </si>
  <si>
    <t>TRUTRAC-INDIVIDUAL-ROL-1400TT</t>
  </si>
  <si>
    <t>Tru Trac - dual - Individual Roller - BB 1400</t>
  </si>
  <si>
    <t>735,420</t>
  </si>
  <si>
    <t>TRUTRAC-INDIVIDUAL-ROL-1500TT</t>
  </si>
  <si>
    <t>Tru Trac - dual - Individual Roller - BB 1500</t>
  </si>
  <si>
    <t>785,890</t>
  </si>
  <si>
    <t>TRUTRAC-INDIVIDUAL-ROL-1600TT</t>
  </si>
  <si>
    <t>Tru Trac - dual - Individual Roller - BB 1600</t>
  </si>
  <si>
    <t>761,170</t>
  </si>
  <si>
    <t>TRUTRAC-INDIVIDUAL-ROL-1800TT</t>
  </si>
  <si>
    <t>Tru Trac - dual - Individual Roller - BB 1800</t>
  </si>
  <si>
    <t>795,160</t>
  </si>
  <si>
    <t>TRUTRAC-INDIVIDUAL-ROL-2000TT</t>
  </si>
  <si>
    <t>Tru Trac - dual - Individual Roller - BB 2000</t>
  </si>
  <si>
    <t>840,480</t>
  </si>
  <si>
    <t>TRUTRAC-INDIVIDUAL-ROL-2100TT</t>
  </si>
  <si>
    <t>Tru Trac - dual - Individual Roller - BB 2100</t>
  </si>
  <si>
    <t>819,880</t>
  </si>
  <si>
    <t>TRUTRAC-INDIVIDUAL-ROL-2600TT</t>
  </si>
  <si>
    <t>Tru Trac - dual - Individual Roller - BB 2600</t>
  </si>
  <si>
    <t>TRUTRAC-LOWSPEED-ADAPTORTT</t>
  </si>
  <si>
    <t>Tru Trac - Low speed adaptor</t>
  </si>
  <si>
    <t>82,400</t>
  </si>
  <si>
    <t>TRUTRAC-PBHOUSE-TT</t>
  </si>
  <si>
    <t>Tru-Trac - Plastic bearing house - New</t>
  </si>
  <si>
    <t>TRUTRAC-RVSSTEUN-FLATFDA1400TT</t>
  </si>
  <si>
    <t>Tru Trac -RVS STEUN tbv flat - FDA - BB 1400 mm - WIT</t>
  </si>
  <si>
    <t>114,480</t>
  </si>
  <si>
    <t>TRUTRAC-RVSSTEUN-FLATFDA800TT</t>
  </si>
  <si>
    <t>Tru Trac -RVS STEUN tbv flat - FDA - BB 800 mm - WIT</t>
  </si>
  <si>
    <t>99,360</t>
  </si>
  <si>
    <t>TRUTRAC-SERVICEKIT-HDTHRUSTTT</t>
  </si>
  <si>
    <t>Tru-Trac - servicekit - HD Thrust - New</t>
  </si>
  <si>
    <t>92,700</t>
  </si>
  <si>
    <t>TRUTRAC-SERVICEKIT-HDTT</t>
  </si>
  <si>
    <t>Tru-Trac - servicekit - HD - New</t>
  </si>
  <si>
    <t>91,670</t>
  </si>
  <si>
    <t>TRUTRAC-SERVICEKIT-STDTT</t>
  </si>
  <si>
    <t>Tru-Trac - servicekit - STD - New</t>
  </si>
  <si>
    <t>TRUTRAC-SHOWMODELTT</t>
  </si>
  <si>
    <t>Tru Trac - showmodel</t>
  </si>
  <si>
    <t>28,000</t>
  </si>
  <si>
    <t>TRUTRAC-TAPER-TROUGH L-BRACKTT</t>
  </si>
  <si>
    <t>Tru-Trac Bracket taper trough (450-1100mm)</t>
  </si>
  <si>
    <t>TRUTRAC-TROUGH-0900FRASPIPETT</t>
  </si>
  <si>
    <t>Tru Trac - trough - reversible - BB 900-FRAS PIPE structure</t>
  </si>
  <si>
    <t>TRUTRAC-TROUGH-0900TT</t>
  </si>
  <si>
    <t>Tru Trac - trough - BB 900 mm - OUD</t>
  </si>
  <si>
    <t>1.252,450</t>
  </si>
  <si>
    <t>TRUTRAC-TROUGH-TAPER-1000HDPTT</t>
  </si>
  <si>
    <t>Tru Trac - trough - Taper- BB 1000 mm - HD - PU bekleding</t>
  </si>
  <si>
    <t>1.289,560</t>
  </si>
  <si>
    <t>TRUTRAC-TROUGH-TAPER-1000TT</t>
  </si>
  <si>
    <t>Tru Trac - trough - reversible - BB 1000 mm TAPER</t>
  </si>
  <si>
    <t>1.093,860</t>
  </si>
  <si>
    <t>10-02_Tapered Trough Tracker</t>
  </si>
  <si>
    <t>Tru Trac Taper Trough ; Bandbreedte 1000 mm</t>
  </si>
  <si>
    <t>Tru Trac Taper Trough ; Gurtbreite 1000 mm</t>
  </si>
  <si>
    <t>Tru Trac Taper Trough ; Beltwidth 1000 mm</t>
  </si>
  <si>
    <t>Tru Trac Taper Trough ; Largeur 1000 mm</t>
  </si>
  <si>
    <t>Stuurrol voor bovenpart van transportband, voor installaties die één of twee richtingen opdraaien.</t>
  </si>
  <si>
    <t>Gurt-Lenkrolle für den oberen Teil eines Förderbandes, für Anlagen mit ein oder zwei Laufrichtungen.</t>
  </si>
  <si>
    <t>Tracking roller for the top part of a conveyor belt, for installations running one or two directions.</t>
  </si>
  <si>
    <t>Rouleau suiveur pour la partie supérieure d'un tapis roulant, pour des installations à un ou deux sens.</t>
  </si>
  <si>
    <t>De gepatenteerde Tru-Trac® Taper Trough Tracker is het hoogtepunt van de centrering van de lastdragende zijde. Deze tracker is het resultaat van meer dan 10 jaar ontwerpwerk en innovaties. Dankzij de constructie kan de tracker zeer snel op zowel beladen als onbeladen transportbanden geactiveerd worden. ; De rollen kunnen zowel op unidirectionele transportbanden als op bidirectionele transportbanden gebruikt worden. De centrering wordt uitgevoerd door een afgeschuinde roller die geïsoleerd is en gemakkelijk tussen 25°- 55° afgesteld kan worden. De afgeschuinde roller zorgt voor een onmiddellijke activering bij migratie van de transportband van het middelpunt en garandeert dat er geen contact met de zijkanten van de transportband bij 90 graden ontstaat. ; Uitstekende werking – De combinatie van de schuine richting en de unieke as zorgt voor een snelle, reactieve en continu centrering onder alle omstandigheden. ; Afzonderlijke rollen voor eenvoudige vervanging – De afgeschuinde eindrollen en de centrale rollen kunnen bij slijtage afzonderlijk vervangen worden. ; Verbeterde as – Het unieke ontwerp van de as, dat voor zware belasting is bedoeld, zorgt voor onmiddellijke activering van de centrering, waarbij de transportband in het middelpunt wordt gepositioneerd. ; Standaardlagers – Van 600 tot 850 - twee 6205 C3 2RS lagers, van 900 tot 1200 - twee 6306 C3 2RS lagers. ; Lagers voor zware belasting – Van 1350 tot 1800 - twee 21308 sferische rollagers. ; Onderhoudsvrij – De lagers zijn smeringsvrij. ; Bekleding – Leverbaar in een sterk slijtvast rubber bekleding met een dikte van 12 mm. ; Werking onder alle omstandigheden – Snelle activering zowel op natte als op droge transportbanden. ; Veelzijdige installatie – De centrale rollen behoeven minimaal gespannen te worden met behulp van de bijgeleverde montagebeugels. ; Reverseerbare banden – Uitstekende werking.</t>
  </si>
  <si>
    <t>Der patentierte Tru-Trac® Taper Trough Tracker stellt einen Höhepunkt in der Zentrierung der Tragseite dar und ist Ergebnis 10-jähriger Entwicklung und Innovationen. Die Bauart wird ausschließlich schnell an beladenen und an freien Fördergurten aktiviert. ; Die Trackers funktionieren wie an Einrichtungs-, so auch an Zweirichtungsgurten. Die Zentrierung erfolgt durch einen abgeschrägten Roller, der einfach zwischen 25° und 55° eingestellt werden kann. Der abgeschrägte Roller gewährleistet eine unverzügliche Einschaltung beim Bandschieflauf und sorgt dafür, dass kein 90-Grad-Kontakt mit den Gurträndern zustande kommt. ; Außergewöhnliche Leistung – Die Kombination aus Abschrägung und unikaler Drehachse ermöglicht schnelle Reaktion und ununterbrochenes Zentrieren unter allen Bedingungen. ; Individuelle Rollen für einen schnellen Austausch – Beim Verschleiß können wie die abgeschrägten, so auch die Zentralrollen einzeln ausgetauscht werden. ; Verbesserte Drehachse – Die unikale, für einen Schwerlastbetrieb bestimmte Konstruktion der Drehachse bewirkt unverzügliche Zentrierung des Gurtes und Fortsetzung des Betriebes in dem Zentrum. ; Standardlager – Bei den Größen von 600 bis 850 wird Lagerpaar 6205 C3 2RS, und von 900 bis 1200 Lagerpaar 6306 C3 2RS verwendet. ; Lager, die für Schwerlastbetrieb bestimmt sind – bei den Größen von 1350 bis 1800 werden Lagerpaare 21308 Kugelrollenlager eingesetzt. ; Wartungsfrei – Die Lager brauchen keine Schmierung. ; Isolierschicht – Mit hoch abreibfestem Gummibelag 12 mm. ; Funktioniert unter allen Bedingungen – Schnelles Ansprechen wie an nassen, so auch an trockenen Gurten. ; Variable Installation – Nur mit minimaler Spannung der Zentralrollen mit den mitgelieferten Montageklammern. ; Reversierbare Gurte – Ausgezeichnete Ergebnisse.</t>
  </si>
  <si>
    <t>The patented Tru-Trac® Taper Trough Tracker offers the ultimate in tracking performance on the load-carrying side and is the result of over 10 years of design and innovation. This design is highly responsive and quick to activate on both loaded and unloaded conveyors. ; 
As the taper wing rollers are inline, it operates on both on Uni-directional or Bi-directional conveyor belts. The tracking is done by the tapered wing rollers which are lagged and can be easily adjusted between 25° - 55°. The tapered wing rollers ensure that the tracker activates immediately as the belt moves off centre, ensuring that there is no 90 degree contact with the belt edges. ; Exceptional Performance – The combination of the tapers and unique centre pivot, provide fast, reactive and continual tracking in all conditions. ;  Individual Rollers for Easy Replacement – Both the taper wing and centre roller can be individually replaced as wear occurs. ; Enhanced Centre Pivot – The unique heavy duty pivot design provides instant activation to centralise the belt to keep it running centre. ; Standard Bearings – From 600-850 uses a pair of 6205 C3 2RS bearings - From 900-1200 uses a pair of 6306 C3 2RS bearings. ; Heavy Duty Bearings – From 1350 - 1800 uses a pair of 21308 Spherical Roller bearings. ; Maintenance Free – Bearings do not require any greasing. ; Lagging – Available in High Abrasive, Rubber Lagging 12 mm thick ; Operates in all conditions – Quick activation on both wet and dry conveyor belts. ; Versatile Installation – Minimum tension is required on the centre rolls, which can be easily adjusted with the supplied mounting brackets. ; Reversing Belts – Excellent performance.</t>
  </si>
  <si>
    <t>Le traqueur de centrage biaisé à auge Tru-Trac® breveté représente le point culminant dans le centrage de la partie porteuse, étant le résultat de plus de 10 années de développement et d’innovations. La construction assure une activation extrêmement vite avec des transporteurs chargés, aussi bien que libres. ; Le bout biaisé des rouleaux travaille avec des bandes transporteuses monodirectionnelles aussi bien que bidirectionnelles. Le centrage s’effectue par un rouleau biaisé qui est isolé et peut être facilement ajusté entre 25° et 55°. Le rouleau biaisé garantit une activation immédiate après le déplacement de la bande du centre en assurant qu’il n’y ait pas d’angle de contact de 90° avec les bords de la bande. ; Travail excellent – La combinaison du biaisement et de l’axe de rotation unique assure une vitesse, une réaction et un centrage continu dans des conditions diverses. ; Rouleaux individuels facilement remplaçables – Les rouleaux biaisés aux extrémités et au centre peuvent être remplacés individuellement en cas d’usure. ; Axe de rotation amélioré – La construction unique de l’axe destinée à un régime de travail lourd assure une activation immédiate pour le centrage de la bande et la continuation du travail au centre. ; Paliers standard – De 600-850 utilisent un couple de paliers 6205 C3 2RS et de 900-1200 utilisent un couple de paliers 6306 C3 2RS. ; Paliers destinés à un régime de travail lourd – De 1350-1800 utilisent un couple de paliers sphériques à rouleaux 21308. ; Pas besoin de maintenance – Les paliers n’ont pas besoin de lubrification. ; Revêtement – Le revêtement peut être en caoutchouc avec une haute abrasivité avec une épaisseur de 12 mm. ; Fonctionnement dans des conditions diverses – Une activation vite en cas d’une bande transporteuse sèche aussi bien que mouillée. ; Installation variée – Une tension minimale est nécessaire pour les rouleaux centraux pouvant être facilement ajusté avec les étriers de montage livrés. ; Bandes réversibles – Un fonctionnement parfait.</t>
  </si>
  <si>
    <t>TRUTRAC-TROUGH-TAPER-1050TT</t>
  </si>
  <si>
    <t>Tru Trac - trough - reversible - BB 1050 mm TAPER</t>
  </si>
  <si>
    <t>1.009,400</t>
  </si>
  <si>
    <t>Tru Trac Taper Trough ; Largeur 1050 mm</t>
  </si>
  <si>
    <t>TRUTRAC-TROUGH-TAPER-1200HDTT</t>
  </si>
  <si>
    <t>Tru Trac - trough - reversible - BB 1200 mm - HD - TAPER</t>
  </si>
  <si>
    <t>1.291,620</t>
  </si>
  <si>
    <t>Tru Trac Taper Trough Heavy Duty ; Bandbreedte 1200 mm</t>
  </si>
  <si>
    <t>Tru Trac Taper Trough Heavy Duty; Gurtbreite 1200 mm</t>
  </si>
  <si>
    <t>Tru Trac Taper Trough Heavy Duty ; Beltwidth 1200 mm</t>
  </si>
  <si>
    <t>Tru Trac Taper Trough Heavy Duty ; Largeur 1200 mm</t>
  </si>
  <si>
    <t>TRUTRAC-TROUGH-TAPER-1350HDTT</t>
  </si>
  <si>
    <t>Tru Trac - trough - reversible - BB 1350 mm - HD - TAPER</t>
  </si>
  <si>
    <t>1.314,180</t>
  </si>
  <si>
    <t>Tru Trac Taper Trough Heavy Duty ; Bandbreedte 1350 mm</t>
  </si>
  <si>
    <t>Tru Trac Taper Trough Heavy Duty; Gurtbreite 1350 mm</t>
  </si>
  <si>
    <t>Tru Trac Taper Trough Heavy Duty ; Beltwidth 1350 mm</t>
  </si>
  <si>
    <t>TRUTRAC-TROUGH-TAPER-1400HDTT</t>
  </si>
  <si>
    <t>Tru Trac - trough - reversible - BB 1400 mm - HD - TAPER</t>
  </si>
  <si>
    <t>1.381,230</t>
  </si>
  <si>
    <t>Tru Trac Taper Trough Heavy Duty ; Bandbreedte 1400 mm</t>
  </si>
  <si>
    <t>Tru Trac Taper Trough Heavy Duty; Gurtbreite 1400 mm</t>
  </si>
  <si>
    <t>Tru Trac Taper Trough Heavy Duty ; Beltwidth 1400 mm</t>
  </si>
  <si>
    <t>Tru Trac Taper Trough Heavy Duty ; Largeur 1400 mm</t>
  </si>
  <si>
    <t>TRUTRAC-TROUGH-TAPER-1500HDTT</t>
  </si>
  <si>
    <t>Tru Trac - trough - reversible - BB 1500 mm - HD - TAPER</t>
  </si>
  <si>
    <t>1.457,260</t>
  </si>
  <si>
    <t>TRUTRAC-TROUGH-TAPER-1500XHDTT</t>
  </si>
  <si>
    <t>Tru Trac - trough - reversible - BB 1500 mm - XHD - TAPER</t>
  </si>
  <si>
    <t>1.651,300</t>
  </si>
  <si>
    <t>TRUTRAC-TROUGH-TAPER-1600XHDTT</t>
  </si>
  <si>
    <t>Tru Trac - trough - reversible - BB 1600 mm - XHD - TAPER</t>
  </si>
  <si>
    <t>1.593,410</t>
  </si>
  <si>
    <t>TRUTRAC-TROUGH-TAPER-1800EXHTT</t>
  </si>
  <si>
    <t>Tru Trac - trough - reversible - BB 1800 mm - EXHD - TAPER</t>
  </si>
  <si>
    <t>2.192,870</t>
  </si>
  <si>
    <t>TRUTRAC-TROUGH-TAPER-1800XHDTT</t>
  </si>
  <si>
    <t>Tru Trac - trough - reversible - BB 1800 mm - XHD - TAPER</t>
  </si>
  <si>
    <t>1.811,040</t>
  </si>
  <si>
    <t>TRUTRAC-TROUGH-TAPER-2100EXHTT</t>
  </si>
  <si>
    <t>Tru Trac - trough - reversible - BB 2100 mm - EXHD - TAPER</t>
  </si>
  <si>
    <t>2.633,260</t>
  </si>
  <si>
    <t>TRUTRAC-TROUGH-TAPER-2200EXHTT</t>
  </si>
  <si>
    <t>Tru Trac - trough - reversible - BB 2200 mm - EXHD - TAPER</t>
  </si>
  <si>
    <t>2.942,000</t>
  </si>
  <si>
    <t>TRUTRAC-TROUGH-TAPER-450TT</t>
  </si>
  <si>
    <t>Tru Trac - trough - reversible - BB 450 mm, TAPER</t>
  </si>
  <si>
    <t>759,110</t>
  </si>
  <si>
    <t>Tru Trac Taper Trough ; Bandbreedte 450 mm</t>
  </si>
  <si>
    <t>Tru Trac Taper Trough ; Gurtbreite 450 mm</t>
  </si>
  <si>
    <t>Tru Trac Taper Trough ; Beltwidth 450 mm</t>
  </si>
  <si>
    <t>Tru Trac Taper Trough ; Largeur 450 mm</t>
  </si>
  <si>
    <t>TRUTRAC-TROUGH-TAPER-650TT</t>
  </si>
  <si>
    <t>Tru Trac - trough - reversible - BB 650 mm, TAPER</t>
  </si>
  <si>
    <t>871,380</t>
  </si>
  <si>
    <t>Tru Trac Taper Trough ; Bandbreedte 650 mm</t>
  </si>
  <si>
    <t>Tru Trac Taper Trough ; Gurtbreite 650 mm</t>
  </si>
  <si>
    <t>Tru Trac Taper Trough ; Beltwidth 650 mm</t>
  </si>
  <si>
    <t>Tru Trac Taper Trough ; Largeur 650 mm</t>
  </si>
  <si>
    <t>TRUTRAC-TROUGH-TAPER-750TT</t>
  </si>
  <si>
    <t>Tru Trac - trough - reversible - BB 750 mm, TAPER</t>
  </si>
  <si>
    <t>851,620</t>
  </si>
  <si>
    <t>Tru Trac Taper Trough ; Bandbreedte 750 mm</t>
  </si>
  <si>
    <t>Tru Trac Taper Trough ; Gurtbreite 750 mm</t>
  </si>
  <si>
    <t>Tru Trac Taper Trough ; Beltwidth 750 mm</t>
  </si>
  <si>
    <t>Tru Trac Taper Trough ; Largeur 750 mm</t>
  </si>
  <si>
    <t>TRUTRAC-TROUGH-TAPER-800TT</t>
  </si>
  <si>
    <t>Tru Trac - trough - reversible - BB 800 mm, TAPER</t>
  </si>
  <si>
    <t>939,360</t>
  </si>
  <si>
    <t>Tru Trac Taper Trough ; Bandbreedte 800 mm</t>
  </si>
  <si>
    <t>Tru Trac Taper Trough ; Gurtbreite 800 mm</t>
  </si>
  <si>
    <t>Tru Trac Taper Trough ; Beltwidth 800 mm</t>
  </si>
  <si>
    <t>Tru Trac Taper Trough ; Largeur 800 mm</t>
  </si>
  <si>
    <t>TRUTRAC-TROUGH-TAPER-900TT</t>
  </si>
  <si>
    <t>Tru Trac - trough - reversible - BB 900 mm TAPER</t>
  </si>
  <si>
    <t>983,650</t>
  </si>
  <si>
    <t>Tru Trac Taper Trough ; Bandbreedte 900 mm</t>
  </si>
  <si>
    <t>Tru Trac Taper Trough ; Gurtbreite 900 mm</t>
  </si>
  <si>
    <t>Tru Trac Taper Trough ; Beltwidth 900 mm</t>
  </si>
  <si>
    <t>Tru Trac Taper Trough ; Largeur 900 mm</t>
  </si>
  <si>
    <t>TRUTRAC-TROUGH-TUBE-END-CAPTT</t>
  </si>
  <si>
    <t>Tru Trac - trough - end cap</t>
  </si>
  <si>
    <t>1,110</t>
  </si>
  <si>
    <t>TRUTRAC-VRETURN-1200TT</t>
  </si>
  <si>
    <t>Tru Trac - V-Return - BB 1200 mm</t>
  </si>
  <si>
    <t>1.736,580</t>
  </si>
  <si>
    <t>TRUTRAC-VRETURN-1500TT</t>
  </si>
  <si>
    <t>Tru Trac - V-Return - BB 1500 mm</t>
  </si>
  <si>
    <t>2.023,950</t>
  </si>
  <si>
    <t>TRUTRAC-VRETURN-1800TT</t>
  </si>
  <si>
    <t>Tru Trac - V-Return - BB 1800 mm</t>
  </si>
  <si>
    <t>2.176,390</t>
  </si>
  <si>
    <t>TRUTRAC-VRETURN-2000TT</t>
  </si>
  <si>
    <t>Tru Trac - V-Return - BB 2000 mm</t>
  </si>
  <si>
    <t>2.153,730</t>
  </si>
  <si>
    <t>TRUTRAC-VRETURN-2100TT</t>
  </si>
  <si>
    <t>Tru Trac - V-Return - BB 2100 mm</t>
  </si>
  <si>
    <t>1.965,880</t>
  </si>
  <si>
    <t>TRUTRAC-VRETURN-SLOW-PU-2000TT</t>
  </si>
  <si>
    <t>Tru Trac - V-Return - slow speed polyurethane - BW 2000mm</t>
  </si>
  <si>
    <t>2.605,900</t>
  </si>
  <si>
    <t>TRUTRAC-WINGROL-1000FR-TAPERTT</t>
  </si>
  <si>
    <t>Tru Trac - trough - Wingroller - FRAS - 1000 mm - Taper</t>
  </si>
  <si>
    <t>TRUTRAC-WINGROL-1000-TAPERTT</t>
  </si>
  <si>
    <t>Tru Trac - trough - Wingroller - 1000 mm - Taper</t>
  </si>
  <si>
    <t>271,920</t>
  </si>
  <si>
    <t>TRUTRAC-WINGROL-1050-TAPERTT</t>
  </si>
  <si>
    <t>Tru Trac - trough - Wingroller - 1050 mm - Taper</t>
  </si>
  <si>
    <t>286,340</t>
  </si>
  <si>
    <t>TRUTRAC-WINGROL-1200-TAPERTT</t>
  </si>
  <si>
    <t>Tru Trac - trough - Wingroller - 1200 mm - Taper - HD</t>
  </si>
  <si>
    <t>379,000</t>
  </si>
  <si>
    <t>TRUTRAC-WINGROL-1200TT</t>
  </si>
  <si>
    <t>Tru Trac - Wingroller - 1200 mm - OUD</t>
  </si>
  <si>
    <t>372,600</t>
  </si>
  <si>
    <t>TRUTRAC-WINGROL-1350-TAPERTT</t>
  </si>
  <si>
    <t>Tru Trac - trough - Wingroller - 1350 mm - Taper - HD</t>
  </si>
  <si>
    <t>390,370</t>
  </si>
  <si>
    <t>TRUTRAC-WINGROL-1400FR-TAPERTT</t>
  </si>
  <si>
    <t>Tru Trac - trough - Wingroller - FRAS - 1200/1400 mm - Taper</t>
  </si>
  <si>
    <t>TRUTRAC-WINGROL-1400-TAPERTT</t>
  </si>
  <si>
    <t>Tru Trac - trough - Wingroller - 1400 mm - Taper - HD</t>
  </si>
  <si>
    <t>409,940</t>
  </si>
  <si>
    <t>TRUTRAC-WINGROL-1500-TAPERTT</t>
  </si>
  <si>
    <t>Tru Trac - trough - Wingroller - 1500/1800 mm - Taper - HD</t>
  </si>
  <si>
    <t>TRUTRAC-WINGROL-1500-TAPERXHTT</t>
  </si>
  <si>
    <t>Tru Trac - trough - Wingroller - 1500 mm - Taper - XHD</t>
  </si>
  <si>
    <t>481,010</t>
  </si>
  <si>
    <t>TRUTRAC-WINGROL-1600-TAPERTT</t>
  </si>
  <si>
    <t>Tru Trac - trough - Wingroller - 1600 mm - Taper - HD</t>
  </si>
  <si>
    <t>532,510</t>
  </si>
  <si>
    <t>TRUTRAC-WINGROL-1800-TAPERHTT</t>
  </si>
  <si>
    <t>Tru Trac - trough - Wingroller - 1800 mm - Taper - XHD</t>
  </si>
  <si>
    <t>TRUTRAC-WINGROL-2100-TAPERTT</t>
  </si>
  <si>
    <t>Tru Trac - trough - Wingroller - 2100 mm - Taper - EXHD</t>
  </si>
  <si>
    <t>949,660</t>
  </si>
  <si>
    <t>TRUTRAC-WINGROL-240TT</t>
  </si>
  <si>
    <t>Tru Trac - Wingroller - 240 mm - OUD</t>
  </si>
  <si>
    <t>46,440</t>
  </si>
  <si>
    <t>TRUTRAC-WINGROL-340TT</t>
  </si>
  <si>
    <t>Tru Trac - Wingroller - 340 mm - OUD</t>
  </si>
  <si>
    <t>TRUTRAC-WINGROL-440TT</t>
  </si>
  <si>
    <t>Tru Trac - Wingroller - 440 mm - OUD</t>
  </si>
  <si>
    <t>TRUTRAC-WINGROL-650-TAPERTT</t>
  </si>
  <si>
    <t>Tru Trac - trough - Wingroller - 650 mm - Taper</t>
  </si>
  <si>
    <t>227,630</t>
  </si>
  <si>
    <t>TRUTRAC-WINGROL-750-TAPERTT</t>
  </si>
  <si>
    <t>Tru Trac - trough - Wingroller - 750 mm - Taper</t>
  </si>
  <si>
    <t>TRUTRAC-WINGROL-800-TAPERTT</t>
  </si>
  <si>
    <t>Tru Trac - trough - Wingroller - 800 mm - Taper</t>
  </si>
  <si>
    <t>TS100SCREW-HTRDH</t>
  </si>
  <si>
    <t>T-Rex Screw Splice TS100, hittebestendig 200° (EPDM)</t>
  </si>
  <si>
    <t>133,189</t>
  </si>
  <si>
    <t>07-01_T-Rex Screw Splice</t>
  </si>
  <si>
    <t>T-REX Schroefverbinding ; TS100 Hittebestendig</t>
  </si>
  <si>
    <t>T-REX Schraubverbindung ; TS100 Hitzebeständig</t>
  </si>
  <si>
    <t>T-REX Screw splice ; TS100 Heat resistant</t>
  </si>
  <si>
    <t>T-REX Jonction à vis ; TS100 Résistant à la chaleur</t>
  </si>
  <si>
    <t>Hittebestendige kwaliteit, EPDM ; Banddikte: 6 mm ~ 15 mm; Typische textielbanden: EP1000 ; Minimale trommeldiameter: 300 mm / 350 mm ; Maximale rollengte: 25 mtr ; Inclusief schroeven, afstandhouders en bitjes</t>
  </si>
  <si>
    <t>Hitzebeständige Qualität, EPDM ; Gürtstärke: 6 mm ~ 15 mm ; Typische Textilbänder: EP1000 ; Minimaler Trommeldurchmesser: 300 mm / 350 mm ; Maximale Rollenlänge: 25 mtr ; Inklusive Schrauben, Abstandshalter und Bits</t>
  </si>
  <si>
    <r>
      <t>Heat Resistant quality, EPDM ; Belt thickness</t>
    </r>
    <r>
      <rPr>
        <b/>
        <sz val="10"/>
        <color rgb="FF000000"/>
        <rFont val="Arial"/>
        <family val="2"/>
      </rPr>
      <t xml:space="preserve">: 6 mm ~ 15 mm ; </t>
    </r>
    <r>
      <rPr>
        <sz val="10"/>
        <color indexed="8"/>
        <rFont val="Arial"/>
        <family val="2"/>
      </rPr>
      <t>Typical textile belts: EP1000 ; Minimum pulley Diameter: 300 mm / 350 mm ; Maximal roll length: 25 mtr ; Including screws, spacers and bits</t>
    </r>
  </si>
  <si>
    <t>Qualité résistante à la chaleur, EPDM ; Épaisseur de la ceinture : 6 mm ~ 15 mm ; Courroies textiles types : EP1000 ; Diamètre minimum de poulie : 300 mm / 350 mm ; Longueur maximale du rouleau : 25 mtr ; Y compris les vis, les entretoises et les embouts</t>
  </si>
  <si>
    <t>Maximale rollengte: 25 meter ; Wij rekenen extra snijkosten voor deellengtes van 1 mtr: +25% ; Aanbevolen accessoires: ; *Schroeven (diameter x lengte): M5x22 of M5x24 ; *Spacers (diameter &amp; hoogte): 5H11 of 5H13; *PIZ-bit: PZ 2 ; ; Opmerking: de lengte van de schroef en het type spacer is afhankelijk van de treksterkte en de dikte van de band (karkas). Neem contact op met ons verkoopteam voor meer info.</t>
  </si>
  <si>
    <t>Maximale Rollenlänge: 25 Meter ; Bei Teillängen von 1 m berechnen wir Zuschnittszuschläge: +25% ; Empfohlenes Zubehör: ; *Schrauben (Durchmesser x Länge): M5x22 oder M5x24 ; *Distanzstücke (Durchmesser &amp; Höhe): 5H11 oder 5H13 ; *PIZ-Bit: PZ 2 ; ; Hinweis: Schraubenlänge und Abstandshaltertyp ist abhängig von der Zugfestigkeit und Starke des Gurt (Karkasse). Bitte kontaktieren Sie unser Verkaufsteam für weitere Informationen.</t>
  </si>
  <si>
    <t>Maximal roll lenght: 25 meter ; We charge extra cutting costs for partial lenghts of 1 mtr: +25% ; Recommended accessories: ; *Screws (diameter x length): M5x22 or M5x24 ; *Spacers (diameter &amp; height): 5H11 or 5H13 ; *PIZ Bit: PZ 2 ; ; Note: Length of screw and type of spacer is depending on tensile strength and thickness of belt (carcass). Please contact our sales team for more info.</t>
  </si>
  <si>
    <t>Longueur maximale du rouleau : 25 mètres ; Nous facturons des frais de coupe supplémentaires pour des longueurs partielles de 1 mètre : +25% ; Accessoires recommandés : ; *Vis (diamètre x longueur) : M5x22 ou M5x24 ; *Espaceurs (diamètre &amp; hauteur) : 5H11 ou 5H13 ; *Bit PIZ : PZ 2 ; ; Remarque : La longueur de la vis et le type d'entretoise dépendent de la résistance à la traction et de l'épaisseur de la courroie (carcasse). Veuillez contacter notre équipe de vente pour plus d'informations.</t>
  </si>
  <si>
    <t>De verbinding is flexibel, dus toepassing van T-Rex Screw Splice met bandschraper in installatie is mogelijk. ; Gladder oppervlak dan de meeste mechanische oplossingen. ; Snelle en betrouwbare oplossing voor het verbinden van banden. ; Ontworpen om te worden gebruikt zonder speciaal gereedschap voor bandenonderhoud. ; De installatie is gereed voor productie nadat de verbinding van de band gereed is (geen uithardingstijd en geen wachttijd).</t>
  </si>
  <si>
    <t>Der Verbindung ist flexibel, sodass die Anwendung des T-Rex-Screwsplice mit Bandabstreifer in der Installation möglich ist. ; Glattere Oberfläche als die meisten mechanischen Lösungen. ; Schnelle und zuverlässige Bandspleißlösung. ; Entwickelt für die Verwendung ohne spezielle Gurtenwartungswerkzeuge. ; Die Anlage ist produktionsbereit, nachdem die Gurtverbindung fertig ist (keine Aushärtezeit und keine Wartezeit).</t>
  </si>
  <si>
    <t>The splice is flexible so application of T-Rex Screw Splice with belt scraper in installation is possible. ; Smoother surface than most mechanical solutions. ; Quick and reliable belt splicing solution. ; Designed to be used without special belt maintenance tools. ; Installation is ready for production after belt splicing is ready (no curing time and no waiting time).</t>
  </si>
  <si>
    <t>L'épissure est flexible, de sorte que l'application de l'épissure à vis T-Rex avec racleur de bande lors de l'installation est possible. ; Surface plus lisse que la plupart des solutions mécaniques. ; Solution d'épissure de bande rapide et fiable. ; Conçu pour être utilisé sans outils spéciaux d'entretien des courroies. ; L'installation est prête pour la production une fois que l'épissure de la bande est prête (pas de temps de durcissement ni de temps d'attente).</t>
  </si>
  <si>
    <t>Ontworpen om een snelle verbinding te maken zonder pers en lijm!</t>
  </si>
  <si>
    <t>Entwickelt, um eine schnelle Gurtverbindung ohne Presse und Kleber herzustellen!</t>
  </si>
  <si>
    <t>Designed to make a quick belt splice without a press and glue!</t>
  </si>
  <si>
    <t>Conçu pour réaliser une épissure de courroie rapide sans presse ni colle!</t>
  </si>
  <si>
    <t>TS100SCREWNQDH ; TS80SCREWHTRDH ; TS63SCREWHTRDH ; TS35SCREWHTRDH</t>
  </si>
  <si>
    <t>004</t>
  </si>
  <si>
    <t>mech. Verbinder Gummi (Superscrew)</t>
  </si>
  <si>
    <t>TS100SCREWNQDH</t>
  </si>
  <si>
    <t>T-Rex Screw Splice TS100, normaal</t>
  </si>
  <si>
    <t>98,330</t>
  </si>
  <si>
    <t xml:space="preserve">T-REX Schroefverbinding ; TS100 Standaard kwaliteit </t>
  </si>
  <si>
    <t>T-REX Schraubverbindung ; TS100 Standardqualität</t>
  </si>
  <si>
    <t>T-REX Screw splice ; TS100 Standard quality</t>
  </si>
  <si>
    <t>T-REX Jonction à vis ; TS100 Qualité standard</t>
  </si>
  <si>
    <t>Standaard kwaliteit ; Banddikte: 6 mm ~ 15 mm; Typische textielbanden: EP1000 ; Minimale trommeldiameter: 300 mm / 350 mm ; Maximale rollengte: 25 mtr ; Inclusief schroeven, afstandhouders en bitjes</t>
  </si>
  <si>
    <t>Standardqualität ; Gürtstärke: 6 mm ~ 15 mm ; Typische Textilbänder: EP1000 ; Minimaler Trommeldurchmesser: 300 mm / 350 mm ; Maximale Rollenlänge: 25 mtr ; Inklusive Schrauben, Abstandshalter und Bits</t>
  </si>
  <si>
    <t>Standard quality ; Belt thickness: 6 mm ~ 15 mm ; Typical textile belts: EP1000 ; Minimum pulley Diameter: 300 mm / 350 mm ; Maximal roll length: 25 mtr ; Including screws, spacers and bits</t>
  </si>
  <si>
    <t>Qualité standard ; Épaisseur de la ceinture : 6 mm ~ 15 mm ; Courroies textiles types : EP1000 ; Diamètre minimum de poulie : 300 mm / 350 mm ; Longueur maximale du rouleau : 25 mtr ; Y compris les vis, les entretoises et les embouts</t>
  </si>
  <si>
    <t>Der Verbindung ist flexibel, sodass die Anwendung des T-Rex-Schraubspleißes mit Bandabstreifer in der Installation möglich ist. ; Glattere Oberfläche als die meisten mechanischen Lösungen. ; Schnelle und zuverlässige Bandspleißlösung. ; Entwickelt für die Verwendung ohne spezielle Gurtenwartungswerkzeuge. ; Die Anlage ist produktionsbereit, nachdem die Gurtverbindung fertig ist (keine Aushärtezeit und keine Wartezeit).</t>
  </si>
  <si>
    <t>Entwickelt, um einen schnellen Gurtverbindung ohne Presse und Kleber herzustellen!</t>
  </si>
  <si>
    <t>TS100SCREW-HTRDH ; TS125SCREWNQDH ; TS180SCREWNQDH ; TS80SCREWNQDH</t>
  </si>
  <si>
    <t>TS125SCREWNQDH</t>
  </si>
  <si>
    <t>T-Rex Screw Splice TS125, normaal</t>
  </si>
  <si>
    <t>123,920</t>
  </si>
  <si>
    <t xml:space="preserve">T-REX Schroefverbinding ; TS125 Standaard kwaliteit </t>
  </si>
  <si>
    <t>T-REX Schraubverbindung ; TS125 Standardqualität</t>
  </si>
  <si>
    <t>T-REX Screw splice ; TS125 Standard quality</t>
  </si>
  <si>
    <t>T-REX Jonction à vis ; TS125 Qualité standard</t>
  </si>
  <si>
    <t>Standaard kwaliteit ; Banddikte: 7 mm ~ 20,5 mm ; Typische textielbanden: EP1250 ; Minimale trommeldiameter: 350 mm / 500 mm ; Maximale rollengte: 15 mtr ; Inclusief schroeven, afstandhouders en bitjes</t>
  </si>
  <si>
    <t>Standardqualität ; Gürtstärke: 7 mm ~ 20,5 mm ; Typische Textilbänder: EP1250 ; Minimaler Trommeldurchmesser: 350 mm / 500 mm ; Maximale Rollenlänge: 15 mtr ; Inklusive Schrauben, Abstandshalter und Bits</t>
  </si>
  <si>
    <t>Standard quality ; Belt thickness: 7 mm ~ 20,5 mm ; Typical textile belts: EP1250 ; Minimum pulley Diameter: 350 mm / 500 mm ; Maximal roll length: 15 mtr ; Including screws, spacers and bits</t>
  </si>
  <si>
    <t>Qualité standard ; Épaisseur de la ceinture : 7 mm ~ 20,5 mm ; Courroies textiles types : EP1250 ; Diamètre minimum de poulie : 350 mm / 500 mm ; Longueur maximale du rouleau : 15 mtr ; Y compris les vis, les entretoises et les embouts</t>
  </si>
  <si>
    <t>Maximale rollengte: 15 meter ; Wij rekenen extra snijkosten voor deellengtes van 1 mtr: +25% ; Aanbevolen accessoires: ; *Schroeven (diameter x lengte): M6x21 of M6x22,5 of M6x24 ; *Spacers (diameter &amp; hoogte): 6H9 of 6H11 ; *PIZ-bit: PZ 3 ; ; Opmerking: de lengte van de schroef en het type spacer is afhankelijk van de treksterkte en de dikte van de band (karkas). Neem contact op met ons verkoopteam voor meer info.</t>
  </si>
  <si>
    <t>Maximale Rollenlänge: 15 Meter ; Bei Teillängen von 1 m berechnen wir Zuschnittszuschläge: +25% ; Empfohlenes Zubehör: ; *Schrauben (Durchmesser x Länge): M6x21 oder M6x22,5 oder M6x24 ; *Distanzstücke (Durchmesser &amp; Höhe): 6H9 oder 6H11 ; *PIZ-Bit: PZ 3 ; ; Hinweis: Schraubenlänge und Abstandshaltertyp ist abhängig von der Zugfestigkeit und Starke des Gurt (Karkasse). Bitte kontaktieren Sie unser Verkaufsteam für weitere Informationen.</t>
  </si>
  <si>
    <t>Maximal roll lenght: 15 meter ; We charge extra cutting costs for partial lenghts of 1 mtr: +25% ; Recommended accessories: ; *Screws (diameter x length): M6x21 or M6x22,5 or M6x24 ; *Spacers (diameter &amp; height): 6H9 or 6H11 ; *PIZ Bit: PZ 3 ; ; Note: Length of screw and type of spacer is depending on tensile strength and thickness of belt (carcass). Please contact our sales team for more info.</t>
  </si>
  <si>
    <t>Longueur maximale du rouleau : 15 mètres ; Nous facturons des frais de coupe supplémentaires pour des longueurs partielles de 1 mètre : +25% ; Accessoires recommandés : ; *Vis (diamètre x longueur) : M6x21 ou M6x22,5 ou M6x24; *Espaceurs (diamètre &amp; hauteur) : 6H9 ou 6H11 ; *Bit PIZ : PZ 3 ; ; Remarque : La longueur de la vis et le type d'entretoise dépendent de la résistance à la traction et de l'épaisseur de la courroie (carcasse). Veuillez contacter notre équipe de vente pour plus d'informations.</t>
  </si>
  <si>
    <t>TS100SCREW-HTRDH ; TS100SCREWNQDH ; TS180SCREWNQDH ; TS80SCREWNQDH</t>
  </si>
  <si>
    <t>TS180SCREWNQDH</t>
  </si>
  <si>
    <t>T-Rex Screw Splice TS180, normaal</t>
  </si>
  <si>
    <t>128,470</t>
  </si>
  <si>
    <t xml:space="preserve">T-REX Schroefverbinding ; TS180 Standaard kwaliteit </t>
  </si>
  <si>
    <t>T-REX Schraubverbindung ; TS180 Standardqualität</t>
  </si>
  <si>
    <t>T-REX Screw splice ; TS180 Standard quality</t>
  </si>
  <si>
    <t>T-REX Jonction à vis ; TS180 Qualité standard</t>
  </si>
  <si>
    <t>Standaard kwaliteit ; Banddikte: 7 mm ~ 20,5 mm ; Typische textielbanden: EP1600 / EP1800 ; Minimale trommeldiameter: 400 mm / 800 mm ; Maximale rollengte: 15 mtr ; Inclusief schroeven, afstandhouders en bitjes</t>
  </si>
  <si>
    <t>Standardqualität ; Gürtstärke: 7 mm ~ 20,5 mm ; Typische Textilbänder: EP1600 / EP1800 ; Minimaler Trommeldurchmesser: 400 mm / 800 mm ; Maximale Rollenlänge: 15 mtr ; Inklusive Schrauben, Abstandshalter und Bits</t>
  </si>
  <si>
    <t>Standard quality ; Belt thickness: 7 mm ~ 20,5 mm ; Typical textile belts: EP1600 / EP1800 ; Minimum pulley Diameter: 400 mm / 800 mm ; Maximal roll length: 15 mtr ; Including screws, spacers and bits</t>
  </si>
  <si>
    <t>Qualité standard ; Épaisseur de la ceinture : 7 mm ~ 20,5 mm ; Courroies textiles types : EP1600 / EP1800 ; Diamètre minimum de poulie : 400 mm / 800 mm ; Longueur maximale du rouleau : 15 mtr ; Y compris les vis, les entretoises et les embouts</t>
  </si>
  <si>
    <t>Maximale rollengte: 15 meter ; Wij rekenen extra snijkosten voor deellengtes van 1 mtr: +25% ; Aanbevolen accessoires: ; *Schroeven (diameter x lengte): M6x24 of M6x25,5 ; *Spacers (diameter &amp; hoogte): 6H11 of 6H15 ; *PIZ-bit: PZ 3 ; ; Opmerking: de lengte van de schroef en het type spacer is afhankelijk van de treksterkte en de dikte van de band (karkas). Neem contact op met ons verkoopteam voor meer info.</t>
  </si>
  <si>
    <t>Maximale Rollenlänge: 15 Meter ; Bei Teillängen von 1 m berechnen wir Zuschnittszuschläge: +25% ; Empfohlenes Zubehör: ; *Schrauben (Durchmesser x Länge): M6x24 oder M6x25,5; *Distanzstücke (Durchmesser &amp; Höhe): 6H11 oder 6H15 ; *PIZ-Bit: PZ 3 ; ; Hinweis: Schraubenlänge und Abstandshaltertyp ist abhängig von der Zugfestigkeit und Starke des Gurt (Karkasse). Bitte kontaktieren Sie unser Verkaufsteam für weitere Informationen.</t>
  </si>
  <si>
    <t>Maximal roll lenght: 15 meter ; We charge extra cutting costs for partial lenghts of 1 mtr: +25% ; Recommended accessories: ; *Screws (diameter x length): M6x24 or M6x25,5 ; *Spacers (diameter &amp; height): 6H11 or 6H15 ; *PIZ Bit: PZ 3 ; ; Note: Length of screw and type of spacer is depending on tensile strength and thickness of belt (carcass). Please contact our sales team for more info.</t>
  </si>
  <si>
    <t>Longueur maximale du rouleau : 15 mètres ; Nous facturons des frais de coupe supplémentaires pour des longueurs partielles de 1 mètre : +25% ; Accessoires recommandés : ; *Vis (diamètre x longueur) : M6x24 ou M6x25,5; *Espaceurs (diamètre &amp; hauteur) : 6H11 ou 6H15 ; *Bit PIZ : PZ 3 ; ; Remarque : La longueur de la vis et le type d'entretoise dépendent de la résistance à la traction et de l'épaisseur de la courroie (carcasse). Veuillez contacter notre équipe de vente pour plus d'informations.</t>
  </si>
  <si>
    <t>TS100SCREW-HTRDH ; TS100SCREWNQDH ; TS125SCREWNQDH ; TS80SCREWNQDH</t>
  </si>
  <si>
    <t>TS35SCREWHTRDH</t>
  </si>
  <si>
    <t>T-Rex Screw Splice TS35, hittebestendig 200° (EPDM)</t>
  </si>
  <si>
    <t>48,630</t>
  </si>
  <si>
    <t>T-REX Schroefverbinding ; TS35 Hittebestendig</t>
  </si>
  <si>
    <t>T-REX Schraubverbindung ; TS35 Hitzebeständig</t>
  </si>
  <si>
    <t>T-REX Screw splice ; TS35 Heat resistant</t>
  </si>
  <si>
    <t>T-REX Jonction à vis ; TS35 Résistant à la chaleur</t>
  </si>
  <si>
    <t>Hittebestendige kwaliteit, EPDM ; Banddikte: 4 mm ~ 11 mm; Typische textielbanden: EP250 / EP315 / EP400 ; Minimale trommeldiameter: 160 mm / 200 mm ; Maximale rollengte: 25 mtr ; Inclusief schroeven, afstandhouders en bitjes</t>
  </si>
  <si>
    <t>Hitzebeständige Qualität, EPDM ; Gürtstärke: 4 mm ~ 11 mm ; Typische Textilbänder: EP250 / EP315 / EP400 ; Minimaler Trommeldurchmesser: 160 mm / 200 mm ; Maximale Rollenlänge: 25 mtr ; Inklusive Schrauben, Abstandshalter und Bits</t>
  </si>
  <si>
    <t>Heat Resistant quality, EPDM ; Belt thickness: 4 mm ~ 11 mm ; Typical textile belts: EP250 / EP315 / EP400 ; Minimum pulley Diameter: 160 mm / 200 mm ; Maximal roll length: 25 mtr ; Including screws, spacers and bits</t>
  </si>
  <si>
    <t>Qualité résistante à la chaleur, EPDM ; Épaisseur de la ceinture : 4 mm ~ 11 mm ; Courroies textiles types : EP250 / EP315 / EP400 ; Diamètre minimum de poulie : 160 mm / 200 mm ; Longueur maximale du rouleau : 25 mtr ; Y compris les vis, les entretoises et les embouts</t>
  </si>
  <si>
    <t>Maximale rollengte: 25 meter ; Wij rekenen extra snijkosten voor deellengtes van 1 mtr: +25% ; Aanbevolen accessoires: ; *Schroeven (diameter x lengte): M5x12 of M5x14 ; *Spacers (diameter &amp; hoogte): 5H5 of 5H7; *PIZ-bit: PZ 2 ; ; Opmerking: de lengte van de schroef en het type spacer is afhankelijk van de treksterkte en de dikte van de band (karkas). Neem contact op met ons verkoopteam voor meer info.</t>
  </si>
  <si>
    <t>Maximale Rollenlänge: 25 Meter ; Bei Teillängen von 1 m berechnen wir Zuschnittszuschläge: +25% ; Empfohlenes Zubehör: ; *Schrauben (Durchmesser x Länge): M5x12 oder M5x14 ; *Distanzstücke (Durchmesser &amp; Höhe): 5H5 oder 5H7 ; *PIZ-Bit: PZ 2 ; ; Hinweis: Schraubenlänge und Abstandshaltertyp ist abhängig von der Zugfestigkeit und Starke des Gurt (Karkasse). Bitte kontaktieren Sie unser Verkaufsteam für weitere Informationen.</t>
  </si>
  <si>
    <t>Maximal roll lenght: 25 meter ; We charge extra cutting costs for partial lenghts of 1 mtr: +25% ; Recommended accessories: ; *Screws (diameter x length): M5x12 or M5x14 ; *Spacers (diameter &amp; height): 5H5 or 5H7 ; *PIZ Bit: PZ 2 ; ; Note: Length of screw and type of spacer is depending on tensile strength and thickness of belt (carcass). Please contact our sales team for more info.</t>
  </si>
  <si>
    <t>Longueur maximale du rouleau : 25 mètres ; Nous facturons des frais de coupe supplémentaires pour des longueurs partielles de 1 mètre : +25% ; Accessoires recommandés : ; *Vis (diamètre x longueur) : M5x12 ou M5x14 ; *Espaceurs (diamètre &amp; hauteur) : 5H5 ou 5H7 ; *Bit PIZ : PZ 2 ; ; Remarque : La longueur de la vis et le type d'entretoise dépendent de la résistance à la traction et de l'épaisseur de la courroie (carcasse). Veuillez contacter notre équipe de vente pour plus d'informations.</t>
  </si>
  <si>
    <t>TS63SCREWHTRDH ; TS80SCREWHTRDH ; TS100SCREW-HTRDH ; TS35SCREWNQDH</t>
  </si>
  <si>
    <t>TS35SCREWNQDH</t>
  </si>
  <si>
    <t>T-Rex Screw Splice TS35, normaal</t>
  </si>
  <si>
    <t xml:space="preserve">T-REX Schroefverbinding ; TS35 Standaard kwaliteit </t>
  </si>
  <si>
    <t>T-REX Schraubverbindung ; TS35 Standardqualität</t>
  </si>
  <si>
    <t>T-REX Screw splice ; TS35 Standard quality</t>
  </si>
  <si>
    <t>T-REX Jonction à vis ; TS35 Qualité standard</t>
  </si>
  <si>
    <t>Standaard kwaliteit ; Banddikte: 4 mm ~ 11 mm; Typische textielbanden: EP250 / EP315 / EP400 ; Minimale trommeldiameter: 160 mm / 200 mm ; Maximale rollengte: 25 mtr ; Inclusief schroeven, afstandhouders en bitjes</t>
  </si>
  <si>
    <t>Standardqualität ; Gürtstärke: 4 mm ~ 11 mm ; Typische Textilbänder: EP250 / EP315 / EP400 ; Minimaler Trommeldurchmesser: 160 mm / 200 mm ; Maximale Rollenlänge: 25 mtr ; Inklusive Schrauben, Abstandshalter und Bits</t>
  </si>
  <si>
    <t>Standard quality ; Belt thickness: 4 mm ~ 11 mm ; Typical textile belts: EP250 / EP315 / EP400 ; Minimum pulley Diameter: 160 mm / 200 mm ; Maximal roll length: 25 mtr ; Including screws, spacers and bits</t>
  </si>
  <si>
    <t>Qualité standard ; Épaisseur de la ceinture : 4 mm ~ 11 mm ; Courroies textiles types : EP250 / EP315 / EP400 ; Diamètre minimum de poulie : 160 mm / 200 mm ; Longueur maximale du rouleau : 25 mtr ; Y compris les vis, les entretoises et les embouts</t>
  </si>
  <si>
    <t>TS63SCREWNQDH ; TS80SCREWNQDH ; TS100SCREWNQDH ; TS63SCREWOILDH</t>
  </si>
  <si>
    <t>TS35SCREWOILDH</t>
  </si>
  <si>
    <t>T-Rex Screw Splice TS35, olie- en vetbestendig</t>
  </si>
  <si>
    <t>44,410</t>
  </si>
  <si>
    <t xml:space="preserve">T-REX Schroefverbinding ; TS35 Olie en vet bestendige kwaliteit </t>
  </si>
  <si>
    <t>T-REX Schraubverbindung ; TS35 Öl- und Fettbeständig</t>
  </si>
  <si>
    <t>T-REX Screw splice ; TS35 Full Oil resistant quality</t>
  </si>
  <si>
    <t>T-REX Jonction à vis ; TS35 Qualité anti huile et graisse</t>
  </si>
  <si>
    <t>Olie en vet bestendige kwaliteit ; Banddikte: 4 mm ~ 11 mm; Typische textielbanden: EP250 / EP315 / EP400 ; Minimale trommeldiameter: 160 mm / 200 mm ; Maximale rollengte: 25 mtr ; Inclusief schroeven, afstandhouders en bitjes</t>
  </si>
  <si>
    <t>Öl- und Fettbeständige Qualität, EPDM ; Gürtstärke: 4 mm ~ 11 mm ; Typische Textilbänder: EP250 / EP315 / EP400 ; Minimaler Trommeldurchmesser: 160 mm / 200 mm ; Maximale Rollenlänge: 25 mtr ; Inklusive Schrauben, Abstandshalter und Bits</t>
  </si>
  <si>
    <t>Full Oil resistant quality ; Belt thickness: 4 mm ~ 11 mm ; Typical textile belts: EP250 / EP315 / EP400 ; Minimum pulley Diameter: 160 mm / 200 mm ; Maximal roll length: 25 mtr ; Including screws, spacers and bits</t>
  </si>
  <si>
    <t>Qualité anti huile et graisse ; Épaisseur de la ceinture : 4 mm ~ 11 mm ; Courroies textiles types : EP250 / EP315 / EP400 ; Diamètre minimum de poulie : 160 mm / 200 mm ; Longueur maximale du rouleau : 25 mtr ; Y compris les vis, les entretoises et les embouts</t>
  </si>
  <si>
    <t>TS63SCREWOILDH ; TS35SCREWHTRDH ; TS35SCREWNQDH ; TS35SCREWSTAINLESSDH</t>
  </si>
  <si>
    <t>TS35SCREWSTAINLESSDH</t>
  </si>
  <si>
    <t>T-Rex Screw Splice TS35, roestvrijstaal</t>
  </si>
  <si>
    <t>71,370</t>
  </si>
  <si>
    <t xml:space="preserve">T-REX Schroefverbinding ; TS35 Roestvrij kwaliteit </t>
  </si>
  <si>
    <t>T-REX Schraubverbindung ; TS35 Rostfreier Stahl Qualität</t>
  </si>
  <si>
    <t>T-REX Screw splice ; TS35 Stainless Steel quality</t>
  </si>
  <si>
    <t>T-REX Jonction à vis ; TS35 Qualité Acier inoxydable</t>
  </si>
  <si>
    <t>Roestvrij staal kwaliteit ; Banddikte: 4 mm ~ 11 mm; Typische textielbanden: EP250 / EP315 / EP400 ; Minimale trommeldiameter: 160 mm / 200 mm ; Maximale rollengte: 25 mtr ; Inclusief schroeven, afstandhouders en bitjes</t>
  </si>
  <si>
    <t>Rostfreier Stahl Qualität ; Gürtstärke: 4 mm ~ 11 mm ; Typische Textilbänder: EP250 / EP315 / EP400 ; Minimaler Trommeldurchmesser: 160 mm / 200 mm ; Maximale Rollenlänge: 25 mtr ; Inklusive Schrauben, Abstandshalter und Bits</t>
  </si>
  <si>
    <t>Stainless Steel quality ; Belt thickness: 4 mm ~ 11 mm ; Typical textile belts: EP250 / EP315 / EP400 ; Minimum pulley Diameter: 160 mm / 200 mm ; Maximal roll length: 25 mtr ; Including screws, spacers and bits</t>
  </si>
  <si>
    <t>Qualité Acier inoxydable ; Épaisseur de la ceinture : 4 mm ~ 11 mm ; Courroies textiles types : EP250 / EP315 / EP400 ; Diamètre minimum de poulie : 160 mm / 200 mm ; Longueur maximale du rouleau : 25 mtr ; Y compris les vis, les entretoises et les embouts</t>
  </si>
  <si>
    <t xml:space="preserve">TS63SCREWSTAINLESSDH ; TS35SCREWHTRDH ; TS35SCREWNQDH ; TS35SCREWOILDH </t>
  </si>
  <si>
    <t>TS63SCREWHTRDH</t>
  </si>
  <si>
    <t>T-Rex Screw Splice TS63, hittebestendig 200° (EPDM)</t>
  </si>
  <si>
    <t>74,120</t>
  </si>
  <si>
    <t>T-REX Schroefverbinding ; TS63 Hittebestendig</t>
  </si>
  <si>
    <t>T-REX Schraubverbindung ; TS63 Hitzebeständig</t>
  </si>
  <si>
    <t>T-REX Screw splice ; TS63 Heat resistant</t>
  </si>
  <si>
    <t>T-REX Jonction à vis ; TS63 Résistant à la chaleur</t>
  </si>
  <si>
    <t>Hittebestendige kwaliteit ; Banddikte: 4 mm ~ 13 mm; Typische textielbanden: EP500 / EP630 ; Minimale trommeldiameter: 220 mm / 300 mm ; Maximale rollengte: 25 mtr ; Inclusief schroeven, afstandhouders en bitjes</t>
  </si>
  <si>
    <t>Hitzebeständig Qualität ; Gürtstärke: 4 mm ~ 13 mm ; Typische Textilbänder: EP500 / EP630 ; Minimaler Trommeldurchmesser: 220 mm / 300 mm ; Maximale Rollenlänge: 25 mtr ; Inklusive Schrauben, Abstandshalter und Bits</t>
  </si>
  <si>
    <t>Heat resistant quality ; Belt thickness: 4 mm ~ 13 mm ; Typical textile belts: EP500 / EP630 ; Minimum pulley Diameter: 220 mm / 300 mm ; Maximal roll length: 25 mtr ; Including screws, spacers and bits</t>
  </si>
  <si>
    <t>Qualité Résistant à la chaleur ; Épaisseur de la ceinture : 4 mm ~ 13 mm ; Courroies textiles types : EP500 / EP630 ; Diamètre minimum de poulie : 220 mm / 300 mm ; Longueur maximale du rouleau : 25 mtr ; Y compris les vis, les entretoises et les embouts</t>
  </si>
  <si>
    <t>Maximale rollengte: 25 meter ; Wij rekenen extra snijkosten voor deellengtes van 1 mtr: +25% ; Aanbevolen accessoires: ; *Schroeven (diameter x lengte): M5x14 of M5x16 of M5x18 ; *Spacers (diameter &amp; hoogte): 5H7 of 5H9 of 5H11 ; *PIZ-bit: PZ 2 ; ; Opmerking: de lengte van de schroef en het type spacer is afhankelijk van de treksterkte en de dikte van de band (karkas). Neem contact op met ons verkoopteam voor meer info.</t>
  </si>
  <si>
    <t>Maximale Rollenlänge: 25 Meter ; Bei Teillängen von 1 m berechnen wir Zuschnittszuschläge: +25% ; Empfohlenes Zubehör: ; *Schrauben (Durchmesser x Länge): M5x14 oder M5x16 oder M5x18 ; *Distanzstücke (Durchmesser &amp; Höhe): 5H7 oder 5H9 oder 5H11 ; *PIZ-Bit: PZ 2 ; ; Hinweis: Schraubenlänge und Abstandshaltertyp ist abhängig von der Zugfestigkeit und Starke des Gurt (Karkasse). Bitte kontaktieren Sie unser Verkaufsteam für weitere Informationen.</t>
  </si>
  <si>
    <t>Maximal roll lenght: 25 meter ; We charge extra cutting costs for partial lenghts of 1 mtr: +25% ; Recommended accessories: ; *Screws (diameter x length): M5x14 or M5x16 or M5x18 ; *Spacers (diameter &amp; height): 5H7 or 5H9 or 5H11 ; *PIZ Bit: PZ 2 ; ; Note: Length of screw and type of spacer is depending on tensile strength and thickness of belt (carcass). Please contact our sales team for more info.</t>
  </si>
  <si>
    <t>Longueur maximale du rouleau : 25 mètres ; Nous facturons des frais de coupe supplémentaires pour des longueurs partielles de 1 mètre : +25% ; Accessoires recommandés : ; *Vis (diamètre x longueur) : M5x14 ou M5x16 ou M518 ; *Espaceurs (diamètre &amp; hauteur) : 5H7 ou 5H9 ou 5H11 ; *Bit PIZ : PZ 2 ; ; Remarque : La longueur de la vis et le type d'entretoise dépendent de la résistance à la traction et de l'épaisseur de la courroie (carcasse). Veuillez contacter notre équipe de vente pour plus d'informations.</t>
  </si>
  <si>
    <t>TS80SCREWHTRDH ; TS63SCREWNQDH ; TS63SCREWOILDH ; TS63SCREWSTAINLESSDH</t>
  </si>
  <si>
    <t>TS63SCREWNQDH</t>
  </si>
  <si>
    <t>T-Rex Screw Splice TS63, normaal</t>
  </si>
  <si>
    <t>53,790</t>
  </si>
  <si>
    <t xml:space="preserve">T-REX Schroefverbinding ; TS63 Standaard kwaliteit </t>
  </si>
  <si>
    <t>T-REX Schraubverbindung ; TS63 Standardqualität</t>
  </si>
  <si>
    <t>T-REX Screw splice ; TS63 Standard quality</t>
  </si>
  <si>
    <t>T-REX Jonction à vis ; TS63 Qualité standard</t>
  </si>
  <si>
    <t>Standaard kwaliteit ; Banddikte: 4 mm ~ 13 mm; Typische textielbanden: EP500 / EP630 ; Minimale trommeldiameter: 220 mm / 300 mm ; Maximale rollengte: 25 mtr ; Inclusief schroeven, afstandhouders en bitjes</t>
  </si>
  <si>
    <t>Standardqualität ; Gürtstärke: 4 mm ~ 13 mm ; Typische Textilbänder: EP500 / EP630 ; Minimaler Trommeldurchmesser: 220 mm / 300 mm ; Maximale Rollenlänge: 25 mtr ; Inklusive Schrauben, Abstandshalter und Bits</t>
  </si>
  <si>
    <t>Standard quality ; Belt thickness: 4 mm ~ 13 mm ; Typical textile belts: EP500 / EP630 ; Minimum pulley Diameter: 220 mm / 300 mm ; Maximal roll length: 25 mtr ; Including screws, spacers and bits</t>
  </si>
  <si>
    <t>Qualité standard ; Épaisseur de la ceinture : 4 mm ~ 13 mm ; Courroies textiles types : EP500 / EP630 ; Diamètre minimum de poulie : 220 mm / 300 mm ; Longueur maximale du rouleau : 25 mtr ; Y compris les vis, les entretoises et les embouts</t>
  </si>
  <si>
    <t>TS35SCREWNQDH ; TS80SCREWNQDH ; TS63SCREWOILDH ; TS63SCREWSTAINLESSDH</t>
  </si>
  <si>
    <t>TS63SCREWOILDH</t>
  </si>
  <si>
    <t>T-Rex Screw Splice TS63, olie- en vetbestendig</t>
  </si>
  <si>
    <t>59,320</t>
  </si>
  <si>
    <t xml:space="preserve">T-REX Schroefverbinding ; TS63 Olie en vet bestendige kwaliteit </t>
  </si>
  <si>
    <t>T-REX Schraubverbindung ; TS63 Öl- und Fettbeständig</t>
  </si>
  <si>
    <t>T-REX Screw splice ; TS63 Full Oil resistant quality</t>
  </si>
  <si>
    <t>T-REX Jonction à vis ; TS63 Qualité anti huile et graisse</t>
  </si>
  <si>
    <t>Olie en vet bestendige kwaliteit ; Banddikte: 4 mm ~ 13 mm; Typische textielbanden: EP500 / EP630 ; Minimale trommeldiameter: 220 mm / 300 mm ; Maximale rollengte: 25 mtr ; Inclusief schroeven, afstandhouders en bitjes</t>
  </si>
  <si>
    <t>Öl- und Fettbeständig Qualität ; Gürtstärke: 4 mm ~ 13 mm ; Typische Textilbänder: EP500 / EP630 ; Minimaler Trommeldurchmesser: 220 mm / 300 mm ; Maximale Rollenlänge: 25 mtr ; Inklusive Schrauben, Abstandshalter und Bits</t>
  </si>
  <si>
    <t>Oil and grease resistant quality ; Belt thickness: 4 mm ~ 13 mm ; Typical textile belts: EP500 / EP630 ; Minimum pulley Diameter: 220 mm / 300 mm ; Maximal roll length: 25 mtr ; Including screws, spacers and bits</t>
  </si>
  <si>
    <t>Qualité anti huile et graisse ; Épaisseur de la ceinture : 4 mm ~ 13 mm ; Courroies textiles types : EP500 / EP630 ; Diamètre minimum de poulie : 220 mm / 300 mm ; Longueur maximale du rouleau : 25 mtr ; Y compris les vis, les entretoises et les embouts</t>
  </si>
  <si>
    <t>TS35SCREWOILDH ; TS63SCREWHTRDH ; TS63SCREWNQDH ; TS63SCREWSTAINLESSDH</t>
  </si>
  <si>
    <t>TS63SCREWSTAINLESSDH</t>
  </si>
  <si>
    <t>T-Rex Screw Splice TS63, roestvrijstaal</t>
  </si>
  <si>
    <t>91,180</t>
  </si>
  <si>
    <t xml:space="preserve">T-REX Schroefverbinding ; TS63 Roestvrij kwaliteit </t>
  </si>
  <si>
    <t>T-REX Schraubverbindung ; TS63 Rostfreier Stahl Qualität</t>
  </si>
  <si>
    <t>T-REX Screw splice ; TS63 Stainless Steel quality</t>
  </si>
  <si>
    <t>T-REX Jonction à vis ; TS63 Qualité Acier inoxydable</t>
  </si>
  <si>
    <t>Roestvrij staal kwaliteit ; Banddikte: 4 mm ~ 13 mm; Typische textielbanden: EP500 / EP630 ; Minimale trommeldiameter: 220 mm / 300 mm ; Maximale rollengte: 25 mtr ; Inclusief schroeven, afstandhouders en bitjes</t>
  </si>
  <si>
    <t>Rostfreier Stahl Qualität ; Gürtstärke: 4 mm ~ 13 mm ; Typische Textilbänder: EP500 / EP630 ; Minimaler Trommeldurchmesser: 220 mm / 300 mm ; Maximale Rollenlänge: 25 mtr ; Inklusive Schrauben, Abstandshalter und Bits</t>
  </si>
  <si>
    <t>Stainless Steel quality ; Belt thickness: 4 mm ~ 13 mm ; Typical textile belts: EP500 / EP630 ; Minimum pulley Diameter: 220 mm / 300 mm ; Maximal roll length: 25 mtr ; Including screws, spacers and bits</t>
  </si>
  <si>
    <t>Qualité Acier inoxydable ; Épaisseur de la ceinture : 4 mm ~ 13 mm ; Courroies textiles types : EP500 / EP630 ; Diamètre minimum de poulie : 220 mm / 300 mm ; Longueur maximale du rouleau : 25 mtr ; Y compris les vis, les entretoises et les embouts</t>
  </si>
  <si>
    <t xml:space="preserve">TS35SCREWSTAINLESSDH ; TS63SCREWHTRDH ; TS63SCREWNQDH ; TS63SCREWOILDH </t>
  </si>
  <si>
    <t>TS80SCREWHTRDH</t>
  </si>
  <si>
    <t>T-Rex Screw Splice TS80, hittebestendig 200° (EPDM)</t>
  </si>
  <si>
    <t>117,930</t>
  </si>
  <si>
    <t>T-REX Schroefverbinding ; TS80 Hittebestendig</t>
  </si>
  <si>
    <t>T-REX Schraubverbindung ; TS80 Hitzebeständig</t>
  </si>
  <si>
    <t>T-REX Screw splice ; TS80 Heat resistant</t>
  </si>
  <si>
    <t>T-REX Jonction à vis ; TS80 Résistant à la chaleur</t>
  </si>
  <si>
    <t>Hittebestendige kwaliteit ; Banddikte: 4 mm ~ 15 mm; Typische textielbanden: EP800 ; Minimale trommeldiameter: 250 mm / 350 mm ; Maximale rollengte: 25 mtr ; Inclusief schroeven, afstandhouders en bitjes</t>
  </si>
  <si>
    <t>Hitzebeständig Qualität ; Gürtstärke: 4 mm ~ 15 mm ; Typische Textilbänder: EP800 ; Minimaler Trommeldurchmesser: 250 mm / 350 mm ; Maximale Rollenlänge: 25 mtr ; Inklusive Schrauben, Abstandshalter und Bits</t>
  </si>
  <si>
    <t>Heat resistant quality ; Belt thickness: 4 mm ~ 15 mm ; Typical textile belts: EP800 ; Minimum pulley Diameter: 250 mm / 350 mm ; Maximal roll length: 25 mtr ; Including screws, spacers and bits</t>
  </si>
  <si>
    <t>Qualité Résistant à la chaleur ; Épaisseur de la ceinture : 4 mm ~ 15 mm ; Courroies textiles types : EP800 ; Diamètre minimum de poulie : 250 mm / 350 mm ; Longueur maximale du rouleau : 25 mtr ; Y compris les vis, les entretoises et les embouts</t>
  </si>
  <si>
    <t>Maximale rollengte: 25 meter ; Wij rekenen extra snijkosten voor deellengtes van 1 mtr: +25% ; Aanbevolen accessoires: ; *Schroeven (diameter x lengte): M5x18 ; *Spacers (diameter &amp; hoogte): 5H11 ; *PIZ-bit: PZ 2 ; ; Opmerking: de lengte van de schroef en het type spacer is afhankelijk van de treksterkte en de dikte van de band (karkas). Neem contact op met ons verkoopteam voor meer info.</t>
  </si>
  <si>
    <t>Maximale Rollenlänge: 25 Meter ; Bei Teillängen von 1 m berechnen wir Zuschnittszuschläge: +25% ; Empfohlenes Zubehör: ; *Schrauben (Durchmesser x Länge): M5x18 ; *Distanzstücke (Durchmesser &amp; Höhe): 5H11 ; *PIZ-Bit: PZ 2 ; ; Hinweis: Schraubenlänge und Abstandshaltertyp ist abhängig von der Zugfestigkeit und Starke des Gurt (Karkasse). Bitte kontaktieren Sie unser Verkaufsteam für weitere Informationen.</t>
  </si>
  <si>
    <t>Maximal roll lenght: 25 meter ; We charge extra cutting costs for partial lenghts of 1 mtr: +25% ; Recommended accessories: ; *Screws (diameter x length): M5x18 ; *Spacers (diameter &amp; height): 5H11 ; *PIZ Bit: PZ 2 ; ; Note: Length of screw and type of spacer is depending on tensile strength and thickness of belt (carcass). Please contact our sales team for more info.</t>
  </si>
  <si>
    <t>Longueur maximale du rouleau : 25 mètres ; Nous facturons des frais de coupe supplémentaires pour des longueurs partielles de 1 mètre : +25% ; Accessoires recommandés : ; *Vis (diamètre x longueur) : M518 ; *Espaceurs (diamètre &amp; hauteur) : 5H11 ; *Bit PIZ : PZ 2 ; ; Remarque : La longueur de la vis et le type d'entretoise dépendent de la résistance à la traction et de l'épaisseur de la courroie (carcasse). Veuillez contacter notre équipe de vente pour plus d'informations.</t>
  </si>
  <si>
    <t>TS80SCREWNQDH ; TS63SCREWHTRDH ; TS35SCREWHTRDH ; TS100SCREW-HTRDH</t>
  </si>
  <si>
    <t>TS80SCREWNQDH</t>
  </si>
  <si>
    <t>T-Rex Screw Splice TS80, normaal</t>
  </si>
  <si>
    <t>81,290</t>
  </si>
  <si>
    <t xml:space="preserve">T-REX Schroefverbinding ; TS80 Standaard kwaliteit </t>
  </si>
  <si>
    <t>T-REX Schraubverbindung ; TS80 Standardqualität</t>
  </si>
  <si>
    <t>T-REX Screw splice ; TS80 Standard quality</t>
  </si>
  <si>
    <t>T-REX Jonction à vis ; TS80 Qualité standard</t>
  </si>
  <si>
    <t>Standaard kwaliteit ; Banddikte: 4 mm ~ 15 mm; Typische textielbanden: EP800 ; Minimale trommeldiameter: 250 mm / 350 mm ; Maximale rollengte: 25 mtr ; Inclusief schroeven, afstandhouders en bitjes</t>
  </si>
  <si>
    <t>Standardqualität ; Gürtstärke: 4 mm ~ 15 mm ; Typische Textilbänder: EP800 ; Minimaler Trommeldurchmesser: 250 mm / 350 mm ; Maximale Rollenlänge: 25 mtr ; Inklusive Schrauben, Abstandshalter und Bits</t>
  </si>
  <si>
    <t>Standard quality ; Belt thickness: 4 mm ~ 15 mm ; Typical textile belts: EP800 ; Minimum pulley Diameter: 250 mm / 350 mm ; Maximal roll length: 25 mtr ; Including screws, spacers and bits</t>
  </si>
  <si>
    <t>Qualité standard ; Épaisseur de la ceinture : 4 mm ~ 15 mm ; Courroies textiles types : EP800 ; Diamètre minimum de poulie : 250 mm / 350 mm ; Longueur maximale du rouleau : 25 mtr ; Y compris les vis, les entretoises et les embouts</t>
  </si>
  <si>
    <t>TS80SCREWHTRDH ;  TS63SCREWNQDH ; TS100SCREWNQDH ; TS35SCREWNQDH</t>
  </si>
  <si>
    <t>TSK 60/130/20/240-UWDM14X100TE</t>
  </si>
  <si>
    <t>Rol TSK60/130/20/240-UWDM14x100</t>
  </si>
  <si>
    <t>TUSSENRUBBER-0,5SP</t>
  </si>
  <si>
    <t>Tussenrubber - 500 x 0,5 mm (Spain)</t>
  </si>
  <si>
    <t>3,980</t>
  </si>
  <si>
    <t>06-06_Unvulcanized Skim Rubber</t>
  </si>
  <si>
    <t>Ongevulkaniseerd tussenrubber 0,5mm</t>
  </si>
  <si>
    <t>Unvulkanisertes Zwischengummi ; 0,5 mm</t>
  </si>
  <si>
    <t>Unvulcanised Skim Rubber ; 0,5 mm</t>
  </si>
  <si>
    <t>Gomme de Liaison ; 0,5 mm</t>
  </si>
  <si>
    <t>Dikte: 0,5 mm ; Breedte: 500 mm ; Rollen van 10 kg ; Kleur: Zwart</t>
  </si>
  <si>
    <t>Starke: 0,5 mm ; Breite: 500 mm ; Rolle von 10 kg ; Farbe: Schwarz</t>
  </si>
  <si>
    <t>Thickness: 0,5 mm ; Width: 500 mm ; Roll of 10 kg ; Colour: Black</t>
  </si>
  <si>
    <t>Epaisseur: 0,5 mm ; Largeur: 500 mm ; Rouleau de 10kg ; Couleur: Noir</t>
  </si>
  <si>
    <t>TUSSENRUBBER-0,8SP</t>
  </si>
  <si>
    <t>Tussenrubber - 500 x 0,8 mm (Spain)</t>
  </si>
  <si>
    <t>Ongevulkaniseerd tussenrubber 0,8mm</t>
  </si>
  <si>
    <t>Unvulkanisertes Zwischengummi ; 0,8 mm</t>
  </si>
  <si>
    <t>Unvulcanised Skim Rubber ; 0,8 mm</t>
  </si>
  <si>
    <t>Gomme de Liaison ; 0,8 mm</t>
  </si>
  <si>
    <t>Dikte: 0,8 mm ; Breedte: 500 mm ; Rollen van 10 kg ; Kleur: Zwart</t>
  </si>
  <si>
    <t>Starke: 0,8 mm ; Breite: 500 mm ; Rolle von 10 kg ; Farbe: Schwarz</t>
  </si>
  <si>
    <t>Thickness: 0,8 mm ; Width: 500 mm ; Roll of 10 kg ; Colour: Black</t>
  </si>
  <si>
    <t>Epaisseur: 0,8 mm ; Largeur: 500 mm ; Rouleau de 10kg ; Couleur: Noir</t>
  </si>
  <si>
    <t>5061982DE ; 5061984DE ; TUSSENRUBBER-0,5SP ; DEKRUBBER-2MMSP</t>
  </si>
  <si>
    <t>TZ 108/380/20/406-SW15X10TS</t>
  </si>
  <si>
    <t>Rol TZ108/380/20/406-SW15X10</t>
  </si>
  <si>
    <t>TZ 89/250/20/276-SW15X10ROODCZ</t>
  </si>
  <si>
    <t>Rol TZ89/250/20/276-SW15x10-rood</t>
  </si>
  <si>
    <t>TZ 89/750/20/782-SW15X13ROODCZ</t>
  </si>
  <si>
    <t>Rol TZ89/750/20/782-SW15x13-rood</t>
  </si>
  <si>
    <t>10,390</t>
  </si>
  <si>
    <t>UNO-REX BLOCK-150X200CH</t>
  </si>
  <si>
    <t>Zijgeleidingsblok, rubber, 150 x 200 mm</t>
  </si>
  <si>
    <t>3,193</t>
  </si>
  <si>
    <t>UNO-REX Zijgeleidingsblok ; Rubber, 150 x 200 mm</t>
  </si>
  <si>
    <t>UNO-REX Seitenführungsblock ; Gummi, 150 x 200 mm</t>
  </si>
  <si>
    <t>UNO-REX Side-Skirt Blocks ; Rubber, 150 x 200 mm</t>
  </si>
  <si>
    <t>UNO-REX Bloc d'étancéité ; CaoutchoucRubber, 150 x 200 mm</t>
  </si>
  <si>
    <t xml:space="preserve">Lengte: 200 mm ; Breedte: 150 mm ; Dikte: 20 mm </t>
  </si>
  <si>
    <t xml:space="preserve">Länge: 200 mm ; Breite: 150 mm ; Stärke: 20 mm </t>
  </si>
  <si>
    <t xml:space="preserve">Length: 200 mm ; Width: 150 mm ; Thickness: 20 mm </t>
  </si>
  <si>
    <t xml:space="preserve">Longueur: 200 mm ; Largeur: 150 mm ; Épaisseur: 20 mm </t>
  </si>
  <si>
    <t>URENSNIJPLOEGZZ</t>
  </si>
  <si>
    <t>UREN SNIJPLOEG</t>
  </si>
  <si>
    <t>53, uren snijploeg</t>
  </si>
  <si>
    <t>VERPAKKINGSKOSTENZZ</t>
  </si>
  <si>
    <t>Verpakkingskosten</t>
  </si>
  <si>
    <t>VRACHT DOUANE PAPIEREN</t>
  </si>
  <si>
    <t>douane papieren</t>
  </si>
  <si>
    <t>100,000</t>
  </si>
  <si>
    <t>VRACHTSTDPALLETBEDHLZZ</t>
  </si>
  <si>
    <t>Vracht Standaard Pallet DHL BE</t>
  </si>
  <si>
    <t>112,000</t>
  </si>
  <si>
    <t>58,000</t>
  </si>
  <si>
    <t>VRACHTSTDPALLETNLDHLZZ</t>
  </si>
  <si>
    <t>Vracht Standaard Pallet DHL NL</t>
  </si>
  <si>
    <t>91,000</t>
  </si>
  <si>
    <t>VRACHTTIJDSTDPALLETBEDHLZZ</t>
  </si>
  <si>
    <t>Vracht Tijdslevering Standaard Pallet DHL BE</t>
  </si>
  <si>
    <t>VRACHTTIJDSTDPALLETNLDHLZZ</t>
  </si>
  <si>
    <t>Vracht Tijdslevering Standaard Pallet DHL NL</t>
  </si>
  <si>
    <t>132,000</t>
  </si>
  <si>
    <t>VRACHTTIJDXRUIMTEBEDHLZZ</t>
  </si>
  <si>
    <t>Vracht Tijdslevering X-Ruimte Pallet DHL BE</t>
  </si>
  <si>
    <t>191,000</t>
  </si>
  <si>
    <t>136,000</t>
  </si>
  <si>
    <t>VRACHTTIJDXRUIMTENLDHLZZ</t>
  </si>
  <si>
    <t>Vracht Tijdslevering X-Ruimte Pallet DHL NL</t>
  </si>
  <si>
    <t>106,000</t>
  </si>
  <si>
    <t>VRACHTXRUIMTEBEDHLZZ</t>
  </si>
  <si>
    <t>Vracht X-Ruimte Pallet DHL BE</t>
  </si>
  <si>
    <t>147,000</t>
  </si>
  <si>
    <t>VRACHTXRUIMTENLDHLZZ</t>
  </si>
  <si>
    <t>Vracht X-Ruimte Pallet DHL NL</t>
  </si>
  <si>
    <t>113,000</t>
  </si>
  <si>
    <t>VRACHTZZ</t>
  </si>
  <si>
    <t>Vracht</t>
  </si>
  <si>
    <t>V-RETOURAFSCHRAPER-TREX-1000TS</t>
  </si>
  <si>
    <t>T-Rex V-Retourafschraper tbv BB 1000 mm</t>
  </si>
  <si>
    <t>132,250</t>
  </si>
  <si>
    <t>08-02_V-Return Scraper (Black-Red-Black)</t>
  </si>
  <si>
    <t>Innengurtabstreifer</t>
  </si>
  <si>
    <t>V-RETOURAFSCHRAPER-TREX-500TS</t>
  </si>
  <si>
    <t>T-Rex V-Retourafschraper tbv BB 500 mm</t>
  </si>
  <si>
    <t>127,750</t>
  </si>
  <si>
    <t>V-RETOURAFSCHRAPER-TREX-800TS</t>
  </si>
  <si>
    <t>T-Rex V-Retourafschraper tbv BB 800 mm</t>
  </si>
  <si>
    <t>120,750</t>
  </si>
  <si>
    <t>WAGU DEKRUBBER-1 MMWA</t>
  </si>
  <si>
    <t>Ongevulkaniseerd dekrubber 1 mm-00801380</t>
  </si>
  <si>
    <t>4,590</t>
  </si>
  <si>
    <t>WAGU DEKRUBBER-2 MMWA</t>
  </si>
  <si>
    <t>Ongevulkaniseerd dekrubber 2 mm-00801381</t>
  </si>
  <si>
    <t>WAGU DEKRUBBER-3 MMWA</t>
  </si>
  <si>
    <t>Ongevulkaniseerd dekrubber 3 mm-00801382</t>
  </si>
  <si>
    <t>WAGU DEKRUBBER-4 MMWA</t>
  </si>
  <si>
    <t>Ongevulkaniseerd dekrubber 4 mm-00801383</t>
  </si>
  <si>
    <t>WAGU DEKRUBBER-5 MMWA</t>
  </si>
  <si>
    <t>Ongevulkaniseerd dekrubber 5 mm-00801384</t>
  </si>
  <si>
    <t>WAGU DEKRUBBER-6 MMWA</t>
  </si>
  <si>
    <t>Ongevulkaniseerd dekrubber 6 mm-00801385</t>
  </si>
  <si>
    <t>WAGU HARDER WTH2004DE</t>
  </si>
  <si>
    <t>Wagu WTH 2004 - 30 g -00801336</t>
  </si>
  <si>
    <t>WAGU LIJM WTS2004 0,7 KGDE</t>
  </si>
  <si>
    <t>Wagu WTS 2004 - 700 g -00801335</t>
  </si>
  <si>
    <t>8,100</t>
  </si>
  <si>
    <t>WAGU LIJM WTS2004 200LDE</t>
  </si>
  <si>
    <t>Wagu WTS 2004 - 200 liter -00801395</t>
  </si>
  <si>
    <t>1.159,310</t>
  </si>
  <si>
    <t>WAGU LIJM WTS2004 4,5 KGDE</t>
  </si>
  <si>
    <t>Wagu WTS 2004 - 4,5 kg -00801337</t>
  </si>
  <si>
    <t>37,310</t>
  </si>
  <si>
    <t>WAGU METAL PRIMER WT-MH2DE</t>
  </si>
  <si>
    <t>Wagu Metal Primer WT-MH2 0,75 kg -00801411</t>
  </si>
  <si>
    <t>WAGU REINIGING WT-R/N2 5LDE</t>
  </si>
  <si>
    <t>Wagu Reinigungsmittel WT-R/N2 - 5 liter -00801409</t>
  </si>
  <si>
    <t>X600GLY400/3-2+0HY</t>
  </si>
  <si>
    <t>XE 400/3-2+0,BB600-GLY</t>
  </si>
  <si>
    <t>120,000</t>
  </si>
  <si>
    <t>01-09_Cross-Stable</t>
  </si>
  <si>
    <t>Dwarsstabiele glijband, Slijtvast, Standaard kwaliteit ; XE 400/3-2+0</t>
  </si>
  <si>
    <t>Quersteif Gleitgurt, Abriebfest, Standardqualität ; XE 400/3-2+0</t>
  </si>
  <si>
    <t>Cross-Rigid Bareback, Abrasion resistant, Standard Quality ; XE 400/3-2+0</t>
  </si>
  <si>
    <t>Bande raide en trame à sole de glisse, Anti-abrasion, qualité standard ; XE 400/3-2+0</t>
  </si>
  <si>
    <t>Bandweefseltype: EP dwarsstabiel ; Treksterkte: 400 N/mm ; Aantal dwarsstabiele inlagen: 3 ; Bovendek: 2 mm ; Onderdek: 0 mm ; Bandbreedte: 600 mm</t>
  </si>
  <si>
    <t>Gewebetype: EP Quersteif ; Zugfestigkeit: 400 N/mm ; Anzahl Quersteif Einlagen: 3 ; Oberdeck: 2 mm ; Unterdeck: 0 mm ; Gurtbreite: 600 mm</t>
  </si>
  <si>
    <t>Fabric type: EP Cross rigid ; Tensile strength: 400 N/mm ; Number of cross rigid plies: 3 ; Topcover: 2 mm ; Bottomcover: 0 mm ; Beltwidth: 600 mm</t>
  </si>
  <si>
    <t>Carcasse: EP Raide en trame ; Résistance à la traction: 400 N/mm ; Nombre de Raide en trame plis: 3 ; Revêtement supérieur: 2 mm ; Revêtement inférieur: 0 mm ; Largeur de bande: 600 mm</t>
  </si>
  <si>
    <t>Zeer lage wrijvingsweerstand ; Lage energieverbruikseigenschappen ; Anti-statisch ; Speciale versteviging waardoor de band zelfdragend is; Kan worden uitgerust met alle standaard typen golfrand en meenemers</t>
  </si>
  <si>
    <t>Sehr geringer Reibungswiderstand ; Eigenschaften mit niedrigem Energieverbrauch ; Antistatisch ; Spezielle Verstärkung, die den Gurt selbsttragend macht ; Kann mit allen gängigen Typen von Wellenkanten und Stollen ausgestattet werden</t>
  </si>
  <si>
    <t>Very low frictional resistance ; Low energy consumption properties ; Anti-static ; Special reinforcement making the belt self-supporting ; Can be equipped with all standard types of sidewalls and cleats</t>
  </si>
  <si>
    <t>Très faible résistance au frottement ; Propriétés à faible consommation d'énergie ; Antistatique ; Renfort spécial rendant la ceinture autoportante ; Peut être équipé de tous les types bords de contenance et de tasseaux standards</t>
  </si>
  <si>
    <t>XE1000GLY250/2-2+0HY</t>
  </si>
  <si>
    <t>XE 250/2-2+0,BB1000-GLY</t>
  </si>
  <si>
    <t>26,960</t>
  </si>
  <si>
    <t>Dwarsstabiele glijband, Slijtvast, Standaard kwaliteit ; XE 250/2-2+0</t>
  </si>
  <si>
    <t>Quersteif Gleitgurt, Abriebfest, Standardqualität ; XE 250/2-2+0</t>
  </si>
  <si>
    <t>Cross-Rigid Bareback, Abrasion resistant, Standard Quality ; XE 250/2-2+0</t>
  </si>
  <si>
    <t>Bande raide en trame à sole de glisse, Anti-abrasion, qualité standard ; XE 250/2-2+0</t>
  </si>
  <si>
    <t>Bandweefseltype: EP dwarsstabiel ; Treksterkte: 250 N/mm ; Aantal dwarsstabiele inlagen: 2 ; Bovendek: 2 mm ; Onderdek: 0 mm ; Bandbreedte: 1000 mm</t>
  </si>
  <si>
    <t>Gewebetype: EP Quersteif ; Zugfestigkeit: 250 N/mm ; Anzahl Quersteif Einlagen: 2 ; Oberdeck: 2 mm ; Unterdeck: 0 mm ; Gurtbreite: 1000 mm</t>
  </si>
  <si>
    <t>Fabric type: EP Cross rigid ; Tensile strength: 250 N/mm ; Number of cross rigid plies: 2 ; Topcover: 2 mm ; Bottomcover: 0 mm ; Beltwidth: 1000 mm</t>
  </si>
  <si>
    <t>Carcasse: EP Raide en trame ; Résistance à la traction: 250 N/mm ; Nombre de Raide en trame plis: 2 ; Revêtement supérieur: 2 mm ; Revêtement inférieur: 0 mm ; Largeur de bande: 1000 mm</t>
  </si>
  <si>
    <t>XE1000GLY400/3-2+0HY</t>
  </si>
  <si>
    <t>XE 400/3-2+0,BB1000-GLY</t>
  </si>
  <si>
    <t>37,440</t>
  </si>
  <si>
    <t>Bandweefseltype: EP dwarsstabiel ; Treksterkte: 400 N/mm ; Aantal dwarsstabiele inlagen: 3 ; Bovendek: 2 mm ; Onderdek: 0 mm ; Bandbreedte: 1000 mm</t>
  </si>
  <si>
    <t>Gewebetype: EP Quersteif ; Zugfestigkeit: 400 N/mm ; Anzahl Quersteif Einlagen: 3 ; Oberdeck: 2 mm ; Unterdeck: 0 mm ; Gurtbreite: 1000 mm</t>
  </si>
  <si>
    <t>Fabric type: EP Cross rigid ; Tensile strength: 400 N/mm ; Number of cross rigid plies: 3 ; Topcover: 2 mm ; Bottomcover: 0 mm ; Beltwidth: 1000 mm</t>
  </si>
  <si>
    <t>Carcasse: EP Raide en trame ; Résistance à la traction: 400 N/mm ; Nombre de Raide en trame plis: 3 ; Revêtement supérieur: 2 mm ; Revêtement inférieur: 0 mm ; Largeur de bande: 1000 mm</t>
  </si>
  <si>
    <t>XE1000OVG400/3-2+0HY</t>
  </si>
  <si>
    <t>XE 400/3-2+0,BB1000-GLY-O+V</t>
  </si>
  <si>
    <t>40,250</t>
  </si>
  <si>
    <t>Dwarsstabiele glijband, Olie- en vetbestendige Kwaliteit ; XE 400/3 -2+0</t>
  </si>
  <si>
    <t>Quersteif Gleitgurt, Öl und Fettbeständige Qualität ; XE 400/3-2+0</t>
  </si>
  <si>
    <t>Cross-Rigid Bareback, Oil and Grease Resistant Quality ; XE 400/3-2+0</t>
  </si>
  <si>
    <t>Bande raide en trame à sole de glisse, Qualité résistant aux huiles et graisses ; XE 400/3-2+0</t>
  </si>
  <si>
    <t>Bandweefseltype: EP dwarsstabiel ; Treksterkte: 400 N/mm ; Aantal dwarsstabiele inlagen: 3 ; Bovendek: 2 mm ; Onderdek: 0 mm ; Bandbreedte: 1000 mm ; Olie- en vetbestendige Kwaliteit</t>
  </si>
  <si>
    <t>Gewebetype: EP Quersteif ; Zugfestigkeit: 400 N/mm ; Anzahl Quersteif Einlagen: 3 ; Oberdeck: 2 mm ; Unterdeck: 0 mm ; Gurtbreite: 1000 mm ; Öl und Fettbeständige Qualität</t>
  </si>
  <si>
    <t>Fabric type: EP Cross rigid ; Tensile strength: 400 N/mm ; Number of cross rigid plies: 3 ; Topcover: 2 mm ; Bottomcover: 0 mm ; Beltwidth: 1000 mm ; Oil and Grease Resistant Quality</t>
  </si>
  <si>
    <t>Carcasse: EP Raide en trame ; Résistance à la traction: 400 N/mm ; Nombre de Raide en trame plis: 3 ; Revêtement supérieur: 2 mm ; Revêtement inférieur: 0 mm ; Largeur de bande: 1000 mm ; Qualité résistant aux huiles et graisses</t>
  </si>
  <si>
    <t>Très faible résistance au frottement ; Propriétés à faible consommation d'énergie ; Antistatique ; Renfort spécial rendant la bande autoportante ; Peut être équipé de tous les types bords de contenance et de tasseaux standards</t>
  </si>
  <si>
    <t>XE1000XXX400/3+2-4+2LB</t>
  </si>
  <si>
    <t>XE 400/3+2-3½+1½,BB1000</t>
  </si>
  <si>
    <t>54,530</t>
  </si>
  <si>
    <t>XE1000XXX400/3+2-4+2SA</t>
  </si>
  <si>
    <t>XE 400/3+2-4+2,BB1000</t>
  </si>
  <si>
    <t>45,990</t>
  </si>
  <si>
    <t>Dwarsstabiel, Slijtvast, Standaard kwaliteit ; XE 400/3+2-4+2</t>
  </si>
  <si>
    <t>Quersteif, Abriebfest, Standardqualität ; XE 400/3+2-4+2</t>
  </si>
  <si>
    <t>Cross-Rigid, Abrasion resistant, Standard Quality ; XE 400/3+2-4+2</t>
  </si>
  <si>
    <t>Bande raide en trame, Anti-abrasion, qualité standard ; XE 400/3+2-4+2</t>
  </si>
  <si>
    <t>Bandweefseltype: EP + EP dwarsstabiel ; Treksterkte: 400 N/mm ; Aantal inlagen: 3 ; Aantal dwarsstabiele inlagen: 2 ; Bovendek: 4 mm ; Onderdek: 2 mm ; Bandbreedte: 1000 mm</t>
  </si>
  <si>
    <t>Gewebetype: EP + EP Quersteif ; Zugfestigkeit: 400 N/mm ; Anzahl Einlagen: 3 ; Anzahl Quersteif Einlagen: 2 ; Oberdeck: 4 mm ; Unterdeck: 2 mm ; Gurtbreite: 1000 mm</t>
  </si>
  <si>
    <t>Fabric type: EP + EP Cross rigid ; Tensile strength: 400 N/mm ; Number of plies: 3 ; Number of cross rigid plies: 2 ; Topcover: 4 mm ; Bottomcover: 2 mm ; Beltwidth: 1000 mm</t>
  </si>
  <si>
    <t>Carcasse: EP + EP Raide en trame ; Résistance à la traction: 400 N/mm ; Nombre de plis: 3 ; Nombre de Raide en trame plis: 2 ; Revêtement supérieur: 4 mm ; Revêtement inférieur: 2 mm ; Largeur de bande: 1000 mm</t>
  </si>
  <si>
    <t>Speciale versteviging waardoor de band zelfdragend is; Kan worden uitgerust met alle standaard typen golfrand en meenemers</t>
  </si>
  <si>
    <t>Spezielle Verstärkung, die den Gurt selbsttragend macht ; Kann mit allen gängigen Typen von Wellenkanten und Stollen ausgestattet werden</t>
  </si>
  <si>
    <t>Special reinforcement making the belt self-supporting ; Can be equipped with all standard types of sidewalls and cleats</t>
  </si>
  <si>
    <t>Renfort spécial rendant la bande autoportante ; Peut être équipé de tous les types bords de contenance et de tasseaux standards</t>
  </si>
  <si>
    <t>XE1000XXX400/3+2-4+2SH</t>
  </si>
  <si>
    <t>36,150</t>
  </si>
  <si>
    <t>XE1000XXX400/3-4+2SA</t>
  </si>
  <si>
    <t>XE 400/3-4+2,BB1000</t>
  </si>
  <si>
    <t>49,280</t>
  </si>
  <si>
    <t>Dwarsstabiel, Slijtvast, Standaard kwaliteit ; XE 400/3-4+2</t>
  </si>
  <si>
    <t>Quersteif, Abriebfest, Standardqualität ; XE 400/3-4+2</t>
  </si>
  <si>
    <t>Cross-Rigid, Abrasion resistant, Standard Quality ; XE 400/3-4+2</t>
  </si>
  <si>
    <t>Bande raide en trame, Anti-abrasion, qualité standard ; XE 400/3-4+2</t>
  </si>
  <si>
    <t>Bandweefseltype: EP dwarsstabiel ; Treksterkte: 400 N/mm ; Aantal dwarsstabiele inlagen: 3 ; Bovendek: 4 mm ; Onderdek: 2 mm ; Bandbreedte: 1000 mm</t>
  </si>
  <si>
    <t>Gewebetype: EP Quersteif ; Zugfestigkeit: 400 N/mm ; Anzahl Quersteif Einlagen: 3 ; Oberdeck: 4 mm ; Unterdeck: 2 mm ; Gurtbreite: 1000 mm</t>
  </si>
  <si>
    <t>Fabric type: EP Cross rigid ; Tensile strength: 400 N/mm ; Number of cross rigid plies: 3 ; Topcover: 4 mm ; Bottomcover: 2 mm ; Beltwidth: 1000 mm</t>
  </si>
  <si>
    <t>Carcasse: EP Raide en trame ; Résistance à la traction: 400 N/mm ; Nombre de Raide en trame plis: 3 ; Revêtement supérieur: 4 mm ; Revêtement inférieur: 2 mm ; Largeur de bande: 1000 mm</t>
  </si>
  <si>
    <t>XE1000XXX400/3-4+2SH</t>
  </si>
  <si>
    <t>XE1000XXX500/3+2-4+2-SPECLB</t>
  </si>
  <si>
    <t>XE 500/3+2-4+2,BB1000-Golfrand</t>
  </si>
  <si>
    <t>195,930</t>
  </si>
  <si>
    <t>XE1000XXX800/4+2-4+2-SPECNF</t>
  </si>
  <si>
    <t>XE 800/4+2-4+2,BB1000-Golfrand en Meenemers</t>
  </si>
  <si>
    <t>100,310</t>
  </si>
  <si>
    <t>14.700,000</t>
  </si>
  <si>
    <t>XE1200GLY250/2-2+0HY</t>
  </si>
  <si>
    <t>XE 250/2-2+0,BB1200-GLY</t>
  </si>
  <si>
    <t>32,350</t>
  </si>
  <si>
    <t>Bandweefseltype: EP dwarsstabiel ; Treksterkte: 250 N/mm ; Aantal dwarsstabiele inlagen: 2 ; Bovendek: 2 mm ; Onderdek: 0 mm ; Bandbreedte: 1200 mm</t>
  </si>
  <si>
    <t>Gewebetype: EP Quersteif ; Zugfestigkeit: 250 N/mm ; Anzahl Quersteif Einlagen: 2 ; Oberdeck: 2 mm ; Unterdeck: 0 mm ; Gurtbreite: 1200 mm</t>
  </si>
  <si>
    <t>Fabric type: EP Cross rigid ; Tensile strength: 250 N/mm ; Number of cross rigid plies: 2 ; Topcover: 2 mm ; Bottomcover: 0 mm ; Beltwidth: 1200 mm</t>
  </si>
  <si>
    <t>Carcasse: EP Raide en trame ; Résistance à la traction: 250 N/mm ; Nombre de Raide en trame plis: 2 ; Revêtement supérieur: 2 mm ; Revêtement inférieur: 0 mm ; Largeur de bande: 1200 mm</t>
  </si>
  <si>
    <t>XE1200GLY400/3-2+0HY</t>
  </si>
  <si>
    <t>XE 400/3-2+0,BB1200-GLY</t>
  </si>
  <si>
    <t>44,930</t>
  </si>
  <si>
    <t>Bandweefseltype: EP dwarsstabiel ; Treksterkte: 400 N/mm ; Aantal dwarsstabiele inlagen: 3 ; Bovendek: 2 mm ; Onderdek: 0 mm ; Bandbreedte: 1200 mm</t>
  </si>
  <si>
    <t>Gewebetype: EP Quersteif ; Zugfestigkeit: 400 N/mm ; Anzahl Quersteif Einlagen: 3 ; Oberdeck: 2 mm ; Unterdeck: 0 mm ; Gurtbreite: 1200 mm</t>
  </si>
  <si>
    <t>Fabric type: EP Cross rigid ; Tensile strength: 400 N/mm ; Number of cross rigid plies: 3 ; Topcover: 2 mm ; Bottomcover: 0 mm ; Beltwidth: 1200 mm</t>
  </si>
  <si>
    <t>Carcasse: EP Raide en trame ; Résistance à la traction: 400 N/mm ; Nombre de Raide en trame plis: 3 ; Revêtement supérieur: 2 mm ; Revêtement inférieur: 0 mm ; Largeur de bande: 1200 mm</t>
  </si>
  <si>
    <t>XE1200OVG250/2-2+0HY</t>
  </si>
  <si>
    <t>XE 250/2-2+0,BB1200-GLY-O+V</t>
  </si>
  <si>
    <t>Dwarsstabiele glijband, Olie- en vetbestendige Kwaliteit ; XE 250/2-2+0</t>
  </si>
  <si>
    <t>Quersteif Gleitgurt, Öl und Fettbeständige Qualität ; XE 250/2-2+0</t>
  </si>
  <si>
    <t>Cross-Rigid Bareback, Oil and Grease Resistant Quality ; XE 250/2-2+0</t>
  </si>
  <si>
    <t>Bande raide en trame à sole de glisse, Qualité résistant aux huiles et graisses ; XE 250/2-2+0</t>
  </si>
  <si>
    <t>Bandweefseltype: EP dwarsstabiel ; Treksterkte: 250 N/mm ; Aantal dwarsstabiele inlagen: 2 ; Bovendek: 2 mm ; Onderdek: 0 mm ; Bandbreedte: 1200 mm ; Olie- en vetbestendige Kwaliteit</t>
  </si>
  <si>
    <t>Gewebetype: EP Quersteif ; Zugfestigkeit: 250 N/mm ; Anzahl Quersteif Einlagen: 2 ; Oberdeck: 2 mm ; Unterdeck: 0 mm ; Gurtbreite: 1200 mm ; Öl und Fettbeständige Qualität</t>
  </si>
  <si>
    <t>Fabric type: EP Cross rigid ; Tensile strength: 250 N/mm ; Number of cross rigid plies: 3 ; Topcover: 2 mm ; Bottomcover: 0 mm ; Beltwidth: 1200 mm ; Oil and Grease Resistant Quality</t>
  </si>
  <si>
    <t>Carcasse: EP Raide en trame ; Résistance à la traction: 250 N/mm ; Nombre de Raide en trame plis: 2 ; Revêtement supérieur: 2 mm ; Revêtement inférieur: 0 mm ; Largeur de bande: 1200 mm ; Qualité résistant aux huiles et graisses</t>
  </si>
  <si>
    <t>XE1200OVG400/3-2+0HY</t>
  </si>
  <si>
    <t>XE 400/3-2+0,BB1200-GLY-O+V</t>
  </si>
  <si>
    <t>48,290</t>
  </si>
  <si>
    <t>Bandweefseltype: EP dwarsstabiel ; Treksterkte: 400 N/mm ; Aantal dwarsstabiele inlagen: 3 ; Bovendek: 2 mm ; Onderdek: 0 mm ; Bandbreedte: 1200 mm ; Olie- en vetbestendige Kwaliteit</t>
  </si>
  <si>
    <t>Gewebetype: EP Quersteif ; Zugfestigkeit: 400 N/mm ; Anzahl Quersteif Einlagen: 3 ; Oberdeck: 2 mm ; Unterdeck: 0 mm ; Gurtbreite: 1200 mm ; Öl und Fettbeständige Qualität</t>
  </si>
  <si>
    <t>Fabric type: EP Cross rigid ; Tensile strength: 400 N/mm ; Number of cross rigid plies: 3 ; Topcover: 2 mm ; Bottomcover: 0 mm ; Beltwidth: 1200 mm ; Oil and Grease Resistant Quality</t>
  </si>
  <si>
    <t>Carcasse: EP Raide en trame ; Résistance à la traction: 400 N/mm ; Nombre de Raide en trame plis: 3 ; Revêtement supérieur: 2 mm ; Revêtement inférieur: 0 mm ; Largeur de bande: 1200 mm ; Qualité résistant aux huiles et graisses</t>
  </si>
  <si>
    <t>XE1200PRL400/3-3+2-L75LB</t>
  </si>
  <si>
    <t>XE 400/3-3+2,BB1200-profiel L75</t>
  </si>
  <si>
    <t>77,160</t>
  </si>
  <si>
    <t>XE1200XXX400/3+2-4+2SA</t>
  </si>
  <si>
    <t>XE 400/3+2 4+2,BB1200</t>
  </si>
  <si>
    <t>55,190</t>
  </si>
  <si>
    <t>Bandweefseltype: EP + EP dwarsstabiel ; Treksterkte: 400 N/mm ; Aantal inlagen: 3 ; Aantal dwarsstabiele inlagen: 2 ; Bovendek: 4 mm ; Onderdek: 2 mm ; Bandbreedte: 1200 mm</t>
  </si>
  <si>
    <t>Gewebetype: EP + EP Quersteif ; Zugfestigkeit: 400 N/mm ; Anzahl Einlagen: 3 ; Anzahl Quersteif Einlagen: 2 ; Oberdeck: 4 mm ; Unterdeck: 2 mm ; Gurtbreite: 1200 mm</t>
  </si>
  <si>
    <t>Fabric type: EP + EP Cross rigid ; Tensile strength: 400 N/mm ; Number of plies: 3 ; Number of cross rigid plies: 2 ; Topcover: 4 mm ; Bottomcover: 2 mm ; Beltwidth: 1200 mm</t>
  </si>
  <si>
    <t>Carcasse: EP + EP Raide en trame ; Résistance à la traction: 400 N/mm ; Nombre de plis: 3 ; Nombre de Raide en trame plis: 2 ; Revêtement supérieur: 4 mm ; Revêtement inférieur: 2 mm ; Largeur de bande: 1200 mm</t>
  </si>
  <si>
    <t>XE1200XXX400/3+2-4+2SH</t>
  </si>
  <si>
    <t>40,530</t>
  </si>
  <si>
    <t>XE1200XXX400/3-4+2SA</t>
  </si>
  <si>
    <t>XE 400/3-4+2,BB1200</t>
  </si>
  <si>
    <t>59,130</t>
  </si>
  <si>
    <t>Bandweefseltype: EP dwarsstabiel ; Treksterkte: 400 N/mm ; Aantal dwarsstabiele inlagen: 3 ; Bovendek: 4 mm ; Onderdek: 2 mm ; Bandbreedte: 1200 mm</t>
  </si>
  <si>
    <t>Gewebetype: EP Quersteif ; Zugfestigkeit: 400 N/mm ; Anzahl Quersteif Einlagen: 3 ; Oberdeck: 4 mm ; Unterdeck: 2 mm ; Gurtbreite: 1200 mm</t>
  </si>
  <si>
    <t>Fabric type: EP Cross rigid ; Tensile strength: 400 N/mm ; Number of cross rigid plies: 3 ; Topcover: 4 mm ; Bottomcover: 2 mm ; Beltwidth: 1200 mm</t>
  </si>
  <si>
    <t>Carcasse: EP Raide en trame ; Résistance à la traction: 400 N/mm ; Nombre de Raide en trame plis: 3 ; Revêtement supérieur: 4 mm ; Revêtement inférieur: 2 mm ; Largeur de bande: 1200 mm</t>
  </si>
  <si>
    <t>XE1200XXX400/3-4+2SH</t>
  </si>
  <si>
    <t>49,740</t>
  </si>
  <si>
    <t>XE1220OVX250/2+1-3+1 O&amp;VSH</t>
  </si>
  <si>
    <t>XE 250/2+1-3+1,BB1220, olie- en vetbestendig</t>
  </si>
  <si>
    <t>25,161</t>
  </si>
  <si>
    <t>XE1250OVG250/2-2+0HY</t>
  </si>
  <si>
    <t>XE250/2-2+0,BB1250-OVG</t>
  </si>
  <si>
    <t>39,800</t>
  </si>
  <si>
    <t>XE1300GLY400/3-2+0HY</t>
  </si>
  <si>
    <t>XE 400/3-2+0,BB1300-GLY</t>
  </si>
  <si>
    <t>74,880</t>
  </si>
  <si>
    <t>XE1350GLY250/2-2+0HY</t>
  </si>
  <si>
    <t>XE 250/2-2+0,BB1350-GLY</t>
  </si>
  <si>
    <t>XE1400OVG400/3-2+0HY</t>
  </si>
  <si>
    <t>XE 400/3-2+0,BB1400-GLY-O+V</t>
  </si>
  <si>
    <t>Bandweefseltype: EP dwarsstabiel ; Treksterkte: 400 N/mm ; Aantal dwarsstabiele inlagen: 3 ; Bovendek: 2 mm ; Onderdek: 0 mm ; Bandbreedte: 1400 mm ; Olie- en vetbestendige Kwaliteit</t>
  </si>
  <si>
    <t>Gewebetype: EP Quersteif ; Zugfestigkeit: 400 N/mm ; Anzahl Quersteif Einlagen: 3 ; Oberdeck: 2 mm ; Unterdeck: 0 mm ; Gurtbreite: 1400 mm ; Öl und Fettbeständige Qualität</t>
  </si>
  <si>
    <t>Fabric type: EP Cross rigid ; Tensile strength: 400 N/mm ; Number of cross rigid plies: 3 ; Topcover: 2 mm ; Bottomcover: 0 mm ; Beltwidth: 1400 mm ; Oil and Grease Resistant Quality</t>
  </si>
  <si>
    <t>Carcasse: EP Raide en trame ; Résistance à la traction: 400 N/mm ; Nombre de Raide en trame plis: 3 ; Revêtement supérieur: 2 mm ; Revêtement inférieur: 0 mm ; Largeur de bande: 1400 mm ; Qualité résistant aux huiles et graisses</t>
  </si>
  <si>
    <t>Très faible résistance au frottement ; Propriétés à faible consommation d'énergie ; Antistatique ; Renfort spécial rendant la  bande  autoportante ; Peut être équipé de tous les types bords de contenance et de tasseaux standards</t>
  </si>
  <si>
    <t>XE1400XXX400/3-4+2SH</t>
  </si>
  <si>
    <t>XE 400/3-4+2,BB1400</t>
  </si>
  <si>
    <t>61,170</t>
  </si>
  <si>
    <t>Bandweefseltype: EP dwarsstabiel ; Treksterkte: 400 N/mm ; Aantal dwarsstabiele inlagen: 3 ; Bovendek: 4 mm ; Onderdek: 2 mm ; Bandbreedte: 1400 mm</t>
  </si>
  <si>
    <t>Gewebetype: EP Quersteif ; Zugfestigkeit: 400 N/mm ; Anzahl Quersteif Einlagen: 3 ; Oberdeck: 4 mm ; Unterdeck: 2 mm ; Gurtbreite: 1400 mm</t>
  </si>
  <si>
    <t>Fabric type: EP Cross rigid ; Tensile strength: 400 N/mm ; Number of cross rigid plies: 3 ; Topcover: 4 mm ; Bottomcover: 2 mm ; Beltwidth: 1400 mm</t>
  </si>
  <si>
    <t>Carcasse: EP Raide en trame ; Résistance à la traction: 400 N/mm ; Nombre de Raide en trame plis: 3 ; Revêtement supérieur: 4 mm ; Revêtement inférieur: 2 mm ; Largeur de bande: 1400 mm</t>
  </si>
  <si>
    <t>XE1450XXX400/3+2-4+2SA</t>
  </si>
  <si>
    <t>XE 400/3+2-4+2,BB1450</t>
  </si>
  <si>
    <t>66,690</t>
  </si>
  <si>
    <t>Bandweefseltype: EP + EP dwarsstabiel ; Treksterkte: 400 N/mm ; Aantal inlagen: 3 ; Aantal dwarsstabiele inlagen: 2 ; Bovendek: 4 mm ; Onderdek: 2 mm ; Bandbreedte: 1450 mm</t>
  </si>
  <si>
    <t>Gewebetype: EP + EP Quersteif ; Zugfestigkeit: 400 N/mm ; Anzahl Einlagen: 3 ; Anzahl Quersteif Einlagen: 2 ; Oberdeck: 4 mm ; Unterdeck: 2 mm ; Gurtbreite: 1450 mm</t>
  </si>
  <si>
    <t>Fabric type: EP + EP Cross rigid ; Tensile strength: 400 N/mm ; Number of plies: 3 ; Number of cross rigid plies: 2 ; Topcover: 4 mm ; Bottomcover: 2 mm ; Beltwidth: 1450 mm</t>
  </si>
  <si>
    <t>Carcasse: EP + EP Raide en trame ; Résistance à la traction: 400 N/mm ; Nombre de plis: 3 ; Nombre de Raide en trame plis: 2 ; Revêtement supérieur: 4 mm ; Revêtement inférieur: 2 mm ; Largeur de bande: 1450 mm</t>
  </si>
  <si>
    <t>XE1450XXX400/3+2-4+2SH</t>
  </si>
  <si>
    <t>58,590</t>
  </si>
  <si>
    <t>XE1450XXX400/3-4+2SA</t>
  </si>
  <si>
    <t>XE 400/3-4+2,BB1450</t>
  </si>
  <si>
    <t>71,460</t>
  </si>
  <si>
    <t>Bandweefseltype: EP dwarsstabiel ; Treksterkte: 400 N/mm ; Aantal dwarsstabiele inlagen: 3 ; Bovendek: 4 mm ; Onderdek: 2 mm ; Bandbreedte: 1450 mm</t>
  </si>
  <si>
    <t>Gewebetype: EP Quersteif ; Zugfestigkeit: 400 N/mm ; Anzahl Quersteif Einlagen: 3 ; Oberdeck: 4 mm ; Unterdeck: 2 mm ; Gurtbreite: 1450 mm</t>
  </si>
  <si>
    <t>Fabric type: EP Cross rigid ; Tensile strength: 400 N/mm ; Number of cross rigid plies: 3 ; Topcover: 4 mm ; Bottomcover: 2 mm ; Beltwidth: 1450 mm</t>
  </si>
  <si>
    <t>Carcasse: EP Raide en trame ; Résistance à la traction: 400 N/mm ; Nombre de Raide en trame plis: 3 ; Revêtement supérieur: 4 mm ; Revêtement inférieur: 2 mm ; Largeur de bande: 1450 mm</t>
  </si>
  <si>
    <t>XE1450XXX400/3-4+2SH</t>
  </si>
  <si>
    <t>XE1500GLY400/3-2+0HY</t>
  </si>
  <si>
    <t>XE 400/3-2+0,BB1500-GLY</t>
  </si>
  <si>
    <t>56,160</t>
  </si>
  <si>
    <t>Bandweefseltype: EP dwarsstabiel ; Treksterkte: 400 N/mm ; Aantal dwarsstabiele inlagen: 3 ; Bovendek: 2 mm ; Onderdek: 0 mm ; Bandbreedte: 1500 mm</t>
  </si>
  <si>
    <t>Gewebetype: EP Quersteif ; Zugfestigkeit: 400 N/mm ; Anzahl Quersteif Einlagen: 3 ; Oberdeck: 2 mm ; Unterdeck: 0 mm ; Gurtbreite: 1500 mm</t>
  </si>
  <si>
    <t>Fabric type: EP Cross rigid ; Tensile strength: 400 N/mm ; Number of cross rigid plies: 3 ; Topcover: 2 mm ; Bottomcover: 0 mm ; Beltwidth: 1500 mm</t>
  </si>
  <si>
    <t>Carcasse: EP Raide en trame ; Résistance à la traction: 400 N/mm ; Nombre de Raide en trame plis: 3 ; Revêtement supérieur: 2 mm ; Revêtement inférieur: 0 mm ; Largeur de bande: 1500 mm</t>
  </si>
  <si>
    <t>XE1550OVG250/2-2+0HY</t>
  </si>
  <si>
    <t>XE 250/2-2+0,BB1550-GLY-O+V</t>
  </si>
  <si>
    <t>42,710</t>
  </si>
  <si>
    <t>XE1600GLY250/2-2+0SH</t>
  </si>
  <si>
    <t>XE 250/2-2+0,BB1600-GLY</t>
  </si>
  <si>
    <t>35,160</t>
  </si>
  <si>
    <t>Bandweefseltype: EP dwarsstabiel ; Treksterkte: 250 N/mm ; Aantal dwarsstabiele inlagen: 2 ; Bovendek: 2 mm ; Onderdek: 0 mm ; Bandbreedte: 1600 mm</t>
  </si>
  <si>
    <t>Gewebetype: EP Quersteif ; Zugfestigkeit: 250 N/mm ; Anzahl Quersteif Einlagen: 2 ; Oberdeck: 2 mm ; Unterdeck: 0 mm ; Gurtbreite: 1600 mm</t>
  </si>
  <si>
    <t>Fabric type: EP Cross rigid ; Tensile strength: 250 N/mm ; Number of cross rigid plies: 2 ; Topcover: 2 mm ; Bottomcover: 0 mm ; Beltwidth: 1600 mm</t>
  </si>
  <si>
    <t>Carcasse: EP Raide en trame ; Résistance à la traction: 250 N/mm ; Nombre de Raide en trame plis: 2 ; Revêtement supérieur: 2 mm ; Revêtement inférieur: 0 mm ; Largeur de bande: 1600 mm</t>
  </si>
  <si>
    <t>XE1600GLY400/3-2+0SH</t>
  </si>
  <si>
    <t>XE 400/3-2+0,BB1600-GLY</t>
  </si>
  <si>
    <t>48,830</t>
  </si>
  <si>
    <t>Bandweefseltype: EP dwarsstabiel ; Treksterkte: 400 N/mm ; Aantal dwarsstabiele inlagen: 3 ; Bovendek: 2 mm ; Onderdek: 0 mm ; Bandbreedte: 1600 mm</t>
  </si>
  <si>
    <t>Gewebetype: EP Quersteif ; Zugfestigkeit: 400 N/mm ; Anzahl Quersteif Einlagen: 3 ; Oberdeck: 2 mm ; Unterdeck: 0 mm ; Gurtbreite: 1600 mm</t>
  </si>
  <si>
    <t>Fabric type: EP Cross rigid ; Tensile strength: 400 N/mm ; Number of cross rigid plies: 3 ; Topcover: 2 mm ; Bottomcover: 0 mm ; Beltwidth: 1600 mm</t>
  </si>
  <si>
    <t>Carcasse: EP Raide en trame ; Résistance à la traction: 400 N/mm ; Nombre de Raide en trame plis: 3 ; Revêtement supérieur: 2 mm ; Revêtement inférieur: 0 mm ; Largeur de bande: 1600 mm</t>
  </si>
  <si>
    <t>XE1600XXX250/2-1+2SA</t>
  </si>
  <si>
    <t>XE 250/2-1+2,BB1600-DIN-Y+E</t>
  </si>
  <si>
    <t>50,570</t>
  </si>
  <si>
    <t>XE1650OVX250/2+2-2+2CO</t>
  </si>
  <si>
    <t>XE 250/2+2-2+2,BB1650-Olie en vet bestendig</t>
  </si>
  <si>
    <t>51,650</t>
  </si>
  <si>
    <t>XE1650OVX400/3+2-4+2CO</t>
  </si>
  <si>
    <t>XE 400/3+2-4+2,BB1650, Olie en vetbestendig</t>
  </si>
  <si>
    <t>67,330</t>
  </si>
  <si>
    <t>XE2000GLY250/2-2+0HY</t>
  </si>
  <si>
    <t>XE 250/2-2+0,BB2000-GLY</t>
  </si>
  <si>
    <t>53,920</t>
  </si>
  <si>
    <t>Bandweefseltype: EP dwarsstabiel ; Treksterkte: 250 N/mm ; Aantal dwarsstabiele inlagen: 2 ; Bovendek: 2 mm ; Onderdek: 0 mm ; Bandbreedte: 2000 mm</t>
  </si>
  <si>
    <t>Gewebetype: EP Quersteif ; Zugfestigkeit: 250 N/mm ; Anzahl Quersteif Einlagen: 2 ; Oberdeck: 2 mm ; Unterdeck: 0 mm ; Gurtbreite: 2000 mm</t>
  </si>
  <si>
    <t>Fabric type: EP Cross rigid ; Tensile strength: 250 N/mm ; Number of cross rigid plies: 2 ; Topcover: 2 mm ; Bottomcover: 0 mm ; Beltwidth: 2000 mm</t>
  </si>
  <si>
    <t>Carcasse: EP Raide en trame ; Résistance à la traction: 250 N/mm ; Nombre de Raide en trame plis: 2 ; Revêtement supérieur: 2 mm ; Revêtement inférieur: 0 mm ; Largeur de bande: 2000 mm</t>
  </si>
  <si>
    <t>XE2000GLY400/3-2+0HY</t>
  </si>
  <si>
    <t>XE 400/3-2+0,BB2000-GLY</t>
  </si>
  <si>
    <t>Bandweefseltype: EP dwarsstabiel ; Treksterkte: 400 N/mm ; Aantal dwarsstabiele inlagen: 3 ; Bovendek: 2 mm ; Onderdek: 0 mm ; Bandbreedte: 2000 mm</t>
  </si>
  <si>
    <t>Gewebetype: EP Quersteif ; Zugfestigkeit: 400 N/mm ; Anzahl Quersteif Einlagen: 3 ; Oberdeck: 2 mm ; Unterdeck: 0 mm ; Gurtbreite: 2000 mm</t>
  </si>
  <si>
    <t>Fabric type: EP Cross rigid ; Tensile strength: 400 N/mm ; Number of cross rigid plies: 3 ; Topcover: 2 mm ; Bottomcover: 0 mm ; Beltwidth: 2000 mm</t>
  </si>
  <si>
    <t>Carcasse: EP Raide en trame ; Résistance à la traction: 400 N/mm ; Nombre de Raide en trame plis: 3 ; Revêtement supérieur: 2 mm ; Revêtement inférieur: 0 mm ; Largeur de bande: 2000 mm</t>
  </si>
  <si>
    <t>XE2000OVG250/2-2+0HY</t>
  </si>
  <si>
    <t>XE 250/2-2+0,BB2000-GLY-O+V</t>
  </si>
  <si>
    <t>58,690</t>
  </si>
  <si>
    <t>Bandweefseltype: EP dwarsstabiel ; Treksterkte: 250 N/mm ; Aantal dwarsstabiele inlagen: 2 ; Bovendek: 2 mm ; Onderdek: 0 mm ; Bandbreedte: 2000 mm ; Olie- en vetbestendige Kwaliteit</t>
  </si>
  <si>
    <t>Gewebetype: EP Quersteif ; Zugfestigkeit: 250 N/mm ; Anzahl Quersteif Einlagen: 2 ; Oberdeck: 2 mm ; Unterdeck: 0 mm ; Gurtbreite: 2000 mm ; Öl und Fettbeständige Qualität</t>
  </si>
  <si>
    <t>Fabric type: EP Cross rigid ; Tensile strength: 250 N/mm ; Number of cross rigid plies: 3 ; Topcover: 2 mm ; Bottomcover: 0 mm ; Beltwidth: 2000 mm ; Oil and Grease Resistant Quality</t>
  </si>
  <si>
    <t>Carcasse: EP Raide en trame ; Résistance à la traction: 250 N/mm ; Nombre de Raide en trame plis: 2 ; Revêtement supérieur: 2 mm ; Revêtement inférieur: 0 mm ; Largeur de bande: 2000 mm ; Qualité résistant aux huiles et graisses</t>
  </si>
  <si>
    <t>XE2000OVG250/2-2+0SH</t>
  </si>
  <si>
    <t>46,890</t>
  </si>
  <si>
    <t>XE2000OVG400/3-2+0HY</t>
  </si>
  <si>
    <t>XE 400/3-2+0,BB2000-GLY-O+V</t>
  </si>
  <si>
    <t>80,480</t>
  </si>
  <si>
    <t>Bandweefseltype: EP dwarsstabiel ; Treksterkte: 400 N/mm ; Aantal dwarsstabiele inlagen: 3 ; Bovendek: 2 mm ; Onderdek: 0 mm ; Bandbreedte: 2000 mm ; Olie- en vetbestendige Kwaliteit</t>
  </si>
  <si>
    <t>Gewebetype: EP Quersteif ; Zugfestigkeit: 400 N/mm ; Anzahl Quersteif Einlagen: 3 ; Oberdeck: 2 mm ; Unterdeck: 0 mm ; Gurtbreite: 2000 mm ; Öl und Fettbeständige Qualität</t>
  </si>
  <si>
    <t>Fabric type: EP Cross rigid ; Tensile strength: 400 N/mm ; Number of cross rigid plies: 3 ; Topcover: 2 mm ; Bottomcover: 0 mm ; Beltwidth: 2000 mm ; Oil and Grease Resistant Quality</t>
  </si>
  <si>
    <t>Carcasse: EP Raide en trame ; Résistance à la traction: 400 N/mm ; Nombre de Raide en trame plis: 3 ; Revêtement supérieur: 2 mm ; Revêtement inférieur: 0 mm ; Largeur de bande: 2000 mm ; Qualité résistant aux huiles et graisses</t>
  </si>
  <si>
    <t>XE300GLY400/3-2+0HY</t>
  </si>
  <si>
    <t>XE 400/3-2+0,BB300-GLY</t>
  </si>
  <si>
    <t>Bandweefseltype: EP dwarsstabiel ; Treksterkte: 400 N/mm ; Aantal dwarsstabiele inlagen: 3 ; Bovendek: 2 mm ; Onderdek: 0 mm ; Bandbreedte: 300 mm</t>
  </si>
  <si>
    <t>Gewebetype: EP Quersteif ; Zugfestigkeit: 400 N/mm ; Anzahl Quersteif Einlagen: 3 ; Oberdeck: 2 mm ; Unterdeck: 0 mm ; Gurtbreite: 300 mm</t>
  </si>
  <si>
    <t>Fabric type: EP Cross rigid ; Tensile strength: 400 N/mm ; Number of cross rigid plies: 3 ; Topcover: 2 mm ; Bottomcover: 0 mm ; Beltwidth: 300 mm</t>
  </si>
  <si>
    <t>Carcasse: EP Raide en trame ; Résistance à la traction: 400 N/mm ; Nombre de Raide en trame plis: 3 ; Revêtement supérieur: 2 mm ; Revêtement inférieur: 0 mm ; Largeur de bande: 300 mm</t>
  </si>
  <si>
    <t>XE350GLY250/2-2+0HY</t>
  </si>
  <si>
    <t>XE 250/2-2+0,BB350-GLY</t>
  </si>
  <si>
    <t>XE400GLY250/2-2+0HY</t>
  </si>
  <si>
    <t>XE 250/2-2+0,BB400-GLY</t>
  </si>
  <si>
    <t>Bandweefseltype: EP dwarsstabiel ; Treksterkte: 250 N/mm ; Aantal dwarsstabiele inlagen: 2 ; Bovendek: 2 mm ; Onderdek: 0 mm ; Bandbreedte: 400 mm</t>
  </si>
  <si>
    <t>Gewebetype: EP Quersteif ; Zugfestigkeit: 250 N/mm ; Anzahl Quersteif Einlagen: 2 ; Oberdeck: 2 mm ; Unterdeck: 0 mm ; Gurtbreite: 400 mm</t>
  </si>
  <si>
    <t>Fabric type: EP Cross rigid ; Tensile strength: 250 N/mm ; Number of cross rigid plies: 2 ; Topcover: 2 mm ; Bottomcover: 0 mm ; Beltwidth: 400 mm</t>
  </si>
  <si>
    <t>Carcasse: EP Raide en trame ; Résistance à la traction: 250 N/mm ; Nombre de Raide en trame plis: 2 ; Revêtement supérieur: 2 mm ; Revêtement inférieur: 0 mm ; Largeur de bande: 400 mm</t>
  </si>
  <si>
    <t>XE400OVG400/3-2+0HY</t>
  </si>
  <si>
    <t>XE 400/3-2+0,BB400-GLY-O+V</t>
  </si>
  <si>
    <t>16,100</t>
  </si>
  <si>
    <t>Bandweefseltype: EP dwarsstabiel ; Treksterkte: 400 N/mm ; Aantal dwarsstabiele inlagen: 3 ; Bovendek: 2 mm ; Onderdek: 0 mm ; Bandbreedte: 400 mm ; Olie- en vetbestendige Kwaliteit</t>
  </si>
  <si>
    <t>Gewebetype: EP Quersteif ; Zugfestigkeit: 400 N/mm ; Anzahl Quersteif Einlagen: 3 ; Oberdeck: 2 mm ; Unterdeck: 0 mm ; Gurtbreite: 400 mm ; Öl und Fettbeständige Qualität</t>
  </si>
  <si>
    <t>Fabric type: EP Cross rigid ; Tensile strength: 400 N/mm ; Number of cross rigid plies: 3 ; Topcover: 2 mm ; Bottomcover: 0 mm ; Beltwidth: 400 mm ; Oil and Grease Resistant Quality</t>
  </si>
  <si>
    <t>Carcasse: EP Raide en trame ; Résistance à la traction: 400 N/mm ; Nombre de Raide en trame plis: 3 ; Revêtement supérieur: 2 mm ; Revêtement inférieur: 0 mm ; Largeur de bande: 400 mm ; Qualité résistant aux huiles et graisses</t>
  </si>
  <si>
    <t>XE400XXX400/3+2-4+2SA</t>
  </si>
  <si>
    <t>XE 400/3+2-4+2,BB400</t>
  </si>
  <si>
    <t>18,396</t>
  </si>
  <si>
    <t>Bandweefseltype: EP + EP dwarsstabiel ; Treksterkte: 400 N/mm ; Aantal inlagen: 3 ; Aantal dwarsstabiele inlagen: 2 ; Bovendek: 4 mm ; Onderdek: 2 mm ; Bandbreedte: 400 mm</t>
  </si>
  <si>
    <t>Gewebetype: EP + EP Quersteif ; Zugfestigkeit: 400 N/mm ; Anzahl Einlagen: 3 ; Anzahl Quersteif Einlagen: 2 ; Oberdeck: 4 mm ; Unterdeck: 2 mm ; Gurtbreite: 400 mm</t>
  </si>
  <si>
    <t>Fabric type: EP + EP Cross rigid ; Tensile strength: 400 N/mm ; Number of plies: 3 ; Number of cross rigid plies: 2 ; Topcover: 4 mm ; Bottomcover: 2 mm ; Beltwidth: 400 mm</t>
  </si>
  <si>
    <t>Carcasse: EP + EP Raide en trame ; Résistance à la traction: 400 N/mm ; Nombre de plis: 3 ; Nombre de Raide en trame plis: 2 ; Revêtement supérieur: 4 mm ; Revêtement inférieur: 2 mm ; Largeur de bande: 400 mm</t>
  </si>
  <si>
    <t>XE400XXX400/3+2-4+2SH</t>
  </si>
  <si>
    <t>13,420</t>
  </si>
  <si>
    <t>XE400XXX400/3-4+2SA</t>
  </si>
  <si>
    <t>XE 400/3-4+2,BB400</t>
  </si>
  <si>
    <t>19,710</t>
  </si>
  <si>
    <t>Bandweefseltype: EP dwarsstabiel ; Treksterkte: 400 N/mm ; Aantal dwarsstabiele inlagen: 3 ; Bovendek: 4 mm ; Onderdek: 2 mm ; Bandbreedte: 400 mm</t>
  </si>
  <si>
    <t>Gewebetype: EP Quersteif ; Zugfestigkeit: 400 N/mm ; Anzahl Quersteif Einlagen: 3 ; Oberdeck: 4 mm ; Unterdeck: 2 mm ; Gurtbreite: 400 mm</t>
  </si>
  <si>
    <t>Fabric type: EP Cross rigid ; Tensile strength: 400 N/mm ; Number of cross rigid plies: 3 ; Topcover: 4 mm ; Bottomcover: 2 mm ; Beltwidth: 400 mm</t>
  </si>
  <si>
    <t>Carcasse: EP Raide en trame ; Résistance à la traction: 400 N/mm ; Nombre de Raide en trame plis: 3 ; Revêtement supérieur: 4 mm ; Revêtement inférieur: 2 mm ; Largeur de bande: 400 mm</t>
  </si>
  <si>
    <t>XE400XXX400/3-4+2SH</t>
  </si>
  <si>
    <t>13,040</t>
  </si>
  <si>
    <t>XE400XXX400/3-4+2-TA</t>
  </si>
  <si>
    <t>XE450OVG250/2-2+0HY</t>
  </si>
  <si>
    <t>XE 250/2-2+0,BB450-GLY-O+V</t>
  </si>
  <si>
    <t>XE450OVX400/3-4+2-TA</t>
  </si>
  <si>
    <t>XE 400/3-4+2-O+V,BB450</t>
  </si>
  <si>
    <t>Bandweefseltype: EP dwarsstabiel ; Treksterkte: 400 N/mm ; Aantal dwarsstabiele inlagen: 3 ; Bovendek: 4 mm ; Onderdek: 2 mm ; Bandbreedte: 450 mm</t>
  </si>
  <si>
    <t>Gewebetype: EP Quersteif ; Zugfestigkeit: 400 N/mm ; Anzahl Quersteif Einlagen: 3 ; Oberdeck: 4 mm ; Unterdeck: 2 mm ; Gurtbreite: 450 mm</t>
  </si>
  <si>
    <t>Fabric type: EP Cross rigid ; Tensile strength: 400 N/mm ; Number of cross rigid plies: 3 ; Topcover: 4 mm ; Bottomcover: 2 mm ; Beltwidth: 450 mm</t>
  </si>
  <si>
    <t>Carcasse: EP Raide en trame ; Résistance à la traction: 400 N/mm ; Nombre de Raide en trame plis: 3 ; Revêtement supérieur: 4 mm ; Revêtement inférieur: 2 mm ; Largeur de bande: 450 mm</t>
  </si>
  <si>
    <t>XE450XXX400/3+1-4+2SH</t>
  </si>
  <si>
    <t>XE 400/3+1-4+2,BB450</t>
  </si>
  <si>
    <t>10,452</t>
  </si>
  <si>
    <t>XE450XXX400/3+2-4+2SA</t>
  </si>
  <si>
    <t>XE 400/3+2-4+2,BB450</t>
  </si>
  <si>
    <t>19,190</t>
  </si>
  <si>
    <t>Bandweefseltype: EP + EP dwarsstabiel ; Treksterkte: 400 N/mm ; Aantal inlagen: 3 ; Aantal dwarsstabiele inlagen: 2 ; Bovendek: 4 mm ; Onderdek: 2 mm ; Bandbreedte: 450 mm</t>
  </si>
  <si>
    <t>Gewebetype: EP + EP Quersteif ; Zugfestigkeit: 400 N/mm ; Anzahl Einlagen: 3 ; Anzahl Quersteif Einlagen: 2 ; Oberdeck: 4 mm ; Unterdeck: 2 mm ; Gurtbreite: 450 mm</t>
  </si>
  <si>
    <t>Fabric type: EP + EP Cross rigid ; Tensile strength: 400 N/mm ; Number of plies: 3 ; Number of cross rigid plies: 2 ; Topcover: 4 mm ; Bottomcover: 2 mm ; Beltwidth: 450 mm</t>
  </si>
  <si>
    <t>Carcasse: EP + EP Raide en trame ; Résistance à la traction: 400 N/mm ; Nombre de plis: 3 ; Nombre de Raide en trame plis: 2 ; Revêtement supérieur: 4 mm ; Revêtement inférieur: 2 mm ; Largeur de bande: 450 mm</t>
  </si>
  <si>
    <t>XE450XXX400/3+2-4+2SH</t>
  </si>
  <si>
    <t>XE450XXX400/3-4+2SH</t>
  </si>
  <si>
    <t>XE 400/3-4+2,BB450</t>
  </si>
  <si>
    <t>XE500GLY250/2-2+0HY</t>
  </si>
  <si>
    <t>XE 250/2-2+0,BB500-GLY</t>
  </si>
  <si>
    <t>13,480</t>
  </si>
  <si>
    <t>Bandweefseltype: EP dwarsstabiel ; Treksterkte: 250 N/mm ; Aantal dwarsstabiele inlagen: 2 ; Bovendek: 2 mm ; Onderdek: 0 mm ; Bandbreedte: 500 mm</t>
  </si>
  <si>
    <t>Gewebetype: EP Quersteif ; Zugfestigkeit: 250 N/mm ; Anzahl Quersteif Einlagen: 2 ; Oberdeck: 2 mm ; Unterdeck: 0 mm ; Gurtbreite: 500 mm</t>
  </si>
  <si>
    <t>Fabric type: EP Cross rigid ; Tensile strength: 250 N/mm ; Number of cross rigid plies: 2 ; Topcover: 2 mm ; Bottomcover: 0 mm ; Beltwidth: 500 mm</t>
  </si>
  <si>
    <t>Carcasse: EP Raide en trame ; Résistance à la traction: 250 N/mm ; Nombre de Raide en trame plis: 2 ; Revêtement supérieur: 2 mm ; Revêtement inférieur: 0 mm ; Largeur de bande: 500 mm</t>
  </si>
  <si>
    <t>XE500GLY400/3-2+0HY</t>
  </si>
  <si>
    <t>XE 400/3-2+0,BB500-GLY</t>
  </si>
  <si>
    <t>Bandweefseltype: EP dwarsstabiel ; Treksterkte: 400 N/mm ; Aantal dwarsstabiele inlagen: 3 ; Bovendek: 2 mm ; Onderdek: 0 mm ; Bandbreedte: 500 mm</t>
  </si>
  <si>
    <t>Gewebetype: EP Quersteif ; Zugfestigkeit: 400 N/mm ; Anzahl Quersteif Einlagen: 3 ; Oberdeck: 2 mm ; Unterdeck: 0 mm ; Gurtbreite: 500 mm</t>
  </si>
  <si>
    <t>Fabric type: EP Cross rigid ; Tensile strength: 400 N/mm ; Number of cross rigid plies: 3 ; Topcover: 2 mm ; Bottomcover: 0 mm ; Beltwidth: 500 mm</t>
  </si>
  <si>
    <t>Carcasse: EP Raide en trame ; Résistance à la traction: 400 N/mm ; Nombre de Raide en trame plis: 3 ; Revêtement supérieur: 2 mm ; Revêtement inférieur: 0 mm ; Largeur de bande: 500 mm</t>
  </si>
  <si>
    <t>XE500XXX315/2+1-3+1SH</t>
  </si>
  <si>
    <t>XE 315/2+1-3+1,BB500</t>
  </si>
  <si>
    <t>10,691</t>
  </si>
  <si>
    <t>XE500XXX400/3+2-4+2SA</t>
  </si>
  <si>
    <t>XE 400/3+2 4+2,BB500</t>
  </si>
  <si>
    <t>22,995</t>
  </si>
  <si>
    <t>Bandweefseltype: EP + EP dwarsstabiel ; Treksterkte: 400 N/mm ; Aantal inlagen: 3 ; Aantal dwarsstabiele inlagen: 2 ; Bovendek: 4 mm ; Onderdek: 2 mm ; Bandbreedte: 500 mm</t>
  </si>
  <si>
    <t>Gewebetype: EP + EP Quersteif ; Zugfestigkeit: 400 N/mm ; Anzahl Einlagen: 3 ; Anzahl Quersteif Einlagen: 2 ; Oberdeck: 4 mm ; Unterdeck: 2 mm ; Gurtbreite: 500 mm</t>
  </si>
  <si>
    <t>Fabric type: EP + EP Cross rigid ; Tensile strength: 400 N/mm ; Number of plies: 3 ; Number of cross rigid plies: 2 ; Topcover: 4 mm ; Bottomcover: 2 mm ; Beltwidth: 500 mm</t>
  </si>
  <si>
    <t>Carcasse: EP + EP Raide en trame ; Résistance à la traction: 400 N/mm ; Nombre de plis: 3 ; Nombre de Raide en trame plis: 2 ; Revêtement supérieur: 4 mm ; Revêtement inférieur: 2 mm ; Largeur de bande: 500 mm</t>
  </si>
  <si>
    <t>XE500XXX400/3+2-4+2SH</t>
  </si>
  <si>
    <t>16,790</t>
  </si>
  <si>
    <t>XE500XXX400/3-4+2SH</t>
  </si>
  <si>
    <t>XE 400/3-4+2,BB500</t>
  </si>
  <si>
    <t>Bandweefseltype: EP dwarsstabiel ; Treksterkte: 400 N/mm ; Aantal dwarsstabiele inlagen: 3 ; Bovendek: 4 mm ; Onderdek: 2 mm ; Bandbreedte: 500 mm</t>
  </si>
  <si>
    <t>Gewebetype: EP Quersteif ; Zugfestigkeit: 400 N/mm ; Anzahl Quersteif Einlagen: 3 ; Oberdeck: 4 mm ; Unterdeck: 2 mm ; Gurtbreite: 500 mm</t>
  </si>
  <si>
    <t>Fabric type: EP Cross rigid ; Tensile strength: 400 N/mm ; Number of cross rigid plies: 3 ; Topcover: 4 mm ; Bottomcover: 2 mm ; Beltwidth: 500 mm</t>
  </si>
  <si>
    <t>Carcasse: EP Raide en trame ; Résistance à la traction: 400 N/mm ; Nombre de Raide en trame plis: 3 ; Revêtement supérieur: 4 mm ; Revêtement inférieur: 2 mm ; Largeur de bande: 500 mm</t>
  </si>
  <si>
    <t>XE500XXX500/3+2-3+2SH</t>
  </si>
  <si>
    <t>XE 500/3+2-3+2,BB500</t>
  </si>
  <si>
    <t>14,535</t>
  </si>
  <si>
    <t>XE530XXX400/3+2-4+2SA</t>
  </si>
  <si>
    <t>Bandweefseltype: EP + EP dwarsstabiel ; Treksterkte: 400 N/mm ; Aantal inlagen: 3 ; Aantal dwarsstabiele inlagen: 2 ; Bovendek: 4 mm ; Onderdek: 2 mm ; Bandbreedte: 530 mm</t>
  </si>
  <si>
    <t>Gewebetype: EP + EP Quersteif ; Zugfestigkeit: 400 N/mm ; Anzahl Einlagen: 3 ; Anzahl Quersteif Einlagen: 2 ; Oberdeck: 4 mm ; Unterdeck: 2 mm ; Gurtbreite: 530 mm</t>
  </si>
  <si>
    <t>Fabric type: EP + EP Cross rigid ; Tensile strength: 400 N/mm ; Number of plies: 3 ; Number of cross rigid plies: 2 ; Topcover: 4 mm ; Bottomcover: 2 mm ; Beltwidth: 530 mm</t>
  </si>
  <si>
    <t>Carcasse: EP + EP Raide en trame ; Résistance à la traction: 400 N/mm ; Nombre de plis: 3 ; Nombre de Raide en trame plis: 2 ; Revêtement supérieur: 4 mm ; Revêtement inférieur: 2 mm ; Largeur de bande: 530 mm</t>
  </si>
  <si>
    <t>XE550XXX400/3+2-4+2SH</t>
  </si>
  <si>
    <t>XE 400/3+2-4+2,BB550</t>
  </si>
  <si>
    <t>18,460</t>
  </si>
  <si>
    <t>Bandweefseltype: EP + EP dwarsstabiel ; Treksterkte: 400 N/mm ; Aantal inlagen: 3 ; Aantal dwarsstabiele inlagen: 2 ; Bovendek: 4 mm ; Onderdek: 2 mm ; Bandbreedte: 550 mm</t>
  </si>
  <si>
    <t>Gewebetype: EP + EP Quersteif ; Zugfestigkeit: 400 N/mm ; Anzahl Einlagen: 3 ; Anzahl Quersteif Einlagen: 2 ; Oberdeck: 4 mm ; Unterdeck: 2 mm ; Gurtbreite: 550 mm</t>
  </si>
  <si>
    <t>Fabric type: EP + EP Cross rigid ; Tensile strength: 400 N/mm ; Number of plies: 3 ; Number of cross rigid plies: 2 ; Topcover: 4 mm ; Bottomcover: 2 mm ; Beltwidth: 550 mm</t>
  </si>
  <si>
    <t>Carcasse: EP + EP Raide en trame ; Résistance à la traction: 400 N/mm ; Nombre de plis: 3 ; Nombre de Raide en trame plis: 2 ; Revêtement supérieur: 4 mm ; Revêtement inférieur: 2 mm ; Largeur de bande: 550 mm</t>
  </si>
  <si>
    <t>XE580XXX400/3+2-4+2SH</t>
  </si>
  <si>
    <t>XE 400/3+2-4+2,BB580</t>
  </si>
  <si>
    <t>Bandweefseltype: EP + EP dwarsstabiel ; Treksterkte: 400 N/mm ; Aantal inlagen: 3 ; Aantal dwarsstabiele inlagen: 2 ; Bovendek: 4 mm ; Onderdek: 2 mm ; Bandbreedte: 580 mm</t>
  </si>
  <si>
    <t>Gewebetype: EP + EP Quersteif ; Zugfestigkeit: 400 N/mm ; Anzahl Einlagen: 3 ; Anzahl Quersteif Einlagen: 2 ; Oberdeck: 4 mm ; Unterdeck: 2 mm ; Gurtbreite: 580 mm</t>
  </si>
  <si>
    <t>Fabric type: EP + EP Cross rigid ; Tensile strength: 400 N/mm ; Number of plies: 3 ; Number of cross rigid plies: 2 ; Topcover: 4 mm ; Bottomcover: 2 mm ; Beltwidth: 580 mm</t>
  </si>
  <si>
    <t>Carcasse: EP + EP Raide en trame ; Résistance à la traction: 400 N/mm ; Nombre de plis: 3 ; Nombre de Raide en trame plis: 2 ; Revêtement supérieur: 4 mm ; Revêtement inférieur: 2 mm ; Largeur de bande: 580 mm</t>
  </si>
  <si>
    <t>XE580XXX400/3-4+2SH</t>
  </si>
  <si>
    <t>XE 400/3-4+2,BB580</t>
  </si>
  <si>
    <t>20,930</t>
  </si>
  <si>
    <t>Bandweefseltype: EP dwarsstabiel ; Treksterkte: 400 N/mm ; Aantal dwarsstabiele inlagen: 3 ; Bovendek: 4 mm ; Onderdek: 2 mm ; Bandbreedte: 580 mm</t>
  </si>
  <si>
    <t>Gewebetype: EP Quersteif ; Zugfestigkeit: 400 N/mm ; Anzahl Quersteif Einlagen: 3 ; Oberdeck: 4 mm ; Unterdeck: 2 mm ; Gurtbreite: 580 mm</t>
  </si>
  <si>
    <t>Fabric type: EP Cross rigid ; Tensile strength: 400 N/mm ; Number of cross rigid plies: 3 ; Topcover: 4 mm ; Bottomcover: 2 mm ; Beltwidth: 580 mm</t>
  </si>
  <si>
    <t>Carcasse: EP Raide en trame ; Résistance à la traction: 400 N/mm ; Nombre de Raide en trame plis: 3 ; Revêtement supérieur: 4 mm ; Revêtement inférieur: 2 mm ; Largeur de bande: 580 mm</t>
  </si>
  <si>
    <t>XE600GLY400/3-2+0HY</t>
  </si>
  <si>
    <t>22,470</t>
  </si>
  <si>
    <t>XE600OVG400/3-2+0HY</t>
  </si>
  <si>
    <t>XE 400/3-2+0,BB600-GLY-O+V</t>
  </si>
  <si>
    <t>Bandweefseltype: EP dwarsstabiel ; Treksterkte: 400 N/mm ; Aantal dwarsstabiele inlagen: 3 ; Bovendek: 2 mm ; Onderdek: 0 mm ; Bandbreedte: 600 mm ; Olie- en vetbestendige Kwaliteit</t>
  </si>
  <si>
    <t>Gewebetype: EP Quersteif ; Zugfestigkeit: 400 N/mm ; Anzahl Quersteif Einlagen: 3 ; Oberdeck: 2 mm ; Unterdeck: 0 mm ; Gurtbreite: 600 mm ; Öl und Fettbeständige Qualität</t>
  </si>
  <si>
    <t>Fabric type: EP Cross rigid ; Tensile strength: 400 N/mm ; Number of cross rigid plies: 3 ; Topcover: 2 mm ; Bottomcover: 0 mm ; Beltwidth: 600 mm ; Oil and Grease Resistant Quality</t>
  </si>
  <si>
    <t>Carcasse: EP Raide en trame ; Résistance à la traction: 400 N/mm ; Nombre de Raide en trame plis: 3 ; Revêtement supérieur: 2 mm ; Revêtement inférieur: 0 mm ; Largeur de bande: 600 mm ; Qualité résistant aux huiles et graisses</t>
  </si>
  <si>
    <t>XE600OVX250/2+2-2+2CO</t>
  </si>
  <si>
    <t>XE 250/2+2-2+2,BB600-Olie en vet bestendig</t>
  </si>
  <si>
    <t>XE600XXX400/3+2-4+2SH</t>
  </si>
  <si>
    <t>XE 400/3+2 4+2,BB600</t>
  </si>
  <si>
    <t>Bandweefseltype: EP + EP dwarsstabiel ; Treksterkte: 400 N/mm ; Aantal inlagen: 3 ; Aantal dwarsstabiele inlagen: 2 ; Bovendek: 4 mm ; Onderdek: 2 mm ; Bandbreedte: 600 mm</t>
  </si>
  <si>
    <t>Gewebetype: EP + EP Quersteif ; Zugfestigkeit: 400 N/mm ; Anzahl Einlagen: 3 ; Anzahl Quersteif Einlagen: 2 ; Oberdeck: 4 mm ; Unterdeck: 2 mm ; Gurtbreite: 600 mm</t>
  </si>
  <si>
    <t>Fabric type: EP + EP Cross rigid ; Tensile strength: 400 N/mm ; Number of plies: 3 ; Number of cross rigid plies: 2 ; Topcover: 4 mm ; Bottomcover: 2 mm ; Beltwidth: 600 mm</t>
  </si>
  <si>
    <t>Carcasse: EP + EP Raide en trame ; Résistance à la traction: 400 N/mm ; Nombre de plis: 3 ; Nombre de Raide en trame plis: 2 ; Revêtement supérieur: 4 mm ; Revêtement inférieur: 2 mm ; Largeur de bande: 600 mm</t>
  </si>
  <si>
    <t>XE600XXX400/3-4+2SH</t>
  </si>
  <si>
    <t>XE 400/3-4+2,BB600</t>
  </si>
  <si>
    <t>Bandweefseltype: EP dwarsstabiel ; Treksterkte: 400 N/mm ; Aantal dwarsstabiele inlagen: 3 ; Bovendek: 4 mm ; Onderdek: 2 mm ; Bandbreedte: 600 mm</t>
  </si>
  <si>
    <t>Gewebetype: EP Quersteif ; Zugfestigkeit: 400 N/mm ; Anzahl Quersteif Einlagen: 3 ; Oberdeck: 4 mm ; Unterdeck: 2 mm ; Gurtbreite: 600 mm</t>
  </si>
  <si>
    <t>Fabric type: EP Cross rigid ; Tensile strength: 400 N/mm ; Number of cross rigid plies: 3 ; Topcover: 4 mm ; Bottomcover: 2 mm ; Beltwidth: 600 mm</t>
  </si>
  <si>
    <t>Carcasse: EP Raide en trame ; Résistance à la traction: 400 N/mm ; Nombre de Raide en trame plis: 3 ; Revêtement supérieur: 4 mm ; Revêtement inférieur: 2 mm ; Largeur de bande: 600 mm</t>
  </si>
  <si>
    <t>XE600XXX400/3-4+2TT</t>
  </si>
  <si>
    <t>XE650GLY250/2-2+0HY</t>
  </si>
  <si>
    <t>XE 250/2-2+0,BB650-GLY</t>
  </si>
  <si>
    <t>Bandweefseltype: EP dwarsstabiel ; Treksterkte: 250 N/mm ; Aantal dwarsstabiele inlagen: 2 ; Bovendek: 2 mm ; Onderdek: 0 mm ; Bandbreedte: 650 mm</t>
  </si>
  <si>
    <t>Gewebetype: EP Quersteif ; Zugfestigkeit: 250 N/mm ; Anzahl Quersteif Einlagen: 2 ; Oberdeck: 2 mm ; Unterdeck: 0 mm ; Gurtbreite: 650 mm</t>
  </si>
  <si>
    <t>Fabric type: EP Cross rigid ; Tensile strength: 250 N/mm ; Number of cross rigid plies: 2 ; Topcover: 2 mm ; Bottomcover: 0 mm ; Beltwidth: 650 mm</t>
  </si>
  <si>
    <t>Carcasse: EP Raide en trame ; Résistance à la traction: 250 N/mm ; Nombre de Raide en trame plis: 2 ; Revêtement supérieur: 2 mm ; Revêtement inférieur: 0 mm ; Largeur de bande: 650 mm</t>
  </si>
  <si>
    <t>XE650OVX250/2+2-2+2CO</t>
  </si>
  <si>
    <t>XE 250/2+2-2+2,BB650-Olie en vet bestendig</t>
  </si>
  <si>
    <t>20,347</t>
  </si>
  <si>
    <t>XE650OVX500/3+2-4+2-EL24.600ZZ</t>
  </si>
  <si>
    <t>XE650OVX500/3+2-4+2-EL24.600 + TC75&amp;L80</t>
  </si>
  <si>
    <t>4.220,110</t>
  </si>
  <si>
    <t>XE650XXX400/3+2-4+2SA</t>
  </si>
  <si>
    <t>XE 400/3+2-4+2,BB650</t>
  </si>
  <si>
    <t>Bandweefseltype: EP + EP dwarsstabiel ; Treksterkte: 400 N/mm ; Aantal inlagen: 3 ; Aantal dwarsstabiele inlagen: 2 ; Bovendek: 4 mm ; Onderdek: 2 mm ; Bandbreedte: 650 mm</t>
  </si>
  <si>
    <t>Gewebetype: EP + EP Quersteif ; Zugfestigkeit: 400 N/mm ; Anzahl Einlagen: 3 ; Anzahl Quersteif Einlagen: 2 ; Oberdeck: 4 mm ; Unterdeck: 2 mm ; Gurtbreite: 650 mm</t>
  </si>
  <si>
    <t>Fabric type: EP + EP Cross rigid ; Tensile strength: 400 N/mm ; Number of plies: 3 ; Number of cross rigid plies: 2 ; Topcover: 4 mm ; Bottomcover: 2 mm ; Beltwidth: 650 mm</t>
  </si>
  <si>
    <t>Carcasse: EP + EP Raide en trame ; Résistance à la traction: 400 N/mm ; Nombre de plis: 3 ; Nombre de Raide en trame plis: 2 ; Revêtement supérieur: 4 mm ; Revêtement inférieur: 2 mm ; Largeur de bande: 650 mm</t>
  </si>
  <si>
    <t>XE650XXX400/3+2-4+2SH</t>
  </si>
  <si>
    <t>XE 400/3+2 4+2,BB650</t>
  </si>
  <si>
    <t>21,780</t>
  </si>
  <si>
    <t>XE650XXX400/3-4+2SA</t>
  </si>
  <si>
    <t>XE 400/3-4+2,BB650</t>
  </si>
  <si>
    <t>Bandweefseltype: EP dwarsstabiel ; Treksterkte: 400 N/mm ; Aantal dwarsstabiele inlagen: 3 ; Bovendek: 4 mm ; Onderdek: 2 mm ; Bandbreedte: 650 mm</t>
  </si>
  <si>
    <t>Gewebetype: EP Quersteif ; Zugfestigkeit: 400 N/mm ; Anzahl Quersteif Einlagen: 3 ; Oberdeck: 4 mm ; Unterdeck: 2 mm ; Gurtbreite: 650 mm</t>
  </si>
  <si>
    <t>Fabric type: EP Cross rigid ; Tensile strength: 400 N/mm ; Number of cross rigid plies: 3 ; Topcover: 4 mm ; Bottomcover: 2 mm ; Beltwidth: 650 mm</t>
  </si>
  <si>
    <t>Carcasse: EP Raide en trame ; Résistance à la traction: 400 N/mm ; Nombre de Raide en trame plis: 3 ; Revêtement supérieur: 4 mm ; Revêtement inférieur: 2 mm ; Largeur de bande: 650 mm</t>
  </si>
  <si>
    <t>XE650XXX400/3-4+2SH</t>
  </si>
  <si>
    <t>XE650XXX500/3+2-4+2SH</t>
  </si>
  <si>
    <t>XE 500/3+2-4+2,BB650</t>
  </si>
  <si>
    <t>22,590</t>
  </si>
  <si>
    <t>XE675PRM250/2-1+2-C23P635SA</t>
  </si>
  <si>
    <t>XE 250/2-1+2,BB675-profiel C23P635</t>
  </si>
  <si>
    <t>40,350</t>
  </si>
  <si>
    <t>XE692PRM250/2-1+2-C23P635SA</t>
  </si>
  <si>
    <t>XE 250/2-1+2,BB692-profiel C23P635</t>
  </si>
  <si>
    <t>41,370</t>
  </si>
  <si>
    <t>XE700GLY250/2-2+0HY</t>
  </si>
  <si>
    <t>XE 250/2-2+0,BB700-GLY</t>
  </si>
  <si>
    <t>18,870</t>
  </si>
  <si>
    <t>Bandweefseltype: EP dwarsstabiel ; Treksterkte: 250 N/mm ; Aantal dwarsstabiele inlagen: 2 ; Bovendek: 2 mm ; Onderdek: 0 mm ; Bandbreedte: 700 mm</t>
  </si>
  <si>
    <t>Gewebetype: EP Quersteif ; Zugfestigkeit: 250 N/mm ; Anzahl Quersteif Einlagen: 2 ; Oberdeck: 2 mm ; Unterdeck: 0 mm ; Gurtbreite: 700 mm</t>
  </si>
  <si>
    <t>Fabric type: EP Cross rigid ; Tensile strength: 250 N/mm ; Number of cross rigid plies: 2 ; Topcover: 2 mm ; Bottomcover: 0 mm ; Beltwidth: 700 mm</t>
  </si>
  <si>
    <t>Carcasse: EP Raide en trame ; Résistance à la traction: 250 N/mm ; Nombre de Raide en trame plis: 2 ; Revêtement supérieur: 2 mm ; Revêtement inférieur: 0 mm ; Largeur de bande: 700 mm</t>
  </si>
  <si>
    <t>XE700GLY400/3-2+0HY</t>
  </si>
  <si>
    <t>XE 400/3-2+0,BB700-GLY</t>
  </si>
  <si>
    <t>Bandweefseltype: EP dwarsstabiel ; Treksterkte: 400 N/mm ; Aantal dwarsstabiele inlagen: 3 ; Bovendek: 2 mm ; Onderdek: 0 mm ; Bandbreedte: 700 mm</t>
  </si>
  <si>
    <t>Gewebetype: EP Quersteif ; Zugfestigkeit: 400 N/mm ; Anzahl Quersteif Einlagen: 3 ; Oberdeck: 2 mm ; Unterdeck: 0 mm ; Gurtbreite: 700 mm</t>
  </si>
  <si>
    <t>Fabric type: EP Cross rigid ; Tensile strength: 400 N/mm ; Number of cross rigid plies: 3 ; Topcover: 2 mm ; Bottomcover: 0 mm ; Beltwidth: 700 mm</t>
  </si>
  <si>
    <t>Carcasse: EP Raide en trame ; Résistance à la traction: 400 N/mm ; Nombre de Raide en trame plis: 3 ; Revêtement supérieur: 2 mm ; Revêtement inférieur: 0 mm ; Largeur de bande: 700 mm</t>
  </si>
  <si>
    <t>XE750OVG250/2-2+0HY</t>
  </si>
  <si>
    <t>XE 250/2-2+0,BB750-OVG</t>
  </si>
  <si>
    <t>XE750XXX400/3+1-4+2SH</t>
  </si>
  <si>
    <t>XE 400/3+1-4+2,BB750</t>
  </si>
  <si>
    <t>18,037</t>
  </si>
  <si>
    <t>XE750XXX400/3+2-4+2SH</t>
  </si>
  <si>
    <t>XE 400/3+2-4+2,BB750</t>
  </si>
  <si>
    <t>25,550</t>
  </si>
  <si>
    <t>XE800GLY250/2-2+0HY</t>
  </si>
  <si>
    <t>XE 250/2-2+0,BB800-GLY</t>
  </si>
  <si>
    <t>Bandweefseltype: EP dwarsstabiel ; Treksterkte: 250 N/mm ; Aantal dwarsstabiele inlagen: 2 ; Bovendek: 2 mm ; Onderdek: 0 mm ; Bandbreedte: 800 mm</t>
  </si>
  <si>
    <t>Gewebetype: EP Quersteif ; Zugfestigkeit: 250 N/mm ; Anzahl Quersteif Einlagen: 2 ; Oberdeck: 2 mm ; Unterdeck: 0 mm ; Gurtbreite: 800 mm</t>
  </si>
  <si>
    <t>Fabric type: EP Cross rigid ; Tensile strength: 250 N/mm ; Number of cross rigid plies: 2 ; Topcover: 2 mm ; Bottomcover: 0 mm ; Beltwidth: 800 mm</t>
  </si>
  <si>
    <t>Carcasse: EP Raide en trame ; Résistance à la traction: 250 N/mm ; Nombre de Raide en trame plis: 2 ; Revêtement supérieur: 2 mm ; Revêtement inférieur: 0 mm ; Largeur de bande: 800 mm</t>
  </si>
  <si>
    <t>XE800GLY400/3-2+0HY</t>
  </si>
  <si>
    <t>XE 400/3-2+0,BB800-GLY</t>
  </si>
  <si>
    <t>Bandweefseltype: EP dwarsstabiel ; Treksterkte: 400 N/mm ; Aantal dwarsstabiele inlagen: 3 ; Bovendek: 2 mm ; Onderdek: 0 mm ; Bandbreedte: 800 mm</t>
  </si>
  <si>
    <t>Gewebetype: EP Quersteif ; Zugfestigkeit: 400 N/mm ; Anzahl Quersteif Einlagen: 3 ; Oberdeck: 2 mm ; Unterdeck: 0 mm ; Gurtbreite: 800 mm</t>
  </si>
  <si>
    <t>Fabric type: EP Cross rigid ; Tensile strength: 400 N/mm ; Number of cross rigid plies: 3 ; Topcover: 2 mm ; Bottomcover: 0 mm ; Beltwidth: 800 mm</t>
  </si>
  <si>
    <t>Carcasse: EP Raide en trame ; Résistance à la traction: 400 N/mm ; Nombre de Raide en trame plis: 3 ; Revêtement supérieur: 2 mm ; Revêtement inférieur: 0 mm ; Largeur de bande: 800 mm</t>
  </si>
  <si>
    <t>XE800OVG250/2-2+0HY</t>
  </si>
  <si>
    <t>XE 250/2-2+0,BB800-GLY-O+V</t>
  </si>
  <si>
    <t>23,480</t>
  </si>
  <si>
    <t>Bandweefseltype: EP dwarsstabiel ; Treksterkte: 250 N/mm ; Aantal dwarsstabiele inlagen: 2 ; Bovendek: 2 mm ; Onderdek: 0 mm ; Bandbreedte: 800 mm ; Olie- en vetbestendige Kwaliteit</t>
  </si>
  <si>
    <t>Gewebetype: EP Quersteif ; Zugfestigkeit: 250 N/mm ; Anzahl Quersteif Einlagen: 2 ; Oberdeck: 2 mm ; Unterdeck: 0 mm ; Gurtbreite: 800 mm ; Öl und Fettbeständige Qualität</t>
  </si>
  <si>
    <t>Fabric type: EP Cross rigid ; Tensile strength: 250 N/mm ; Number of cross rigid plies: 3 ; Topcover: 2 mm ; Bottomcover: 0 mm ; Beltwidth: 800 mm ; Oil and Grease Resistant Quality</t>
  </si>
  <si>
    <t>Carcasse: EP Raide en trame ; Résistance à la traction: 250 N/mm ; Nombre de Raide en trame plis: 2 ; Revêtement supérieur: 2 mm ; Revêtement inférieur: 0 mm ; Largeur de bande: 800 mm ; Qualité résistant aux huiles et graisses</t>
  </si>
  <si>
    <t>XE800OVG400/3-2+0HY</t>
  </si>
  <si>
    <t>XE 400/3-3+0,BB800-GLY-O+V</t>
  </si>
  <si>
    <t>32,190</t>
  </si>
  <si>
    <t>Bande raide en trame à sole glisse, Qualité résistant aux huiles et graisses ; XE 400/3-2+0</t>
  </si>
  <si>
    <t>Bandweefseltype: EP dwarsstabiel ; Treksterkte: 400 N/mm ; Aantal dwarsstabiele inlagen: 3 ; Bovendek: 2 mm ; Onderdek: 0 mm ; Bandbreedte: 800 mm ; Olie- en vetbestendige Kwaliteit</t>
  </si>
  <si>
    <t>Gewebetype: EP Quersteif ; Zugfestigkeit: 400 N/mm ; Anzahl Quersteif Einlagen: 3 ; Oberdeck: 2 mm ; Unterdeck: 0 mm ; Gurtbreite: 800 mm ; Öl und Fettbeständige Qualität</t>
  </si>
  <si>
    <t>Fabric type: EP Cross rigid ; Tensile strength: 400 N/mm ; Number of cross rigid plies: 3 ; Topcover: 2 mm ; Bottomcover: 0 mm ; Beltwidth: 800 mm ; Oil and Grease Resistant Quality</t>
  </si>
  <si>
    <t>Carcasse: EP Raide en trame ; Résistance à la traction: 400 N/mm ; Nombre de Raide en trame plis: 3 ; Revêtement supérieur: 2 mm ; Revêtement inférieur: 0 mm ; Largeur de bande: 800 mm ; Qualité résistant aux huiles et graisses</t>
  </si>
  <si>
    <t>XE800XXX400/3+1-4+2SH</t>
  </si>
  <si>
    <t>XE 400/3+1-4+2,BB800</t>
  </si>
  <si>
    <t>18,571</t>
  </si>
  <si>
    <t>Dwarsstabiel, Slijtvast, Standaard kwaliteit ; XE 400/3+1-4+2</t>
  </si>
  <si>
    <t>Quersteif, Abriebfest, Standardqualität ; XE 400/3+1-4+2</t>
  </si>
  <si>
    <t>Cross-Rigid, Abrasion resistant, Standard Quality ; XE 400/3+1-4+2</t>
  </si>
  <si>
    <t>Raide en trame, Anti-abrasion, qualité standard ; XE 400/3+1-4+2</t>
  </si>
  <si>
    <t>Bandweefseltype: EP + EP dwarsstabiel ; Treksterkte: 400 N/mm ; Aantal inlagen: 3 ; Aantal dwarsstabiele inlagen: 1 ; Bovendek: 4 mm ; Onderdek: 2 mm ; Bandbreedte: 800 mm</t>
  </si>
  <si>
    <t>Gewebetype: EP + EP Quersteif ; Zugfestigkeit: 400 N/mm ; Anzahl Einlagen: 3 ; Anzahl Quersteif Einlagen: 1 ; Oberdeck: 4 mm ; Unterdeck: 2 mm ; Gurtbreite: 800 mm</t>
  </si>
  <si>
    <t>Fabric type: EP + EP Cross rigid ; Tensile strength: 400 N/mm ; Number of plies: 3 ; Number of cross rigid plies: 1 ; Topcover: 4 mm ; Bottomcover: 2 mm ; Beltwidth: 800 mm</t>
  </si>
  <si>
    <t>Carcasse: EP + EP Raide en trame ; Résistance à la traction: 400 N/mm ; Nombre de plis: 3 ; Nombre de Raide en trame plis: 1 ; Revêtement supérieur: 4 mm ; Revêtement inférieur: 2 mm ; Largeur de bande: 800 mm</t>
  </si>
  <si>
    <t>XE800XXX400/3+2-4+2SA</t>
  </si>
  <si>
    <t>XE 400/3+2-4+2,BB800</t>
  </si>
  <si>
    <t>Bandweefseltype: EP + EP dwarsstabiel ; Treksterkte: 400 N/mm ; Aantal inlagen: 3 ; Aantal dwarsstabiele inlagen: 2 ; Bovendek: 4 mm ; Onderdek: 2 mm ; Bandbreedte: 800 mm</t>
  </si>
  <si>
    <t>Gewebetype: EP + EP Quersteif ; Zugfestigkeit: 400 N/mm ; Anzahl Einlagen: 3 ; Anzahl Quersteif Einlagen: 2 ; Oberdeck: 4 mm ; Unterdeck: 2 mm ; Gurtbreite: 800 mm</t>
  </si>
  <si>
    <t>Fabric type: EP + EP Cross rigid ; Tensile strength: 400 N/mm ; Number of plies: 3 ; Number of cross rigid plies: 2 ; Topcover: 4 mm ; Bottomcover: 2 mm ; Beltwidth: 800 mm</t>
  </si>
  <si>
    <t>Carcasse: EP + EP Raide en trame ; Résistance à la traction: 400 N/mm ; Nombre de plis: 3 ; Nombre de Raide en trame plis: 2 ; Revêtement supérieur: 4 mm ; Revêtement inférieur: 2 mm ; Largeur de bande: 800 mm</t>
  </si>
  <si>
    <t>XE800XXX400/3+2-4+2SH</t>
  </si>
  <si>
    <t>26,860</t>
  </si>
  <si>
    <t>XE800XXX400/3-4+2SA</t>
  </si>
  <si>
    <t>XE 400/3-4+2,BB800</t>
  </si>
  <si>
    <t>39,430</t>
  </si>
  <si>
    <t>Bandweefseltype: EP dwarsstabiel ; Treksterkte: 400 N/mm ; Aantal dwarsstabiele inlagen: 3 ; Bovendek: 4 mm ; Onderdek: 2 mm ; Bandbreedte: 800 mm</t>
  </si>
  <si>
    <t>Gewebetype: EP Quersteif ; Zugfestigkeit: 400 N/mm ; Anzahl Quersteif Einlagen: 3 ; Oberdeck: 4 mm ; Unterdeck: 2 mm ; Gurtbreite: 800 mm</t>
  </si>
  <si>
    <t>Fabric type: EP Cross rigid ; Tensile strength: 400 N/mm ; Number of cross rigid plies: 3 ; Topcover: 4 mm ; Bottomcover: 2 mm ; Beltwidth: 800 mm</t>
  </si>
  <si>
    <t>Carcasse: EP Raide en trame ; Résistance à la traction: 400 N/mm ; Nombre de Raide en trame plis: 3 ; Revêtement supérieur: 4 mm ; Revêtement inférieur: 2 mm ; Largeur de bande: 800 mm</t>
  </si>
  <si>
    <t>XE800XXX400/3-4+2SH</t>
  </si>
  <si>
    <t>33,340</t>
  </si>
  <si>
    <t>XE800XXX500/3+2-3+2SH</t>
  </si>
  <si>
    <t>XE 500/3+2-3+2,BB800</t>
  </si>
  <si>
    <t>23,253</t>
  </si>
  <si>
    <t>XE800XXX500/3+2-4+2SH</t>
  </si>
  <si>
    <t>XE 500/3+2-4+2,BB800</t>
  </si>
  <si>
    <t>27,810</t>
  </si>
  <si>
    <t>XE850GLY250/2-2+0HY</t>
  </si>
  <si>
    <t>XE 250/2-2+0,BB850-GLY</t>
  </si>
  <si>
    <t>XE850XXX315/2+1-3+1SH</t>
  </si>
  <si>
    <t>XE 315/2+1-3+1,BB850</t>
  </si>
  <si>
    <t>19,730</t>
  </si>
  <si>
    <t>XE870XXX400/3+2-4+2SH</t>
  </si>
  <si>
    <t>XE 400/3+2-4+2,BB870</t>
  </si>
  <si>
    <t>29,160</t>
  </si>
  <si>
    <t>Bandweefseltype: EP + EP dwarsstabiel ; Treksterkte: 400 N/mm ; Aantal inlagen: 3 ; Aantal dwarsstabiele inlagen: 2 ; Bovendek: 4 mm ; Onderdek: 2 mm ; Bandbreedte: 870 mm</t>
  </si>
  <si>
    <t>Gewebetype: EP + EP Quersteif ; Zugfestigkeit: 400 N/mm ; Anzahl Einlagen: 3 ; Anzahl Quersteif Einlagen: 2 ; Oberdeck: 4 mm ; Unterdeck: 2 mm ; Gurtbreite: 870 mm</t>
  </si>
  <si>
    <t>Fabric type: EP + EP Cross rigid ; Tensile strength: 400 N/mm ; Number of plies: 3 ; Number of cross rigid plies: 2 ; Topcover: 4 mm ; Bottomcover: 2 mm ; Beltwidth: 870 mm</t>
  </si>
  <si>
    <t>Carcasse: EP + EP Raide en trame ; Résistance à la traction: 400 N/mm ; Nombre de plis: 3 ; Nombre de Raide en trame plis: 2 ; Revêtement supérieur: 4 mm ; Revêtement inférieur: 2 mm ; Largeur de bande: 870 mm</t>
  </si>
  <si>
    <t>XE870XXX400/3-4+2SH</t>
  </si>
  <si>
    <t>XE 400/3-4+2,BB870</t>
  </si>
  <si>
    <t>27,360</t>
  </si>
  <si>
    <t>Bandweefseltype: EP dwarsstabiel ; Treksterkte: 400 N/mm ; Aantal dwarsstabiele inlagen: 3 ; Bovendek: 4 mm ; Onderdek: 2 mm ; Bandbreedte: 870 mm</t>
  </si>
  <si>
    <t>Gewebetype: EP Quersteif ; Zugfestigkeit: 400 N/mm ; Anzahl Quersteif Einlagen: 3 ; Oberdeck: 4 mm ; Unterdeck: 2 mm ; Gurtbreite: 870 mm</t>
  </si>
  <si>
    <t>Fabric type: EP Cross rigid ; Tensile strength: 400 N/mm ; Number of cross rigid plies: 3 ; Topcover: 4 mm ; Bottomcover: 2 mm ; Beltwidth: 870 mm</t>
  </si>
  <si>
    <t>Carcasse: EP Raide en trame ; Résistance à la traction: 400 N/mm ; Nombre de Raide en trame plis: 3 ; Revêtement supérieur: 4 mm ; Revêtement inférieur: 2 mm ; Largeur de bande: 870 mm</t>
  </si>
  <si>
    <t>XE900GLY400/3-2+0HY</t>
  </si>
  <si>
    <t>XE 400/3-2+0,BB900-GLY</t>
  </si>
  <si>
    <t>Bandweefseltype: EP dwarsstabiel ; Treksterkte: 400 N/mm ; Aantal dwarsstabiele inlagen: 3 ; Bovendek: 2 mm ; Onderdek: 0 mm ; Bandbreedte: 900 mm</t>
  </si>
  <si>
    <t>Gewebetype: EP Quersteif ; Zugfestigkeit: 400 N/mm ; Anzahl Quersteif Einlagen: 3 ; Oberdeck: 2 mm ; Unterdeck: 0 mm ; Gurtbreite: 900 mm</t>
  </si>
  <si>
    <t>Fabric type: EP Cross rigid ; Tensile strength: 400 N/mm ; Number of cross rigid plies: 3 ; Topcover: 2 mm ; Bottomcover: 0 mm ; Beltwidth: 900 mm</t>
  </si>
  <si>
    <t>Carcasse: EP Raide en trame ; Résistance à la traction: 400 N/mm ; Nombre de Raide en trame plis: 3 ; Revêtement supérieur: 2 mm ; Revêtement inférieur: 0 mm ; Largeur de bande: 900 mm</t>
  </si>
  <si>
    <t>XE920XXX400/3+2-4+2SA</t>
  </si>
  <si>
    <t>XE 400/3+2-4+2,BB920</t>
  </si>
  <si>
    <t>42,310</t>
  </si>
  <si>
    <t>Bandweefseltype: EP + EP dwarsstabiel ; Treksterkte: 400 N/mm ; Aantal inlagen: 3 ; Aantal dwarsstabiele inlagen: 2 ; Bovendek: 4 mm ; Onderdek: 2 mm ; Bandbreedte: 920 mm</t>
  </si>
  <si>
    <t>Gewebetype: EP + EP Quersteif ; Zugfestigkeit: 400 N/mm ; Anzahl Einlagen: 3 ; Anzahl Quersteif Einlagen: 2 ; Oberdeck: 4 mm ; Unterdeck: 2 mm ; Gurtbreite: 920 mm</t>
  </si>
  <si>
    <t>Fabric type: EP + EP Cross rigid ; Tensile strength: 400 N/mm ; Number of plies: 3 ; Number of cross rigid plies: 2 ; Topcover: 4 mm ; Bottomcover: 2 mm ; Beltwidth: 920 mm</t>
  </si>
  <si>
    <t>Carcasse: EP + EP Raide en trame ; Résistance à la traction: 400 N/mm ; Nombre de plis: 3 ; Nombre de Raide en trame plis: 2 ; Revêtement supérieur: 4 mm ; Revêtement inférieur: 2 mm ; Largeur de bande: 920 mm</t>
  </si>
  <si>
    <t>XST650XXX315/2+2-3+2-VZV2BRKCO</t>
  </si>
  <si>
    <t>XST315/2+2-3+2,BB650, v.z.v. 2 breakers</t>
  </si>
  <si>
    <t>53,880</t>
  </si>
  <si>
    <t>XST650XXX315/2+2-3S+2SKSA</t>
  </si>
  <si>
    <t>XST315/2+2-3S+2S,BB650, v.z.v. 2 breakers</t>
  </si>
  <si>
    <t>XST795XXX315/2+2-3+2-VZV2BRKCO</t>
  </si>
  <si>
    <t>XST315/2+2-3+2,BB795, v.z.v. 2 breakers</t>
  </si>
  <si>
    <t>66,280</t>
  </si>
  <si>
    <t>Z-G-Z-10000X150X20CH</t>
  </si>
  <si>
    <t>Z-G-Z, 10.000x150x20 mm</t>
  </si>
  <si>
    <t>Z-R-Z-10000X100X15CH</t>
  </si>
  <si>
    <t>Z-R-Z, 10.000x100x15 mm</t>
  </si>
  <si>
    <t>187,500</t>
  </si>
  <si>
    <t>58,300</t>
  </si>
  <si>
    <t>08-01_Scraper Rubber</t>
  </si>
  <si>
    <t>Sandwich Schraper rubber ; Strips 100 x 15 mm</t>
  </si>
  <si>
    <t>Sandwich Abstreifgummi ; Streifen 100 x 15 mm</t>
  </si>
  <si>
    <t>Sandwich Scraper rubber ; Strips 100 x 15 mm</t>
  </si>
  <si>
    <t>Gomme Sandwich ; Bavettes 100 x 15 mm</t>
  </si>
  <si>
    <t>Lengte: 10.000 mm ; Breedte: 100 mm ; Dikte: 15 mm ; Kleur: Zwart-Rood-Zwart ; Zwart: ; *Rubber: NR/BR ; *Hardheid: 60° Shore A ; *Slijtage: 150 mm³ ; Rood: ; *Rubber: SBR/NR ; *Hardheid: 40° Shore A ; *Slijtage: 150 mm³</t>
  </si>
  <si>
    <t>Länge: 10.000 mm ; Breite: 100 mm ; Stärke: 15 mm ; Farbe: Schwarz-Rot-Schwarz ; Schwarz: ; *Gummi: NR/BR ; *Härte: 60° Shore A ; *Abrieb: 150 mm³ ; Rot: ; *Gummi: SBR/NR ; *Härte: 40° Shore A ; *Abrieb: 150 mm³</t>
  </si>
  <si>
    <t xml:space="preserve">Length: 10.000 mm ; Width: 100 mm ; Thickness: 15 mm ; Color: Black-Red-Black ; Black: ; *Rubber: NR/BR ; *Hardness: 60° Shore A ; *Abrasion: 150 mm³ ; Red: ; *Rubber: SBR/NR ; *Hardness: 40° Shore A ; *Abrasion: 150 mm³ </t>
  </si>
  <si>
    <t>Longueur : 10.000 mm ; Largeur : 100 mm ; Épaisseur : 15 mm ; Couleur : Noir-Rouge-Noir ; Noir: ; *Caoutchouc : NR/BR ; *Dureté : 60° Shore A ; *Abrasion : 150 mm³ ; Rouge: ; *Caoutchouc : SBR/NR ; *Dureté : 40° Shore A ; *Abrasion : 150 mm³</t>
  </si>
  <si>
    <t>Sandwichrubber wordt gebruikt als een kosteneffectieve manier om transportbanden schoon te schrapen in een breed scala aan toepassingen. ; Geproduceerd volgens ISO- en DIN-normen.</t>
  </si>
  <si>
    <r>
      <t>Sandwich-Gummi wird in einer Vielzahl von Anwendungen als kostengünstige Methode zum sauber</t>
    </r>
    <r>
      <rPr>
        <sz val="10"/>
        <color rgb="FFFF0000"/>
        <rFont val="Arial"/>
        <family val="2"/>
      </rPr>
      <t>en Abstrei</t>
    </r>
    <r>
      <rPr>
        <sz val="10"/>
        <color indexed="8"/>
        <rFont val="Arial"/>
        <family val="2"/>
      </rPr>
      <t>fen von Förderbändern verwendet. ; Produziert nach ISO- und DIN-Normen.</t>
    </r>
  </si>
  <si>
    <t>Sandwich rubber is used as a cost effective way of scraping clean conveyor belts in a wide variety of applications. ; Produced according to ISO and DIN standards.</t>
  </si>
  <si>
    <t>Le caoutchouc sandwich est utilisé comme moyen rentable de racler des bandes transporteuses propres dans une grande variété d'applications. ; Produit selon les normes ISO et DIN.</t>
  </si>
  <si>
    <t>Z-R-Z-10000X100X15ZE</t>
  </si>
  <si>
    <t>Sandwich-Gummi wird in einer Vielzahl von Anwendungen als kostengünstige Methode zum sauberen Abschtreifen von Förderbändern verwendet. ; Produziert nach ISO- und DIN-Normen.</t>
  </si>
  <si>
    <t>Kombigummi</t>
  </si>
  <si>
    <t>Z-R-Z-10000X100X20CH</t>
  </si>
  <si>
    <t>Z-R-Z, 10.000x100x20 mm</t>
  </si>
  <si>
    <t>Sandwich Schraper rubber ; Strips 100 x 20 mm</t>
  </si>
  <si>
    <t>Sandwich Abstreifgummi ; Streifen 100 x 20 mm</t>
  </si>
  <si>
    <t>Sandwich Scraper rubber ; Strips 100 x 20 mm</t>
  </si>
  <si>
    <t>Gomme Sandwich ; Bavettes 100 x 20 mm</t>
  </si>
  <si>
    <t>Lengte: 10.000 mm ; Breedte: 100 mm ; Dikte: 20 mm ; Kleur: Zwart-Rood-Zwart ; Zwart: ; *Rubber: NR/BR ; *Hardheid: 60° Shore A ; *Slijtage: 150 mm³ ; Rood: ; *Rubber: SBR/NR ; *Hardheid: 40° Shore A ; *Slijtage: 150 mm³</t>
  </si>
  <si>
    <t>Länge: 10.000 mm ; Breite: 100 mm ; Stärke: 20 mm ; Farbe: Schwarz-Rot-Schwarz ; Schwarz: ; *Gummi: NR/BR ; *Härte: 60° Shore A ; *Abrieb: 150 mm³ ; Rot: ; *Gummi: SBR/NR ; *Härte: 40° Shore A ; *Abrieb: 150 mm³</t>
  </si>
  <si>
    <t xml:space="preserve">Length: 10.000 mm ; Width: 100 mm ; Thickness: 20 mm ; Color: Black-Red-Black ; Black: ; *Rubber: NR/BR ; *Hardness: 60° Shore A ; *Abrasion: 150 mm³ ; Red: ; *Rubber: SBR/NR ; *Hardness: 40° Shore A ; *Abrasion: 150 mm³ </t>
  </si>
  <si>
    <t>Longueur : 10.000 mm ; Largeur : 100 mm ; Épaisseur : 20 mm ; Couleur : Noir-Rouge-Noir ; Noir: ; *Caoutchouc : NR/BR ; *Dureté : 60° Shore A ; *Abrasion : 150 mm³ ; Rouge: ; *Caoutchouc : SBR/NR ; *Dureté : 40° Shore A ; *Abrasion : 150 mm³</t>
  </si>
  <si>
    <t>Z-R-Z-10000X110X20CH</t>
  </si>
  <si>
    <t>Z-R-Z, 10.000x110x20 mm</t>
  </si>
  <si>
    <t>83,330</t>
  </si>
  <si>
    <t>Sandwich Schraper rubber ; Strips 110 x 20 mm</t>
  </si>
  <si>
    <t>Sandwich Abstreifgummi ; Streifen 110 x 20 mm</t>
  </si>
  <si>
    <t>Sandwich Scraper rubber ; Strips 110 x 20 mm</t>
  </si>
  <si>
    <t>Gomme Sandwich ; Bavettes 110 x 20 mm</t>
  </si>
  <si>
    <t>Lengte: 10.000 mm ; Breedte: 110 mm ; Dikte: 20 mm ; Kleur: Zwart-Rood-Zwart ; Zwart: ; *Rubber: NR/BR ; *Hardheid: 60° Shore A ; *Slijtage: 150 mm³ ; Rood: ; *Rubber: SBR/NR ; *Hardheid: 40° Shore A ; *Slijtage: 150 mm132</t>
  </si>
  <si>
    <t>Länge: 10.000 mm ; Breite: 110 mm ; Stärke: 20 mm ; Farbe: Schwarz-Rot-Schwarz ; Schwarz: ; *Gummi: NR/BR ; *Härte: 60° Shore A ; *Abrieb: 150 mm³ ; Rot: ; *Gummi: SBR/NR ; *Härte: 40° Shore A ; *Abrieb: 150 mm132</t>
  </si>
  <si>
    <t>Length: 10.000 mm ; Width: 110 mm ; Thickness: 20 mm ; Color: Black-Red-Black ; Black: ; *Rubber: NR/BR ; *Hardness: 60° Shore A ; *Abrasion: 150 mm³ ; Red: ; *Rubber: SBR/NR ; *Hardness: 40° Shore A ; *Abrasion: 150 mm132</t>
  </si>
  <si>
    <t>Longueur : 10.000 mm ; Largeur : 110 mm ; Épaisseur : 20 mm ; Couleur : Noir-Rouge-Noir ; Noir: ; *Caoutchouc : NR/BR ; *Dureté : 60° Shore A ; *Abrasion : 150 mm³ ; Rouge: ; *Caoutchouc : SBR/NR ; *Dureté : 40° Shore A ; *Abrasion : 150 mm132</t>
  </si>
  <si>
    <t>Z-R-Z-10000X120X15CH</t>
  </si>
  <si>
    <t>Z-R-Z, 10.000x120x15 mm</t>
  </si>
  <si>
    <t>69,940</t>
  </si>
  <si>
    <t>Sandwich Schraper rubber ; Strips 120 x 15 mm</t>
  </si>
  <si>
    <t>Sandwich Abstreifgummi ; Streifen 120 x 15 mm</t>
  </si>
  <si>
    <t>Sandwich Scraper rubber ; Strips 120 x 15 mm</t>
  </si>
  <si>
    <t>Gomme Sandwich ; Bavettes 120 x 15 mm</t>
  </si>
  <si>
    <t>Lengte: 10.000 mm ; Breedte: 120 mm ; Dikte: 15 mm ; Kleur: Zwart-Rood-Zwart ; Zwart: ; *Rubber: NR/BR ; *Hardheid: 60° Shore A ; *Slijtage: 150 mm³ ; Rood: ; *Rubber: SBR/NR ; *Hardheid: 40° Shore A ; *Slijtage: 150 mm³</t>
  </si>
  <si>
    <t>Länge: 10.000 mm ; Breite: 120 mm ; Stärke: 15 mm ; Farbe: Schwarz-Rot-Schwarz ; Schwarz: ; *Gummi: NR/BR ; *Härte: 60° Shore A ; *Abrieb: 150 mm³ ; Rot: ; *Gummi: SBR/NR ; *Härte: 40° Shore A ; *Abrieb: 150 mm³</t>
  </si>
  <si>
    <t xml:space="preserve">Length: 10.000 mm ; Width: 120 mm ; Thickness: 15 mm ; Color: Black-Red-Black ; Black: ; *Rubber: NR/BR ; *Hardness: 60° Shore A ; *Abrasion: 150 mm³ ; Red: ; *Rubber: SBR/NR ; *Hardness: 40° Shore A ; *Abrasion: 150 mm³ </t>
  </si>
  <si>
    <t>Longueur : 10.000 mm ; Largeur : 120 mm ; Épaisseur : 15 mm ; Couleur : Noir-Rouge-Noir ; Noir: ; *Caoutchouc : NR/BR ; *Dureté : 60° Shore A ; *Abrasion : 150 mm³ ; Rouge: ; *Caoutchouc : SBR/NR ; *Dureté : 40° Shore A ; *Abrasion : 150 mm³</t>
  </si>
  <si>
    <t>Z-R-Z-10000X120X20CH</t>
  </si>
  <si>
    <t>Z-R-Z, 10.000x120x20 mm</t>
  </si>
  <si>
    <t>90,230</t>
  </si>
  <si>
    <t>Sandwich Schraper rubber ; Strips 120 x 20 mm</t>
  </si>
  <si>
    <t>Sandwich Abstreifgummi ; Streifen 120 x 20 mm</t>
  </si>
  <si>
    <t>Sandwich Scraper rubber ; Strips 120 x 20 mm</t>
  </si>
  <si>
    <t>Gomme Sandwich ; Bavettes 120 x 20 mm</t>
  </si>
  <si>
    <t>Lengte: 10.000 mm ; Breedte: 120 mm ; Dikte: 20 mm ; Kleur: Zwart-Rood-Zwart ; Zwart: ; *Rubber: NR/BR ; *Hardheid: 60° Shore A ; *Slijtage: 150 mm³ ; Rood: ; *Rubber: SBR/NR ; *Hardheid: 40° Shore A ; *Slijtage: 150 mm³</t>
  </si>
  <si>
    <t>Länge: 10.000 mm ; Breite: 120 mm ; Stärke: 20 mm ; Farbe: Schwarz-Rot-Schwarz ; Schwarz: ; *Gummi: NR/BR ; *Härte: 60° Shore A ; *Abrieb: 150 mm³ ; Rot: ; *Gummi: SBR/NR ; *Härte: 40° Shore A ; *Abrieb: 150 mm³</t>
  </si>
  <si>
    <t xml:space="preserve">Length: 10.000 mm ; Width: 120 mm ; Thickness: 20 mm ; Color: Black-Red-Black ; Black: ; *Rubber: NR/BR ; *Hardness: 60° Shore A ; *Abrasion: 150 mm³ ; Red: ; *Rubber: SBR/NR ; *Hardness: 40° Shore A ; *Abrasion: 150 mm³ </t>
  </si>
  <si>
    <t>Longueur : 10.000 mm ; Largeur : 120 mm ; Épaisseur : 20 mm ; Couleur : Noir-Rouge-Noir ; Noir: ; *Caoutchouc : NR/BR ; *Dureté : 60° Shore A ; *Abrasion : 150 mm³ ; Rouge: ; *Caoutchouc : SBR/NR ; *Dureté : 40° Shore A ; *Abrasion : 150 mm³</t>
  </si>
  <si>
    <t>Z-R-Z-10000X150X15CH</t>
  </si>
  <si>
    <t>Z-R-Z, 10.000x150x15 mm</t>
  </si>
  <si>
    <t>Sandwich Schraper rubber ; Strips 150 x 15 mm</t>
  </si>
  <si>
    <t>Sandwich Abstreifgummi ; Streifen 150 x 15 mm</t>
  </si>
  <si>
    <t>Sandwich Scraper rubber ; Strips 150 x 15 mm</t>
  </si>
  <si>
    <t>Gomme Sandwich ; Bavettes 150 x 15 mm</t>
  </si>
  <si>
    <t>Z-R-Z-10000X150X20CH</t>
  </si>
  <si>
    <t>Z-R-Z, 10.000x150x20 mm</t>
  </si>
  <si>
    <t>112,890</t>
  </si>
  <si>
    <t>Sandwich Schraper rubber ; Strips 150 x 20 mm</t>
  </si>
  <si>
    <t>Sandwich Abstreifgummi ; Streifen 150 x 20 mm</t>
  </si>
  <si>
    <t>Sandwich Scraper rubber ; Strips 150 x 20 mm</t>
  </si>
  <si>
    <t>Gomme Sandwich ; Bavettes 150 x 20 mm</t>
  </si>
  <si>
    <t>Lengte: 10.000 mm ; Breedte: 150 mm ; Dikte: 20 mm ; Kleur: Zwart-Rood-Zwart ; Zwart: ; *Rubber: NR/BR ; *Hardheid: 60° Shore A ; *Slijtage: 150 mm³ ; Rood: ; *Rubber: SBR/NR ; *Hardheid: 40° Shore A ; *Slijtage: 150 mm³</t>
  </si>
  <si>
    <t>Länge: 10.000 mm ; Breite: 150 mm ; Stärke: 20 mm ; Farbe: Schwarz-Rot-Schwarz ; Schwarz: ; *Gummi: NR/BR ; *Härte: 60° Shore A ; *Abrieb: 150 mm³ ; Rot: ; *Gummi: SBR/NR ; *Härte: 40° Shore A ; *Abrieb: 150 mm³</t>
  </si>
  <si>
    <t xml:space="preserve">Length: 10.000 mm ; Width: 150 mm ; Thickness: 20 mm ; Color: Black-Red-Black ; Black: ; *Rubber: NR/BR ; *Hardness: 60° Shore A ; *Abrasion: 150 mm³ ; Red: ; *Rubber: SBR/NR ; *Hardness: 40° Shore A ; *Abrasion: 150 mm³ </t>
  </si>
  <si>
    <t>Longueur : 10.000 mm ; Largeur : 150 mm ; Épaisseur : 20 mm ; Couleur : Noir-Rouge-Noir ; Noir: ; *Caoutchouc : NR/BR ; *Dureté : 60° Shore A ; *Abrasion : 150 mm³ ; Rouge: ; *Caoutchouc : SBR/NR ; *Dureté : 40° Shore A ; *Abrasion : 150 mm³</t>
  </si>
  <si>
    <t>Z-R-Z-10000X150X30BK</t>
  </si>
  <si>
    <t>Z-R-Z, 10.000x150x30 mm</t>
  </si>
  <si>
    <t>230,000</t>
  </si>
  <si>
    <t>Sandwich Schraper rubber ; Strips 150 x 30 mm</t>
  </si>
  <si>
    <t>Sandwich Abstreifgummi ; Streifen 150 x 30 mm</t>
  </si>
  <si>
    <t>Sandwich Scraper rubber ; Strips 150 x 30 mm</t>
  </si>
  <si>
    <t>Gomme Sandwich ; Bavettes 150 x 30 mm</t>
  </si>
  <si>
    <t>Lengte: 10.000 mm ; Breedte: 150 mm ; Dikte: 30 mm ; Kleur: Zwart-Rood-Zwart ; Zwart: ; *Rubber: NR/BR ; *Hardheid: 60° Shore A ; *Slijtage: 150 mm³ ; Rood: ; *Rubber: SBR/NR ; *Hardheid: 40° Shore A ; *Slijtage: 150 mm132</t>
  </si>
  <si>
    <t>Länge: 10.000 mm ; Breite: 150 mm ; Stärke: 30 mm ; Farbe: Schwarz-Rot-Schwarz ; Schwarz: ; *Gummi: NR/BR ; *Härte: 60° Shore A ; *Abrieb: 150 mm³ ; Rot: ; *Gummi: SBR/NR ; *Härte: 40° Shore A ; *Abrieb: 150 mm132</t>
  </si>
  <si>
    <t>Length: 10.000 mm ; Width: 150 mm ; Thickness: 30 mm ; Color: Black-Red-Black ; Black: ; *Rubber: NR/BR ; *Hardness: 60° Shore A ; *Abrasion: 150 mm³ ; Red: ; *Rubber: SBR/NR ; *Hardness: 40° Shore A ; *Abrasion: 150 mm132</t>
  </si>
  <si>
    <t>Longueur : 10.000 mm ; Largeur : 150 mm ; Épaisseur : 30 mm ; Couleur : Noir-Rouge-Noir ; Noir: ; *Caoutchouc : NR/BR ; *Dureté : 60° Shore A ; *Abrasion : 150 mm³ ; Rouge: ; *Caoutchouc : SBR/NR ; *Dureté : 40° Shore A ; *Abrasion : 150 mm132</t>
  </si>
  <si>
    <t>Z-R-Z-10000X150X30CH</t>
  </si>
  <si>
    <t>174,450</t>
  </si>
  <si>
    <t>Lengte: 10.000 mm ; Breedte: 150 mm ; Dikte: 30 mm ; Kleur: Zwart-Rood-Zwart ; Zwart: ; *Rubber: NR/BR ; *Hardheid: 60° Shore A ; *Slijtage: 150 mm³ ; Rood: ; *Rubber: SBR/NR ; *Hardheid: 40° Shore A ; *Slijtage: 150 mm133</t>
  </si>
  <si>
    <t>Länge: 10.000 mm ; Breite: 150 mm ; Stärke: 30 mm ; Farbe: Schwarz-Rot-Schwarz ; Schwarz: ; *Gummi: NR/BR ; *Härte: 60° Shore A ; *Abrieb: 150 mm³ ; Rot: ; *Gummi: SBR/NR ; *Härte: 40° Shore A ; *Abrieb: 150 mm133</t>
  </si>
  <si>
    <t>Length: 10.000 mm ; Width: 150 mm ; Thickness: 30 mm ; Color: Black-Red-Black ; Black: ; *Rubber: NR/BR ; *Hardness: 60° Shore A ; *Abrasion: 150 mm³ ; Red: ; *Rubber: SBR/NR ; *Hardness: 40° Shore A ; *Abrasion: 150 mm133</t>
  </si>
  <si>
    <t>Longueur : 10.000 mm ; Largeur : 150 mm ; Épaisseur : 30 mm ; Couleur : Noir-Rouge-Noir ; Noir: ; *Caoutchouc : NR/BR ; *Dureté : 60° Shore A ; *Abrasion : 150 mm³ ; Rouge: ; *Caoutchouc : SBR/NR ; *Dureté : 40° Shore A ; *Abrasion : 150 mm133</t>
  </si>
  <si>
    <t>Z-R-Z-10000X200X15CH</t>
  </si>
  <si>
    <t>Z-R-Z, 10.000x200x15 mm</t>
  </si>
  <si>
    <t>116,700</t>
  </si>
  <si>
    <t>Sandwich Schraper rubber ; Strips 200 x 15 mm</t>
  </si>
  <si>
    <t>Sandwich Abstreifgummi ; Streifen 200 x 15 mm</t>
  </si>
  <si>
    <t>Sandwich Scraper rubber ; Strips 200 x 15 mm</t>
  </si>
  <si>
    <t>Gomme Sandwich ; Bavettes 200 x 15 mm</t>
  </si>
  <si>
    <t>Lengte: 10.000 mm ; Breedte: 200 mm ; Dikte: 15 mm ; Kleur: Zwart-Rood-Zwart ; Zwart: ; *Rubber: NR/BR ; *Hardheid: 60° Shore A ; *Slijtage: 150 mm³ ; Rood: ; *Rubber: SBR/NR ; *Hardheid: 40° Shore A ; *Slijtage: 150 mm³</t>
  </si>
  <si>
    <t>Länge: 10.000 mm ; Breite: 200 mm ; Stärke: 15 mm ; Farbe: Schwarz-Rot-Schwarz ; Schwarz: ; *Gummi: NR/BR ; *Härte: 60° Shore A ; *Abrieb: 150 mm³ ; Rot: ; *Gummi: SBR/NR ; *Härte: 40° Shore A ; *Abrieb: 150 mm³</t>
  </si>
  <si>
    <t xml:space="preserve">Length: 10.000 mm ; Width: 200 mm ; Thickness: 15 mm ; Color: Black-Red-Black ; Black: ; *Rubber: NR/BR ; *Hardness: 60° Shore A ; *Abrasion: 150 mm³ ; Red: ; *Rubber: SBR/NR ; *Hardness: 40° Shore A ; *Abrasion: 150 mm³ </t>
  </si>
  <si>
    <t>Longueur : 10.000 mm ; Largeur : 200 mm ; Épaisseur : 15 mm ; Couleur : Noir-Rouge-Noir ; Noir: ; *Caoutchouc : NR/BR ; *Dureté : 60° Shore A ; *Abrasion : 150 mm³ ; Rouge: ; *Caoutchouc : SBR/NR ; *Dureté : 40° Shore A ; *Abrasion : 150 mm³</t>
  </si>
  <si>
    <t>Z-R-Z-10000X200X20CH</t>
  </si>
  <si>
    <t>Z-R-Z, 10.000x200x20 mm</t>
  </si>
  <si>
    <t>150,480</t>
  </si>
  <si>
    <t>Sandwich Schraper rubber ; Strips 200 x 20 mm</t>
  </si>
  <si>
    <t>Sandwich Abstreifgummi ; Streifen 200 x 20 mm</t>
  </si>
  <si>
    <t>Sandwich Scraper rubber ; Strips 200 x 20 mm</t>
  </si>
  <si>
    <t>Gomme Sandwich ; Bavettes 200 x 20 mm</t>
  </si>
  <si>
    <t>Lengte: 10.000 mm ; Breedte: 200 mm ; Dikte: 20 mm ; Kleur: Zwart-Rood-Zwart ; Zwart: ; *Rubber: NR/BR ; *Hardheid: 60° Shore A ; *Slijtage: 150 mm³ ; Rood: ; *Rubber: SBR/NR ; *Hardheid: 40° Shore A ; *Slijtage: 150 mm³</t>
  </si>
  <si>
    <t>Länge: 10.000 mm ; Breite: 200 mm ; Stärke: 20 mm ; Farbe: Schwarz-Rot-Schwarz ; Schwarz: ; *Gummi: NR/BR ; *Härte: 60° Shore A ; *Abrieb: 150 mm³ ; Rot: ; *Gummi: SBR/NR ; *Härte: 40° Shore A ; *Abrieb: 150 mm³</t>
  </si>
  <si>
    <t xml:space="preserve">Length: 10.000 mm ; Width: 200 mm ; Thickness: 20 mm ; Color: Black-Red-Black ; Black: ; *Rubber: NR/BR ; *Hardness: 60° Shore A ; *Abrasion: 150 mm³ ; Red: ; *Rubber: SBR/NR ; *Hardness: 40° Shore A ; *Abrasion: 150 mm³ </t>
  </si>
  <si>
    <t>Longueur : 10.000 mm ; Largeur : 200 mm ; Épaisseur : 20 mm ; Couleur : Noir-Rouge-Noir ; Noir: ; *Caoutchouc : NR/BR ; *Dureté : 60° Shore A ; *Abrasion : 150 mm³ ; Rouge: ; *Caoutchouc : SBR/NR ; *Dureté : 40° Shore A ; *Abrasion : 150 mm³</t>
  </si>
  <si>
    <t>Z-R-Z-10000X200X30BK</t>
  </si>
  <si>
    <t>Z-R-Z, 10.000x200x30 mm</t>
  </si>
  <si>
    <t>310,000</t>
  </si>
  <si>
    <t>Sandwich Schraper rubber ; Strips 200 x 30 mm</t>
  </si>
  <si>
    <t>Sandwich Abstreifgummi ; Streifen 200 x 30 mm</t>
  </si>
  <si>
    <t>Sandwich Scraper rubber ; Strips 200 x 30 mm</t>
  </si>
  <si>
    <t>Gomme Sandwich ; Bavettes 200 x 30 mm</t>
  </si>
  <si>
    <t>Lengte: 10.000 mm ; Breedte: 200 mm ; Dikte: 30 mm ; Kleur: Zwart-Rood-Zwart ; Zwart: ; *Rubber: NR/BR ; *Hardheid: 60° Shore A ; *Slijtage: 150 mm³ ; Rood: ; *Rubber: SBR/NR ; *Hardheid: 40° Shore A ; *Slijtage: 150 mm132</t>
  </si>
  <si>
    <t>Länge: 10.000 mm ; Breite: 200 mm ; Stärke: 30 mm ; Farbe: Schwarz-Rot-Schwarz ; Schwarz: ; *Gummi: NR/BR ; *Härte: 60° Shore A ; *Abrieb: 150 mm³ ; Rot: ; *Gummi: SBR/NR ; *Härte: 40° Shore A ; *Abrieb: 150 mm132</t>
  </si>
  <si>
    <t>Length: 10.000 mm ; Width: 200 mm ; Thickness: 30 mm ; Color: Black-Red-Black ; Black: ; *Rubber: NR/BR ; *Hardness: 60° Shore A ; *Abrasion: 150 mm³ ; Red: ; *Rubber: SBR/NR ; *Hardness: 40° Shore A ; *Abrasion: 150 mm132</t>
  </si>
  <si>
    <t>Longueur : 10.000 mm ; Largeur : 200 mm ; Épaisseur : 30 mm ; Couleur : Noir-Rouge-Noir ; Noir: ; *Caoutchouc : NR/BR ; *Dureté : 60° Shore A ; *Abrasion : 150 mm³ ; Rouge: ; *Caoutchouc : SBR/NR ; *Dureté : 40° Shore A ; *Abrasion : 150 mm132</t>
  </si>
  <si>
    <t>Z-R-Z-10000X200X30CH</t>
  </si>
  <si>
    <t>211,050</t>
  </si>
  <si>
    <t>Lengte: 10.000 mm ; Breedte: 200 mm ; Dikte: 30 mm ; Kleur: Zwart-Rood-Zwart ; Zwart: ; *Rubber: NR/BR ; *Hardheid: 60° Shore A ; *Slijtage: 150 mm³ ; Rood: ; *Rubber: SBR/NR ; *Hardheid: 40° Shore A ; *Slijtage: 150 mm133</t>
  </si>
  <si>
    <t>Länge: 10.000 mm ; Breite: 200 mm ; Stärke: 30 mm ; Farbe: Schwarz-Rot-Schwarz ; Schwarz: ; *Gummi: NR/BR ; *Härte: 60° Shore A ; *Abrieb: 150 mm³ ; Rot: ; *Gummi: SBR/NR ; *Härte: 40° Shore A ; *Abrieb: 150 mm133</t>
  </si>
  <si>
    <t>Length: 10.000 mm ; Width: 200 mm ; Thickness: 30 mm ; Color: Black-Red-Black ; Black: ; *Rubber: NR/BR ; *Hardness: 60° Shore A ; *Abrasion: 150 mm³ ; Red: ; *Rubber: SBR/NR ; *Hardness: 40° Shore A ; *Abrasion: 150 mm133</t>
  </si>
  <si>
    <t>Longueur : 10.000 mm ; Largeur : 200 mm ; Épaisseur : 30 mm ; Couleur : Noir-Rouge-Noir ; Noir: ; *Caoutchouc : NR/BR ; *Dureté : 60° Shore A ; *Abrasion : 150 mm³ ; Rouge: ; *Caoutchouc : SBR/NR ; *Dureté : 40° Shore A ; *Abrasion : 150 mm133</t>
  </si>
  <si>
    <t>Z-R-Z-DIKTE15MMCH</t>
  </si>
  <si>
    <t>Z-R-Z, ZWART-ROOD-ZWART,dik 15 mm</t>
  </si>
  <si>
    <t>56,699</t>
  </si>
  <si>
    <t>Sandwich Schraper rubber ; Volle breedte 15 mm</t>
  </si>
  <si>
    <t>Sandwich Abstreifgummi ; Volle Breite 15 mm</t>
  </si>
  <si>
    <t>Sandwich Scraper rubber ; Full width 15 mm</t>
  </si>
  <si>
    <t>Gomme Sandwich ; Rouleaux 15 mm</t>
  </si>
  <si>
    <t>Lengte: 10.000 mm ; Breedte: 2.000 mm ; Dikte: 15 mm ; Kleur: Zwart-Rood-Zwart ; Zwart: ; *Rubber: NR/BR ; *Hardheid: 60° Shore A ; *Slijtage: 150 mm³ ; Rood: ; *Rubber: SBR/NR ; *Hardheid: 40° Shore A ; *Slijtage: 150 mm³</t>
  </si>
  <si>
    <t>Länge: 10.000 mm ; Breite: 2.000 mm ; Stärke: 15 mm ; Farbe: Schwarz-Rot-Schwarz ; Schwarz: ; *Gummi: NR/BR ; *Härte: 60° Shore A ; *Abrieb: 150 mm³ ; Rot: ; *Gummi: SBR/NR ; *Härte: 40° Shore A ; *Abrieb: 150 mm³</t>
  </si>
  <si>
    <t xml:space="preserve">Length: 10.000 mm ; Width: 2.000 mm ; Thickness: 15 mm ; Color: Black-Red-Black ; Black: ; *Rubber: NR/BR ; *Hardness: 60° Shore A ; *Abrasion: 150 mm³ ; Red: ; *Rubber: SBR/NR ; *Hardness: 40° Shore A ; *Abrasion: 150 mm³ </t>
  </si>
  <si>
    <t>Longueur : 10.000 mm ; Largeur : 2.000 mm ; Épaisseur : 15 mm ; Couleur : Noir-Rouge-Noir ; Noir: ; *Caoutchouc : NR/BR ; *Dureté : 60° Shore A ; *Abrasion : 150 mm³ ; Rouge: ; *Caoutchouc : SBR/NR ; *Dureté : 40° Shore A ; *Abrasion : 150 mm³</t>
  </si>
  <si>
    <t>Z-R-Z-DIKTE15MMZE</t>
  </si>
  <si>
    <t>51,422</t>
  </si>
  <si>
    <t>Z-R-Z-DIKTE20MMCH</t>
  </si>
  <si>
    <t>Z-R-Z, ZWART-ROOD-ZWART,dik 20 mm</t>
  </si>
  <si>
    <t>72,590</t>
  </si>
  <si>
    <t>Sandwich Schraper rubber ; Volle breedte 20 mm</t>
  </si>
  <si>
    <t>Sandwich Abstreifgummi ; Volle Breite 20 mm</t>
  </si>
  <si>
    <t>Sandwich Scraper rubber ; Full width 20 mm</t>
  </si>
  <si>
    <t>Gomme Sandwich ; Rouleaux 20 mm</t>
  </si>
  <si>
    <t>Lengte: 10.000 mm ; Breedte: 2.000 mm ; Dikte: 20 mm ; Kleur: Zwart-Rood-Zwart ; Zwart: ; *Rubber: NR/BR ; *Hardheid: 60° Shore A ; *Slijtage: 150 mm³ ; Rood: ; *Rubber: SBR/NR ; *Hardheid: 40° Shore A ; *Slijtage: 150 mm³</t>
  </si>
  <si>
    <t>Länge: 10.000 mm ; Breite: 2.000 mm ; Stärke: 20 mm ; Farbe: Schwarz-Rot-Schwarz ; Schwarz: ; *Gummi: NR/BR ; *Härte: 60° Shore A ; *Abrieb: 150 mm³ ; Rot: ; *Gummi: SBR/NR ; *Härte: 40° Shore A ; *Abrieb: 150 mm³</t>
  </si>
  <si>
    <t xml:space="preserve">Length: 10.000 mm ; Width: 2.000 mm ; Thickness: 20 mm ; Color: Black-Red-Black ; Black: ; *Rubber: NR/BR ; *Hardness: 60° Shore A ; *Abrasion: 150 mm³ ; Red: ; *Rubber: SBR/NR ; *Hardness: 40° Shore A ; *Abrasion: 150 mm³ </t>
  </si>
  <si>
    <t>Longueur : 10.000 mm ; Largeur : 2.000 mm ; Épaisseur : 20 mm ; Couleur : Noir-Rouge-Noir ; Noir: ; *Caoutchouc : NR/BR ; *Dureté : 60° Shore A ; *Abrasion : 150 mm³ ; Rouge: ; *Caoutchouc : SBR/NR ; *Dureté : 40° Shore A ; *Abrasion : 150 mm³</t>
  </si>
  <si>
    <t>Z-R-Z-DIKTE25MMCH</t>
  </si>
  <si>
    <t>Z-R-Z, ZWART-ROOD-ZWART,dik 25 mm</t>
  </si>
  <si>
    <t>92,932</t>
  </si>
  <si>
    <t>Sandwich Schraper rubber ; Volle breedte 25 mm</t>
  </si>
  <si>
    <t>Sandwich Abstreifgummi ; Volle Breite 25 mm</t>
  </si>
  <si>
    <t>Sandwich Scraper rubber ; Full width 25 mm</t>
  </si>
  <si>
    <t>Gomme Sandwich ; Rouleaux 25 mm</t>
  </si>
  <si>
    <t>Lengte: 10.000 mm ; Breedte: 2.000 mm ; Dikte: 25 mm ; Kleur: Zwart-Rood-Zwart ; Zwart: ; *Rubber: NR/BR ; *Hardheid: 60° Shore A ; *Slijtage: 150 mm³ ; Rood: ; *Rubber: SBR/NR ; *Hardheid: 40° Shore A ; *Slijtage: 150 mm³</t>
  </si>
  <si>
    <t>Länge: 10.000 mm ; Breite: 2.000 mm ; Stärke: 25 mm ; Farbe: Schwarz-Rot-Schwarz ; Schwarz: ; *Gummi: NR/BR ; *Härte: 60° Shore A ; *Abrieb: 150 mm³ ; Rot: ; *Gummi: SBR/NR ; *Härte: 40° Shore A ; *Abrieb: 150 mm³</t>
  </si>
  <si>
    <t xml:space="preserve">Length: 10.000 mm ; Width: 2.000 mm ; Thickness: 25 mm ; Color: Black-Red-Black ; Black: ; *Rubber: NR/BR ; *Hardness: 60° Shore A ; *Abrasion: 150 mm³ ; Red: ; *Rubber: SBR/NR ; *Hardness: 40° Shore A ; *Abrasion: 150 mm³ </t>
  </si>
  <si>
    <t>Longueur : 10.000 mm ; Largeur : 2.000 mm ; Épaisseur : 25 mm ; Couleur : Noir-Rouge-Noir ; Noir: ; *Caoutchouc : NR/BR ; *Dureté : 60° Shore A ; *Abrasion : 150 mm³ ; Rouge: ; *Caoutchouc : SBR/NR ; *Dureté : 40° Shore A ; *Abrasion : 150 mm³</t>
  </si>
  <si>
    <t>Z-R-Z-DIKTE30MMCH</t>
  </si>
  <si>
    <t>Z-R-Z, ZWART-ROOD-ZWART,dik 30 mm</t>
  </si>
  <si>
    <t>112,910</t>
  </si>
  <si>
    <t>Sandwich Schraper rubber ; Volle breedte 30 mm</t>
  </si>
  <si>
    <t>Sandwich Abstreifgummi ; Volle Breite 30 mm</t>
  </si>
  <si>
    <t>Sandwich Scraper rubber ; Full width 30 mm</t>
  </si>
  <si>
    <t>Gomme Sandwich ; Rouleaux 30 mm</t>
  </si>
  <si>
    <t>Lengte: 10.000 mm ; Breedte: 2.000 mm ; Dikte: 30 mm ; Kleur: Zwart-Rood-Zwart ; Zwart: ; *Rubber: NR/BR ; *Hardheid: 60° Shore A ; *Slijtage: 150 mm³ ; Rood: ; *Rubber: SBR/NR ; *Hardheid: 40° Shore A ; *Slijtage: 150 mm³</t>
  </si>
  <si>
    <t>Länge: 10.000 mm ; Breite: 2.000 mm ; Stärke: 30 mm ; Farbe: Schwarz-Rot-Schwarz ; Schwarz: ; *Gummi: NR/BR ; *Härte: 60° Shore A ; *Abrieb: 150 mm³ ; Rot: ; *Gummi: SBR/NR ; *Härte: 40° Shore A ; *Abrieb: 150 mm³</t>
  </si>
  <si>
    <t xml:space="preserve">Length: 10.000 mm ; Width: 2.000 mm ; Thickness: 30 mm ; Color: Black-Red-Black ; Black: ; *Rubber: NR/BR ; *Hardness: 60° Shore A ; *Abrasion: 150 mm³ ; Red: ; *Rubber: SBR/NR ; *Hardness: 40° Shore A ; *Abrasion: 150 mm³ </t>
  </si>
  <si>
    <t>Longueur : 10.000 mm ; Largeur : 2.000 mm ; Épaisseur : 30 mm ; Couleur : Noir-Rouge-Noir ; Noir: ; *Caoutchouc : NR/BR ; *Dureté : 60° Shore A ; *Abrasion : 150 mm³ ; Rouge: ; *Caoutchouc : SBR/NR ; *Dureté : 40° Shore A ; *Abrasion : 150 mm³</t>
  </si>
  <si>
    <t>Artikelgroep</t>
  </si>
  <si>
    <t>Hoofdleverancier</t>
  </si>
  <si>
    <t>Status</t>
  </si>
  <si>
    <t>Kostprijs</t>
  </si>
  <si>
    <t>31-1-2022</t>
  </si>
  <si>
    <t>01_Fördergurte</t>
  </si>
  <si>
    <t>01-01_Abriebfest</t>
  </si>
  <si>
    <t>01_Bandes transporteuses</t>
  </si>
  <si>
    <t>01_Transportbanden</t>
  </si>
  <si>
    <t>01-01_Slijtbestendig</t>
  </si>
  <si>
    <t>02_Chevron Fördergurte</t>
  </si>
  <si>
    <t>01-02_Hitzebeständig</t>
  </si>
  <si>
    <t>02_Bandes transporteuses à Chevrons</t>
  </si>
  <si>
    <t>01-02_Anti-chaleur</t>
  </si>
  <si>
    <t>02_Transportbanden met profiel</t>
  </si>
  <si>
    <t>01-02_Hittebestendig</t>
  </si>
  <si>
    <t>03_Verschleißschutz</t>
  </si>
  <si>
    <t>01-03_Öl- und Fettbeständig</t>
  </si>
  <si>
    <t>03_Protection anti-usure</t>
  </si>
  <si>
    <t>01-03_Résistant aux huiles et graisses</t>
  </si>
  <si>
    <t xml:space="preserve">03_Bescherming tegen slijtage </t>
  </si>
  <si>
    <t>01-03_Olie- en vetbestendig</t>
  </si>
  <si>
    <t>04_Trommelbeläge</t>
  </si>
  <si>
    <t>01-04_Gleitfördergurte</t>
  </si>
  <si>
    <t>04_Garnissage pour tambour</t>
  </si>
  <si>
    <t>01-04_Bandes sole de glisse</t>
  </si>
  <si>
    <t>04_Trommelbekleding</t>
  </si>
  <si>
    <t>01-04_Glijbanden</t>
  </si>
  <si>
    <t>05_Werkzeuge</t>
  </si>
  <si>
    <t>05_Outillage</t>
  </si>
  <si>
    <t>01-05_Ripstop / Bande a breaker</t>
  </si>
  <si>
    <t>05_Gereedschap</t>
  </si>
  <si>
    <t>06_Vulkanisiermaterialen</t>
  </si>
  <si>
    <t>01-06_Supergrip Schwarz</t>
  </si>
  <si>
    <t>06_Matériaux de vulcanisation</t>
  </si>
  <si>
    <t>01-06_Supergrip Noir</t>
  </si>
  <si>
    <t>06_Vulkanisatiemateriaal</t>
  </si>
  <si>
    <t>01-06_Supergrip Zwart</t>
  </si>
  <si>
    <t>07_Reparaturmaterial</t>
  </si>
  <si>
    <t>07_Matériaux de réparation</t>
  </si>
  <si>
    <t>07_Reparatiemateriaal</t>
  </si>
  <si>
    <t>08_Fördergurt-Reinigungssysteme</t>
  </si>
  <si>
    <t>08_Nettoyage bande transporteuse</t>
  </si>
  <si>
    <t>01-08_Sangles élévatrices</t>
  </si>
  <si>
    <t>08_Transportbandreiniging</t>
  </si>
  <si>
    <t>01-08_Elevatorbanden</t>
  </si>
  <si>
    <t>09_Komponenten</t>
  </si>
  <si>
    <t>01-09_Quersteif</t>
  </si>
  <si>
    <t>09_Composants</t>
  </si>
  <si>
    <t>01-09_Cross-Rigid</t>
  </si>
  <si>
    <t>09_Componenten</t>
  </si>
  <si>
    <t>01-09_Dwarsstabiel</t>
  </si>
  <si>
    <t>10_Fördergurt-Zentrierung</t>
  </si>
  <si>
    <t>10_Centrage de bande transporteuse</t>
  </si>
  <si>
    <t>10_Transportbandstuursystemen</t>
  </si>
  <si>
    <t>01-11_Saw Mill</t>
  </si>
  <si>
    <t>11_TQ Rolle</t>
  </si>
  <si>
    <t>01-11_Holz</t>
  </si>
  <si>
    <t>11_TQ rouleaux</t>
  </si>
  <si>
    <t>01-11_Bandes pour scieries</t>
  </si>
  <si>
    <t>11_TQ Rollen</t>
  </si>
  <si>
    <t>01-12_Round Baler</t>
  </si>
  <si>
    <t>12_Schutzvorrichtungen</t>
  </si>
  <si>
    <t>01-12_Rundballenpresse</t>
  </si>
  <si>
    <t>12_Produits de sécurité</t>
  </si>
  <si>
    <t>01-12_Courroies Round Balers</t>
  </si>
  <si>
    <t>12_Veiligheidsproducten</t>
  </si>
  <si>
    <t>02-01_Profilhöhe 6 – 13½ mm</t>
  </si>
  <si>
    <t>02-01_Bandes à Chevrons, hauteur du profil 6 - 13½ mm</t>
  </si>
  <si>
    <t>02-01_Profiel hoogte 6 – 13½ mm</t>
  </si>
  <si>
    <t>02-02_Profilhöhe 15 mm</t>
  </si>
  <si>
    <t>02-02_Bandes à Chevrons, hauteur du profil 15 mm</t>
  </si>
  <si>
    <t>02-02_Profiel hoogte 15 mm</t>
  </si>
  <si>
    <t>02-03_Profilhöhe 17 mm</t>
  </si>
  <si>
    <t>02-03_Bandes à Chevrons, hauteur du profil 17 mm</t>
  </si>
  <si>
    <t>02-03_Profiel hoogte 17 mm</t>
  </si>
  <si>
    <t>02-04_Profilhöhe 25 mm</t>
  </si>
  <si>
    <t>02-04_Bandes à Chevrons, hauteur du profil 25 mm</t>
  </si>
  <si>
    <t>02-04_Profiel hoogte 25 mm</t>
  </si>
  <si>
    <t>02-05_Profilhöhe 32 mm</t>
  </si>
  <si>
    <t>02-05_Bandes à Chevrons, hauteur du profil 32 mm</t>
  </si>
  <si>
    <t>02-05_Profiel hoogte 32 mm</t>
  </si>
  <si>
    <t>02-06_ Öl und fettbeständig</t>
  </si>
  <si>
    <t>02-06_Bandes à chevrons, résistant aux huiles et graisses</t>
  </si>
  <si>
    <t>02-06_Olie- en vetbestendig</t>
  </si>
  <si>
    <t>02-07_Salz</t>
  </si>
  <si>
    <t>02-07_Bandes pour saleuses</t>
  </si>
  <si>
    <t>02-07_Zoutbanden</t>
  </si>
  <si>
    <t>03-01_T-REX40 mit Kontaktschicht</t>
  </si>
  <si>
    <t>03-01_T-REX40 avec face adhésive</t>
  </si>
  <si>
    <t>03-01_T-REX40 met Lijmlaag</t>
  </si>
  <si>
    <t>03-02_T-REX40 ohne Kontaktschicht</t>
  </si>
  <si>
    <t>03-02_T-REX40 sans face adhésive</t>
  </si>
  <si>
    <t>03-02_T-REX40 zonder Lijmlaag</t>
  </si>
  <si>
    <t>03-03_T-REX40 Seitenführungsgummi</t>
  </si>
  <si>
    <t>03-03_T-REX40 Bavettes</t>
  </si>
  <si>
    <t>03-03_T-REX40 Zijgeleidingsrubber</t>
  </si>
  <si>
    <t>03-04_T-REX50 mit Kontaktschicht</t>
  </si>
  <si>
    <t>03-04_T-REX50 avec face adhésive</t>
  </si>
  <si>
    <t>03-04_T-REX50 met Lijmlaag</t>
  </si>
  <si>
    <t>03-05_T-REX50 ohne Kontaktschicht</t>
  </si>
  <si>
    <t>03-05_T-REX50 sans face adhésive</t>
  </si>
  <si>
    <t>03-05_T-REX50 zonder Lijmlaag</t>
  </si>
  <si>
    <t>03-06_T-REX50 Seitenführungsgummi</t>
  </si>
  <si>
    <t>03-06_T-REX50 Bavettes</t>
  </si>
  <si>
    <t>03-06_T-REX50 Zijgeleidingsrubber</t>
  </si>
  <si>
    <t>03-07_T-REX60 mit Kontaktschicht</t>
  </si>
  <si>
    <t>03-07_T-REX60 avec face adhésive</t>
  </si>
  <si>
    <t>03-07_T-REX60 met Lijmlaag</t>
  </si>
  <si>
    <t>03-08_T-REX60 ohne Kontaktschicht</t>
  </si>
  <si>
    <t>03-08_T-REX60 sans face adhésive</t>
  </si>
  <si>
    <t>03-08_T-REX60 zonder Lijmlaag</t>
  </si>
  <si>
    <t>03-09_T-REX60 Seitenführungsgummi</t>
  </si>
  <si>
    <t>03-09_T-REX60 Bavettes</t>
  </si>
  <si>
    <t>03-09_T-REX60 Zijgeleidingsrubber</t>
  </si>
  <si>
    <t>03-11_Karamel</t>
  </si>
  <si>
    <t>03-12_Economy gummiplatten</t>
  </si>
  <si>
    <t>03-12_Economy Caoutchouc</t>
  </si>
  <si>
    <t>03-12_Economy Slijtvast</t>
  </si>
  <si>
    <t>04-01_Mini Raute Schwarz</t>
  </si>
  <si>
    <t>04-01_Mini Losange noir</t>
  </si>
  <si>
    <t>04-01_Mini Diamond Zwart</t>
  </si>
  <si>
    <t>04-02_Mini Raute Schwarz Öl und Fettbeständig</t>
  </si>
  <si>
    <t>04-02_Mini Losange noir, résistant aux huiles et graisses</t>
  </si>
  <si>
    <t>04-02_Mini Diamond Zwart olie- en vetbestendig</t>
  </si>
  <si>
    <t>04-03_Maxi Raute Schwarz</t>
  </si>
  <si>
    <t>04-03_Maxi Losange noir</t>
  </si>
  <si>
    <t>04-03_Maxi Diamond Zwart</t>
  </si>
  <si>
    <t>04-04_Mini Raute Rot</t>
  </si>
  <si>
    <t>04-04_Mini Losange rouge</t>
  </si>
  <si>
    <t>04-04_Mini Diamond Rood</t>
  </si>
  <si>
    <t>04-05_Mini Raute Blau</t>
  </si>
  <si>
    <t>04-05_Mini Losange bleu</t>
  </si>
  <si>
    <t>04-05_Mini Diamond Blauw</t>
  </si>
  <si>
    <t>04-06_Mini Raute Weiß</t>
  </si>
  <si>
    <t>04-06_Mini Losange blanc</t>
  </si>
  <si>
    <t>04-06_Mini Diamond Wit</t>
  </si>
  <si>
    <t>04-07_ Querrillen Profil Weiβ</t>
  </si>
  <si>
    <t>04-07_Rainuré blanc</t>
  </si>
  <si>
    <t>04-07_Dwarsrib</t>
  </si>
  <si>
    <t>04-08_Rough Top</t>
  </si>
  <si>
    <t>04-09_Keramik in Gummi CERA-REX</t>
  </si>
  <si>
    <t>04-09_Céramique en caoutchouc CERA-REX</t>
  </si>
  <si>
    <t>04-09_Keramiek in Rubber CERA-REX</t>
  </si>
  <si>
    <t>04-10_Keramik in Gummi CERA-GUM</t>
  </si>
  <si>
    <t>04-10_Céramique en caoutchouc CERA-GUM</t>
  </si>
  <si>
    <t>04-10_Keramiek in Rubber CERA-GUM</t>
  </si>
  <si>
    <t>04-12_Mini Quadrat Schwarz</t>
  </si>
  <si>
    <t>04-12_Mini carré noir</t>
  </si>
  <si>
    <t>04-12_Mini Vierkant Zwart</t>
  </si>
  <si>
    <t>05-01_T-Rex Bandhebeanlage</t>
  </si>
  <si>
    <t>05-01_T-Rex station de levage de bande</t>
  </si>
  <si>
    <t>05-02_Handwerkzeuge</t>
  </si>
  <si>
    <t>05-02_Outillage de vulcanisation et de réparation</t>
  </si>
  <si>
    <t>05-02_Hand gereedschap</t>
  </si>
  <si>
    <t>05-03_Rauwerkzeuge</t>
  </si>
  <si>
    <t>05-03_Outils de ponçage</t>
  </si>
  <si>
    <t>05-03_Opruw gereedschap</t>
  </si>
  <si>
    <t>05-04_REX-CLAMP Gurtklemme</t>
  </si>
  <si>
    <t>05-04_REX-CLAMP Pince</t>
  </si>
  <si>
    <t>05-04_REX-CLAMP Klem</t>
  </si>
  <si>
    <t>05-05_T-Rex Anroller</t>
  </si>
  <si>
    <t>05-05_T-REX Rouleur à double pression</t>
  </si>
  <si>
    <t>05-05_T-Rex Aanroller (koude las)</t>
  </si>
  <si>
    <t>06-01_T-Rex Reinigungsmittel</t>
  </si>
  <si>
    <t>06-01_T-Rex Nettoyant</t>
  </si>
  <si>
    <t>06-03_T-Rex Kleber für Kaltvulkanisation</t>
  </si>
  <si>
    <t>06-03_T-REX Colle pour vulcanisation à froid</t>
  </si>
  <si>
    <t>06-03_T-Rex lijm voor koudvulkanisatie</t>
  </si>
  <si>
    <t>06-04_T-Rex Kleber für Heißverbindung</t>
  </si>
  <si>
    <t>06-04_T-REX Colle pour vulcanisation à chaud</t>
  </si>
  <si>
    <t>06-04_T-Rex lijm voor warmvulkanisatie</t>
  </si>
  <si>
    <t>06-05_Unvulkanisertes Deckgummi</t>
  </si>
  <si>
    <t>06-05_Gomme de revêtement</t>
  </si>
  <si>
    <t>06-05_Ongevulkaniseerd dekrubber</t>
  </si>
  <si>
    <t>06-06_Unvulkanisertes Zwischengummi</t>
  </si>
  <si>
    <t>06-06_Gomme de liaison (skim)</t>
  </si>
  <si>
    <t>06-06_Ongevulkaniseerd Tussenrubber</t>
  </si>
  <si>
    <t>07-04_T-Rex Reparatur Flicken</t>
  </si>
  <si>
    <t>07-04_T-Rex Rustines</t>
  </si>
  <si>
    <t>07-04_T-Rex Reparatiepleisters</t>
  </si>
  <si>
    <t>07-05_T-Rex Reparatur Streifen</t>
  </si>
  <si>
    <t>07-05_T-Rex Bande de réparation</t>
  </si>
  <si>
    <t>07-05_T-Rex Reparatiestroken</t>
  </si>
  <si>
    <t>07-06_Sechszack-Klammer</t>
  </si>
  <si>
    <t>07-06_Agrafes à crampons</t>
  </si>
  <si>
    <t>07-06_Bandkrammen voor snelle reparatie</t>
  </si>
  <si>
    <t>07-07_Gurtverbinder</t>
  </si>
  <si>
    <t>07-07_Agrafes à plaques boulonnées</t>
  </si>
  <si>
    <t>07-07_Verbinders</t>
  </si>
  <si>
    <t>08-01_Abstreifgummi</t>
  </si>
  <si>
    <t>08-01_Caoutchouc pour racleur</t>
  </si>
  <si>
    <t>08-01_Afschraaprubber</t>
  </si>
  <si>
    <t>08-02_V-Retour Abstreifer (Schwarz-Rot-Schwarz)</t>
  </si>
  <si>
    <t>08-02_V-Retour Racleur (Noir-Rouge-Noir)</t>
  </si>
  <si>
    <t>08-02_V-Ploeg schraper (zwart-rood-zwart)</t>
  </si>
  <si>
    <t>08-03_T-REX PUR Abstreifer</t>
  </si>
  <si>
    <t>08-03_T-Rex PUR Racleur</t>
  </si>
  <si>
    <t>08-03_T-Rex PUR Schraper</t>
  </si>
  <si>
    <t>08-04_FTK-REX Secondary Scraper</t>
  </si>
  <si>
    <t>08-04_FTK-REX Sekundäre Abstreifer</t>
  </si>
  <si>
    <t xml:space="preserve">08-04_FTK-REX Racleur secondaire </t>
  </si>
  <si>
    <t>08-04_FTK-REX Secondaire Schraper</t>
  </si>
  <si>
    <t>08-05_Noppenmatte</t>
  </si>
  <si>
    <t>08-05_Tapis de brosse à bande</t>
  </si>
  <si>
    <t>08-05_Egelmatten</t>
  </si>
  <si>
    <t>09-01_Stollen</t>
  </si>
  <si>
    <t>09-01_Tasseaux</t>
  </si>
  <si>
    <t>09-01_Meenemers</t>
  </si>
  <si>
    <t>09-02_Wellenkanten</t>
  </si>
  <si>
    <t>09-02_Bords de contenance ondulés</t>
  </si>
  <si>
    <t>09-02_Golfrand</t>
  </si>
  <si>
    <t>09-03_V-Profil</t>
  </si>
  <si>
    <t>09-03_Profil en V</t>
  </si>
  <si>
    <t>09-03_Stuursnaren</t>
  </si>
  <si>
    <t>09-04_Bloc d’étanchéité</t>
  </si>
  <si>
    <t>09-04_Zijgeleidings blok</t>
  </si>
  <si>
    <t>09-05_Schlagabsorber und Gleit Balken</t>
  </si>
  <si>
    <t>09-05_Barre d’impact et de glissement</t>
  </si>
  <si>
    <t>09-06_Schlagabsorber Platte V Profil, Polyurethan Blau</t>
  </si>
  <si>
    <t>09-06_Plaque d’impact profil en « V »</t>
  </si>
  <si>
    <t>09-06_Polyurethaan Blauw, Impact plaat V</t>
  </si>
  <si>
    <t>09-07_Schlagabsorber Platte Z Profil, Polyurethan Blau</t>
  </si>
  <si>
    <t>09-07_Plaque d’impact profil en « Z »</t>
  </si>
  <si>
    <t>09-07_Polyurethaan Blauw, Impact plaat “Z”</t>
  </si>
  <si>
    <t>09-08_T-Rex Diamond, Polyurethan Blau</t>
  </si>
  <si>
    <t>09-08_T-Rex Diamond, Polyuréthan bleu</t>
  </si>
  <si>
    <t>09-08_T-Rex Diamond, Polyurethaan Blauw</t>
  </si>
  <si>
    <t>09-09_T-Rex Polyurethan Gelb</t>
  </si>
  <si>
    <t>09-09_T-Rex Polyuréthane jaune</t>
  </si>
  <si>
    <t>09-09_ T-Rex Polyurethaan Geel</t>
  </si>
  <si>
    <t>09-10_FLUI-REX Polyurethan mit Kontaktschicht</t>
  </si>
  <si>
    <t>09-10_FLUI-REX Polyuréthan avec face adhésive</t>
  </si>
  <si>
    <t>09-10_FLUI-REX Polyurethaan met lijmlaag</t>
  </si>
  <si>
    <t>09-11_T-Rex Polyethylen, HMPE</t>
  </si>
  <si>
    <t>09-11_T-Rex Polyethylène, HMPE</t>
  </si>
  <si>
    <t>09-11_T-Rex Polyethyleen, HMPE</t>
  </si>
  <si>
    <t>10-01_Auto-centreur</t>
  </si>
  <si>
    <t>10-02_Auto-centreur conique en auge</t>
  </si>
  <si>
    <t>10-03_Auto-centreur de basse vitesse</t>
  </si>
  <si>
    <t>10-04_Dual Return Tracker</t>
  </si>
  <si>
    <t>10-04_Auto-centreur double</t>
  </si>
  <si>
    <t>11-01_TQ Roller UHMWPE Ø 89</t>
  </si>
  <si>
    <t>11-02_TQ Roller UHMWPE Ø 108</t>
  </si>
  <si>
    <t>11-03_TQ Roller UHMWPE Ø 133</t>
  </si>
  <si>
    <t>11-04_TQ Roller UHMWPE Ø 159</t>
  </si>
  <si>
    <t>12-01_CROC GRIP Gurtklemme</t>
  </si>
  <si>
    <t>12-01_CROC GRIP Pince de Bande</t>
  </si>
  <si>
    <t>12-01_CROC GRIP Bandklemmen</t>
  </si>
  <si>
    <t>12-02_Fördergurt Abdeckhauben, Stahl</t>
  </si>
  <si>
    <t>12-02_Capots, acier</t>
  </si>
  <si>
    <t>12-02_Transportbandoverkappingen, Staal</t>
  </si>
  <si>
    <t>12-03_Fördergurt Abdeckhauben, PVC</t>
  </si>
  <si>
    <t>12-03_Capots, PVC</t>
  </si>
  <si>
    <t>12-03_Transportbandoverkappingen, PVC</t>
  </si>
  <si>
    <t>12-04_Inspektionstür + Fenster</t>
  </si>
  <si>
    <t>12-04_Inspection par</t>
  </si>
  <si>
    <t>12-04_Inspectiedeuren</t>
  </si>
  <si>
    <t>Webshop laag 0</t>
  </si>
  <si>
    <t>Code laag 1</t>
  </si>
  <si>
    <t>Webshop laag 1 EN</t>
  </si>
  <si>
    <t>Webshop laag 1 NL</t>
  </si>
  <si>
    <t>Webshop laag 1 FR</t>
  </si>
  <si>
    <t>Webshop laag 1 DE</t>
  </si>
  <si>
    <t>Code laag 2</t>
  </si>
  <si>
    <t>Webshop laag 2 EN</t>
  </si>
  <si>
    <t>Webshop laag 2 NL</t>
  </si>
  <si>
    <t>Webshop laag 2 FR</t>
  </si>
  <si>
    <t>Webshop laag 2 DE</t>
  </si>
  <si>
    <t>A</t>
  </si>
  <si>
    <t>A1</t>
  </si>
  <si>
    <t>A2</t>
  </si>
  <si>
    <t>01-02_anti-chaleur</t>
  </si>
  <si>
    <t>A3</t>
  </si>
  <si>
    <t>01-03_résistant aux huiles et graisses</t>
  </si>
  <si>
    <t>A4</t>
  </si>
  <si>
    <t>01-04_Bandes glissantes</t>
  </si>
  <si>
    <t>A5</t>
  </si>
  <si>
    <t>A6</t>
  </si>
  <si>
    <t>A7</t>
  </si>
  <si>
    <t>A8</t>
  </si>
  <si>
    <t>A9</t>
  </si>
  <si>
    <t>A10</t>
  </si>
  <si>
    <t>A11</t>
  </si>
  <si>
    <t>A12</t>
  </si>
  <si>
    <t>B</t>
  </si>
  <si>
    <t>B1</t>
  </si>
  <si>
    <t>B2</t>
  </si>
  <si>
    <t>B3</t>
  </si>
  <si>
    <t>B4</t>
  </si>
  <si>
    <t>B5</t>
  </si>
  <si>
    <t>B6</t>
  </si>
  <si>
    <t>B7</t>
  </si>
  <si>
    <t>C</t>
  </si>
  <si>
    <t>C1</t>
  </si>
  <si>
    <t>C2</t>
  </si>
  <si>
    <t>C3</t>
  </si>
  <si>
    <t>C4</t>
  </si>
  <si>
    <t>C5</t>
  </si>
  <si>
    <t>C6</t>
  </si>
  <si>
    <t>C7</t>
  </si>
  <si>
    <t>C8</t>
  </si>
  <si>
    <t>C9</t>
  </si>
  <si>
    <t>C10</t>
  </si>
  <si>
    <t>C11</t>
  </si>
  <si>
    <t>C12</t>
  </si>
  <si>
    <t>D</t>
  </si>
  <si>
    <t>D1</t>
  </si>
  <si>
    <t>D2</t>
  </si>
  <si>
    <t>D3</t>
  </si>
  <si>
    <t>D4</t>
  </si>
  <si>
    <t>D5</t>
  </si>
  <si>
    <t>D6</t>
  </si>
  <si>
    <t>D7</t>
  </si>
  <si>
    <t>D8</t>
  </si>
  <si>
    <t>D9</t>
  </si>
  <si>
    <t>D10</t>
  </si>
  <si>
    <t>D11</t>
  </si>
  <si>
    <t>D12</t>
  </si>
  <si>
    <t>E</t>
  </si>
  <si>
    <t>E1</t>
  </si>
  <si>
    <t>E2</t>
  </si>
  <si>
    <t>E3</t>
  </si>
  <si>
    <t>E4</t>
  </si>
  <si>
    <t>05-04_REX-Pince</t>
  </si>
  <si>
    <t>E5</t>
  </si>
  <si>
    <t>F</t>
  </si>
  <si>
    <t>F1</t>
  </si>
  <si>
    <t>F2</t>
  </si>
  <si>
    <t>F3</t>
  </si>
  <si>
    <t>F4</t>
  </si>
  <si>
    <t>F5</t>
  </si>
  <si>
    <t>F6</t>
  </si>
  <si>
    <t>G</t>
  </si>
  <si>
    <t>G1</t>
  </si>
  <si>
    <t>G2</t>
  </si>
  <si>
    <t>G3</t>
  </si>
  <si>
    <t>G4</t>
  </si>
  <si>
    <t>G5</t>
  </si>
  <si>
    <t>G6</t>
  </si>
  <si>
    <t>G7</t>
  </si>
  <si>
    <t>H</t>
  </si>
  <si>
    <t>H1</t>
  </si>
  <si>
    <t>H2</t>
  </si>
  <si>
    <t>H3</t>
  </si>
  <si>
    <t>H4</t>
  </si>
  <si>
    <t>H5</t>
  </si>
  <si>
    <t>I</t>
  </si>
  <si>
    <t>I1</t>
  </si>
  <si>
    <t>I2</t>
  </si>
  <si>
    <t>I3</t>
  </si>
  <si>
    <t>I4</t>
  </si>
  <si>
    <t>I5</t>
  </si>
  <si>
    <t>I6</t>
  </si>
  <si>
    <t>I7</t>
  </si>
  <si>
    <t>I8</t>
  </si>
  <si>
    <t>I9</t>
  </si>
  <si>
    <t>I10</t>
  </si>
  <si>
    <t>I11</t>
  </si>
  <si>
    <t>J</t>
  </si>
  <si>
    <t>J1</t>
  </si>
  <si>
    <t>J2</t>
  </si>
  <si>
    <t>J3</t>
  </si>
  <si>
    <t>J4</t>
  </si>
  <si>
    <t>K</t>
  </si>
  <si>
    <t>K1</t>
  </si>
  <si>
    <t>11-01_TQ Rollen HDPE Ø 89</t>
  </si>
  <si>
    <t>11-01_TQ Rouleaux HDPE Ø 89</t>
  </si>
  <si>
    <t>11-01_TQ Rolle HDPE Ø 89</t>
  </si>
  <si>
    <t>K2</t>
  </si>
  <si>
    <t>11-02_TQ Rollen HDPE Ø 108</t>
  </si>
  <si>
    <t>11-02_TQ Rouleaux HDPE Ø 108</t>
  </si>
  <si>
    <t>11-02_TQ Rolle HDPE Ø 108</t>
  </si>
  <si>
    <t>K3</t>
  </si>
  <si>
    <t>11-03_TQ Rollen HDPE Ø 133</t>
  </si>
  <si>
    <t>11-03_TQ Rouleaux HDPE Ø 133</t>
  </si>
  <si>
    <t>11-03_TQ Rolle HDPE Ø 133</t>
  </si>
  <si>
    <t>K4</t>
  </si>
  <si>
    <t>11-04_TQ Roller HDPE Ø 159</t>
  </si>
  <si>
    <t>11-04_TQ Rollen HDPE Ø 159</t>
  </si>
  <si>
    <t>11-04_TQ Rouleaux HDPE Ø 159</t>
  </si>
  <si>
    <t>11-04_TQ Rolle HDPE Ø 159</t>
  </si>
  <si>
    <t>L</t>
  </si>
  <si>
    <t>L1</t>
  </si>
  <si>
    <t>L2</t>
  </si>
  <si>
    <t>L3</t>
  </si>
  <si>
    <t>L4</t>
  </si>
  <si>
    <t>Webschop laag 1 FR</t>
  </si>
  <si>
    <t>Intern Exact</t>
  </si>
  <si>
    <t>Media artist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</si>
</sst>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7">
    <font>
      <sz val="10"/>
      <color indexed="8"/>
      <name val="ARIAL"/>
      <charset val="1"/>
    </font>
    <font>
      <b/>
      <sz val="11"/>
      <color theme="1"/>
      <name val="Calibri"/>
      <family val="2"/>
      <scheme val="minor"/>
    </font>
    <font>
      <sz val="10"/>
      <name val="Arial"/>
      <family val="2"/>
    </font>
    <font>
      <sz val="10"/>
      <color indexed="8"/>
      <name val="Arial"/>
      <family val="2"/>
    </font>
    <font>
      <sz val="8"/>
      <name val="Arial"/>
      <family val="2"/>
    </font>
    <font>
      <sz val="10"/>
      <color rgb="FF444444"/>
      <name val="Arial"/>
      <family val="2"/>
    </font>
    <font>
      <sz val="11"/>
      <color rgb="FF444444"/>
      <name val="Calibri"/>
      <family val="2"/>
      <charset val="1"/>
    </font>
    <font>
      <sz val="10"/>
      <color rgb="FF000000"/>
      <name val="Arial"/>
      <family val="2"/>
      <charset val="1"/>
    </font>
    <font>
      <sz val="11"/>
      <color indexed="8"/>
      <name val="Calibri"/>
      <family val="2"/>
      <charset val="1"/>
    </font>
    <font>
      <sz val="10"/>
      <color rgb="FF000000"/>
      <name val="Arial"/>
      <family val="2"/>
    </font>
    <font>
      <b/>
      <sz val="10"/>
      <color indexed="8"/>
      <name val="Arial"/>
      <family val="2"/>
    </font>
    <font>
      <sz val="10"/>
      <name val="ARIAL"/>
      <family val="2"/>
      <charset val="1"/>
    </font>
    <font>
      <b/>
      <sz val="10"/>
      <color rgb="FF000000"/>
      <name val="Arial"/>
      <family val="2"/>
    </font>
    <font>
      <sz val="10"/>
      <color indexed="8"/>
      <name val="ARIAL"/>
      <family val="2"/>
      <charset val="1"/>
    </font>
    <font>
      <sz val="10"/>
      <color rgb="FF000000"/>
      <name val="Tahoma"/>
      <family val="2"/>
    </font>
    <font>
      <sz val="10"/>
      <color rgb="FFFF0000"/>
      <name val="Arial"/>
      <family val="2"/>
    </font>
    <font>
      <sz val="11"/>
      <color rgb="FF9C5700"/>
      <name val="Calibri"/>
      <family val="2"/>
      <scheme val="minor"/>
    </font>
  </fonts>
  <fills count="3">
    <fill>
      <patternFill patternType="none"/>
    </fill>
    <fill>
      <patternFill patternType="gray125"/>
    </fill>
    <fill>
      <patternFill patternType="solid">
        <fgColor rgb="FFFFEB9C"/>
      </patternFill>
    </fill>
  </fills>
  <borders count="2">
    <border>
      <left/>
      <right/>
      <top/>
      <bottom/>
      <diagonal/>
    </border>
    <border>
      <left/>
      <right/>
      <top/>
      <bottom style="medium">
        <color indexed="64"/>
      </bottom>
      <diagonal/>
    </border>
  </borders>
  <cellStyleXfs count="2">
    <xf numFmtId="0" fontId="0" fillId="0" borderId="0">
      <alignment vertical="top"/>
    </xf>
    <xf numFmtId="0" fontId="16" fillId="2" borderId="0" applyNumberFormat="0" applyBorder="0" applyAlignment="0" applyProtection="0"/>
  </cellStyleXfs>
  <cellXfs count="32">
    <xf numFmtId="0" fontId="0" fillId="0" borderId="0" xfId="0">
      <alignment vertical="top"/>
    </xf>
    <xf numFmtId="0" fontId="0" fillId="0" borderId="0" xfId="0" applyAlignment="1"/>
    <xf numFmtId="0" fontId="3" fillId="0" borderId="0" xfId="0" applyFont="1" applyAlignment="1"/>
    <xf numFmtId="0" fontId="3" fillId="0" borderId="0" xfId="0" applyFont="1">
      <alignment vertical="top"/>
    </xf>
    <xf numFmtId="0" fontId="16" fillId="2" borderId="0" xfId="1" applyAlignment="1"/>
    <xf numFmtId="0" fontId="3" fillId="0" borderId="0" xfId="0" applyFont="1" applyFill="1">
      <alignment vertical="top"/>
    </xf>
    <xf numFmtId="0" fontId="0" fillId="0" borderId="0" xfId="0" applyFill="1">
      <alignment vertical="top"/>
    </xf>
    <xf numFmtId="43" fontId="0" fillId="0" borderId="0" xfId="0" applyNumberFormat="1" applyFill="1">
      <alignment vertical="top"/>
    </xf>
    <xf numFmtId="0" fontId="3" fillId="0" borderId="0" xfId="0" applyFont="1" applyFill="1" applyAlignment="1">
      <alignment horizontal="center" vertical="top"/>
    </xf>
    <xf numFmtId="0" fontId="3" fillId="0" borderId="0" xfId="0" applyFont="1" applyFill="1" applyAlignment="1">
      <alignment horizontal="center" vertical="top" wrapText="1"/>
    </xf>
    <xf numFmtId="49" fontId="3" fillId="0" borderId="0" xfId="0" applyNumberFormat="1" applyFont="1" applyFill="1" applyAlignment="1">
      <alignment horizontal="center" vertical="top"/>
    </xf>
    <xf numFmtId="0" fontId="10" fillId="0" borderId="0" xfId="0" applyFont="1" applyFill="1">
      <alignment vertical="top"/>
    </xf>
    <xf numFmtId="0" fontId="10" fillId="0" borderId="0" xfId="0" applyFont="1" applyFill="1" applyAlignment="1">
      <alignment vertical="top" wrapText="1"/>
    </xf>
    <xf numFmtId="49" fontId="10" fillId="0" borderId="0" xfId="0" applyNumberFormat="1" applyFont="1" applyFill="1">
      <alignment vertical="top"/>
    </xf>
    <xf numFmtId="49" fontId="3" fillId="0" borderId="0" xfId="0" applyNumberFormat="1" applyFont="1" applyFill="1">
      <alignment vertical="top"/>
    </xf>
    <xf numFmtId="49" fontId="0" fillId="0" borderId="0" xfId="0" applyNumberFormat="1" applyFill="1">
      <alignment vertical="top"/>
    </xf>
    <xf numFmtId="0" fontId="0" fillId="0" borderId="0" xfId="0" applyFill="1" applyAlignment="1"/>
    <xf numFmtId="0" fontId="2" fillId="0" borderId="0" xfId="0" applyFont="1" applyFill="1">
      <alignment vertical="top"/>
    </xf>
    <xf numFmtId="43" fontId="10" fillId="0" borderId="0" xfId="0" applyNumberFormat="1" applyFont="1" applyFill="1">
      <alignment vertical="top"/>
    </xf>
    <xf numFmtId="0" fontId="3" fillId="0" borderId="0" xfId="0" applyFont="1" applyFill="1" applyAlignment="1"/>
    <xf numFmtId="0" fontId="5" fillId="0" borderId="0" xfId="0" applyFont="1" applyFill="1">
      <alignment vertical="top"/>
    </xf>
    <xf numFmtId="0" fontId="6" fillId="0" borderId="0" xfId="0" applyFont="1" applyFill="1">
      <alignment vertical="top"/>
    </xf>
    <xf numFmtId="0" fontId="15" fillId="0" borderId="0" xfId="0" applyFont="1" applyFill="1">
      <alignment vertical="top"/>
    </xf>
    <xf numFmtId="0" fontId="9" fillId="0" borderId="0" xfId="0" applyFont="1" applyFill="1">
      <alignment vertical="top"/>
    </xf>
    <xf numFmtId="0" fontId="13" fillId="0" borderId="0" xfId="0" applyFont="1" applyFill="1">
      <alignment vertical="top"/>
    </xf>
    <xf numFmtId="0" fontId="7" fillId="0" borderId="0" xfId="0" applyFont="1" applyFill="1">
      <alignment vertical="top"/>
    </xf>
    <xf numFmtId="43" fontId="3" fillId="0" borderId="0" xfId="0" applyNumberFormat="1" applyFont="1" applyFill="1">
      <alignment vertical="top"/>
    </xf>
    <xf numFmtId="0" fontId="3" fillId="0" borderId="0" xfId="0" applyFont="1" applyFill="1" applyAlignment="1">
      <alignment vertical="top" wrapText="1"/>
    </xf>
    <xf numFmtId="0" fontId="11" fillId="0" borderId="0" xfId="0" applyFont="1" applyFill="1">
      <alignment vertical="top"/>
    </xf>
    <xf numFmtId="0" fontId="8" fillId="0" borderId="0" xfId="0" applyFont="1" applyFill="1">
      <alignment vertical="top"/>
    </xf>
    <xf numFmtId="0" fontId="14" fillId="0" borderId="0" xfId="0" applyFont="1" applyFill="1">
      <alignment vertical="top"/>
    </xf>
    <xf numFmtId="0" fontId="1" fillId="0" borderId="1" xfId="0" applyFont="1" applyFill="1" applyBorder="1" applyAlignment="1"/>
  </cellXfs>
  <cellStyles count="2">
    <cellStyle name="Neutraal" xfId="1" builtinId="28"/>
    <cellStyle name="Standa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999999"/>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autoPageBreaks="0" fitToPage="1"/>
  </sheetPr>
  <dimension ref="A1:AX4314"/>
  <sheetViews>
    <sheetView tabSelected="1" workbookViewId="0">
      <pane xSplit="7" ySplit="2" topLeftCell="H3" activePane="bottomRight" state="frozen"/>
      <selection pane="bottomRight" activeCell="B9" sqref="B9"/>
      <selection pane="bottomLeft" activeCell="A3" sqref="A3"/>
      <selection pane="topRight" activeCell="I1" sqref="I1"/>
    </sheetView>
  </sheetViews>
  <sheetFormatPr defaultColWidth="6.85546875" defaultRowHeight="12.75" customHeight="1"/>
  <cols>
    <col min="1" max="1" width="36.7109375" style="5" bestFit="1" customWidth="1"/>
    <col min="2" max="2" width="59.7109375" style="5" bestFit="1" customWidth="1"/>
    <col min="3" max="3" width="15.7109375" style="6" hidden="1" customWidth="1"/>
    <col min="4" max="4" width="25.42578125" style="6" hidden="1" customWidth="1"/>
    <col min="5" max="5" width="51.7109375" style="6" customWidth="1"/>
    <col min="6" max="6" width="6" style="6" customWidth="1"/>
    <col min="7" max="7" width="10.140625" style="6" customWidth="1"/>
    <col min="8" max="8" width="12.140625" style="7" customWidth="1"/>
    <col min="9" max="9" width="30.5703125" style="5" customWidth="1"/>
    <col min="10" max="10" width="31.140625" style="5" customWidth="1"/>
    <col min="11" max="14" width="20.7109375" style="5" customWidth="1"/>
    <col min="15" max="15" width="20.85546875" style="5" customWidth="1"/>
    <col min="16" max="17" width="20.7109375" style="5" customWidth="1"/>
    <col min="18" max="18" width="20.7109375" style="27" customWidth="1"/>
    <col min="19" max="31" width="20.7109375" style="5" customWidth="1"/>
    <col min="32" max="32" width="97.140625" style="5" customWidth="1"/>
    <col min="33" max="35" width="10.7109375" style="14" customWidth="1"/>
    <col min="36" max="36" width="38.140625" style="5" customWidth="1"/>
    <col min="37" max="37" width="6.85546875" style="5" customWidth="1"/>
    <col min="38" max="16384" width="6.85546875" style="5"/>
  </cols>
  <sheetData>
    <row r="1" spans="1:37" ht="12.75" customHeight="1">
      <c r="K1" s="8" t="s">
        <v>0</v>
      </c>
      <c r="L1" s="8"/>
      <c r="M1" s="8"/>
      <c r="N1" s="8"/>
      <c r="O1" s="8" t="s">
        <v>1</v>
      </c>
      <c r="P1" s="8"/>
      <c r="Q1" s="8"/>
      <c r="R1" s="9"/>
      <c r="S1" s="8" t="s">
        <v>2</v>
      </c>
      <c r="T1" s="8"/>
      <c r="U1" s="8"/>
      <c r="V1" s="8"/>
      <c r="W1" s="8" t="s">
        <v>3</v>
      </c>
      <c r="X1" s="8"/>
      <c r="Y1" s="8"/>
      <c r="Z1" s="8"/>
      <c r="AA1" s="8" t="s">
        <v>4</v>
      </c>
      <c r="AB1" s="8"/>
      <c r="AC1" s="8"/>
      <c r="AD1" s="8"/>
      <c r="AE1" s="5" t="s">
        <v>5</v>
      </c>
      <c r="AF1" s="5" t="s">
        <v>6</v>
      </c>
      <c r="AG1" s="10" t="s">
        <v>7</v>
      </c>
      <c r="AH1" s="10"/>
      <c r="AI1" s="10"/>
    </row>
    <row r="2" spans="1:37" s="11" customFormat="1">
      <c r="A2" s="11" t="s">
        <v>8</v>
      </c>
      <c r="B2" s="11" t="s">
        <v>9</v>
      </c>
      <c r="C2" s="6" t="s">
        <v>10</v>
      </c>
      <c r="D2" s="6" t="s">
        <v>11</v>
      </c>
      <c r="E2" s="6" t="s">
        <v>12</v>
      </c>
      <c r="F2" s="6"/>
      <c r="G2" s="6"/>
      <c r="H2" s="7" t="s">
        <v>13</v>
      </c>
      <c r="I2" s="11" t="s">
        <v>14</v>
      </c>
      <c r="J2" s="11" t="s">
        <v>15</v>
      </c>
      <c r="K2" s="11" t="s">
        <v>16</v>
      </c>
      <c r="L2" s="11" t="s">
        <v>17</v>
      </c>
      <c r="M2" s="11" t="s">
        <v>18</v>
      </c>
      <c r="N2" s="11" t="s">
        <v>19</v>
      </c>
      <c r="O2" s="11" t="s">
        <v>20</v>
      </c>
      <c r="P2" s="11" t="s">
        <v>21</v>
      </c>
      <c r="Q2" s="11" t="s">
        <v>22</v>
      </c>
      <c r="R2" s="12" t="s">
        <v>23</v>
      </c>
      <c r="S2" s="11" t="s">
        <v>24</v>
      </c>
      <c r="T2" s="11" t="s">
        <v>25</v>
      </c>
      <c r="U2" s="11" t="s">
        <v>26</v>
      </c>
      <c r="V2" s="11" t="s">
        <v>27</v>
      </c>
      <c r="W2" s="11" t="s">
        <v>28</v>
      </c>
      <c r="X2" s="11" t="s">
        <v>29</v>
      </c>
      <c r="Y2" s="11" t="s">
        <v>30</v>
      </c>
      <c r="Z2" s="11" t="s">
        <v>31</v>
      </c>
      <c r="AA2" s="11" t="s">
        <v>32</v>
      </c>
      <c r="AB2" s="11" t="s">
        <v>33</v>
      </c>
      <c r="AC2" s="11" t="s">
        <v>34</v>
      </c>
      <c r="AD2" s="11" t="s">
        <v>35</v>
      </c>
      <c r="AE2" s="11" t="s">
        <v>36</v>
      </c>
      <c r="AF2" s="5" t="s">
        <v>37</v>
      </c>
      <c r="AG2" s="13" t="s">
        <v>38</v>
      </c>
      <c r="AH2" s="13" t="s">
        <v>39</v>
      </c>
      <c r="AI2" s="13" t="s">
        <v>40</v>
      </c>
    </row>
    <row r="3" spans="1:37">
      <c r="A3" s="6" t="s">
        <v>41</v>
      </c>
      <c r="B3" s="6" t="s">
        <v>42</v>
      </c>
      <c r="C3" s="6" t="s">
        <v>43</v>
      </c>
      <c r="D3" s="6" t="s">
        <v>44</v>
      </c>
      <c r="E3" s="6" t="s">
        <v>45</v>
      </c>
      <c r="F3" s="6" t="s">
        <v>46</v>
      </c>
      <c r="G3" s="6" t="s">
        <v>47</v>
      </c>
      <c r="I3" s="6" t="s">
        <v>48</v>
      </c>
      <c r="J3" s="6" t="s">
        <v>48</v>
      </c>
      <c r="K3" s="6"/>
      <c r="L3" s="6"/>
      <c r="M3" s="6"/>
      <c r="N3" s="6"/>
      <c r="O3" s="6"/>
      <c r="P3" s="6"/>
      <c r="Q3" s="6"/>
      <c r="R3" s="6"/>
      <c r="S3" s="6"/>
      <c r="T3" s="6"/>
      <c r="U3" s="6"/>
      <c r="V3" s="6"/>
      <c r="W3" s="6"/>
      <c r="X3" s="6"/>
      <c r="Y3" s="6"/>
      <c r="Z3" s="6"/>
      <c r="AA3" s="6"/>
      <c r="AB3" s="6"/>
      <c r="AC3" s="6"/>
      <c r="AD3" s="6"/>
      <c r="AE3" s="6"/>
      <c r="AF3" s="6"/>
      <c r="AG3" s="14" t="s">
        <v>49</v>
      </c>
      <c r="AH3" s="15"/>
      <c r="AI3" s="15"/>
      <c r="AJ3" s="6"/>
      <c r="AK3" s="6"/>
    </row>
    <row r="4" spans="1:37" s="6" customFormat="1">
      <c r="A4" s="6" t="s">
        <v>50</v>
      </c>
      <c r="B4" s="6" t="s">
        <v>51</v>
      </c>
      <c r="C4" s="6" t="s">
        <v>43</v>
      </c>
      <c r="D4" s="6" t="s">
        <v>52</v>
      </c>
      <c r="E4" s="6" t="s">
        <v>53</v>
      </c>
      <c r="F4" s="6" t="s">
        <v>46</v>
      </c>
      <c r="G4" s="6" t="s">
        <v>54</v>
      </c>
      <c r="H4" s="7"/>
      <c r="I4" s="16" t="s">
        <v>48</v>
      </c>
      <c r="J4" s="17" t="s">
        <v>48</v>
      </c>
      <c r="AG4" s="14" t="s">
        <v>55</v>
      </c>
      <c r="AH4" s="15"/>
      <c r="AI4" s="15"/>
    </row>
    <row r="5" spans="1:37" s="6" customFormat="1">
      <c r="A5" s="6" t="s">
        <v>56</v>
      </c>
      <c r="B5" s="6" t="s">
        <v>57</v>
      </c>
      <c r="C5" s="6" t="s">
        <v>43</v>
      </c>
      <c r="D5" s="6" t="s">
        <v>44</v>
      </c>
      <c r="E5" s="6" t="s">
        <v>58</v>
      </c>
      <c r="F5" s="6" t="s">
        <v>46</v>
      </c>
      <c r="G5" s="6" t="s">
        <v>59</v>
      </c>
      <c r="H5" s="7"/>
      <c r="I5" s="5" t="s">
        <v>48</v>
      </c>
      <c r="J5" s="5" t="s">
        <v>48</v>
      </c>
      <c r="AG5" s="14" t="s">
        <v>55</v>
      </c>
      <c r="AH5" s="15"/>
      <c r="AI5" s="15"/>
    </row>
    <row r="6" spans="1:37" s="6" customFormat="1">
      <c r="A6" s="5" t="s">
        <v>60</v>
      </c>
      <c r="B6" s="5" t="s">
        <v>61</v>
      </c>
      <c r="C6" s="6" t="s">
        <v>43</v>
      </c>
      <c r="D6" s="6" t="s">
        <v>44</v>
      </c>
      <c r="E6" s="6" t="s">
        <v>45</v>
      </c>
      <c r="F6" s="6" t="s">
        <v>46</v>
      </c>
      <c r="G6" s="6" t="s">
        <v>62</v>
      </c>
      <c r="H6" s="18">
        <v>16.5</v>
      </c>
      <c r="I6" s="19" t="s">
        <v>63</v>
      </c>
      <c r="J6" s="19" t="s">
        <v>64</v>
      </c>
      <c r="K6" s="5" t="s">
        <v>65</v>
      </c>
      <c r="L6" s="5" t="s">
        <v>66</v>
      </c>
      <c r="M6" s="5" t="s">
        <v>67</v>
      </c>
      <c r="N6" s="5" t="s">
        <v>68</v>
      </c>
      <c r="O6" s="5" t="s">
        <v>69</v>
      </c>
      <c r="P6" s="5" t="s">
        <v>70</v>
      </c>
      <c r="Q6" s="5" t="s">
        <v>71</v>
      </c>
      <c r="R6" s="5" t="s">
        <v>72</v>
      </c>
      <c r="S6" s="5" t="s">
        <v>73</v>
      </c>
      <c r="T6" s="5" t="s">
        <v>74</v>
      </c>
      <c r="U6" s="5" t="s">
        <v>75</v>
      </c>
      <c r="V6" s="5" t="s">
        <v>76</v>
      </c>
      <c r="W6" s="5" t="s">
        <v>77</v>
      </c>
      <c r="X6" s="5" t="s">
        <v>78</v>
      </c>
      <c r="Y6" s="5" t="s">
        <v>79</v>
      </c>
      <c r="Z6" s="5" t="s">
        <v>80</v>
      </c>
      <c r="AA6" s="5" t="s">
        <v>81</v>
      </c>
      <c r="AB6" s="5" t="s">
        <v>82</v>
      </c>
      <c r="AC6" s="5" t="s">
        <v>83</v>
      </c>
      <c r="AD6" s="5" t="s">
        <v>84</v>
      </c>
      <c r="AE6" s="5" t="s">
        <v>85</v>
      </c>
      <c r="AF6" s="5" t="s">
        <v>86</v>
      </c>
      <c r="AG6" s="14" t="s">
        <v>49</v>
      </c>
      <c r="AH6" s="14" t="s">
        <v>87</v>
      </c>
      <c r="AI6" s="14" t="s">
        <v>49</v>
      </c>
      <c r="AJ6" s="5" t="s">
        <v>88</v>
      </c>
      <c r="AK6" s="5"/>
    </row>
    <row r="7" spans="1:37">
      <c r="A7" s="5" t="s">
        <v>89</v>
      </c>
      <c r="B7" s="5" t="s">
        <v>90</v>
      </c>
      <c r="C7" s="6" t="s">
        <v>43</v>
      </c>
      <c r="D7" s="6" t="s">
        <v>44</v>
      </c>
      <c r="E7" s="6" t="s">
        <v>45</v>
      </c>
      <c r="F7" s="6" t="s">
        <v>46</v>
      </c>
      <c r="G7" s="6" t="s">
        <v>91</v>
      </c>
      <c r="H7" s="18">
        <v>85</v>
      </c>
      <c r="I7" s="19" t="s">
        <v>63</v>
      </c>
      <c r="J7" s="19" t="s">
        <v>64</v>
      </c>
      <c r="K7" s="5" t="s">
        <v>65</v>
      </c>
      <c r="L7" s="5" t="s">
        <v>66</v>
      </c>
      <c r="M7" s="5" t="s">
        <v>67</v>
      </c>
      <c r="N7" s="5" t="s">
        <v>68</v>
      </c>
      <c r="O7" s="5" t="s">
        <v>92</v>
      </c>
      <c r="P7" s="5" t="s">
        <v>93</v>
      </c>
      <c r="Q7" s="5" t="s">
        <v>94</v>
      </c>
      <c r="R7" s="5" t="s">
        <v>95</v>
      </c>
      <c r="S7" s="5" t="s">
        <v>73</v>
      </c>
      <c r="T7" s="5" t="s">
        <v>96</v>
      </c>
      <c r="U7" s="5" t="s">
        <v>97</v>
      </c>
      <c r="V7" s="5" t="s">
        <v>98</v>
      </c>
      <c r="W7" s="5" t="s">
        <v>77</v>
      </c>
      <c r="X7" s="5" t="s">
        <v>78</v>
      </c>
      <c r="Y7" s="5" t="s">
        <v>79</v>
      </c>
      <c r="Z7" s="5" t="s">
        <v>80</v>
      </c>
      <c r="AA7" s="5" t="s">
        <v>81</v>
      </c>
      <c r="AB7" s="5" t="s">
        <v>82</v>
      </c>
      <c r="AC7" s="5" t="s">
        <v>83</v>
      </c>
      <c r="AD7" s="5" t="s">
        <v>84</v>
      </c>
      <c r="AE7" s="5" t="s">
        <v>99</v>
      </c>
      <c r="AF7" s="5" t="s">
        <v>100</v>
      </c>
      <c r="AG7" s="14" t="s">
        <v>49</v>
      </c>
      <c r="AH7" s="14" t="s">
        <v>87</v>
      </c>
      <c r="AI7" s="14" t="s">
        <v>49</v>
      </c>
      <c r="AJ7" s="5" t="s">
        <v>88</v>
      </c>
    </row>
    <row r="8" spans="1:37">
      <c r="A8" s="5" t="s">
        <v>101</v>
      </c>
      <c r="B8" s="5" t="s">
        <v>102</v>
      </c>
      <c r="C8" s="6" t="s">
        <v>43</v>
      </c>
      <c r="D8" s="6" t="s">
        <v>44</v>
      </c>
      <c r="E8" s="6" t="s">
        <v>45</v>
      </c>
      <c r="F8" s="6" t="s">
        <v>46</v>
      </c>
      <c r="G8" s="6" t="s">
        <v>103</v>
      </c>
      <c r="H8" s="18">
        <v>51.5</v>
      </c>
      <c r="I8" s="19" t="s">
        <v>63</v>
      </c>
      <c r="J8" s="19" t="s">
        <v>104</v>
      </c>
      <c r="K8" s="5" t="s">
        <v>105</v>
      </c>
      <c r="L8" s="20" t="s">
        <v>106</v>
      </c>
      <c r="M8" s="20" t="s">
        <v>107</v>
      </c>
      <c r="N8" s="20" t="s">
        <v>108</v>
      </c>
      <c r="O8" s="5" t="s">
        <v>109</v>
      </c>
      <c r="P8" s="5" t="s">
        <v>110</v>
      </c>
      <c r="Q8" s="5" t="s">
        <v>111</v>
      </c>
      <c r="R8" s="5" t="s">
        <v>112</v>
      </c>
      <c r="S8" s="5" t="s">
        <v>113</v>
      </c>
      <c r="T8" s="5" t="s">
        <v>114</v>
      </c>
      <c r="U8" s="5" t="s">
        <v>115</v>
      </c>
      <c r="V8" s="5" t="s">
        <v>116</v>
      </c>
      <c r="W8" s="5" t="s">
        <v>117</v>
      </c>
      <c r="X8" s="5" t="s">
        <v>118</v>
      </c>
      <c r="Y8" s="5" t="s">
        <v>119</v>
      </c>
      <c r="Z8" s="5" t="s">
        <v>120</v>
      </c>
      <c r="AE8" s="5" t="s">
        <v>121</v>
      </c>
      <c r="AF8" s="5" t="s">
        <v>122</v>
      </c>
      <c r="AG8" s="14" t="s">
        <v>49</v>
      </c>
      <c r="AH8" s="14" t="s">
        <v>123</v>
      </c>
      <c r="AI8" s="14" t="s">
        <v>124</v>
      </c>
      <c r="AJ8" s="5" t="s">
        <v>125</v>
      </c>
    </row>
    <row r="9" spans="1:37">
      <c r="A9" s="5" t="s">
        <v>126</v>
      </c>
      <c r="B9" s="5" t="s">
        <v>127</v>
      </c>
      <c r="C9" s="6" t="s">
        <v>128</v>
      </c>
      <c r="D9" s="6" t="s">
        <v>44</v>
      </c>
      <c r="E9" s="6" t="s">
        <v>45</v>
      </c>
      <c r="F9" s="6" t="s">
        <v>46</v>
      </c>
      <c r="G9" s="6" t="s">
        <v>129</v>
      </c>
      <c r="H9" s="18">
        <v>2990</v>
      </c>
      <c r="I9" s="19" t="s">
        <v>63</v>
      </c>
      <c r="J9" s="19" t="s">
        <v>130</v>
      </c>
      <c r="K9" s="5" t="s">
        <v>131</v>
      </c>
      <c r="L9" s="5" t="s">
        <v>132</v>
      </c>
      <c r="M9" s="5" t="s">
        <v>133</v>
      </c>
      <c r="N9" s="5" t="s">
        <v>134</v>
      </c>
      <c r="O9" s="5" t="s">
        <v>135</v>
      </c>
      <c r="P9" s="5" t="s">
        <v>136</v>
      </c>
      <c r="Q9" s="5" t="s">
        <v>137</v>
      </c>
      <c r="R9" s="5" t="s">
        <v>138</v>
      </c>
      <c r="S9" s="5" t="s">
        <v>139</v>
      </c>
      <c r="T9" s="5" t="s">
        <v>140</v>
      </c>
      <c r="U9" s="5" t="s">
        <v>141</v>
      </c>
      <c r="V9" s="5" t="s">
        <v>142</v>
      </c>
      <c r="W9" s="5" t="s">
        <v>143</v>
      </c>
      <c r="X9" s="5" t="s">
        <v>144</v>
      </c>
      <c r="Y9" s="5" t="s">
        <v>145</v>
      </c>
      <c r="Z9" s="5" t="s">
        <v>146</v>
      </c>
      <c r="AE9" s="5" t="s">
        <v>147</v>
      </c>
      <c r="AF9" s="5" t="s">
        <v>148</v>
      </c>
      <c r="AG9" s="14" t="s">
        <v>49</v>
      </c>
      <c r="AH9" s="14" t="s">
        <v>123</v>
      </c>
      <c r="AI9" s="14" t="s">
        <v>149</v>
      </c>
      <c r="AJ9" s="5" t="s">
        <v>150</v>
      </c>
    </row>
    <row r="10" spans="1:37">
      <c r="A10" s="5" t="s">
        <v>151</v>
      </c>
      <c r="B10" s="5" t="s">
        <v>152</v>
      </c>
      <c r="C10" s="6" t="s">
        <v>43</v>
      </c>
      <c r="D10" s="6" t="s">
        <v>44</v>
      </c>
      <c r="E10" s="6" t="s">
        <v>45</v>
      </c>
      <c r="F10" s="6" t="s">
        <v>46</v>
      </c>
      <c r="G10" s="6" t="s">
        <v>153</v>
      </c>
      <c r="H10" s="18">
        <v>32.5</v>
      </c>
      <c r="I10" s="19" t="s">
        <v>63</v>
      </c>
      <c r="J10" s="19" t="s">
        <v>154</v>
      </c>
      <c r="K10" s="5" t="s">
        <v>155</v>
      </c>
      <c r="L10" s="5" t="s">
        <v>156</v>
      </c>
      <c r="M10" s="5" t="s">
        <v>155</v>
      </c>
      <c r="N10" s="5" t="s">
        <v>157</v>
      </c>
      <c r="O10" s="5" t="s">
        <v>158</v>
      </c>
      <c r="P10" s="5" t="s">
        <v>159</v>
      </c>
      <c r="Q10" s="5" t="s">
        <v>160</v>
      </c>
      <c r="R10" s="5" t="s">
        <v>161</v>
      </c>
      <c r="W10" s="5" t="s">
        <v>162</v>
      </c>
      <c r="X10" s="5" t="s">
        <v>163</v>
      </c>
      <c r="Y10" s="5" t="s">
        <v>164</v>
      </c>
      <c r="Z10" s="5" t="s">
        <v>165</v>
      </c>
      <c r="AA10" s="5" t="s">
        <v>166</v>
      </c>
      <c r="AB10" s="5" t="s">
        <v>167</v>
      </c>
      <c r="AC10" s="5" t="s">
        <v>168</v>
      </c>
      <c r="AD10" s="5" t="s">
        <v>169</v>
      </c>
      <c r="AE10" s="5" t="s">
        <v>170</v>
      </c>
      <c r="AF10" s="5" t="s">
        <v>171</v>
      </c>
      <c r="AG10" s="14" t="s">
        <v>49</v>
      </c>
      <c r="AH10" s="14" t="s">
        <v>123</v>
      </c>
      <c r="AI10" s="14" t="s">
        <v>172</v>
      </c>
      <c r="AJ10" s="5" t="s">
        <v>173</v>
      </c>
    </row>
    <row r="11" spans="1:37">
      <c r="A11" s="5" t="s">
        <v>174</v>
      </c>
      <c r="B11" s="5" t="s">
        <v>175</v>
      </c>
      <c r="C11" s="6" t="s">
        <v>43</v>
      </c>
      <c r="D11" s="6" t="s">
        <v>44</v>
      </c>
      <c r="E11" s="6" t="s">
        <v>45</v>
      </c>
      <c r="F11" s="6" t="s">
        <v>46</v>
      </c>
      <c r="G11" s="6" t="s">
        <v>176</v>
      </c>
      <c r="H11" s="18">
        <v>16.100000000000001</v>
      </c>
      <c r="I11" s="19" t="s">
        <v>63</v>
      </c>
      <c r="J11" s="19" t="s">
        <v>130</v>
      </c>
      <c r="K11" s="5" t="s">
        <v>177</v>
      </c>
      <c r="L11" s="5" t="s">
        <v>177</v>
      </c>
      <c r="M11" s="5" t="s">
        <v>177</v>
      </c>
      <c r="N11" s="5" t="s">
        <v>177</v>
      </c>
      <c r="O11" s="5" t="s">
        <v>178</v>
      </c>
      <c r="P11" s="5" t="s">
        <v>179</v>
      </c>
      <c r="Q11" s="5" t="s">
        <v>180</v>
      </c>
      <c r="R11" s="5" t="s">
        <v>181</v>
      </c>
      <c r="S11" s="5" t="s">
        <v>139</v>
      </c>
      <c r="T11" s="5" t="s">
        <v>140</v>
      </c>
      <c r="U11" s="5" t="s">
        <v>141</v>
      </c>
      <c r="V11" s="5" t="s">
        <v>142</v>
      </c>
      <c r="W11" s="5" t="s">
        <v>143</v>
      </c>
      <c r="X11" s="5" t="s">
        <v>144</v>
      </c>
      <c r="Y11" s="5" t="s">
        <v>145</v>
      </c>
      <c r="Z11" s="5" t="s">
        <v>146</v>
      </c>
      <c r="AE11" s="5" t="s">
        <v>182</v>
      </c>
      <c r="AF11" s="5" t="s">
        <v>183</v>
      </c>
      <c r="AG11" s="14" t="s">
        <v>49</v>
      </c>
      <c r="AH11" s="14" t="s">
        <v>123</v>
      </c>
      <c r="AI11" s="14" t="s">
        <v>149</v>
      </c>
      <c r="AJ11" s="5" t="s">
        <v>150</v>
      </c>
    </row>
    <row r="12" spans="1:37">
      <c r="A12" s="5" t="s">
        <v>184</v>
      </c>
      <c r="B12" s="5" t="s">
        <v>185</v>
      </c>
      <c r="C12" s="6" t="s">
        <v>43</v>
      </c>
      <c r="D12" s="6" t="s">
        <v>44</v>
      </c>
      <c r="E12" s="6" t="s">
        <v>45</v>
      </c>
      <c r="F12" s="6" t="s">
        <v>46</v>
      </c>
      <c r="G12" s="6" t="s">
        <v>186</v>
      </c>
      <c r="H12" s="18">
        <v>4.2</v>
      </c>
      <c r="I12" s="19" t="s">
        <v>63</v>
      </c>
      <c r="J12" s="19" t="s">
        <v>130</v>
      </c>
      <c r="K12" s="5" t="s">
        <v>187</v>
      </c>
      <c r="L12" s="5" t="s">
        <v>188</v>
      </c>
      <c r="M12" s="5" t="s">
        <v>189</v>
      </c>
      <c r="N12" s="5" t="s">
        <v>190</v>
      </c>
      <c r="O12" s="5" t="s">
        <v>191</v>
      </c>
      <c r="P12" s="5" t="s">
        <v>192</v>
      </c>
      <c r="Q12" s="5" t="s">
        <v>193</v>
      </c>
      <c r="R12" s="5" t="s">
        <v>194</v>
      </c>
      <c r="S12" s="5" t="s">
        <v>139</v>
      </c>
      <c r="T12" s="5" t="s">
        <v>140</v>
      </c>
      <c r="U12" s="5" t="s">
        <v>141</v>
      </c>
      <c r="V12" s="5" t="s">
        <v>142</v>
      </c>
      <c r="W12" s="5" t="s">
        <v>143</v>
      </c>
      <c r="X12" s="5" t="s">
        <v>195</v>
      </c>
      <c r="Y12" s="5" t="s">
        <v>145</v>
      </c>
      <c r="Z12" s="5" t="s">
        <v>146</v>
      </c>
      <c r="AA12" s="5" t="s">
        <v>196</v>
      </c>
      <c r="AB12" s="5" t="s">
        <v>197</v>
      </c>
      <c r="AC12" s="5" t="s">
        <v>198</v>
      </c>
      <c r="AD12" s="5" t="s">
        <v>199</v>
      </c>
      <c r="AE12" s="5" t="s">
        <v>200</v>
      </c>
      <c r="AF12" s="5" t="s">
        <v>201</v>
      </c>
      <c r="AG12" s="14" t="s">
        <v>49</v>
      </c>
      <c r="AH12" s="14" t="s">
        <v>123</v>
      </c>
      <c r="AI12" s="14" t="s">
        <v>149</v>
      </c>
      <c r="AJ12" s="5" t="s">
        <v>150</v>
      </c>
    </row>
    <row r="13" spans="1:37">
      <c r="A13" s="6" t="s">
        <v>202</v>
      </c>
      <c r="B13" s="6" t="s">
        <v>203</v>
      </c>
      <c r="C13" s="6" t="s">
        <v>43</v>
      </c>
      <c r="D13" s="6" t="s">
        <v>44</v>
      </c>
      <c r="E13" s="6" t="s">
        <v>45</v>
      </c>
      <c r="F13" s="6" t="s">
        <v>46</v>
      </c>
      <c r="G13" s="6" t="s">
        <v>204</v>
      </c>
      <c r="I13" s="5" t="s">
        <v>48</v>
      </c>
      <c r="J13" s="5" t="s">
        <v>48</v>
      </c>
      <c r="K13" s="6"/>
      <c r="L13" s="6"/>
      <c r="M13" s="6"/>
      <c r="N13" s="6"/>
      <c r="O13" s="6"/>
      <c r="P13" s="6"/>
      <c r="Q13" s="6"/>
      <c r="R13" s="6"/>
      <c r="S13" s="6"/>
      <c r="T13" s="6"/>
      <c r="U13" s="6"/>
      <c r="V13" s="6"/>
      <c r="W13" s="6"/>
      <c r="X13" s="6"/>
      <c r="Y13" s="6"/>
      <c r="Z13" s="6"/>
      <c r="AA13" s="6"/>
      <c r="AB13" s="6"/>
      <c r="AC13" s="6"/>
      <c r="AD13" s="6"/>
      <c r="AE13" s="6"/>
      <c r="AF13" s="6"/>
      <c r="AG13" s="15" t="s">
        <v>49</v>
      </c>
      <c r="AH13" s="15"/>
      <c r="AI13" s="15"/>
      <c r="AJ13" s="6"/>
      <c r="AK13" s="6"/>
    </row>
    <row r="14" spans="1:37" s="6" customFormat="1">
      <c r="A14" s="6" t="s">
        <v>205</v>
      </c>
      <c r="B14" s="6" t="s">
        <v>206</v>
      </c>
      <c r="C14" s="6" t="s">
        <v>43</v>
      </c>
      <c r="D14" s="6" t="s">
        <v>44</v>
      </c>
      <c r="E14" s="6" t="s">
        <v>45</v>
      </c>
      <c r="F14" s="6" t="s">
        <v>46</v>
      </c>
      <c r="G14" s="6" t="s">
        <v>204</v>
      </c>
      <c r="H14" s="7"/>
      <c r="I14" s="5" t="s">
        <v>48</v>
      </c>
      <c r="J14" s="5" t="s">
        <v>48</v>
      </c>
      <c r="AG14" s="15" t="s">
        <v>49</v>
      </c>
      <c r="AH14" s="15"/>
      <c r="AI14" s="15"/>
    </row>
    <row r="15" spans="1:37" s="6" customFormat="1">
      <c r="A15" s="6" t="s">
        <v>207</v>
      </c>
      <c r="B15" s="6" t="s">
        <v>208</v>
      </c>
      <c r="C15" s="6" t="s">
        <v>43</v>
      </c>
      <c r="D15" s="6" t="s">
        <v>44</v>
      </c>
      <c r="E15" s="6" t="s">
        <v>45</v>
      </c>
      <c r="F15" s="6" t="s">
        <v>46</v>
      </c>
      <c r="G15" s="6" t="s">
        <v>204</v>
      </c>
      <c r="H15" s="7"/>
      <c r="I15" s="5" t="s">
        <v>48</v>
      </c>
      <c r="J15" s="5" t="s">
        <v>48</v>
      </c>
      <c r="AG15" s="15" t="s">
        <v>49</v>
      </c>
      <c r="AH15" s="15"/>
      <c r="AI15" s="15"/>
    </row>
    <row r="16" spans="1:37" s="6" customFormat="1">
      <c r="A16" s="6" t="s">
        <v>209</v>
      </c>
      <c r="B16" s="6" t="s">
        <v>210</v>
      </c>
      <c r="C16" s="6" t="s">
        <v>43</v>
      </c>
      <c r="D16" s="6" t="s">
        <v>44</v>
      </c>
      <c r="E16" s="6" t="s">
        <v>45</v>
      </c>
      <c r="F16" s="6" t="s">
        <v>46</v>
      </c>
      <c r="G16" s="6" t="s">
        <v>204</v>
      </c>
      <c r="H16" s="7"/>
      <c r="I16" s="5" t="s">
        <v>48</v>
      </c>
      <c r="J16" s="5" t="s">
        <v>48</v>
      </c>
      <c r="AG16" s="15" t="s">
        <v>49</v>
      </c>
      <c r="AH16" s="15"/>
      <c r="AI16" s="15"/>
    </row>
    <row r="17" spans="1:37" s="6" customFormat="1">
      <c r="A17" s="6" t="s">
        <v>211</v>
      </c>
      <c r="B17" s="6" t="s">
        <v>210</v>
      </c>
      <c r="C17" s="6" t="s">
        <v>43</v>
      </c>
      <c r="D17" s="6" t="s">
        <v>44</v>
      </c>
      <c r="E17" s="6" t="s">
        <v>45</v>
      </c>
      <c r="F17" s="6" t="s">
        <v>46</v>
      </c>
      <c r="G17" s="6" t="s">
        <v>204</v>
      </c>
      <c r="H17" s="7"/>
      <c r="I17" s="5" t="s">
        <v>48</v>
      </c>
      <c r="J17" s="5" t="s">
        <v>48</v>
      </c>
      <c r="AG17" s="15" t="s">
        <v>49</v>
      </c>
      <c r="AH17" s="15"/>
      <c r="AI17" s="15"/>
    </row>
    <row r="18" spans="1:37" s="6" customFormat="1">
      <c r="A18" s="6" t="s">
        <v>212</v>
      </c>
      <c r="B18" s="6" t="s">
        <v>213</v>
      </c>
      <c r="C18" s="6" t="s">
        <v>43</v>
      </c>
      <c r="D18" s="6" t="s">
        <v>44</v>
      </c>
      <c r="E18" s="6" t="s">
        <v>45</v>
      </c>
      <c r="F18" s="6" t="s">
        <v>46</v>
      </c>
      <c r="G18" s="6" t="s">
        <v>204</v>
      </c>
      <c r="H18" s="7"/>
      <c r="I18" s="5" t="s">
        <v>48</v>
      </c>
      <c r="J18" s="5" t="s">
        <v>48</v>
      </c>
      <c r="AG18" s="15" t="s">
        <v>49</v>
      </c>
      <c r="AH18" s="15"/>
      <c r="AI18" s="15"/>
    </row>
    <row r="19" spans="1:37" s="6" customFormat="1">
      <c r="A19" s="6" t="s">
        <v>214</v>
      </c>
      <c r="B19" s="6" t="s">
        <v>215</v>
      </c>
      <c r="C19" s="6" t="s">
        <v>43</v>
      </c>
      <c r="D19" s="6" t="s">
        <v>44</v>
      </c>
      <c r="E19" s="6" t="s">
        <v>45</v>
      </c>
      <c r="F19" s="6" t="s">
        <v>46</v>
      </c>
      <c r="G19" s="6" t="s">
        <v>204</v>
      </c>
      <c r="H19" s="7"/>
      <c r="I19" s="5" t="s">
        <v>48</v>
      </c>
      <c r="J19" s="5" t="s">
        <v>48</v>
      </c>
      <c r="AG19" s="15" t="s">
        <v>49</v>
      </c>
      <c r="AH19" s="15"/>
      <c r="AI19" s="15"/>
    </row>
    <row r="20" spans="1:37" s="6" customFormat="1" ht="15">
      <c r="A20" s="5" t="s">
        <v>216</v>
      </c>
      <c r="B20" s="5" t="s">
        <v>217</v>
      </c>
      <c r="C20" s="6" t="s">
        <v>43</v>
      </c>
      <c r="D20" s="6" t="s">
        <v>44</v>
      </c>
      <c r="E20" s="6" t="s">
        <v>218</v>
      </c>
      <c r="F20" s="6" t="s">
        <v>46</v>
      </c>
      <c r="G20" s="6" t="s">
        <v>204</v>
      </c>
      <c r="H20" s="18">
        <v>96.2</v>
      </c>
      <c r="I20" s="19" t="s">
        <v>219</v>
      </c>
      <c r="J20" s="19" t="s">
        <v>220</v>
      </c>
      <c r="K20" s="5" t="s">
        <v>221</v>
      </c>
      <c r="L20" s="21" t="s">
        <v>222</v>
      </c>
      <c r="M20" s="5" t="s">
        <v>223</v>
      </c>
      <c r="N20" s="5" t="s">
        <v>224</v>
      </c>
      <c r="O20" s="5" t="s">
        <v>225</v>
      </c>
      <c r="P20" s="5" t="s">
        <v>226</v>
      </c>
      <c r="Q20" s="5" t="s">
        <v>227</v>
      </c>
      <c r="R20" s="5" t="s">
        <v>228</v>
      </c>
      <c r="S20" s="5"/>
      <c r="T20" s="5"/>
      <c r="U20" s="5"/>
      <c r="V20" s="5"/>
      <c r="W20" s="5"/>
      <c r="X20" s="5"/>
      <c r="Y20" s="5"/>
      <c r="Z20" s="5"/>
      <c r="AA20" s="5" t="s">
        <v>229</v>
      </c>
      <c r="AB20" s="5" t="s">
        <v>230</v>
      </c>
      <c r="AC20" s="5" t="s">
        <v>231</v>
      </c>
      <c r="AD20" s="5" t="s">
        <v>232</v>
      </c>
      <c r="AE20" s="5" t="s">
        <v>233</v>
      </c>
      <c r="AF20" s="22"/>
      <c r="AG20" s="14" t="s">
        <v>49</v>
      </c>
      <c r="AH20" s="14" t="s">
        <v>234</v>
      </c>
      <c r="AI20" s="14" t="s">
        <v>235</v>
      </c>
      <c r="AJ20" s="5" t="s">
        <v>236</v>
      </c>
      <c r="AK20" s="5"/>
    </row>
    <row r="21" spans="1:37">
      <c r="A21" s="6" t="s">
        <v>237</v>
      </c>
      <c r="B21" s="6" t="s">
        <v>238</v>
      </c>
      <c r="C21" s="6" t="s">
        <v>43</v>
      </c>
      <c r="D21" s="6" t="s">
        <v>239</v>
      </c>
      <c r="E21" s="6" t="s">
        <v>240</v>
      </c>
      <c r="F21" s="6" t="s">
        <v>46</v>
      </c>
      <c r="G21" s="6" t="s">
        <v>204</v>
      </c>
      <c r="I21" s="5" t="s">
        <v>48</v>
      </c>
      <c r="J21" s="5" t="s">
        <v>48</v>
      </c>
      <c r="K21" s="6"/>
      <c r="L21" s="6"/>
      <c r="M21" s="6"/>
      <c r="N21" s="6"/>
      <c r="O21" s="6"/>
      <c r="P21" s="6"/>
      <c r="Q21" s="6"/>
      <c r="R21" s="6"/>
      <c r="S21" s="6"/>
      <c r="T21" s="6"/>
      <c r="U21" s="6"/>
      <c r="V21" s="6"/>
      <c r="W21" s="6"/>
      <c r="X21" s="6"/>
      <c r="Y21" s="6"/>
      <c r="Z21" s="6"/>
      <c r="AA21" s="6"/>
      <c r="AB21" s="6"/>
      <c r="AC21" s="6"/>
      <c r="AD21" s="6"/>
      <c r="AE21" s="6"/>
      <c r="AF21" s="6"/>
      <c r="AG21" s="15" t="s">
        <v>49</v>
      </c>
      <c r="AH21" s="15"/>
      <c r="AI21" s="15"/>
      <c r="AJ21" s="6"/>
      <c r="AK21" s="6"/>
    </row>
    <row r="22" spans="1:37" s="6" customFormat="1">
      <c r="A22" s="6" t="s">
        <v>241</v>
      </c>
      <c r="B22" s="6" t="s">
        <v>242</v>
      </c>
      <c r="C22" s="6" t="s">
        <v>43</v>
      </c>
      <c r="D22" s="6" t="s">
        <v>44</v>
      </c>
      <c r="E22" s="6" t="s">
        <v>45</v>
      </c>
      <c r="F22" s="6" t="s">
        <v>46</v>
      </c>
      <c r="G22" s="6" t="s">
        <v>243</v>
      </c>
      <c r="H22" s="7"/>
      <c r="I22" s="5" t="s">
        <v>48</v>
      </c>
      <c r="J22" s="5" t="s">
        <v>48</v>
      </c>
      <c r="AG22" s="15" t="s">
        <v>49</v>
      </c>
      <c r="AH22" s="15"/>
      <c r="AI22" s="15"/>
    </row>
    <row r="23" spans="1:37" s="6" customFormat="1">
      <c r="A23" s="6" t="s">
        <v>244</v>
      </c>
      <c r="B23" s="6" t="s">
        <v>245</v>
      </c>
      <c r="C23" s="6" t="s">
        <v>43</v>
      </c>
      <c r="D23" s="6" t="s">
        <v>44</v>
      </c>
      <c r="E23" s="6" t="s">
        <v>45</v>
      </c>
      <c r="F23" s="6" t="s">
        <v>46</v>
      </c>
      <c r="G23" s="6" t="s">
        <v>246</v>
      </c>
      <c r="H23" s="7"/>
      <c r="I23" s="5" t="s">
        <v>48</v>
      </c>
      <c r="J23" s="5" t="s">
        <v>48</v>
      </c>
      <c r="AG23" s="15" t="s">
        <v>49</v>
      </c>
      <c r="AH23" s="15"/>
      <c r="AI23" s="15"/>
    </row>
    <row r="24" spans="1:37" s="6" customFormat="1">
      <c r="A24" s="6" t="s">
        <v>247</v>
      </c>
      <c r="B24" s="6" t="s">
        <v>248</v>
      </c>
      <c r="C24" s="6" t="s">
        <v>43</v>
      </c>
      <c r="D24" s="6" t="s">
        <v>239</v>
      </c>
      <c r="E24" s="6" t="s">
        <v>240</v>
      </c>
      <c r="F24" s="6" t="s">
        <v>46</v>
      </c>
      <c r="G24" s="6" t="s">
        <v>204</v>
      </c>
      <c r="H24" s="7"/>
      <c r="I24" s="5" t="s">
        <v>48</v>
      </c>
      <c r="J24" s="5" t="s">
        <v>48</v>
      </c>
      <c r="AG24" s="15" t="s">
        <v>49</v>
      </c>
      <c r="AH24" s="15"/>
      <c r="AI24" s="15"/>
    </row>
    <row r="25" spans="1:37" s="6" customFormat="1">
      <c r="A25" s="6" t="s">
        <v>249</v>
      </c>
      <c r="B25" s="6" t="s">
        <v>250</v>
      </c>
      <c r="C25" s="6" t="s">
        <v>43</v>
      </c>
      <c r="D25" s="6" t="s">
        <v>44</v>
      </c>
      <c r="E25" s="6" t="s">
        <v>45</v>
      </c>
      <c r="F25" s="6" t="s">
        <v>46</v>
      </c>
      <c r="G25" s="6" t="s">
        <v>243</v>
      </c>
      <c r="H25" s="7"/>
      <c r="I25" s="5" t="s">
        <v>48</v>
      </c>
      <c r="J25" s="5" t="s">
        <v>48</v>
      </c>
      <c r="AG25" s="15" t="s">
        <v>49</v>
      </c>
      <c r="AH25" s="15"/>
      <c r="AI25" s="15"/>
    </row>
    <row r="26" spans="1:37" s="6" customFormat="1">
      <c r="A26" s="5" t="s">
        <v>251</v>
      </c>
      <c r="B26" s="5" t="s">
        <v>252</v>
      </c>
      <c r="C26" s="6" t="s">
        <v>43</v>
      </c>
      <c r="D26" s="6" t="s">
        <v>44</v>
      </c>
      <c r="E26" s="6" t="s">
        <v>218</v>
      </c>
      <c r="F26" s="6" t="s">
        <v>46</v>
      </c>
      <c r="G26" s="6" t="s">
        <v>253</v>
      </c>
      <c r="H26" s="18">
        <v>3</v>
      </c>
      <c r="I26" s="19" t="s">
        <v>219</v>
      </c>
      <c r="J26" s="19" t="s">
        <v>254</v>
      </c>
      <c r="K26" s="5" t="s">
        <v>255</v>
      </c>
      <c r="L26" s="5" t="s">
        <v>256</v>
      </c>
      <c r="M26" s="5" t="s">
        <v>257</v>
      </c>
      <c r="N26" s="5" t="s">
        <v>258</v>
      </c>
      <c r="O26" s="5" t="s">
        <v>259</v>
      </c>
      <c r="P26" s="5" t="s">
        <v>260</v>
      </c>
      <c r="Q26" s="5" t="s">
        <v>261</v>
      </c>
      <c r="R26" s="5" t="s">
        <v>262</v>
      </c>
      <c r="S26" s="5" t="s">
        <v>263</v>
      </c>
      <c r="T26" s="5"/>
      <c r="U26" s="5"/>
      <c r="V26" s="5"/>
      <c r="W26" s="5"/>
      <c r="X26" s="5"/>
      <c r="Y26" s="5"/>
      <c r="Z26" s="5"/>
      <c r="AA26" s="5" t="s">
        <v>264</v>
      </c>
      <c r="AB26" s="5" t="s">
        <v>265</v>
      </c>
      <c r="AC26" s="5" t="s">
        <v>266</v>
      </c>
      <c r="AD26" s="5" t="s">
        <v>267</v>
      </c>
      <c r="AE26" s="5" t="s">
        <v>268</v>
      </c>
      <c r="AF26" s="5" t="s">
        <v>269</v>
      </c>
      <c r="AG26" s="14" t="s">
        <v>49</v>
      </c>
      <c r="AH26" s="14" t="s">
        <v>234</v>
      </c>
      <c r="AI26" s="14" t="s">
        <v>270</v>
      </c>
      <c r="AJ26" s="5" t="s">
        <v>271</v>
      </c>
      <c r="AK26" s="5"/>
    </row>
    <row r="27" spans="1:37">
      <c r="A27" s="5" t="s">
        <v>272</v>
      </c>
      <c r="B27" s="5" t="s">
        <v>273</v>
      </c>
      <c r="C27" s="6" t="s">
        <v>43</v>
      </c>
      <c r="D27" s="6" t="s">
        <v>44</v>
      </c>
      <c r="E27" s="6" t="s">
        <v>218</v>
      </c>
      <c r="F27" s="6" t="s">
        <v>46</v>
      </c>
      <c r="G27" s="6" t="s">
        <v>274</v>
      </c>
      <c r="H27" s="18">
        <v>4.1500000000000004</v>
      </c>
      <c r="I27" s="19" t="s">
        <v>219</v>
      </c>
      <c r="J27" s="19" t="s">
        <v>254</v>
      </c>
      <c r="K27" s="5" t="s">
        <v>275</v>
      </c>
      <c r="L27" s="5" t="s">
        <v>276</v>
      </c>
      <c r="M27" s="5" t="s">
        <v>277</v>
      </c>
      <c r="N27" s="5" t="s">
        <v>278</v>
      </c>
      <c r="O27" s="5" t="s">
        <v>279</v>
      </c>
      <c r="P27" s="5" t="s">
        <v>280</v>
      </c>
      <c r="Q27" s="5" t="s">
        <v>281</v>
      </c>
      <c r="R27" s="5" t="s">
        <v>282</v>
      </c>
      <c r="S27" s="5" t="s">
        <v>283</v>
      </c>
      <c r="AA27" s="5" t="s">
        <v>264</v>
      </c>
      <c r="AB27" s="5" t="s">
        <v>265</v>
      </c>
      <c r="AC27" s="5" t="s">
        <v>266</v>
      </c>
      <c r="AD27" s="5" t="s">
        <v>267</v>
      </c>
      <c r="AE27" s="5" t="s">
        <v>284</v>
      </c>
      <c r="AF27" s="5" t="s">
        <v>285</v>
      </c>
      <c r="AG27" s="14" t="s">
        <v>49</v>
      </c>
      <c r="AH27" s="14" t="s">
        <v>234</v>
      </c>
      <c r="AI27" s="14" t="s">
        <v>270</v>
      </c>
      <c r="AJ27" s="5" t="s">
        <v>271</v>
      </c>
    </row>
    <row r="28" spans="1:37">
      <c r="A28" s="5" t="s">
        <v>286</v>
      </c>
      <c r="B28" s="5" t="s">
        <v>287</v>
      </c>
      <c r="C28" s="6" t="s">
        <v>43</v>
      </c>
      <c r="D28" s="6" t="s">
        <v>44</v>
      </c>
      <c r="E28" s="6" t="s">
        <v>218</v>
      </c>
      <c r="F28" s="6" t="s">
        <v>46</v>
      </c>
      <c r="G28" s="6" t="s">
        <v>288</v>
      </c>
      <c r="H28" s="18">
        <v>7.25</v>
      </c>
      <c r="I28" s="19" t="s">
        <v>219</v>
      </c>
      <c r="J28" s="19" t="s">
        <v>254</v>
      </c>
      <c r="K28" s="5" t="s">
        <v>289</v>
      </c>
      <c r="L28" s="5" t="s">
        <v>290</v>
      </c>
      <c r="M28" s="5" t="s">
        <v>291</v>
      </c>
      <c r="N28" s="5" t="s">
        <v>292</v>
      </c>
      <c r="O28" s="5" t="s">
        <v>293</v>
      </c>
      <c r="P28" s="5" t="s">
        <v>294</v>
      </c>
      <c r="Q28" s="5" t="s">
        <v>295</v>
      </c>
      <c r="R28" s="5" t="s">
        <v>296</v>
      </c>
      <c r="S28" s="5" t="s">
        <v>297</v>
      </c>
      <c r="AA28" s="5" t="s">
        <v>264</v>
      </c>
      <c r="AB28" s="5" t="s">
        <v>265</v>
      </c>
      <c r="AC28" s="5" t="s">
        <v>266</v>
      </c>
      <c r="AD28" s="5" t="s">
        <v>267</v>
      </c>
      <c r="AE28" s="5" t="s">
        <v>298</v>
      </c>
      <c r="AF28" s="5" t="s">
        <v>299</v>
      </c>
      <c r="AG28" s="14" t="s">
        <v>49</v>
      </c>
      <c r="AH28" s="14" t="s">
        <v>234</v>
      </c>
      <c r="AI28" s="14" t="s">
        <v>270</v>
      </c>
      <c r="AJ28" s="5" t="s">
        <v>271</v>
      </c>
    </row>
    <row r="29" spans="1:37">
      <c r="A29" s="5" t="s">
        <v>300</v>
      </c>
      <c r="B29" s="5" t="s">
        <v>301</v>
      </c>
      <c r="C29" s="6" t="s">
        <v>43</v>
      </c>
      <c r="D29" s="6" t="s">
        <v>44</v>
      </c>
      <c r="E29" s="6" t="s">
        <v>218</v>
      </c>
      <c r="F29" s="6" t="s">
        <v>46</v>
      </c>
      <c r="G29" s="6" t="s">
        <v>302</v>
      </c>
      <c r="H29" s="18">
        <v>10.75</v>
      </c>
      <c r="I29" s="19" t="s">
        <v>219</v>
      </c>
      <c r="J29" s="19" t="s">
        <v>254</v>
      </c>
      <c r="K29" s="5" t="s">
        <v>303</v>
      </c>
      <c r="L29" s="5" t="s">
        <v>304</v>
      </c>
      <c r="M29" s="5" t="s">
        <v>305</v>
      </c>
      <c r="N29" s="5" t="s">
        <v>306</v>
      </c>
      <c r="O29" s="5" t="s">
        <v>307</v>
      </c>
      <c r="P29" s="5" t="s">
        <v>308</v>
      </c>
      <c r="Q29" s="5" t="s">
        <v>309</v>
      </c>
      <c r="R29" s="5" t="s">
        <v>310</v>
      </c>
      <c r="S29" s="5" t="s">
        <v>311</v>
      </c>
      <c r="AA29" s="5" t="s">
        <v>264</v>
      </c>
      <c r="AB29" s="5" t="s">
        <v>265</v>
      </c>
      <c r="AC29" s="5" t="s">
        <v>266</v>
      </c>
      <c r="AD29" s="5" t="s">
        <v>267</v>
      </c>
      <c r="AE29" s="5" t="s">
        <v>298</v>
      </c>
      <c r="AF29" s="5" t="s">
        <v>312</v>
      </c>
      <c r="AG29" s="14" t="s">
        <v>49</v>
      </c>
      <c r="AH29" s="14" t="s">
        <v>234</v>
      </c>
      <c r="AI29" s="14" t="s">
        <v>270</v>
      </c>
      <c r="AJ29" s="5" t="s">
        <v>271</v>
      </c>
    </row>
    <row r="30" spans="1:37">
      <c r="A30" s="5" t="s">
        <v>313</v>
      </c>
      <c r="B30" s="5" t="s">
        <v>314</v>
      </c>
      <c r="C30" s="6" t="s">
        <v>315</v>
      </c>
      <c r="D30" s="6" t="s">
        <v>44</v>
      </c>
      <c r="E30" s="6" t="s">
        <v>218</v>
      </c>
      <c r="F30" s="6" t="s">
        <v>46</v>
      </c>
      <c r="G30" s="6" t="s">
        <v>316</v>
      </c>
      <c r="H30" s="18">
        <v>2.4</v>
      </c>
      <c r="I30" s="19" t="s">
        <v>219</v>
      </c>
      <c r="J30" s="19" t="s">
        <v>254</v>
      </c>
      <c r="K30" s="5" t="s">
        <v>317</v>
      </c>
      <c r="L30" s="5" t="s">
        <v>318</v>
      </c>
      <c r="M30" s="5" t="s">
        <v>319</v>
      </c>
      <c r="N30" s="5" t="s">
        <v>320</v>
      </c>
      <c r="O30" s="5" t="s">
        <v>321</v>
      </c>
      <c r="P30" s="5" t="s">
        <v>322</v>
      </c>
      <c r="Q30" s="5" t="s">
        <v>323</v>
      </c>
      <c r="R30" s="5" t="s">
        <v>324</v>
      </c>
      <c r="S30" s="5" t="s">
        <v>325</v>
      </c>
      <c r="AA30" s="5" t="s">
        <v>326</v>
      </c>
      <c r="AB30" s="5" t="s">
        <v>327</v>
      </c>
      <c r="AC30" s="5" t="s">
        <v>328</v>
      </c>
      <c r="AD30" s="5" t="s">
        <v>329</v>
      </c>
      <c r="AE30" s="5" t="s">
        <v>330</v>
      </c>
      <c r="AF30" s="5" t="s">
        <v>331</v>
      </c>
      <c r="AG30" s="14" t="s">
        <v>49</v>
      </c>
      <c r="AH30" s="14" t="s">
        <v>234</v>
      </c>
      <c r="AI30" s="14" t="s">
        <v>270</v>
      </c>
      <c r="AJ30" s="5" t="s">
        <v>271</v>
      </c>
    </row>
    <row r="31" spans="1:37">
      <c r="A31" s="5" t="s">
        <v>332</v>
      </c>
      <c r="B31" s="5" t="s">
        <v>333</v>
      </c>
      <c r="C31" s="6" t="s">
        <v>334</v>
      </c>
      <c r="D31" s="6" t="s">
        <v>44</v>
      </c>
      <c r="E31" s="6" t="s">
        <v>218</v>
      </c>
      <c r="F31" s="6" t="s">
        <v>46</v>
      </c>
      <c r="G31" s="6" t="s">
        <v>335</v>
      </c>
      <c r="H31" s="18">
        <v>3.1</v>
      </c>
      <c r="I31" s="19" t="s">
        <v>219</v>
      </c>
      <c r="J31" s="19" t="s">
        <v>254</v>
      </c>
      <c r="K31" s="5" t="s">
        <v>336</v>
      </c>
      <c r="L31" s="5" t="s">
        <v>337</v>
      </c>
      <c r="M31" s="5" t="s">
        <v>338</v>
      </c>
      <c r="N31" s="5" t="s">
        <v>339</v>
      </c>
      <c r="O31" s="5" t="s">
        <v>340</v>
      </c>
      <c r="P31" s="5" t="s">
        <v>341</v>
      </c>
      <c r="Q31" s="5" t="s">
        <v>342</v>
      </c>
      <c r="R31" s="5" t="s">
        <v>343</v>
      </c>
      <c r="S31" s="5" t="s">
        <v>344</v>
      </c>
      <c r="AA31" s="5" t="s">
        <v>326</v>
      </c>
      <c r="AB31" s="5" t="s">
        <v>327</v>
      </c>
      <c r="AC31" s="5" t="s">
        <v>328</v>
      </c>
      <c r="AD31" s="5" t="s">
        <v>329</v>
      </c>
      <c r="AE31" s="5" t="s">
        <v>345</v>
      </c>
      <c r="AF31" s="5" t="s">
        <v>346</v>
      </c>
      <c r="AG31" s="14" t="s">
        <v>49</v>
      </c>
      <c r="AH31" s="14" t="s">
        <v>234</v>
      </c>
      <c r="AI31" s="14" t="s">
        <v>270</v>
      </c>
      <c r="AJ31" s="5" t="s">
        <v>271</v>
      </c>
    </row>
    <row r="32" spans="1:37">
      <c r="A32" s="5" t="s">
        <v>347</v>
      </c>
      <c r="B32" s="5" t="s">
        <v>348</v>
      </c>
      <c r="C32" s="6" t="s">
        <v>43</v>
      </c>
      <c r="D32" s="6" t="s">
        <v>44</v>
      </c>
      <c r="E32" s="6" t="s">
        <v>218</v>
      </c>
      <c r="F32" s="6" t="s">
        <v>46</v>
      </c>
      <c r="G32" s="6" t="s">
        <v>349</v>
      </c>
      <c r="H32" s="18">
        <v>5.15</v>
      </c>
      <c r="I32" s="19" t="s">
        <v>219</v>
      </c>
      <c r="J32" s="19" t="s">
        <v>254</v>
      </c>
      <c r="K32" s="5" t="s">
        <v>350</v>
      </c>
      <c r="L32" s="5" t="s">
        <v>351</v>
      </c>
      <c r="M32" s="5" t="s">
        <v>352</v>
      </c>
      <c r="N32" s="5" t="s">
        <v>353</v>
      </c>
      <c r="O32" s="5" t="s">
        <v>354</v>
      </c>
      <c r="P32" s="5" t="s">
        <v>355</v>
      </c>
      <c r="Q32" s="5" t="s">
        <v>356</v>
      </c>
      <c r="R32" s="5" t="s">
        <v>357</v>
      </c>
      <c r="S32" s="5" t="s">
        <v>358</v>
      </c>
      <c r="AA32" s="5" t="s">
        <v>326</v>
      </c>
      <c r="AB32" s="5" t="s">
        <v>327</v>
      </c>
      <c r="AC32" s="5" t="s">
        <v>328</v>
      </c>
      <c r="AD32" s="5" t="s">
        <v>329</v>
      </c>
      <c r="AE32" s="5" t="s">
        <v>359</v>
      </c>
      <c r="AF32" s="5" t="s">
        <v>360</v>
      </c>
      <c r="AG32" s="14" t="s">
        <v>49</v>
      </c>
      <c r="AH32" s="14" t="s">
        <v>234</v>
      </c>
      <c r="AI32" s="14" t="s">
        <v>270</v>
      </c>
      <c r="AJ32" s="5" t="s">
        <v>271</v>
      </c>
    </row>
    <row r="33" spans="1:37">
      <c r="A33" s="5" t="s">
        <v>361</v>
      </c>
      <c r="B33" s="5" t="s">
        <v>362</v>
      </c>
      <c r="C33" s="6" t="s">
        <v>43</v>
      </c>
      <c r="D33" s="6" t="s">
        <v>44</v>
      </c>
      <c r="E33" s="6" t="s">
        <v>218</v>
      </c>
      <c r="F33" s="6" t="s">
        <v>46</v>
      </c>
      <c r="G33" s="6" t="s">
        <v>363</v>
      </c>
      <c r="H33" s="18">
        <v>83.25</v>
      </c>
      <c r="I33" s="19" t="s">
        <v>219</v>
      </c>
      <c r="J33" s="19" t="s">
        <v>220</v>
      </c>
      <c r="K33" s="5" t="s">
        <v>364</v>
      </c>
      <c r="L33" s="5" t="s">
        <v>365</v>
      </c>
      <c r="M33" s="5" t="s">
        <v>366</v>
      </c>
      <c r="N33" s="5" t="s">
        <v>367</v>
      </c>
      <c r="O33" s="5" t="s">
        <v>368</v>
      </c>
      <c r="P33" s="5" t="s">
        <v>369</v>
      </c>
      <c r="Q33" s="5" t="s">
        <v>370</v>
      </c>
      <c r="R33" s="5" t="s">
        <v>371</v>
      </c>
      <c r="AA33" s="5" t="s">
        <v>372</v>
      </c>
      <c r="AB33" s="5" t="s">
        <v>373</v>
      </c>
      <c r="AC33" s="5" t="s">
        <v>374</v>
      </c>
      <c r="AD33" s="5" t="s">
        <v>375</v>
      </c>
      <c r="AE33" s="5" t="s">
        <v>233</v>
      </c>
      <c r="AG33" s="14" t="s">
        <v>49</v>
      </c>
      <c r="AH33" s="14" t="s">
        <v>234</v>
      </c>
      <c r="AI33" s="14" t="s">
        <v>235</v>
      </c>
      <c r="AJ33" s="5" t="s">
        <v>236</v>
      </c>
    </row>
    <row r="34" spans="1:37">
      <c r="A34" s="5" t="s">
        <v>376</v>
      </c>
      <c r="B34" s="5" t="s">
        <v>377</v>
      </c>
      <c r="C34" s="6" t="s">
        <v>43</v>
      </c>
      <c r="D34" s="6" t="s">
        <v>44</v>
      </c>
      <c r="E34" s="6" t="s">
        <v>218</v>
      </c>
      <c r="F34" s="6" t="s">
        <v>46</v>
      </c>
      <c r="G34" s="6" t="s">
        <v>378</v>
      </c>
      <c r="H34" s="18">
        <v>147.9</v>
      </c>
      <c r="I34" s="19" t="s">
        <v>219</v>
      </c>
      <c r="J34" s="19" t="s">
        <v>220</v>
      </c>
      <c r="K34" s="5" t="s">
        <v>379</v>
      </c>
      <c r="L34" s="5" t="s">
        <v>380</v>
      </c>
      <c r="M34" s="5" t="s">
        <v>381</v>
      </c>
      <c r="N34" s="5" t="s">
        <v>382</v>
      </c>
      <c r="O34" s="5" t="s">
        <v>383</v>
      </c>
      <c r="P34" s="5" t="s">
        <v>384</v>
      </c>
      <c r="Q34" s="5" t="s">
        <v>385</v>
      </c>
      <c r="R34" s="5" t="s">
        <v>386</v>
      </c>
      <c r="AA34" s="5" t="s">
        <v>372</v>
      </c>
      <c r="AB34" s="5" t="s">
        <v>373</v>
      </c>
      <c r="AC34" s="5" t="s">
        <v>374</v>
      </c>
      <c r="AD34" s="5" t="s">
        <v>375</v>
      </c>
      <c r="AE34" s="5" t="s">
        <v>387</v>
      </c>
      <c r="AG34" s="14" t="s">
        <v>49</v>
      </c>
      <c r="AH34" s="14" t="s">
        <v>234</v>
      </c>
      <c r="AI34" s="14" t="s">
        <v>235</v>
      </c>
      <c r="AJ34" s="5" t="s">
        <v>236</v>
      </c>
    </row>
    <row r="35" spans="1:37">
      <c r="A35" s="5" t="s">
        <v>388</v>
      </c>
      <c r="B35" s="5" t="s">
        <v>389</v>
      </c>
      <c r="C35" s="6" t="s">
        <v>43</v>
      </c>
      <c r="D35" s="6" t="s">
        <v>44</v>
      </c>
      <c r="E35" s="6" t="s">
        <v>218</v>
      </c>
      <c r="F35" s="6" t="s">
        <v>46</v>
      </c>
      <c r="G35" s="6" t="s">
        <v>390</v>
      </c>
      <c r="H35" s="18">
        <v>238</v>
      </c>
      <c r="I35" s="19" t="s">
        <v>219</v>
      </c>
      <c r="J35" s="19" t="s">
        <v>220</v>
      </c>
      <c r="K35" s="5" t="s">
        <v>391</v>
      </c>
      <c r="L35" s="5" t="s">
        <v>392</v>
      </c>
      <c r="M35" s="5" t="s">
        <v>393</v>
      </c>
      <c r="N35" s="5" t="s">
        <v>394</v>
      </c>
      <c r="O35" s="5" t="s">
        <v>395</v>
      </c>
      <c r="P35" s="5" t="s">
        <v>396</v>
      </c>
      <c r="Q35" s="5" t="s">
        <v>397</v>
      </c>
      <c r="R35" s="5" t="s">
        <v>398</v>
      </c>
      <c r="AA35" s="5" t="s">
        <v>372</v>
      </c>
      <c r="AB35" s="5" t="s">
        <v>373</v>
      </c>
      <c r="AC35" s="5" t="s">
        <v>374</v>
      </c>
      <c r="AD35" s="5" t="s">
        <v>375</v>
      </c>
      <c r="AE35" s="5" t="s">
        <v>399</v>
      </c>
      <c r="AG35" s="14" t="s">
        <v>49</v>
      </c>
      <c r="AH35" s="14" t="s">
        <v>234</v>
      </c>
      <c r="AI35" s="14" t="s">
        <v>235</v>
      </c>
      <c r="AJ35" s="5" t="s">
        <v>236</v>
      </c>
    </row>
    <row r="36" spans="1:37">
      <c r="A36" s="5" t="s">
        <v>400</v>
      </c>
      <c r="B36" s="5" t="s">
        <v>401</v>
      </c>
      <c r="C36" s="6" t="s">
        <v>43</v>
      </c>
      <c r="D36" s="6" t="s">
        <v>44</v>
      </c>
      <c r="E36" s="6" t="s">
        <v>218</v>
      </c>
      <c r="F36" s="6" t="s">
        <v>46</v>
      </c>
      <c r="G36" s="6" t="s">
        <v>402</v>
      </c>
      <c r="H36" s="18">
        <v>271.39999999999998</v>
      </c>
      <c r="I36" s="19" t="s">
        <v>219</v>
      </c>
      <c r="J36" s="19" t="s">
        <v>220</v>
      </c>
      <c r="K36" s="5" t="s">
        <v>403</v>
      </c>
      <c r="L36" s="5" t="s">
        <v>404</v>
      </c>
      <c r="M36" s="5" t="s">
        <v>405</v>
      </c>
      <c r="N36" s="5" t="s">
        <v>406</v>
      </c>
      <c r="O36" s="5" t="s">
        <v>407</v>
      </c>
      <c r="P36" s="5" t="s">
        <v>408</v>
      </c>
      <c r="Q36" s="5" t="s">
        <v>409</v>
      </c>
      <c r="R36" s="5" t="s">
        <v>410</v>
      </c>
      <c r="AA36" s="5" t="s">
        <v>372</v>
      </c>
      <c r="AB36" s="5" t="s">
        <v>373</v>
      </c>
      <c r="AC36" s="5" t="s">
        <v>374</v>
      </c>
      <c r="AD36" s="5" t="s">
        <v>375</v>
      </c>
      <c r="AE36" s="5" t="s">
        <v>411</v>
      </c>
      <c r="AG36" s="14" t="s">
        <v>49</v>
      </c>
      <c r="AH36" s="14" t="s">
        <v>234</v>
      </c>
      <c r="AI36" s="14" t="s">
        <v>235</v>
      </c>
      <c r="AJ36" s="5" t="s">
        <v>236</v>
      </c>
    </row>
    <row r="37" spans="1:37">
      <c r="A37" s="5" t="s">
        <v>412</v>
      </c>
      <c r="B37" s="5" t="s">
        <v>413</v>
      </c>
      <c r="C37" s="6" t="s">
        <v>43</v>
      </c>
      <c r="D37" s="6" t="s">
        <v>44</v>
      </c>
      <c r="E37" s="6" t="s">
        <v>218</v>
      </c>
      <c r="F37" s="6" t="s">
        <v>46</v>
      </c>
      <c r="G37" s="6" t="s">
        <v>414</v>
      </c>
      <c r="H37" s="18">
        <v>372.75</v>
      </c>
      <c r="I37" s="19" t="s">
        <v>219</v>
      </c>
      <c r="J37" s="19" t="s">
        <v>220</v>
      </c>
      <c r="K37" s="5" t="s">
        <v>415</v>
      </c>
      <c r="L37" s="5" t="s">
        <v>416</v>
      </c>
      <c r="M37" s="5" t="s">
        <v>417</v>
      </c>
      <c r="N37" s="5" t="s">
        <v>418</v>
      </c>
      <c r="O37" s="5" t="s">
        <v>419</v>
      </c>
      <c r="P37" s="5" t="s">
        <v>420</v>
      </c>
      <c r="Q37" s="5" t="s">
        <v>421</v>
      </c>
      <c r="R37" s="5" t="s">
        <v>422</v>
      </c>
      <c r="AA37" s="5" t="s">
        <v>372</v>
      </c>
      <c r="AB37" s="5" t="s">
        <v>373</v>
      </c>
      <c r="AC37" s="5" t="s">
        <v>374</v>
      </c>
      <c r="AD37" s="5" t="s">
        <v>375</v>
      </c>
      <c r="AE37" s="5" t="s">
        <v>423</v>
      </c>
      <c r="AG37" s="14" t="s">
        <v>49</v>
      </c>
      <c r="AH37" s="14" t="s">
        <v>234</v>
      </c>
      <c r="AI37" s="14" t="s">
        <v>235</v>
      </c>
      <c r="AJ37" s="5" t="s">
        <v>236</v>
      </c>
    </row>
    <row r="38" spans="1:37">
      <c r="A38" s="5" t="s">
        <v>424</v>
      </c>
      <c r="B38" s="5" t="s">
        <v>425</v>
      </c>
      <c r="C38" s="6" t="s">
        <v>43</v>
      </c>
      <c r="D38" s="6" t="s">
        <v>44</v>
      </c>
      <c r="E38" s="6" t="s">
        <v>218</v>
      </c>
      <c r="F38" s="6" t="s">
        <v>46</v>
      </c>
      <c r="G38" s="6" t="s">
        <v>426</v>
      </c>
      <c r="H38" s="18">
        <v>42.8</v>
      </c>
      <c r="I38" s="19" t="s">
        <v>219</v>
      </c>
      <c r="J38" s="19" t="s">
        <v>220</v>
      </c>
      <c r="K38" s="5" t="s">
        <v>427</v>
      </c>
      <c r="L38" s="5" t="s">
        <v>428</v>
      </c>
      <c r="M38" s="5" t="s">
        <v>429</v>
      </c>
      <c r="N38" s="5" t="s">
        <v>430</v>
      </c>
      <c r="O38" s="5" t="s">
        <v>431</v>
      </c>
      <c r="P38" s="5" t="s">
        <v>432</v>
      </c>
      <c r="Q38" s="5" t="s">
        <v>433</v>
      </c>
      <c r="R38" s="5" t="s">
        <v>434</v>
      </c>
      <c r="AA38" s="5" t="s">
        <v>229</v>
      </c>
      <c r="AB38" s="5" t="s">
        <v>230</v>
      </c>
      <c r="AC38" s="5" t="s">
        <v>231</v>
      </c>
      <c r="AD38" s="5" t="s">
        <v>232</v>
      </c>
      <c r="AE38" s="5" t="s">
        <v>435</v>
      </c>
      <c r="AG38" s="14" t="s">
        <v>49</v>
      </c>
      <c r="AH38" s="14" t="s">
        <v>234</v>
      </c>
      <c r="AI38" s="14" t="s">
        <v>235</v>
      </c>
      <c r="AJ38" s="5" t="s">
        <v>236</v>
      </c>
    </row>
    <row r="39" spans="1:37" ht="15">
      <c r="A39" s="5" t="s">
        <v>436</v>
      </c>
      <c r="B39" s="5" t="s">
        <v>437</v>
      </c>
      <c r="C39" s="6" t="s">
        <v>43</v>
      </c>
      <c r="D39" s="6" t="s">
        <v>44</v>
      </c>
      <c r="E39" s="6" t="s">
        <v>218</v>
      </c>
      <c r="F39" s="6" t="s">
        <v>46</v>
      </c>
      <c r="G39" s="6" t="s">
        <v>438</v>
      </c>
      <c r="H39" s="18">
        <v>43.9</v>
      </c>
      <c r="I39" s="19" t="s">
        <v>219</v>
      </c>
      <c r="J39" s="19" t="s">
        <v>220</v>
      </c>
      <c r="K39" s="5" t="s">
        <v>439</v>
      </c>
      <c r="L39" s="21" t="s">
        <v>440</v>
      </c>
      <c r="M39" s="5" t="s">
        <v>441</v>
      </c>
      <c r="N39" s="5" t="s">
        <v>442</v>
      </c>
      <c r="O39" s="5" t="s">
        <v>443</v>
      </c>
      <c r="P39" s="5" t="s">
        <v>444</v>
      </c>
      <c r="Q39" s="5" t="s">
        <v>445</v>
      </c>
      <c r="R39" s="5" t="s">
        <v>446</v>
      </c>
      <c r="AA39" s="5" t="s">
        <v>229</v>
      </c>
      <c r="AB39" s="5" t="s">
        <v>230</v>
      </c>
      <c r="AC39" s="5" t="s">
        <v>231</v>
      </c>
      <c r="AD39" s="5" t="s">
        <v>232</v>
      </c>
      <c r="AE39" s="5" t="s">
        <v>447</v>
      </c>
      <c r="AG39" s="14" t="s">
        <v>49</v>
      </c>
      <c r="AH39" s="14" t="s">
        <v>234</v>
      </c>
      <c r="AI39" s="14" t="s">
        <v>235</v>
      </c>
      <c r="AJ39" s="5" t="s">
        <v>236</v>
      </c>
    </row>
    <row r="40" spans="1:37" ht="15">
      <c r="A40" s="5" t="s">
        <v>448</v>
      </c>
      <c r="B40" s="5" t="s">
        <v>449</v>
      </c>
      <c r="C40" s="6" t="s">
        <v>43</v>
      </c>
      <c r="D40" s="6" t="s">
        <v>44</v>
      </c>
      <c r="E40" s="6" t="s">
        <v>218</v>
      </c>
      <c r="F40" s="6" t="s">
        <v>46</v>
      </c>
      <c r="G40" s="6" t="s">
        <v>450</v>
      </c>
      <c r="H40" s="18">
        <v>54.9</v>
      </c>
      <c r="I40" s="19" t="s">
        <v>219</v>
      </c>
      <c r="J40" s="19" t="s">
        <v>220</v>
      </c>
      <c r="K40" s="5" t="s">
        <v>451</v>
      </c>
      <c r="L40" s="21" t="s">
        <v>452</v>
      </c>
      <c r="M40" s="5" t="s">
        <v>453</v>
      </c>
      <c r="N40" s="5" t="s">
        <v>454</v>
      </c>
      <c r="O40" s="5" t="s">
        <v>455</v>
      </c>
      <c r="P40" s="5" t="s">
        <v>456</v>
      </c>
      <c r="Q40" s="5" t="s">
        <v>457</v>
      </c>
      <c r="R40" s="5" t="s">
        <v>458</v>
      </c>
      <c r="AA40" s="5" t="s">
        <v>229</v>
      </c>
      <c r="AB40" s="5" t="s">
        <v>230</v>
      </c>
      <c r="AC40" s="5" t="s">
        <v>231</v>
      </c>
      <c r="AD40" s="5" t="s">
        <v>232</v>
      </c>
      <c r="AE40" s="5" t="s">
        <v>459</v>
      </c>
      <c r="AG40" s="14" t="s">
        <v>49</v>
      </c>
      <c r="AH40" s="14" t="s">
        <v>234</v>
      </c>
      <c r="AI40" s="14" t="s">
        <v>235</v>
      </c>
      <c r="AJ40" s="5" t="s">
        <v>236</v>
      </c>
    </row>
    <row r="41" spans="1:37" ht="15">
      <c r="A41" s="5" t="s">
        <v>460</v>
      </c>
      <c r="B41" s="5" t="s">
        <v>461</v>
      </c>
      <c r="C41" s="6" t="s">
        <v>43</v>
      </c>
      <c r="D41" s="6" t="s">
        <v>44</v>
      </c>
      <c r="E41" s="6" t="s">
        <v>218</v>
      </c>
      <c r="F41" s="6" t="s">
        <v>46</v>
      </c>
      <c r="G41" s="6" t="s">
        <v>462</v>
      </c>
      <c r="H41" s="18">
        <v>96.2</v>
      </c>
      <c r="I41" s="19" t="s">
        <v>219</v>
      </c>
      <c r="J41" s="19" t="s">
        <v>220</v>
      </c>
      <c r="K41" s="5" t="s">
        <v>221</v>
      </c>
      <c r="L41" s="21" t="s">
        <v>222</v>
      </c>
      <c r="M41" s="5" t="s">
        <v>223</v>
      </c>
      <c r="N41" s="5" t="s">
        <v>224</v>
      </c>
      <c r="O41" s="5" t="s">
        <v>225</v>
      </c>
      <c r="P41" s="5" t="s">
        <v>226</v>
      </c>
      <c r="Q41" s="5" t="s">
        <v>227</v>
      </c>
      <c r="R41" s="5" t="s">
        <v>228</v>
      </c>
      <c r="AA41" s="5" t="s">
        <v>229</v>
      </c>
      <c r="AB41" s="5" t="s">
        <v>230</v>
      </c>
      <c r="AC41" s="5" t="s">
        <v>231</v>
      </c>
      <c r="AD41" s="5" t="s">
        <v>232</v>
      </c>
      <c r="AE41" s="5" t="s">
        <v>233</v>
      </c>
      <c r="AG41" s="14" t="s">
        <v>49</v>
      </c>
      <c r="AH41" s="14" t="s">
        <v>234</v>
      </c>
      <c r="AI41" s="14" t="s">
        <v>235</v>
      </c>
      <c r="AJ41" s="5" t="s">
        <v>236</v>
      </c>
    </row>
    <row r="42" spans="1:37">
      <c r="A42" s="6" t="s">
        <v>463</v>
      </c>
      <c r="B42" s="6" t="s">
        <v>464</v>
      </c>
      <c r="C42" s="6" t="s">
        <v>43</v>
      </c>
      <c r="D42" s="6" t="s">
        <v>44</v>
      </c>
      <c r="E42" s="6" t="s">
        <v>465</v>
      </c>
      <c r="F42" s="6" t="s">
        <v>46</v>
      </c>
      <c r="G42" s="6" t="s">
        <v>466</v>
      </c>
      <c r="I42" s="19" t="s">
        <v>48</v>
      </c>
      <c r="J42" s="19" t="s">
        <v>48</v>
      </c>
      <c r="K42" s="6"/>
      <c r="L42" s="6"/>
      <c r="M42" s="6"/>
      <c r="N42" s="6"/>
      <c r="O42" s="6"/>
      <c r="P42" s="6"/>
      <c r="Q42" s="6"/>
      <c r="R42" s="6"/>
      <c r="S42" s="6"/>
      <c r="T42" s="6"/>
      <c r="U42" s="6"/>
      <c r="V42" s="6"/>
      <c r="W42" s="6"/>
      <c r="X42" s="6"/>
      <c r="Y42" s="6"/>
      <c r="Z42" s="6"/>
      <c r="AA42" s="6"/>
      <c r="AB42" s="6"/>
      <c r="AC42" s="6"/>
      <c r="AD42" s="6"/>
      <c r="AE42" s="6" t="s">
        <v>460</v>
      </c>
      <c r="AF42" s="6"/>
      <c r="AG42" s="15" t="s">
        <v>55</v>
      </c>
      <c r="AH42" s="15"/>
      <c r="AI42" s="15"/>
      <c r="AJ42" s="6"/>
      <c r="AK42" s="6"/>
    </row>
    <row r="43" spans="1:37" s="6" customFormat="1" ht="15">
      <c r="A43" s="5" t="s">
        <v>467</v>
      </c>
      <c r="B43" s="5" t="s">
        <v>468</v>
      </c>
      <c r="C43" s="6" t="s">
        <v>43</v>
      </c>
      <c r="D43" s="6" t="s">
        <v>44</v>
      </c>
      <c r="E43" s="6" t="s">
        <v>218</v>
      </c>
      <c r="F43" s="6" t="s">
        <v>46</v>
      </c>
      <c r="G43" s="6" t="s">
        <v>469</v>
      </c>
      <c r="H43" s="18">
        <v>149</v>
      </c>
      <c r="I43" s="19" t="s">
        <v>219</v>
      </c>
      <c r="J43" s="19" t="s">
        <v>220</v>
      </c>
      <c r="K43" s="5" t="s">
        <v>470</v>
      </c>
      <c r="L43" s="21" t="s">
        <v>471</v>
      </c>
      <c r="M43" s="5" t="s">
        <v>472</v>
      </c>
      <c r="N43" s="5" t="s">
        <v>473</v>
      </c>
      <c r="O43" s="5" t="s">
        <v>474</v>
      </c>
      <c r="P43" s="5" t="s">
        <v>475</v>
      </c>
      <c r="Q43" s="5" t="s">
        <v>476</v>
      </c>
      <c r="R43" s="5" t="s">
        <v>477</v>
      </c>
      <c r="S43" s="5"/>
      <c r="T43" s="5"/>
      <c r="U43" s="5"/>
      <c r="V43" s="5"/>
      <c r="W43" s="5"/>
      <c r="X43" s="5"/>
      <c r="Y43" s="5"/>
      <c r="Z43" s="5"/>
      <c r="AA43" s="5" t="s">
        <v>229</v>
      </c>
      <c r="AB43" s="5" t="s">
        <v>230</v>
      </c>
      <c r="AC43" s="5" t="s">
        <v>231</v>
      </c>
      <c r="AD43" s="5" t="s">
        <v>232</v>
      </c>
      <c r="AE43" s="5" t="s">
        <v>478</v>
      </c>
      <c r="AF43" s="5"/>
      <c r="AG43" s="14" t="s">
        <v>49</v>
      </c>
      <c r="AH43" s="14" t="s">
        <v>234</v>
      </c>
      <c r="AI43" s="14" t="s">
        <v>235</v>
      </c>
      <c r="AJ43" s="5" t="s">
        <v>236</v>
      </c>
      <c r="AK43" s="5"/>
    </row>
    <row r="44" spans="1:37">
      <c r="A44" s="6" t="s">
        <v>479</v>
      </c>
      <c r="B44" s="6" t="s">
        <v>480</v>
      </c>
      <c r="C44" s="6" t="s">
        <v>43</v>
      </c>
      <c r="D44" s="6" t="s">
        <v>44</v>
      </c>
      <c r="E44" s="6" t="s">
        <v>465</v>
      </c>
      <c r="F44" s="6" t="s">
        <v>46</v>
      </c>
      <c r="G44" s="6" t="s">
        <v>481</v>
      </c>
      <c r="I44" s="19" t="s">
        <v>48</v>
      </c>
      <c r="J44" s="19" t="s">
        <v>48</v>
      </c>
      <c r="K44" s="6"/>
      <c r="L44" s="6"/>
      <c r="M44" s="6"/>
      <c r="N44" s="6"/>
      <c r="O44" s="6"/>
      <c r="P44" s="6"/>
      <c r="Q44" s="6"/>
      <c r="R44" s="6"/>
      <c r="S44" s="6"/>
      <c r="T44" s="6"/>
      <c r="U44" s="6"/>
      <c r="V44" s="6"/>
      <c r="W44" s="6"/>
      <c r="X44" s="6"/>
      <c r="Y44" s="6"/>
      <c r="Z44" s="6"/>
      <c r="AA44" s="6"/>
      <c r="AB44" s="6"/>
      <c r="AC44" s="6"/>
      <c r="AD44" s="6"/>
      <c r="AE44" s="6" t="s">
        <v>482</v>
      </c>
      <c r="AF44" s="6"/>
      <c r="AG44" s="15" t="s">
        <v>55</v>
      </c>
      <c r="AH44" s="15"/>
      <c r="AI44" s="15"/>
      <c r="AJ44" s="6"/>
      <c r="AK44" s="6"/>
    </row>
    <row r="45" spans="1:37" s="6" customFormat="1" ht="15">
      <c r="A45" s="5" t="s">
        <v>482</v>
      </c>
      <c r="B45" s="5" t="s">
        <v>483</v>
      </c>
      <c r="C45" s="6" t="s">
        <v>43</v>
      </c>
      <c r="D45" s="6" t="s">
        <v>44</v>
      </c>
      <c r="E45" s="6" t="s">
        <v>218</v>
      </c>
      <c r="F45" s="6" t="s">
        <v>46</v>
      </c>
      <c r="G45" s="6" t="s">
        <v>484</v>
      </c>
      <c r="H45" s="18">
        <v>999</v>
      </c>
      <c r="I45" s="19" t="s">
        <v>219</v>
      </c>
      <c r="J45" s="19" t="s">
        <v>220</v>
      </c>
      <c r="K45" s="5" t="s">
        <v>485</v>
      </c>
      <c r="L45" s="21" t="s">
        <v>486</v>
      </c>
      <c r="M45" s="5" t="s">
        <v>487</v>
      </c>
      <c r="N45" s="5" t="s">
        <v>488</v>
      </c>
      <c r="O45" s="5" t="s">
        <v>489</v>
      </c>
      <c r="P45" s="5" t="s">
        <v>490</v>
      </c>
      <c r="Q45" s="5" t="s">
        <v>491</v>
      </c>
      <c r="R45" s="5" t="s">
        <v>492</v>
      </c>
      <c r="S45" s="5"/>
      <c r="T45" s="5"/>
      <c r="U45" s="5"/>
      <c r="V45" s="5"/>
      <c r="W45" s="5"/>
      <c r="X45" s="5"/>
      <c r="Y45" s="5"/>
      <c r="Z45" s="5"/>
      <c r="AA45" s="5" t="s">
        <v>229</v>
      </c>
      <c r="AB45" s="5" t="s">
        <v>230</v>
      </c>
      <c r="AC45" s="5" t="s">
        <v>231</v>
      </c>
      <c r="AD45" s="5" t="s">
        <v>232</v>
      </c>
      <c r="AE45" s="5" t="s">
        <v>493</v>
      </c>
      <c r="AF45" s="5"/>
      <c r="AG45" s="14" t="s">
        <v>49</v>
      </c>
      <c r="AH45" s="14" t="s">
        <v>234</v>
      </c>
      <c r="AI45" s="14" t="s">
        <v>235</v>
      </c>
      <c r="AJ45" s="5" t="s">
        <v>236</v>
      </c>
      <c r="AK45" s="5"/>
    </row>
    <row r="46" spans="1:37">
      <c r="A46" s="6" t="s">
        <v>494</v>
      </c>
      <c r="B46" s="6" t="s">
        <v>495</v>
      </c>
      <c r="C46" s="6" t="s">
        <v>43</v>
      </c>
      <c r="D46" s="6" t="s">
        <v>44</v>
      </c>
      <c r="E46" s="6" t="s">
        <v>465</v>
      </c>
      <c r="F46" s="6" t="s">
        <v>46</v>
      </c>
      <c r="G46" s="6" t="s">
        <v>496</v>
      </c>
      <c r="I46" s="19" t="s">
        <v>48</v>
      </c>
      <c r="J46" s="5" t="s">
        <v>48</v>
      </c>
      <c r="K46" s="6"/>
      <c r="L46" s="6"/>
      <c r="M46" s="6"/>
      <c r="N46" s="6"/>
      <c r="O46" s="6"/>
      <c r="P46" s="6"/>
      <c r="Q46" s="6"/>
      <c r="R46" s="6"/>
      <c r="S46" s="6"/>
      <c r="T46" s="6"/>
      <c r="U46" s="6"/>
      <c r="V46" s="6"/>
      <c r="W46" s="6"/>
      <c r="X46" s="6"/>
      <c r="Y46" s="6"/>
      <c r="Z46" s="6"/>
      <c r="AA46" s="6"/>
      <c r="AB46" s="6"/>
      <c r="AC46" s="6"/>
      <c r="AD46" s="6"/>
      <c r="AE46" s="6"/>
      <c r="AF46" s="6"/>
      <c r="AG46" s="15" t="s">
        <v>55</v>
      </c>
      <c r="AH46" s="15"/>
      <c r="AI46" s="15"/>
      <c r="AJ46" s="6"/>
      <c r="AK46" s="6"/>
    </row>
    <row r="47" spans="1:37" s="6" customFormat="1">
      <c r="A47" s="6" t="s">
        <v>497</v>
      </c>
      <c r="B47" s="6" t="s">
        <v>498</v>
      </c>
      <c r="C47" s="6" t="s">
        <v>43</v>
      </c>
      <c r="D47" s="6" t="s">
        <v>44</v>
      </c>
      <c r="E47" s="6" t="s">
        <v>465</v>
      </c>
      <c r="F47" s="6" t="s">
        <v>46</v>
      </c>
      <c r="G47" s="6" t="s">
        <v>499</v>
      </c>
      <c r="H47" s="7"/>
      <c r="I47" s="19" t="s">
        <v>48</v>
      </c>
      <c r="J47" s="5" t="s">
        <v>48</v>
      </c>
      <c r="AG47" s="15" t="s">
        <v>55</v>
      </c>
      <c r="AH47" s="15"/>
      <c r="AI47" s="15"/>
    </row>
    <row r="48" spans="1:37" s="6" customFormat="1">
      <c r="A48" s="6" t="s">
        <v>500</v>
      </c>
      <c r="B48" s="6" t="s">
        <v>501</v>
      </c>
      <c r="C48" s="6" t="s">
        <v>502</v>
      </c>
      <c r="D48" s="6" t="s">
        <v>44</v>
      </c>
      <c r="E48" s="6" t="s">
        <v>503</v>
      </c>
      <c r="F48" s="6" t="s">
        <v>46</v>
      </c>
      <c r="G48" s="6" t="s">
        <v>504</v>
      </c>
      <c r="H48" s="7"/>
      <c r="I48" s="5" t="s">
        <v>48</v>
      </c>
      <c r="J48" s="5" t="s">
        <v>48</v>
      </c>
      <c r="AG48" s="15" t="s">
        <v>55</v>
      </c>
      <c r="AH48" s="15"/>
      <c r="AI48" s="15"/>
    </row>
    <row r="49" spans="1:35" s="6" customFormat="1">
      <c r="A49" s="6" t="s">
        <v>505</v>
      </c>
      <c r="B49" s="6" t="s">
        <v>506</v>
      </c>
      <c r="C49" s="6" t="s">
        <v>507</v>
      </c>
      <c r="D49" s="6" t="s">
        <v>44</v>
      </c>
      <c r="E49" s="6" t="s">
        <v>503</v>
      </c>
      <c r="F49" s="6" t="s">
        <v>46</v>
      </c>
      <c r="G49" s="6" t="s">
        <v>508</v>
      </c>
      <c r="H49" s="7"/>
      <c r="I49" s="5" t="s">
        <v>48</v>
      </c>
      <c r="J49" s="5" t="s">
        <v>48</v>
      </c>
      <c r="AG49" s="15" t="s">
        <v>55</v>
      </c>
      <c r="AH49" s="15"/>
      <c r="AI49" s="15"/>
    </row>
    <row r="50" spans="1:35" s="6" customFormat="1">
      <c r="A50" s="6" t="s">
        <v>509</v>
      </c>
      <c r="B50" s="6" t="s">
        <v>510</v>
      </c>
      <c r="C50" s="6" t="s">
        <v>43</v>
      </c>
      <c r="D50" s="6" t="s">
        <v>44</v>
      </c>
      <c r="E50" s="6" t="s">
        <v>45</v>
      </c>
      <c r="F50" s="6" t="s">
        <v>46</v>
      </c>
      <c r="G50" s="6" t="s">
        <v>204</v>
      </c>
      <c r="H50" s="7"/>
      <c r="I50" s="5" t="s">
        <v>48</v>
      </c>
      <c r="J50" s="5" t="s">
        <v>48</v>
      </c>
      <c r="AG50" s="15" t="s">
        <v>49</v>
      </c>
      <c r="AH50" s="15"/>
      <c r="AI50" s="15"/>
    </row>
    <row r="51" spans="1:35" s="6" customFormat="1">
      <c r="A51" s="6" t="s">
        <v>511</v>
      </c>
      <c r="B51" s="6" t="s">
        <v>512</v>
      </c>
      <c r="C51" s="6" t="s">
        <v>43</v>
      </c>
      <c r="D51" s="6" t="s">
        <v>44</v>
      </c>
      <c r="E51" s="6" t="s">
        <v>45</v>
      </c>
      <c r="F51" s="6" t="s">
        <v>46</v>
      </c>
      <c r="G51" s="6" t="s">
        <v>204</v>
      </c>
      <c r="H51" s="7"/>
      <c r="I51" s="5" t="s">
        <v>48</v>
      </c>
      <c r="J51" s="5" t="s">
        <v>48</v>
      </c>
      <c r="AG51" s="15" t="s">
        <v>49</v>
      </c>
      <c r="AH51" s="15"/>
      <c r="AI51" s="15"/>
    </row>
    <row r="52" spans="1:35" s="6" customFormat="1">
      <c r="A52" s="6" t="s">
        <v>513</v>
      </c>
      <c r="B52" s="6" t="s">
        <v>514</v>
      </c>
      <c r="C52" s="6" t="s">
        <v>43</v>
      </c>
      <c r="D52" s="6" t="s">
        <v>44</v>
      </c>
      <c r="E52" s="6" t="s">
        <v>45</v>
      </c>
      <c r="F52" s="6" t="s">
        <v>46</v>
      </c>
      <c r="G52" s="6" t="s">
        <v>204</v>
      </c>
      <c r="H52" s="7"/>
      <c r="I52" s="5" t="s">
        <v>48</v>
      </c>
      <c r="J52" s="5" t="s">
        <v>48</v>
      </c>
      <c r="AG52" s="15" t="s">
        <v>49</v>
      </c>
      <c r="AH52" s="15"/>
      <c r="AI52" s="15"/>
    </row>
    <row r="53" spans="1:35" s="6" customFormat="1">
      <c r="A53" s="6" t="s">
        <v>515</v>
      </c>
      <c r="B53" s="6" t="s">
        <v>516</v>
      </c>
      <c r="C53" s="6" t="s">
        <v>43</v>
      </c>
      <c r="D53" s="6" t="s">
        <v>44</v>
      </c>
      <c r="E53" s="6" t="s">
        <v>45</v>
      </c>
      <c r="F53" s="6" t="s">
        <v>46</v>
      </c>
      <c r="G53" s="6" t="s">
        <v>204</v>
      </c>
      <c r="H53" s="7"/>
      <c r="I53" s="5" t="s">
        <v>48</v>
      </c>
      <c r="J53" s="5" t="s">
        <v>48</v>
      </c>
      <c r="AG53" s="15" t="s">
        <v>49</v>
      </c>
      <c r="AH53" s="15"/>
      <c r="AI53" s="15"/>
    </row>
    <row r="54" spans="1:35" s="6" customFormat="1">
      <c r="A54" s="6" t="s">
        <v>517</v>
      </c>
      <c r="B54" s="6" t="s">
        <v>518</v>
      </c>
      <c r="C54" s="6" t="s">
        <v>43</v>
      </c>
      <c r="D54" s="6" t="s">
        <v>44</v>
      </c>
      <c r="E54" s="6" t="s">
        <v>45</v>
      </c>
      <c r="F54" s="6" t="s">
        <v>46</v>
      </c>
      <c r="G54" s="6" t="s">
        <v>204</v>
      </c>
      <c r="H54" s="7"/>
      <c r="I54" s="5" t="s">
        <v>48</v>
      </c>
      <c r="J54" s="5" t="s">
        <v>48</v>
      </c>
      <c r="AG54" s="15" t="s">
        <v>49</v>
      </c>
      <c r="AH54" s="15"/>
      <c r="AI54" s="15"/>
    </row>
    <row r="55" spans="1:35" s="6" customFormat="1">
      <c r="A55" s="6" t="s">
        <v>519</v>
      </c>
      <c r="B55" s="6" t="s">
        <v>518</v>
      </c>
      <c r="C55" s="6" t="s">
        <v>43</v>
      </c>
      <c r="D55" s="6" t="s">
        <v>44</v>
      </c>
      <c r="E55" s="6" t="s">
        <v>45</v>
      </c>
      <c r="F55" s="6" t="s">
        <v>46</v>
      </c>
      <c r="G55" s="6" t="s">
        <v>204</v>
      </c>
      <c r="H55" s="7"/>
      <c r="I55" s="5" t="s">
        <v>48</v>
      </c>
      <c r="J55" s="5" t="s">
        <v>48</v>
      </c>
      <c r="AG55" s="15" t="s">
        <v>49</v>
      </c>
      <c r="AH55" s="15"/>
      <c r="AI55" s="15"/>
    </row>
    <row r="56" spans="1:35" s="6" customFormat="1">
      <c r="A56" s="6" t="s">
        <v>520</v>
      </c>
      <c r="B56" s="6" t="s">
        <v>514</v>
      </c>
      <c r="C56" s="6" t="s">
        <v>43</v>
      </c>
      <c r="D56" s="6" t="s">
        <v>44</v>
      </c>
      <c r="E56" s="6" t="s">
        <v>45</v>
      </c>
      <c r="F56" s="6" t="s">
        <v>46</v>
      </c>
      <c r="G56" s="6" t="s">
        <v>204</v>
      </c>
      <c r="H56" s="7"/>
      <c r="I56" s="5" t="s">
        <v>48</v>
      </c>
      <c r="J56" s="5" t="s">
        <v>48</v>
      </c>
      <c r="AG56" s="15" t="s">
        <v>49</v>
      </c>
      <c r="AH56" s="15"/>
      <c r="AI56" s="15"/>
    </row>
    <row r="57" spans="1:35" s="6" customFormat="1">
      <c r="A57" s="6" t="s">
        <v>521</v>
      </c>
      <c r="B57" s="6" t="s">
        <v>522</v>
      </c>
      <c r="C57" s="6" t="s">
        <v>43</v>
      </c>
      <c r="D57" s="6" t="s">
        <v>44</v>
      </c>
      <c r="E57" s="6" t="s">
        <v>45</v>
      </c>
      <c r="F57" s="6" t="s">
        <v>46</v>
      </c>
      <c r="G57" s="6" t="s">
        <v>204</v>
      </c>
      <c r="H57" s="7"/>
      <c r="I57" s="5" t="s">
        <v>48</v>
      </c>
      <c r="J57" s="5" t="s">
        <v>48</v>
      </c>
      <c r="AG57" s="15" t="s">
        <v>49</v>
      </c>
      <c r="AH57" s="15"/>
      <c r="AI57" s="15"/>
    </row>
    <row r="58" spans="1:35" s="6" customFormat="1">
      <c r="A58" s="6" t="s">
        <v>523</v>
      </c>
      <c r="B58" s="6" t="s">
        <v>524</v>
      </c>
      <c r="C58" s="6" t="s">
        <v>43</v>
      </c>
      <c r="D58" s="6" t="s">
        <v>44</v>
      </c>
      <c r="E58" s="6" t="s">
        <v>45</v>
      </c>
      <c r="F58" s="6" t="s">
        <v>46</v>
      </c>
      <c r="G58" s="6" t="s">
        <v>204</v>
      </c>
      <c r="H58" s="7"/>
      <c r="I58" s="5" t="s">
        <v>48</v>
      </c>
      <c r="J58" s="5" t="s">
        <v>48</v>
      </c>
      <c r="AG58" s="15" t="s">
        <v>49</v>
      </c>
      <c r="AH58" s="15"/>
      <c r="AI58" s="15"/>
    </row>
    <row r="59" spans="1:35" s="6" customFormat="1">
      <c r="A59" s="6" t="s">
        <v>525</v>
      </c>
      <c r="B59" s="6" t="s">
        <v>512</v>
      </c>
      <c r="C59" s="6" t="s">
        <v>43</v>
      </c>
      <c r="D59" s="6" t="s">
        <v>44</v>
      </c>
      <c r="E59" s="6" t="s">
        <v>45</v>
      </c>
      <c r="F59" s="6" t="s">
        <v>46</v>
      </c>
      <c r="G59" s="6" t="s">
        <v>204</v>
      </c>
      <c r="H59" s="7"/>
      <c r="I59" s="5" t="s">
        <v>48</v>
      </c>
      <c r="J59" s="5" t="s">
        <v>48</v>
      </c>
      <c r="AG59" s="15" t="s">
        <v>49</v>
      </c>
      <c r="AH59" s="15"/>
      <c r="AI59" s="15"/>
    </row>
    <row r="60" spans="1:35" s="6" customFormat="1">
      <c r="A60" s="6" t="s">
        <v>526</v>
      </c>
      <c r="B60" s="6" t="s">
        <v>527</v>
      </c>
      <c r="C60" s="6" t="s">
        <v>43</v>
      </c>
      <c r="D60" s="6" t="s">
        <v>44</v>
      </c>
      <c r="E60" s="6" t="s">
        <v>45</v>
      </c>
      <c r="F60" s="6" t="s">
        <v>46</v>
      </c>
      <c r="G60" s="6" t="s">
        <v>204</v>
      </c>
      <c r="H60" s="7"/>
      <c r="I60" s="5" t="s">
        <v>48</v>
      </c>
      <c r="J60" s="5" t="s">
        <v>48</v>
      </c>
      <c r="AG60" s="15" t="s">
        <v>49</v>
      </c>
      <c r="AH60" s="15"/>
      <c r="AI60" s="15"/>
    </row>
    <row r="61" spans="1:35" s="6" customFormat="1">
      <c r="A61" s="6" t="s">
        <v>528</v>
      </c>
      <c r="B61" s="6" t="s">
        <v>529</v>
      </c>
      <c r="C61" s="6" t="s">
        <v>43</v>
      </c>
      <c r="D61" s="6" t="s">
        <v>44</v>
      </c>
      <c r="E61" s="6" t="s">
        <v>45</v>
      </c>
      <c r="F61" s="6" t="s">
        <v>46</v>
      </c>
      <c r="G61" s="6" t="s">
        <v>204</v>
      </c>
      <c r="H61" s="7"/>
      <c r="I61" s="5" t="s">
        <v>48</v>
      </c>
      <c r="J61" s="5" t="s">
        <v>48</v>
      </c>
      <c r="AG61" s="15" t="s">
        <v>49</v>
      </c>
      <c r="AH61" s="15"/>
      <c r="AI61" s="15"/>
    </row>
    <row r="62" spans="1:35" s="6" customFormat="1">
      <c r="A62" s="6" t="s">
        <v>530</v>
      </c>
      <c r="B62" s="6" t="s">
        <v>531</v>
      </c>
      <c r="C62" s="6" t="s">
        <v>43</v>
      </c>
      <c r="D62" s="6" t="s">
        <v>44</v>
      </c>
      <c r="E62" s="6" t="s">
        <v>45</v>
      </c>
      <c r="F62" s="6" t="s">
        <v>46</v>
      </c>
      <c r="G62" s="6" t="s">
        <v>204</v>
      </c>
      <c r="H62" s="7"/>
      <c r="I62" s="5" t="s">
        <v>48</v>
      </c>
      <c r="J62" s="5" t="s">
        <v>48</v>
      </c>
      <c r="AG62" s="15" t="s">
        <v>49</v>
      </c>
      <c r="AH62" s="15"/>
      <c r="AI62" s="15"/>
    </row>
    <row r="63" spans="1:35" s="6" customFormat="1">
      <c r="A63" s="6" t="s">
        <v>532</v>
      </c>
      <c r="B63" s="6" t="s">
        <v>533</v>
      </c>
      <c r="C63" s="6" t="s">
        <v>43</v>
      </c>
      <c r="D63" s="6" t="s">
        <v>44</v>
      </c>
      <c r="E63" s="6" t="s">
        <v>45</v>
      </c>
      <c r="F63" s="6" t="s">
        <v>46</v>
      </c>
      <c r="G63" s="6" t="s">
        <v>204</v>
      </c>
      <c r="H63" s="7"/>
      <c r="I63" s="5" t="s">
        <v>48</v>
      </c>
      <c r="J63" s="5" t="s">
        <v>48</v>
      </c>
      <c r="AG63" s="15" t="s">
        <v>49</v>
      </c>
      <c r="AH63" s="15"/>
      <c r="AI63" s="15"/>
    </row>
    <row r="64" spans="1:35" s="6" customFormat="1">
      <c r="A64" s="6" t="s">
        <v>534</v>
      </c>
      <c r="B64" s="6" t="s">
        <v>535</v>
      </c>
      <c r="C64" s="6" t="s">
        <v>43</v>
      </c>
      <c r="D64" s="6" t="s">
        <v>44</v>
      </c>
      <c r="E64" s="6" t="s">
        <v>45</v>
      </c>
      <c r="F64" s="6" t="s">
        <v>46</v>
      </c>
      <c r="G64" s="6" t="s">
        <v>204</v>
      </c>
      <c r="H64" s="7"/>
      <c r="I64" s="5" t="s">
        <v>48</v>
      </c>
      <c r="J64" s="5" t="s">
        <v>48</v>
      </c>
      <c r="AG64" s="15" t="s">
        <v>49</v>
      </c>
      <c r="AH64" s="15"/>
      <c r="AI64" s="15"/>
    </row>
    <row r="65" spans="1:35" s="6" customFormat="1">
      <c r="A65" s="6" t="s">
        <v>536</v>
      </c>
      <c r="B65" s="6" t="s">
        <v>537</v>
      </c>
      <c r="C65" s="6" t="s">
        <v>43</v>
      </c>
      <c r="D65" s="6" t="s">
        <v>44</v>
      </c>
      <c r="E65" s="6" t="s">
        <v>45</v>
      </c>
      <c r="F65" s="6" t="s">
        <v>46</v>
      </c>
      <c r="G65" s="6" t="s">
        <v>204</v>
      </c>
      <c r="H65" s="7"/>
      <c r="I65" s="5" t="s">
        <v>48</v>
      </c>
      <c r="J65" s="5" t="s">
        <v>48</v>
      </c>
      <c r="AG65" s="15" t="s">
        <v>49</v>
      </c>
      <c r="AH65" s="15"/>
      <c r="AI65" s="15"/>
    </row>
    <row r="66" spans="1:35" s="6" customFormat="1">
      <c r="A66" s="6" t="s">
        <v>538</v>
      </c>
      <c r="B66" s="6" t="s">
        <v>539</v>
      </c>
      <c r="C66" s="6" t="s">
        <v>43</v>
      </c>
      <c r="D66" s="6" t="s">
        <v>44</v>
      </c>
      <c r="E66" s="6" t="s">
        <v>45</v>
      </c>
      <c r="F66" s="6" t="s">
        <v>46</v>
      </c>
      <c r="G66" s="6" t="s">
        <v>204</v>
      </c>
      <c r="H66" s="7"/>
      <c r="I66" s="5" t="s">
        <v>48</v>
      </c>
      <c r="J66" s="5" t="s">
        <v>48</v>
      </c>
      <c r="AG66" s="15" t="s">
        <v>49</v>
      </c>
      <c r="AH66" s="15"/>
      <c r="AI66" s="15"/>
    </row>
    <row r="67" spans="1:35" s="6" customFormat="1">
      <c r="A67" s="6" t="s">
        <v>540</v>
      </c>
      <c r="B67" s="6" t="s">
        <v>541</v>
      </c>
      <c r="C67" s="6" t="s">
        <v>43</v>
      </c>
      <c r="D67" s="6" t="s">
        <v>44</v>
      </c>
      <c r="E67" s="6" t="s">
        <v>45</v>
      </c>
      <c r="F67" s="6" t="s">
        <v>46</v>
      </c>
      <c r="G67" s="6" t="s">
        <v>204</v>
      </c>
      <c r="H67" s="7"/>
      <c r="I67" s="5" t="s">
        <v>48</v>
      </c>
      <c r="J67" s="5" t="s">
        <v>48</v>
      </c>
      <c r="AG67" s="15" t="s">
        <v>49</v>
      </c>
      <c r="AH67" s="15"/>
      <c r="AI67" s="15"/>
    </row>
    <row r="68" spans="1:35" s="6" customFormat="1">
      <c r="A68" s="6" t="s">
        <v>542</v>
      </c>
      <c r="B68" s="6" t="s">
        <v>543</v>
      </c>
      <c r="C68" s="6" t="s">
        <v>43</v>
      </c>
      <c r="D68" s="6" t="s">
        <v>44</v>
      </c>
      <c r="E68" s="6" t="s">
        <v>45</v>
      </c>
      <c r="F68" s="6" t="s">
        <v>46</v>
      </c>
      <c r="G68" s="6" t="s">
        <v>204</v>
      </c>
      <c r="H68" s="7"/>
      <c r="I68" s="5" t="s">
        <v>48</v>
      </c>
      <c r="J68" s="5" t="s">
        <v>48</v>
      </c>
      <c r="AG68" s="15" t="s">
        <v>49</v>
      </c>
      <c r="AH68" s="15"/>
      <c r="AI68" s="15"/>
    </row>
    <row r="69" spans="1:35" s="6" customFormat="1">
      <c r="A69" s="6" t="s">
        <v>544</v>
      </c>
      <c r="B69" s="6" t="s">
        <v>545</v>
      </c>
      <c r="C69" s="6" t="s">
        <v>43</v>
      </c>
      <c r="D69" s="6" t="s">
        <v>44</v>
      </c>
      <c r="E69" s="6" t="s">
        <v>45</v>
      </c>
      <c r="F69" s="6" t="s">
        <v>46</v>
      </c>
      <c r="G69" s="6" t="s">
        <v>204</v>
      </c>
      <c r="H69" s="7"/>
      <c r="I69" s="5" t="s">
        <v>48</v>
      </c>
      <c r="J69" s="5" t="s">
        <v>48</v>
      </c>
      <c r="AG69" s="15" t="s">
        <v>49</v>
      </c>
      <c r="AH69" s="15"/>
      <c r="AI69" s="15"/>
    </row>
    <row r="70" spans="1:35" s="6" customFormat="1">
      <c r="A70" s="6" t="s">
        <v>546</v>
      </c>
      <c r="B70" s="6" t="s">
        <v>547</v>
      </c>
      <c r="C70" s="6" t="s">
        <v>43</v>
      </c>
      <c r="D70" s="6" t="s">
        <v>44</v>
      </c>
      <c r="E70" s="6" t="s">
        <v>45</v>
      </c>
      <c r="F70" s="6" t="s">
        <v>46</v>
      </c>
      <c r="G70" s="6" t="s">
        <v>204</v>
      </c>
      <c r="H70" s="7"/>
      <c r="I70" s="5" t="s">
        <v>48</v>
      </c>
      <c r="J70" s="5" t="s">
        <v>48</v>
      </c>
      <c r="AG70" s="15" t="s">
        <v>49</v>
      </c>
      <c r="AH70" s="15"/>
      <c r="AI70" s="15"/>
    </row>
    <row r="71" spans="1:35" s="6" customFormat="1">
      <c r="A71" s="6" t="s">
        <v>548</v>
      </c>
      <c r="B71" s="6" t="s">
        <v>547</v>
      </c>
      <c r="C71" s="6" t="s">
        <v>43</v>
      </c>
      <c r="D71" s="6" t="s">
        <v>44</v>
      </c>
      <c r="E71" s="6" t="s">
        <v>45</v>
      </c>
      <c r="F71" s="6" t="s">
        <v>46</v>
      </c>
      <c r="G71" s="6" t="s">
        <v>204</v>
      </c>
      <c r="H71" s="7"/>
      <c r="I71" s="5" t="s">
        <v>48</v>
      </c>
      <c r="J71" s="5" t="s">
        <v>48</v>
      </c>
      <c r="AG71" s="15" t="s">
        <v>49</v>
      </c>
      <c r="AH71" s="15"/>
      <c r="AI71" s="15"/>
    </row>
    <row r="72" spans="1:35" s="6" customFormat="1">
      <c r="A72" s="6" t="s">
        <v>549</v>
      </c>
      <c r="B72" s="6" t="s">
        <v>550</v>
      </c>
      <c r="C72" s="6" t="s">
        <v>43</v>
      </c>
      <c r="D72" s="6" t="s">
        <v>44</v>
      </c>
      <c r="E72" s="6" t="s">
        <v>45</v>
      </c>
      <c r="F72" s="6" t="s">
        <v>46</v>
      </c>
      <c r="G72" s="6" t="s">
        <v>204</v>
      </c>
      <c r="H72" s="7"/>
      <c r="I72" s="5" t="s">
        <v>48</v>
      </c>
      <c r="J72" s="5" t="s">
        <v>48</v>
      </c>
      <c r="AG72" s="15" t="s">
        <v>49</v>
      </c>
      <c r="AH72" s="15"/>
      <c r="AI72" s="15"/>
    </row>
    <row r="73" spans="1:35" s="6" customFormat="1">
      <c r="A73" s="6" t="s">
        <v>551</v>
      </c>
      <c r="B73" s="6" t="s">
        <v>552</v>
      </c>
      <c r="C73" s="6" t="s">
        <v>43</v>
      </c>
      <c r="D73" s="6" t="s">
        <v>44</v>
      </c>
      <c r="E73" s="6" t="s">
        <v>45</v>
      </c>
      <c r="F73" s="6" t="s">
        <v>46</v>
      </c>
      <c r="G73" s="6" t="s">
        <v>204</v>
      </c>
      <c r="H73" s="7"/>
      <c r="I73" s="5" t="s">
        <v>48</v>
      </c>
      <c r="J73" s="5" t="s">
        <v>48</v>
      </c>
      <c r="AG73" s="15" t="s">
        <v>49</v>
      </c>
      <c r="AH73" s="15"/>
      <c r="AI73" s="15"/>
    </row>
    <row r="74" spans="1:35" s="6" customFormat="1">
      <c r="A74" s="6" t="s">
        <v>553</v>
      </c>
      <c r="B74" s="6" t="s">
        <v>554</v>
      </c>
      <c r="C74" s="6" t="s">
        <v>43</v>
      </c>
      <c r="D74" s="6" t="s">
        <v>44</v>
      </c>
      <c r="E74" s="6" t="s">
        <v>45</v>
      </c>
      <c r="F74" s="6" t="s">
        <v>46</v>
      </c>
      <c r="G74" s="6" t="s">
        <v>204</v>
      </c>
      <c r="H74" s="7"/>
      <c r="I74" s="5" t="s">
        <v>48</v>
      </c>
      <c r="J74" s="5" t="s">
        <v>48</v>
      </c>
      <c r="AG74" s="15" t="s">
        <v>49</v>
      </c>
      <c r="AH74" s="15"/>
      <c r="AI74" s="15"/>
    </row>
    <row r="75" spans="1:35" s="6" customFormat="1">
      <c r="A75" s="6" t="s">
        <v>555</v>
      </c>
      <c r="B75" s="6" t="s">
        <v>556</v>
      </c>
      <c r="C75" s="6" t="s">
        <v>43</v>
      </c>
      <c r="D75" s="6" t="s">
        <v>44</v>
      </c>
      <c r="E75" s="6" t="s">
        <v>45</v>
      </c>
      <c r="F75" s="6" t="s">
        <v>46</v>
      </c>
      <c r="G75" s="6" t="s">
        <v>204</v>
      </c>
      <c r="H75" s="7"/>
      <c r="I75" s="5" t="s">
        <v>48</v>
      </c>
      <c r="J75" s="5" t="s">
        <v>48</v>
      </c>
      <c r="AG75" s="15" t="s">
        <v>49</v>
      </c>
      <c r="AH75" s="15"/>
      <c r="AI75" s="15"/>
    </row>
    <row r="76" spans="1:35" s="6" customFormat="1">
      <c r="A76" s="6" t="s">
        <v>557</v>
      </c>
      <c r="B76" s="6" t="s">
        <v>558</v>
      </c>
      <c r="C76" s="6" t="s">
        <v>43</v>
      </c>
      <c r="D76" s="6" t="s">
        <v>239</v>
      </c>
      <c r="E76" s="6" t="s">
        <v>240</v>
      </c>
      <c r="F76" s="6" t="s">
        <v>46</v>
      </c>
      <c r="G76" s="6" t="s">
        <v>204</v>
      </c>
      <c r="H76" s="7"/>
      <c r="I76" s="5" t="s">
        <v>48</v>
      </c>
      <c r="J76" s="5" t="s">
        <v>48</v>
      </c>
      <c r="AG76" s="15" t="s">
        <v>49</v>
      </c>
      <c r="AH76" s="15"/>
      <c r="AI76" s="15"/>
    </row>
    <row r="77" spans="1:35" s="6" customFormat="1">
      <c r="A77" s="6" t="s">
        <v>559</v>
      </c>
      <c r="B77" s="6" t="s">
        <v>560</v>
      </c>
      <c r="C77" s="6" t="s">
        <v>43</v>
      </c>
      <c r="D77" s="6" t="s">
        <v>44</v>
      </c>
      <c r="E77" s="6" t="s">
        <v>45</v>
      </c>
      <c r="F77" s="6" t="s">
        <v>46</v>
      </c>
      <c r="G77" s="6" t="s">
        <v>204</v>
      </c>
      <c r="H77" s="7"/>
      <c r="I77" s="5" t="s">
        <v>48</v>
      </c>
      <c r="J77" s="5" t="s">
        <v>48</v>
      </c>
      <c r="AG77" s="15" t="s">
        <v>49</v>
      </c>
      <c r="AH77" s="15"/>
      <c r="AI77" s="15"/>
    </row>
    <row r="78" spans="1:35" s="6" customFormat="1">
      <c r="A78" s="6" t="s">
        <v>561</v>
      </c>
      <c r="B78" s="6" t="s">
        <v>562</v>
      </c>
      <c r="C78" s="6" t="s">
        <v>43</v>
      </c>
      <c r="D78" s="6" t="s">
        <v>44</v>
      </c>
      <c r="E78" s="6" t="s">
        <v>45</v>
      </c>
      <c r="F78" s="6" t="s">
        <v>46</v>
      </c>
      <c r="G78" s="6" t="s">
        <v>204</v>
      </c>
      <c r="H78" s="7"/>
      <c r="I78" s="5" t="s">
        <v>48</v>
      </c>
      <c r="J78" s="5" t="s">
        <v>48</v>
      </c>
      <c r="AG78" s="15" t="s">
        <v>49</v>
      </c>
      <c r="AH78" s="15"/>
      <c r="AI78" s="15"/>
    </row>
    <row r="79" spans="1:35" s="6" customFormat="1">
      <c r="A79" s="6" t="s">
        <v>563</v>
      </c>
      <c r="B79" s="6" t="s">
        <v>564</v>
      </c>
      <c r="C79" s="6" t="s">
        <v>43</v>
      </c>
      <c r="D79" s="6" t="s">
        <v>44</v>
      </c>
      <c r="E79" s="6" t="s">
        <v>45</v>
      </c>
      <c r="F79" s="6" t="s">
        <v>46</v>
      </c>
      <c r="G79" s="6" t="s">
        <v>204</v>
      </c>
      <c r="H79" s="7"/>
      <c r="I79" s="5" t="s">
        <v>48</v>
      </c>
      <c r="J79" s="5" t="s">
        <v>48</v>
      </c>
      <c r="AG79" s="15" t="s">
        <v>49</v>
      </c>
      <c r="AH79" s="15"/>
      <c r="AI79" s="15"/>
    </row>
    <row r="80" spans="1:35" s="6" customFormat="1">
      <c r="A80" s="6" t="s">
        <v>565</v>
      </c>
      <c r="B80" s="6" t="s">
        <v>566</v>
      </c>
      <c r="C80" s="6" t="s">
        <v>43</v>
      </c>
      <c r="D80" s="6" t="s">
        <v>44</v>
      </c>
      <c r="E80" s="6" t="s">
        <v>45</v>
      </c>
      <c r="F80" s="6" t="s">
        <v>46</v>
      </c>
      <c r="G80" s="6" t="s">
        <v>204</v>
      </c>
      <c r="H80" s="7"/>
      <c r="I80" s="5" t="s">
        <v>48</v>
      </c>
      <c r="J80" s="5" t="s">
        <v>48</v>
      </c>
      <c r="AG80" s="15" t="s">
        <v>49</v>
      </c>
      <c r="AH80" s="15"/>
      <c r="AI80" s="15"/>
    </row>
    <row r="81" spans="1:35" s="6" customFormat="1">
      <c r="A81" s="6" t="s">
        <v>567</v>
      </c>
      <c r="B81" s="6" t="s">
        <v>568</v>
      </c>
      <c r="C81" s="6" t="s">
        <v>43</v>
      </c>
      <c r="D81" s="6" t="s">
        <v>44</v>
      </c>
      <c r="E81" s="6" t="s">
        <v>45</v>
      </c>
      <c r="F81" s="6" t="s">
        <v>46</v>
      </c>
      <c r="G81" s="6" t="s">
        <v>204</v>
      </c>
      <c r="H81" s="7"/>
      <c r="I81" s="5" t="s">
        <v>48</v>
      </c>
      <c r="J81" s="5" t="s">
        <v>48</v>
      </c>
      <c r="AG81" s="15" t="s">
        <v>49</v>
      </c>
      <c r="AH81" s="15"/>
      <c r="AI81" s="15"/>
    </row>
    <row r="82" spans="1:35" s="6" customFormat="1">
      <c r="A82" s="6" t="s">
        <v>569</v>
      </c>
      <c r="B82" s="6" t="s">
        <v>570</v>
      </c>
      <c r="C82" s="6" t="s">
        <v>43</v>
      </c>
      <c r="D82" s="6" t="s">
        <v>44</v>
      </c>
      <c r="E82" s="6" t="s">
        <v>45</v>
      </c>
      <c r="F82" s="6" t="s">
        <v>46</v>
      </c>
      <c r="G82" s="6" t="s">
        <v>204</v>
      </c>
      <c r="H82" s="7"/>
      <c r="I82" s="5" t="s">
        <v>48</v>
      </c>
      <c r="J82" s="5" t="s">
        <v>48</v>
      </c>
      <c r="AG82" s="15" t="s">
        <v>49</v>
      </c>
      <c r="AH82" s="15"/>
      <c r="AI82" s="15"/>
    </row>
    <row r="83" spans="1:35" s="6" customFormat="1">
      <c r="A83" s="6" t="s">
        <v>571</v>
      </c>
      <c r="B83" s="6" t="s">
        <v>570</v>
      </c>
      <c r="C83" s="6" t="s">
        <v>43</v>
      </c>
      <c r="D83" s="6" t="s">
        <v>44</v>
      </c>
      <c r="E83" s="6" t="s">
        <v>45</v>
      </c>
      <c r="F83" s="6" t="s">
        <v>46</v>
      </c>
      <c r="G83" s="6" t="s">
        <v>204</v>
      </c>
      <c r="H83" s="7"/>
      <c r="I83" s="5" t="s">
        <v>48</v>
      </c>
      <c r="J83" s="5" t="s">
        <v>48</v>
      </c>
      <c r="AG83" s="15" t="s">
        <v>49</v>
      </c>
      <c r="AH83" s="15"/>
      <c r="AI83" s="15"/>
    </row>
    <row r="84" spans="1:35" s="6" customFormat="1">
      <c r="A84" s="6" t="s">
        <v>572</v>
      </c>
      <c r="B84" s="6" t="s">
        <v>573</v>
      </c>
      <c r="C84" s="6" t="s">
        <v>43</v>
      </c>
      <c r="D84" s="6" t="s">
        <v>44</v>
      </c>
      <c r="E84" s="6" t="s">
        <v>45</v>
      </c>
      <c r="F84" s="6" t="s">
        <v>46</v>
      </c>
      <c r="G84" s="6" t="s">
        <v>204</v>
      </c>
      <c r="H84" s="7"/>
      <c r="I84" s="5" t="s">
        <v>48</v>
      </c>
      <c r="J84" s="5" t="s">
        <v>48</v>
      </c>
      <c r="AG84" s="15" t="s">
        <v>49</v>
      </c>
      <c r="AH84" s="15"/>
      <c r="AI84" s="15"/>
    </row>
    <row r="85" spans="1:35" s="6" customFormat="1">
      <c r="A85" s="6" t="s">
        <v>574</v>
      </c>
      <c r="B85" s="6" t="s">
        <v>575</v>
      </c>
      <c r="C85" s="6" t="s">
        <v>43</v>
      </c>
      <c r="D85" s="6" t="s">
        <v>44</v>
      </c>
      <c r="E85" s="6" t="s">
        <v>45</v>
      </c>
      <c r="F85" s="6" t="s">
        <v>46</v>
      </c>
      <c r="G85" s="6" t="s">
        <v>204</v>
      </c>
      <c r="H85" s="7"/>
      <c r="I85" s="5" t="s">
        <v>48</v>
      </c>
      <c r="J85" s="5" t="s">
        <v>48</v>
      </c>
      <c r="AG85" s="15" t="s">
        <v>49</v>
      </c>
      <c r="AH85" s="15"/>
      <c r="AI85" s="15"/>
    </row>
    <row r="86" spans="1:35" s="6" customFormat="1">
      <c r="A86" s="6" t="s">
        <v>576</v>
      </c>
      <c r="B86" s="6" t="s">
        <v>577</v>
      </c>
      <c r="C86" s="6" t="s">
        <v>43</v>
      </c>
      <c r="D86" s="6" t="s">
        <v>44</v>
      </c>
      <c r="E86" s="6" t="s">
        <v>45</v>
      </c>
      <c r="F86" s="6" t="s">
        <v>46</v>
      </c>
      <c r="G86" s="6" t="s">
        <v>204</v>
      </c>
      <c r="H86" s="7"/>
      <c r="I86" s="5" t="s">
        <v>48</v>
      </c>
      <c r="J86" s="5" t="s">
        <v>48</v>
      </c>
      <c r="AG86" s="15" t="s">
        <v>49</v>
      </c>
      <c r="AH86" s="15"/>
      <c r="AI86" s="15"/>
    </row>
    <row r="87" spans="1:35" s="6" customFormat="1">
      <c r="A87" s="6" t="s">
        <v>578</v>
      </c>
      <c r="B87" s="6" t="s">
        <v>579</v>
      </c>
      <c r="C87" s="6" t="s">
        <v>43</v>
      </c>
      <c r="D87" s="6" t="s">
        <v>44</v>
      </c>
      <c r="E87" s="6" t="s">
        <v>45</v>
      </c>
      <c r="F87" s="6" t="s">
        <v>46</v>
      </c>
      <c r="G87" s="6" t="s">
        <v>204</v>
      </c>
      <c r="H87" s="7"/>
      <c r="I87" s="5" t="s">
        <v>48</v>
      </c>
      <c r="J87" s="5" t="s">
        <v>48</v>
      </c>
      <c r="AG87" s="15" t="s">
        <v>49</v>
      </c>
      <c r="AH87" s="15"/>
      <c r="AI87" s="15"/>
    </row>
    <row r="88" spans="1:35" s="6" customFormat="1">
      <c r="A88" s="6" t="s">
        <v>580</v>
      </c>
      <c r="B88" s="6" t="s">
        <v>581</v>
      </c>
      <c r="C88" s="6" t="s">
        <v>43</v>
      </c>
      <c r="D88" s="6" t="s">
        <v>44</v>
      </c>
      <c r="E88" s="6" t="s">
        <v>45</v>
      </c>
      <c r="F88" s="6" t="s">
        <v>46</v>
      </c>
      <c r="G88" s="6" t="s">
        <v>204</v>
      </c>
      <c r="H88" s="7"/>
      <c r="I88" s="5" t="s">
        <v>48</v>
      </c>
      <c r="J88" s="5" t="s">
        <v>48</v>
      </c>
      <c r="AG88" s="15" t="s">
        <v>49</v>
      </c>
      <c r="AH88" s="15"/>
      <c r="AI88" s="15"/>
    </row>
    <row r="89" spans="1:35" s="6" customFormat="1">
      <c r="A89" s="6" t="s">
        <v>582</v>
      </c>
      <c r="B89" s="6" t="s">
        <v>581</v>
      </c>
      <c r="C89" s="6" t="s">
        <v>43</v>
      </c>
      <c r="D89" s="6" t="s">
        <v>44</v>
      </c>
      <c r="E89" s="6" t="s">
        <v>45</v>
      </c>
      <c r="F89" s="6" t="s">
        <v>46</v>
      </c>
      <c r="G89" s="6" t="s">
        <v>204</v>
      </c>
      <c r="H89" s="7"/>
      <c r="I89" s="5" t="s">
        <v>48</v>
      </c>
      <c r="J89" s="5" t="s">
        <v>48</v>
      </c>
      <c r="AG89" s="15" t="s">
        <v>49</v>
      </c>
      <c r="AH89" s="15"/>
      <c r="AI89" s="15"/>
    </row>
    <row r="90" spans="1:35" s="6" customFormat="1">
      <c r="A90" s="6" t="s">
        <v>583</v>
      </c>
      <c r="B90" s="6" t="s">
        <v>584</v>
      </c>
      <c r="C90" s="6" t="s">
        <v>43</v>
      </c>
      <c r="D90" s="6" t="s">
        <v>44</v>
      </c>
      <c r="E90" s="6" t="s">
        <v>45</v>
      </c>
      <c r="F90" s="6" t="s">
        <v>46</v>
      </c>
      <c r="G90" s="6" t="s">
        <v>204</v>
      </c>
      <c r="H90" s="7"/>
      <c r="I90" s="5" t="s">
        <v>48</v>
      </c>
      <c r="J90" s="5" t="s">
        <v>48</v>
      </c>
      <c r="AG90" s="15" t="s">
        <v>49</v>
      </c>
      <c r="AH90" s="15"/>
      <c r="AI90" s="15"/>
    </row>
    <row r="91" spans="1:35" s="6" customFormat="1">
      <c r="A91" s="6" t="s">
        <v>585</v>
      </c>
      <c r="B91" s="6" t="s">
        <v>586</v>
      </c>
      <c r="C91" s="6" t="s">
        <v>43</v>
      </c>
      <c r="D91" s="6" t="s">
        <v>44</v>
      </c>
      <c r="E91" s="6" t="s">
        <v>45</v>
      </c>
      <c r="F91" s="6" t="s">
        <v>46</v>
      </c>
      <c r="G91" s="6" t="s">
        <v>204</v>
      </c>
      <c r="H91" s="7"/>
      <c r="I91" s="5" t="s">
        <v>48</v>
      </c>
      <c r="J91" s="5" t="s">
        <v>48</v>
      </c>
      <c r="AG91" s="15" t="s">
        <v>49</v>
      </c>
      <c r="AH91" s="15"/>
      <c r="AI91" s="15"/>
    </row>
    <row r="92" spans="1:35" s="6" customFormat="1">
      <c r="A92" s="6" t="s">
        <v>587</v>
      </c>
      <c r="B92" s="6" t="s">
        <v>588</v>
      </c>
      <c r="C92" s="6" t="s">
        <v>43</v>
      </c>
      <c r="D92" s="6" t="s">
        <v>44</v>
      </c>
      <c r="E92" s="6" t="s">
        <v>45</v>
      </c>
      <c r="F92" s="6" t="s">
        <v>46</v>
      </c>
      <c r="G92" s="6" t="s">
        <v>204</v>
      </c>
      <c r="H92" s="7"/>
      <c r="I92" s="5" t="s">
        <v>48</v>
      </c>
      <c r="J92" s="5" t="s">
        <v>48</v>
      </c>
      <c r="AG92" s="15" t="s">
        <v>49</v>
      </c>
      <c r="AH92" s="15"/>
      <c r="AI92" s="15"/>
    </row>
    <row r="93" spans="1:35" s="6" customFormat="1">
      <c r="A93" s="6" t="s">
        <v>589</v>
      </c>
      <c r="B93" s="6" t="s">
        <v>590</v>
      </c>
      <c r="C93" s="6" t="s">
        <v>43</v>
      </c>
      <c r="D93" s="6" t="s">
        <v>44</v>
      </c>
      <c r="E93" s="6" t="s">
        <v>45</v>
      </c>
      <c r="F93" s="6" t="s">
        <v>46</v>
      </c>
      <c r="G93" s="6" t="s">
        <v>246</v>
      </c>
      <c r="H93" s="7"/>
      <c r="I93" s="5" t="s">
        <v>48</v>
      </c>
      <c r="J93" s="5" t="s">
        <v>48</v>
      </c>
      <c r="AG93" s="15" t="s">
        <v>49</v>
      </c>
      <c r="AH93" s="15"/>
      <c r="AI93" s="15"/>
    </row>
    <row r="94" spans="1:35" s="6" customFormat="1">
      <c r="A94" s="6" t="s">
        <v>591</v>
      </c>
      <c r="B94" s="6" t="s">
        <v>592</v>
      </c>
      <c r="C94" s="6" t="s">
        <v>43</v>
      </c>
      <c r="D94" s="6" t="s">
        <v>44</v>
      </c>
      <c r="E94" s="6" t="s">
        <v>45</v>
      </c>
      <c r="F94" s="6" t="s">
        <v>46</v>
      </c>
      <c r="G94" s="6" t="s">
        <v>204</v>
      </c>
      <c r="H94" s="7"/>
      <c r="I94" s="5" t="s">
        <v>48</v>
      </c>
      <c r="J94" s="5" t="s">
        <v>48</v>
      </c>
      <c r="AG94" s="15" t="s">
        <v>49</v>
      </c>
      <c r="AH94" s="15"/>
      <c r="AI94" s="15"/>
    </row>
    <row r="95" spans="1:35" s="6" customFormat="1">
      <c r="A95" s="6" t="s">
        <v>593</v>
      </c>
      <c r="B95" s="6" t="s">
        <v>594</v>
      </c>
      <c r="C95" s="6" t="s">
        <v>43</v>
      </c>
      <c r="D95" s="6" t="s">
        <v>44</v>
      </c>
      <c r="E95" s="6" t="s">
        <v>45</v>
      </c>
      <c r="F95" s="6" t="s">
        <v>46</v>
      </c>
      <c r="G95" s="6" t="s">
        <v>204</v>
      </c>
      <c r="H95" s="7"/>
      <c r="I95" s="5" t="s">
        <v>48</v>
      </c>
      <c r="J95" s="5" t="s">
        <v>48</v>
      </c>
      <c r="AG95" s="15" t="s">
        <v>49</v>
      </c>
      <c r="AH95" s="15"/>
      <c r="AI95" s="15"/>
    </row>
    <row r="96" spans="1:35" s="6" customFormat="1">
      <c r="A96" s="6" t="s">
        <v>595</v>
      </c>
      <c r="B96" s="6" t="s">
        <v>596</v>
      </c>
      <c r="C96" s="6" t="s">
        <v>43</v>
      </c>
      <c r="D96" s="6" t="s">
        <v>44</v>
      </c>
      <c r="E96" s="6" t="s">
        <v>45</v>
      </c>
      <c r="F96" s="6" t="s">
        <v>46</v>
      </c>
      <c r="G96" s="6" t="s">
        <v>204</v>
      </c>
      <c r="H96" s="7"/>
      <c r="I96" s="5" t="s">
        <v>48</v>
      </c>
      <c r="J96" s="5" t="s">
        <v>48</v>
      </c>
      <c r="AG96" s="15" t="s">
        <v>49</v>
      </c>
      <c r="AH96" s="15"/>
      <c r="AI96" s="15"/>
    </row>
    <row r="97" spans="1:35" s="6" customFormat="1">
      <c r="A97" s="6" t="s">
        <v>597</v>
      </c>
      <c r="B97" s="6" t="s">
        <v>598</v>
      </c>
      <c r="C97" s="6" t="s">
        <v>43</v>
      </c>
      <c r="D97" s="6" t="s">
        <v>44</v>
      </c>
      <c r="E97" s="6" t="s">
        <v>45</v>
      </c>
      <c r="F97" s="6" t="s">
        <v>46</v>
      </c>
      <c r="G97" s="6" t="s">
        <v>204</v>
      </c>
      <c r="H97" s="7"/>
      <c r="I97" s="5" t="s">
        <v>48</v>
      </c>
      <c r="J97" s="5" t="s">
        <v>48</v>
      </c>
      <c r="AG97" s="15" t="s">
        <v>49</v>
      </c>
      <c r="AH97" s="15"/>
      <c r="AI97" s="15"/>
    </row>
    <row r="98" spans="1:35" s="6" customFormat="1">
      <c r="A98" s="6" t="s">
        <v>599</v>
      </c>
      <c r="B98" s="6" t="s">
        <v>600</v>
      </c>
      <c r="C98" s="6" t="s">
        <v>43</v>
      </c>
      <c r="D98" s="6" t="s">
        <v>44</v>
      </c>
      <c r="E98" s="6" t="s">
        <v>45</v>
      </c>
      <c r="F98" s="6" t="s">
        <v>46</v>
      </c>
      <c r="G98" s="6" t="s">
        <v>204</v>
      </c>
      <c r="H98" s="7"/>
      <c r="I98" s="5" t="s">
        <v>48</v>
      </c>
      <c r="J98" s="5" t="s">
        <v>48</v>
      </c>
      <c r="AG98" s="15" t="s">
        <v>49</v>
      </c>
      <c r="AH98" s="15"/>
      <c r="AI98" s="15"/>
    </row>
    <row r="99" spans="1:35" s="6" customFormat="1">
      <c r="A99" s="6" t="s">
        <v>601</v>
      </c>
      <c r="B99" s="6" t="s">
        <v>602</v>
      </c>
      <c r="C99" s="6" t="s">
        <v>43</v>
      </c>
      <c r="D99" s="6" t="s">
        <v>44</v>
      </c>
      <c r="E99" s="6" t="s">
        <v>45</v>
      </c>
      <c r="F99" s="6" t="s">
        <v>46</v>
      </c>
      <c r="G99" s="6" t="s">
        <v>204</v>
      </c>
      <c r="H99" s="7"/>
      <c r="I99" s="5" t="s">
        <v>48</v>
      </c>
      <c r="J99" s="5" t="s">
        <v>48</v>
      </c>
      <c r="AG99" s="15" t="s">
        <v>49</v>
      </c>
      <c r="AH99" s="15"/>
      <c r="AI99" s="15"/>
    </row>
    <row r="100" spans="1:35" s="6" customFormat="1">
      <c r="A100" s="6" t="s">
        <v>603</v>
      </c>
      <c r="B100" s="6" t="s">
        <v>604</v>
      </c>
      <c r="C100" s="6" t="s">
        <v>43</v>
      </c>
      <c r="D100" s="6" t="s">
        <v>44</v>
      </c>
      <c r="E100" s="6" t="s">
        <v>45</v>
      </c>
      <c r="F100" s="6" t="s">
        <v>46</v>
      </c>
      <c r="G100" s="6" t="s">
        <v>204</v>
      </c>
      <c r="H100" s="7"/>
      <c r="I100" s="5" t="s">
        <v>48</v>
      </c>
      <c r="J100" s="5" t="s">
        <v>48</v>
      </c>
      <c r="AG100" s="15" t="s">
        <v>49</v>
      </c>
      <c r="AH100" s="15"/>
      <c r="AI100" s="15"/>
    </row>
    <row r="101" spans="1:35" s="6" customFormat="1">
      <c r="A101" s="6" t="s">
        <v>605</v>
      </c>
      <c r="B101" s="6" t="s">
        <v>606</v>
      </c>
      <c r="C101" s="6" t="s">
        <v>43</v>
      </c>
      <c r="D101" s="6" t="s">
        <v>44</v>
      </c>
      <c r="E101" s="6" t="s">
        <v>45</v>
      </c>
      <c r="F101" s="6" t="s">
        <v>46</v>
      </c>
      <c r="G101" s="6" t="s">
        <v>204</v>
      </c>
      <c r="H101" s="7"/>
      <c r="I101" s="5" t="s">
        <v>48</v>
      </c>
      <c r="J101" s="5" t="s">
        <v>48</v>
      </c>
      <c r="AG101" s="15" t="s">
        <v>49</v>
      </c>
      <c r="AH101" s="15"/>
      <c r="AI101" s="15"/>
    </row>
    <row r="102" spans="1:35" s="6" customFormat="1">
      <c r="A102" s="6" t="s">
        <v>607</v>
      </c>
      <c r="B102" s="6" t="s">
        <v>608</v>
      </c>
      <c r="C102" s="6" t="s">
        <v>43</v>
      </c>
      <c r="D102" s="6" t="s">
        <v>44</v>
      </c>
      <c r="E102" s="6" t="s">
        <v>45</v>
      </c>
      <c r="F102" s="6" t="s">
        <v>46</v>
      </c>
      <c r="G102" s="6" t="s">
        <v>204</v>
      </c>
      <c r="H102" s="7"/>
      <c r="I102" s="5" t="s">
        <v>48</v>
      </c>
      <c r="J102" s="5" t="s">
        <v>48</v>
      </c>
      <c r="AG102" s="15" t="s">
        <v>49</v>
      </c>
      <c r="AH102" s="15"/>
      <c r="AI102" s="15"/>
    </row>
    <row r="103" spans="1:35" s="6" customFormat="1">
      <c r="A103" s="6" t="s">
        <v>609</v>
      </c>
      <c r="B103" s="6" t="s">
        <v>610</v>
      </c>
      <c r="C103" s="6" t="s">
        <v>43</v>
      </c>
      <c r="D103" s="6" t="s">
        <v>44</v>
      </c>
      <c r="E103" s="6" t="s">
        <v>45</v>
      </c>
      <c r="F103" s="6" t="s">
        <v>46</v>
      </c>
      <c r="G103" s="6" t="s">
        <v>204</v>
      </c>
      <c r="H103" s="7"/>
      <c r="I103" s="5" t="s">
        <v>48</v>
      </c>
      <c r="J103" s="5" t="s">
        <v>48</v>
      </c>
      <c r="AG103" s="15" t="s">
        <v>49</v>
      </c>
      <c r="AH103" s="15"/>
      <c r="AI103" s="15"/>
    </row>
    <row r="104" spans="1:35" s="6" customFormat="1">
      <c r="A104" s="6" t="s">
        <v>611</v>
      </c>
      <c r="B104" s="6" t="s">
        <v>612</v>
      </c>
      <c r="C104" s="6" t="s">
        <v>43</v>
      </c>
      <c r="D104" s="6" t="s">
        <v>44</v>
      </c>
      <c r="E104" s="6" t="s">
        <v>45</v>
      </c>
      <c r="F104" s="6" t="s">
        <v>46</v>
      </c>
      <c r="G104" s="6" t="s">
        <v>204</v>
      </c>
      <c r="H104" s="7"/>
      <c r="I104" s="5" t="s">
        <v>48</v>
      </c>
      <c r="J104" s="5" t="s">
        <v>48</v>
      </c>
      <c r="AG104" s="15" t="s">
        <v>49</v>
      </c>
      <c r="AH104" s="15"/>
      <c r="AI104" s="15"/>
    </row>
    <row r="105" spans="1:35" s="6" customFormat="1">
      <c r="A105" s="6" t="s">
        <v>613</v>
      </c>
      <c r="B105" s="6" t="s">
        <v>614</v>
      </c>
      <c r="C105" s="6" t="s">
        <v>43</v>
      </c>
      <c r="D105" s="6" t="s">
        <v>44</v>
      </c>
      <c r="E105" s="6" t="s">
        <v>45</v>
      </c>
      <c r="F105" s="6" t="s">
        <v>46</v>
      </c>
      <c r="G105" s="6" t="s">
        <v>204</v>
      </c>
      <c r="H105" s="7"/>
      <c r="I105" s="5" t="s">
        <v>48</v>
      </c>
      <c r="J105" s="5" t="s">
        <v>48</v>
      </c>
      <c r="AG105" s="15" t="s">
        <v>49</v>
      </c>
      <c r="AH105" s="15"/>
      <c r="AI105" s="15"/>
    </row>
    <row r="106" spans="1:35" s="6" customFormat="1">
      <c r="A106" s="6" t="s">
        <v>615</v>
      </c>
      <c r="B106" s="6" t="s">
        <v>616</v>
      </c>
      <c r="C106" s="6" t="s">
        <v>43</v>
      </c>
      <c r="D106" s="6" t="s">
        <v>44</v>
      </c>
      <c r="E106" s="6" t="s">
        <v>45</v>
      </c>
      <c r="F106" s="6" t="s">
        <v>46</v>
      </c>
      <c r="G106" s="6" t="s">
        <v>204</v>
      </c>
      <c r="H106" s="7"/>
      <c r="I106" s="5" t="s">
        <v>48</v>
      </c>
      <c r="J106" s="5" t="s">
        <v>48</v>
      </c>
      <c r="AG106" s="15" t="s">
        <v>49</v>
      </c>
      <c r="AH106" s="15"/>
      <c r="AI106" s="15"/>
    </row>
    <row r="107" spans="1:35" s="6" customFormat="1">
      <c r="A107" s="6" t="s">
        <v>617</v>
      </c>
      <c r="B107" s="6" t="s">
        <v>618</v>
      </c>
      <c r="C107" s="6" t="s">
        <v>43</v>
      </c>
      <c r="D107" s="6" t="s">
        <v>44</v>
      </c>
      <c r="E107" s="6" t="s">
        <v>45</v>
      </c>
      <c r="F107" s="6" t="s">
        <v>46</v>
      </c>
      <c r="G107" s="6" t="s">
        <v>204</v>
      </c>
      <c r="H107" s="7"/>
      <c r="I107" s="5" t="s">
        <v>48</v>
      </c>
      <c r="J107" s="5" t="s">
        <v>48</v>
      </c>
      <c r="AG107" s="15" t="s">
        <v>49</v>
      </c>
      <c r="AH107" s="15"/>
      <c r="AI107" s="15"/>
    </row>
    <row r="108" spans="1:35" s="6" customFormat="1">
      <c r="A108" s="6" t="s">
        <v>619</v>
      </c>
      <c r="B108" s="6" t="s">
        <v>620</v>
      </c>
      <c r="C108" s="6" t="s">
        <v>43</v>
      </c>
      <c r="D108" s="6" t="s">
        <v>44</v>
      </c>
      <c r="E108" s="6" t="s">
        <v>45</v>
      </c>
      <c r="F108" s="6" t="s">
        <v>46</v>
      </c>
      <c r="G108" s="6" t="s">
        <v>204</v>
      </c>
      <c r="H108" s="7"/>
      <c r="I108" s="5" t="s">
        <v>48</v>
      </c>
      <c r="J108" s="5" t="s">
        <v>48</v>
      </c>
      <c r="AG108" s="15" t="s">
        <v>49</v>
      </c>
      <c r="AH108" s="15"/>
      <c r="AI108" s="15"/>
    </row>
    <row r="109" spans="1:35" s="6" customFormat="1">
      <c r="A109" s="6" t="s">
        <v>621</v>
      </c>
      <c r="B109" s="6" t="s">
        <v>622</v>
      </c>
      <c r="C109" s="6" t="s">
        <v>43</v>
      </c>
      <c r="D109" s="6" t="s">
        <v>44</v>
      </c>
      <c r="E109" s="6" t="s">
        <v>45</v>
      </c>
      <c r="F109" s="6" t="s">
        <v>46</v>
      </c>
      <c r="G109" s="6" t="s">
        <v>204</v>
      </c>
      <c r="H109" s="7"/>
      <c r="I109" s="5" t="s">
        <v>48</v>
      </c>
      <c r="J109" s="5" t="s">
        <v>48</v>
      </c>
      <c r="AG109" s="15" t="s">
        <v>49</v>
      </c>
      <c r="AH109" s="15"/>
      <c r="AI109" s="15"/>
    </row>
    <row r="110" spans="1:35" s="6" customFormat="1">
      <c r="A110" s="6" t="s">
        <v>623</v>
      </c>
      <c r="B110" s="6" t="s">
        <v>624</v>
      </c>
      <c r="C110" s="6" t="s">
        <v>43</v>
      </c>
      <c r="D110" s="6" t="s">
        <v>44</v>
      </c>
      <c r="E110" s="6" t="s">
        <v>45</v>
      </c>
      <c r="F110" s="6" t="s">
        <v>46</v>
      </c>
      <c r="G110" s="6" t="s">
        <v>204</v>
      </c>
      <c r="H110" s="7"/>
      <c r="I110" s="5" t="s">
        <v>48</v>
      </c>
      <c r="J110" s="5" t="s">
        <v>48</v>
      </c>
      <c r="AG110" s="15" t="s">
        <v>49</v>
      </c>
      <c r="AH110" s="15"/>
      <c r="AI110" s="15"/>
    </row>
    <row r="111" spans="1:35" s="6" customFormat="1">
      <c r="A111" s="6" t="s">
        <v>625</v>
      </c>
      <c r="B111" s="6" t="s">
        <v>626</v>
      </c>
      <c r="C111" s="6" t="s">
        <v>43</v>
      </c>
      <c r="D111" s="6" t="s">
        <v>239</v>
      </c>
      <c r="E111" s="6" t="s">
        <v>240</v>
      </c>
      <c r="F111" s="6" t="s">
        <v>46</v>
      </c>
      <c r="G111" s="6" t="s">
        <v>204</v>
      </c>
      <c r="H111" s="7"/>
      <c r="I111" s="5" t="s">
        <v>48</v>
      </c>
      <c r="J111" s="5" t="s">
        <v>48</v>
      </c>
      <c r="AG111" s="15" t="s">
        <v>49</v>
      </c>
      <c r="AH111" s="15"/>
      <c r="AI111" s="15"/>
    </row>
    <row r="112" spans="1:35" s="6" customFormat="1">
      <c r="A112" s="6" t="s">
        <v>627</v>
      </c>
      <c r="B112" s="6" t="s">
        <v>628</v>
      </c>
      <c r="C112" s="6" t="s">
        <v>43</v>
      </c>
      <c r="D112" s="6" t="s">
        <v>44</v>
      </c>
      <c r="E112" s="6" t="s">
        <v>45</v>
      </c>
      <c r="F112" s="6" t="s">
        <v>46</v>
      </c>
      <c r="G112" s="6" t="s">
        <v>204</v>
      </c>
      <c r="H112" s="7"/>
      <c r="I112" s="5" t="s">
        <v>48</v>
      </c>
      <c r="J112" s="5" t="s">
        <v>48</v>
      </c>
      <c r="AG112" s="15" t="s">
        <v>49</v>
      </c>
      <c r="AH112" s="15"/>
      <c r="AI112" s="15"/>
    </row>
    <row r="113" spans="1:35" s="6" customFormat="1">
      <c r="A113" s="6" t="s">
        <v>629</v>
      </c>
      <c r="B113" s="6" t="s">
        <v>630</v>
      </c>
      <c r="C113" s="6" t="s">
        <v>43</v>
      </c>
      <c r="D113" s="6" t="s">
        <v>44</v>
      </c>
      <c r="E113" s="6" t="s">
        <v>45</v>
      </c>
      <c r="F113" s="6" t="s">
        <v>46</v>
      </c>
      <c r="G113" s="6" t="s">
        <v>204</v>
      </c>
      <c r="H113" s="7"/>
      <c r="I113" s="5" t="s">
        <v>48</v>
      </c>
      <c r="J113" s="5" t="s">
        <v>48</v>
      </c>
      <c r="AG113" s="15" t="s">
        <v>49</v>
      </c>
      <c r="AH113" s="15"/>
      <c r="AI113" s="15"/>
    </row>
    <row r="114" spans="1:35" s="6" customFormat="1">
      <c r="A114" s="6" t="s">
        <v>631</v>
      </c>
      <c r="B114" s="6" t="s">
        <v>632</v>
      </c>
      <c r="C114" s="6" t="s">
        <v>43</v>
      </c>
      <c r="D114" s="6" t="s">
        <v>44</v>
      </c>
      <c r="E114" s="6" t="s">
        <v>45</v>
      </c>
      <c r="F114" s="6" t="s">
        <v>46</v>
      </c>
      <c r="G114" s="6" t="s">
        <v>246</v>
      </c>
      <c r="H114" s="7"/>
      <c r="I114" s="5" t="s">
        <v>48</v>
      </c>
      <c r="J114" s="5" t="s">
        <v>48</v>
      </c>
      <c r="AG114" s="15" t="s">
        <v>49</v>
      </c>
      <c r="AH114" s="15"/>
      <c r="AI114" s="15"/>
    </row>
    <row r="115" spans="1:35" s="6" customFormat="1">
      <c r="A115" s="6" t="s">
        <v>633</v>
      </c>
      <c r="B115" s="6" t="s">
        <v>634</v>
      </c>
      <c r="C115" s="6" t="s">
        <v>43</v>
      </c>
      <c r="D115" s="6" t="s">
        <v>44</v>
      </c>
      <c r="E115" s="6" t="s">
        <v>45</v>
      </c>
      <c r="F115" s="6" t="s">
        <v>46</v>
      </c>
      <c r="G115" s="6" t="s">
        <v>204</v>
      </c>
      <c r="H115" s="7"/>
      <c r="I115" s="5" t="s">
        <v>48</v>
      </c>
      <c r="J115" s="5" t="s">
        <v>48</v>
      </c>
      <c r="AG115" s="15" t="s">
        <v>49</v>
      </c>
      <c r="AH115" s="15"/>
      <c r="AI115" s="15"/>
    </row>
    <row r="116" spans="1:35" s="6" customFormat="1">
      <c r="A116" s="6" t="s">
        <v>635</v>
      </c>
      <c r="B116" s="6" t="s">
        <v>636</v>
      </c>
      <c r="C116" s="6" t="s">
        <v>43</v>
      </c>
      <c r="D116" s="6" t="s">
        <v>44</v>
      </c>
      <c r="E116" s="6" t="s">
        <v>45</v>
      </c>
      <c r="F116" s="6" t="s">
        <v>46</v>
      </c>
      <c r="G116" s="6" t="s">
        <v>204</v>
      </c>
      <c r="H116" s="7"/>
      <c r="I116" s="5" t="s">
        <v>48</v>
      </c>
      <c r="J116" s="5" t="s">
        <v>48</v>
      </c>
      <c r="AG116" s="15" t="s">
        <v>49</v>
      </c>
      <c r="AH116" s="15"/>
      <c r="AI116" s="15"/>
    </row>
    <row r="117" spans="1:35" s="6" customFormat="1">
      <c r="A117" s="6" t="s">
        <v>637</v>
      </c>
      <c r="B117" s="6" t="s">
        <v>638</v>
      </c>
      <c r="C117" s="6" t="s">
        <v>43</v>
      </c>
      <c r="D117" s="6" t="s">
        <v>44</v>
      </c>
      <c r="E117" s="6" t="s">
        <v>240</v>
      </c>
      <c r="F117" s="6" t="s">
        <v>46</v>
      </c>
      <c r="G117" s="6" t="s">
        <v>204</v>
      </c>
      <c r="H117" s="7"/>
      <c r="I117" s="5" t="s">
        <v>48</v>
      </c>
      <c r="J117" s="5" t="s">
        <v>48</v>
      </c>
      <c r="AG117" s="15" t="s">
        <v>49</v>
      </c>
      <c r="AH117" s="15"/>
      <c r="AI117" s="15"/>
    </row>
    <row r="118" spans="1:35" s="6" customFormat="1">
      <c r="A118" s="6" t="s">
        <v>639</v>
      </c>
      <c r="B118" s="6" t="s">
        <v>640</v>
      </c>
      <c r="C118" s="6" t="s">
        <v>43</v>
      </c>
      <c r="D118" s="6" t="s">
        <v>44</v>
      </c>
      <c r="E118" s="6" t="s">
        <v>45</v>
      </c>
      <c r="F118" s="6" t="s">
        <v>46</v>
      </c>
      <c r="G118" s="6" t="s">
        <v>204</v>
      </c>
      <c r="H118" s="7"/>
      <c r="I118" s="5" t="s">
        <v>48</v>
      </c>
      <c r="J118" s="5" t="s">
        <v>48</v>
      </c>
      <c r="AG118" s="15" t="s">
        <v>49</v>
      </c>
      <c r="AH118" s="15"/>
      <c r="AI118" s="15"/>
    </row>
    <row r="119" spans="1:35" s="6" customFormat="1">
      <c r="A119" s="6" t="s">
        <v>641</v>
      </c>
      <c r="B119" s="6" t="s">
        <v>642</v>
      </c>
      <c r="C119" s="6" t="s">
        <v>43</v>
      </c>
      <c r="D119" s="6" t="s">
        <v>44</v>
      </c>
      <c r="E119" s="6" t="s">
        <v>45</v>
      </c>
      <c r="F119" s="6" t="s">
        <v>46</v>
      </c>
      <c r="G119" s="6" t="s">
        <v>204</v>
      </c>
      <c r="H119" s="7"/>
      <c r="I119" s="5" t="s">
        <v>48</v>
      </c>
      <c r="J119" s="5" t="s">
        <v>48</v>
      </c>
      <c r="AG119" s="15" t="s">
        <v>49</v>
      </c>
      <c r="AH119" s="15"/>
      <c r="AI119" s="15"/>
    </row>
    <row r="120" spans="1:35" s="6" customFormat="1">
      <c r="A120" s="6" t="s">
        <v>643</v>
      </c>
      <c r="B120" s="6" t="s">
        <v>644</v>
      </c>
      <c r="C120" s="6" t="s">
        <v>43</v>
      </c>
      <c r="D120" s="6" t="s">
        <v>44</v>
      </c>
      <c r="E120" s="6" t="s">
        <v>45</v>
      </c>
      <c r="F120" s="6" t="s">
        <v>46</v>
      </c>
      <c r="G120" s="6" t="s">
        <v>204</v>
      </c>
      <c r="H120" s="7"/>
      <c r="I120" s="5" t="s">
        <v>48</v>
      </c>
      <c r="J120" s="5" t="s">
        <v>48</v>
      </c>
      <c r="AG120" s="15" t="s">
        <v>49</v>
      </c>
      <c r="AH120" s="15"/>
      <c r="AI120" s="15"/>
    </row>
    <row r="121" spans="1:35" s="6" customFormat="1">
      <c r="A121" s="6" t="s">
        <v>645</v>
      </c>
      <c r="B121" s="6" t="s">
        <v>646</v>
      </c>
      <c r="C121" s="6" t="s">
        <v>43</v>
      </c>
      <c r="D121" s="6" t="s">
        <v>44</v>
      </c>
      <c r="E121" s="6" t="s">
        <v>45</v>
      </c>
      <c r="F121" s="6" t="s">
        <v>46</v>
      </c>
      <c r="G121" s="6" t="s">
        <v>204</v>
      </c>
      <c r="H121" s="7"/>
      <c r="I121" s="5" t="s">
        <v>48</v>
      </c>
      <c r="J121" s="5" t="s">
        <v>48</v>
      </c>
      <c r="AG121" s="15" t="s">
        <v>49</v>
      </c>
      <c r="AH121" s="15"/>
      <c r="AI121" s="15"/>
    </row>
    <row r="122" spans="1:35" s="6" customFormat="1">
      <c r="A122" s="6" t="s">
        <v>647</v>
      </c>
      <c r="B122" s="6" t="s">
        <v>648</v>
      </c>
      <c r="C122" s="6" t="s">
        <v>43</v>
      </c>
      <c r="D122" s="6" t="s">
        <v>44</v>
      </c>
      <c r="E122" s="6" t="s">
        <v>45</v>
      </c>
      <c r="F122" s="6" t="s">
        <v>46</v>
      </c>
      <c r="G122" s="6" t="s">
        <v>204</v>
      </c>
      <c r="H122" s="7"/>
      <c r="I122" s="5" t="s">
        <v>48</v>
      </c>
      <c r="J122" s="5" t="s">
        <v>48</v>
      </c>
      <c r="AG122" s="15" t="s">
        <v>49</v>
      </c>
      <c r="AH122" s="15"/>
      <c r="AI122" s="15"/>
    </row>
    <row r="123" spans="1:35" s="6" customFormat="1">
      <c r="A123" s="6" t="s">
        <v>649</v>
      </c>
      <c r="B123" s="6" t="s">
        <v>650</v>
      </c>
      <c r="C123" s="6" t="s">
        <v>43</v>
      </c>
      <c r="D123" s="6" t="s">
        <v>44</v>
      </c>
      <c r="E123" s="6" t="s">
        <v>45</v>
      </c>
      <c r="F123" s="6" t="s">
        <v>46</v>
      </c>
      <c r="G123" s="6" t="s">
        <v>204</v>
      </c>
      <c r="H123" s="7"/>
      <c r="I123" s="5" t="s">
        <v>48</v>
      </c>
      <c r="J123" s="5" t="s">
        <v>48</v>
      </c>
      <c r="AG123" s="15" t="s">
        <v>49</v>
      </c>
      <c r="AH123" s="15"/>
      <c r="AI123" s="15"/>
    </row>
    <row r="124" spans="1:35" s="6" customFormat="1">
      <c r="A124" s="6" t="s">
        <v>651</v>
      </c>
      <c r="B124" s="6" t="s">
        <v>652</v>
      </c>
      <c r="C124" s="6" t="s">
        <v>43</v>
      </c>
      <c r="D124" s="6" t="s">
        <v>44</v>
      </c>
      <c r="E124" s="6" t="s">
        <v>45</v>
      </c>
      <c r="F124" s="6" t="s">
        <v>46</v>
      </c>
      <c r="G124" s="6" t="s">
        <v>204</v>
      </c>
      <c r="H124" s="7"/>
      <c r="I124" s="5" t="s">
        <v>48</v>
      </c>
      <c r="J124" s="5" t="s">
        <v>48</v>
      </c>
      <c r="AG124" s="15" t="s">
        <v>49</v>
      </c>
      <c r="AH124" s="15"/>
      <c r="AI124" s="15"/>
    </row>
    <row r="125" spans="1:35" s="6" customFormat="1">
      <c r="A125" s="6" t="s">
        <v>653</v>
      </c>
      <c r="B125" s="6" t="s">
        <v>654</v>
      </c>
      <c r="C125" s="6" t="s">
        <v>43</v>
      </c>
      <c r="D125" s="6" t="s">
        <v>44</v>
      </c>
      <c r="E125" s="6" t="s">
        <v>45</v>
      </c>
      <c r="F125" s="6" t="s">
        <v>46</v>
      </c>
      <c r="G125" s="6" t="s">
        <v>204</v>
      </c>
      <c r="H125" s="7"/>
      <c r="I125" s="5" t="s">
        <v>48</v>
      </c>
      <c r="J125" s="5" t="s">
        <v>48</v>
      </c>
      <c r="AG125" s="15" t="s">
        <v>49</v>
      </c>
      <c r="AH125" s="15"/>
      <c r="AI125" s="15"/>
    </row>
    <row r="126" spans="1:35" s="6" customFormat="1">
      <c r="A126" s="6" t="s">
        <v>655</v>
      </c>
      <c r="B126" s="6" t="s">
        <v>656</v>
      </c>
      <c r="C126" s="6" t="s">
        <v>43</v>
      </c>
      <c r="D126" s="6" t="s">
        <v>44</v>
      </c>
      <c r="E126" s="6" t="s">
        <v>240</v>
      </c>
      <c r="F126" s="6" t="s">
        <v>46</v>
      </c>
      <c r="G126" s="6" t="s">
        <v>204</v>
      </c>
      <c r="H126" s="7"/>
      <c r="I126" s="5" t="s">
        <v>48</v>
      </c>
      <c r="J126" s="5" t="s">
        <v>48</v>
      </c>
      <c r="AG126" s="15" t="s">
        <v>49</v>
      </c>
      <c r="AH126" s="15"/>
      <c r="AI126" s="15"/>
    </row>
    <row r="127" spans="1:35" s="6" customFormat="1">
      <c r="A127" s="6" t="s">
        <v>657</v>
      </c>
      <c r="B127" s="6" t="s">
        <v>658</v>
      </c>
      <c r="C127" s="6" t="s">
        <v>43</v>
      </c>
      <c r="D127" s="6" t="s">
        <v>44</v>
      </c>
      <c r="E127" s="6" t="s">
        <v>45</v>
      </c>
      <c r="F127" s="6" t="s">
        <v>46</v>
      </c>
      <c r="G127" s="6" t="s">
        <v>204</v>
      </c>
      <c r="H127" s="7"/>
      <c r="I127" s="5" t="s">
        <v>48</v>
      </c>
      <c r="J127" s="5" t="s">
        <v>48</v>
      </c>
      <c r="AG127" s="15" t="s">
        <v>49</v>
      </c>
      <c r="AH127" s="15"/>
      <c r="AI127" s="15"/>
    </row>
    <row r="128" spans="1:35" s="6" customFormat="1">
      <c r="A128" s="6" t="s">
        <v>659</v>
      </c>
      <c r="B128" s="6" t="s">
        <v>626</v>
      </c>
      <c r="C128" s="6" t="s">
        <v>43</v>
      </c>
      <c r="D128" s="6" t="s">
        <v>44</v>
      </c>
      <c r="E128" s="6" t="s">
        <v>45</v>
      </c>
      <c r="F128" s="6" t="s">
        <v>46</v>
      </c>
      <c r="G128" s="6" t="s">
        <v>204</v>
      </c>
      <c r="H128" s="7"/>
      <c r="I128" s="5" t="s">
        <v>48</v>
      </c>
      <c r="J128" s="5" t="s">
        <v>48</v>
      </c>
      <c r="AG128" s="15" t="s">
        <v>49</v>
      </c>
      <c r="AH128" s="15"/>
      <c r="AI128" s="15"/>
    </row>
    <row r="129" spans="1:35" s="6" customFormat="1">
      <c r="A129" s="6" t="s">
        <v>660</v>
      </c>
      <c r="B129" s="6" t="s">
        <v>661</v>
      </c>
      <c r="C129" s="6" t="s">
        <v>43</v>
      </c>
      <c r="D129" s="6" t="s">
        <v>44</v>
      </c>
      <c r="E129" s="6" t="s">
        <v>240</v>
      </c>
      <c r="F129" s="6" t="s">
        <v>46</v>
      </c>
      <c r="G129" s="6" t="s">
        <v>204</v>
      </c>
      <c r="H129" s="7"/>
      <c r="I129" s="5" t="s">
        <v>48</v>
      </c>
      <c r="J129" s="5" t="s">
        <v>48</v>
      </c>
      <c r="AG129" s="15" t="s">
        <v>49</v>
      </c>
      <c r="AH129" s="15"/>
      <c r="AI129" s="15"/>
    </row>
    <row r="130" spans="1:35" s="6" customFormat="1">
      <c r="A130" s="6" t="s">
        <v>662</v>
      </c>
      <c r="B130" s="6" t="s">
        <v>663</v>
      </c>
      <c r="C130" s="6" t="s">
        <v>43</v>
      </c>
      <c r="D130" s="6" t="s">
        <v>44</v>
      </c>
      <c r="E130" s="6" t="s">
        <v>240</v>
      </c>
      <c r="F130" s="6" t="s">
        <v>46</v>
      </c>
      <c r="G130" s="6" t="s">
        <v>204</v>
      </c>
      <c r="H130" s="7"/>
      <c r="I130" s="5" t="s">
        <v>48</v>
      </c>
      <c r="J130" s="5" t="s">
        <v>48</v>
      </c>
      <c r="AG130" s="15" t="s">
        <v>49</v>
      </c>
      <c r="AH130" s="15"/>
      <c r="AI130" s="15"/>
    </row>
    <row r="131" spans="1:35" s="6" customFormat="1">
      <c r="A131" s="6" t="s">
        <v>664</v>
      </c>
      <c r="B131" s="6" t="s">
        <v>665</v>
      </c>
      <c r="C131" s="6" t="s">
        <v>43</v>
      </c>
      <c r="D131" s="6" t="s">
        <v>44</v>
      </c>
      <c r="E131" s="6" t="s">
        <v>45</v>
      </c>
      <c r="F131" s="6" t="s">
        <v>46</v>
      </c>
      <c r="G131" s="6" t="s">
        <v>204</v>
      </c>
      <c r="H131" s="7"/>
      <c r="I131" s="5" t="s">
        <v>48</v>
      </c>
      <c r="J131" s="5" t="s">
        <v>48</v>
      </c>
      <c r="AG131" s="15" t="s">
        <v>49</v>
      </c>
      <c r="AH131" s="15"/>
      <c r="AI131" s="15"/>
    </row>
    <row r="132" spans="1:35" s="6" customFormat="1">
      <c r="A132" s="6" t="s">
        <v>666</v>
      </c>
      <c r="B132" s="6" t="s">
        <v>667</v>
      </c>
      <c r="C132" s="6" t="s">
        <v>43</v>
      </c>
      <c r="D132" s="6" t="s">
        <v>44</v>
      </c>
      <c r="E132" s="6" t="s">
        <v>240</v>
      </c>
      <c r="F132" s="6" t="s">
        <v>46</v>
      </c>
      <c r="G132" s="6" t="s">
        <v>204</v>
      </c>
      <c r="H132" s="7"/>
      <c r="I132" s="5" t="s">
        <v>48</v>
      </c>
      <c r="J132" s="5" t="s">
        <v>48</v>
      </c>
      <c r="AG132" s="15" t="s">
        <v>49</v>
      </c>
      <c r="AH132" s="15"/>
      <c r="AI132" s="15"/>
    </row>
    <row r="133" spans="1:35" s="6" customFormat="1">
      <c r="A133" s="6" t="s">
        <v>668</v>
      </c>
      <c r="B133" s="6" t="s">
        <v>669</v>
      </c>
      <c r="C133" s="6" t="s">
        <v>43</v>
      </c>
      <c r="D133" s="6" t="s">
        <v>44</v>
      </c>
      <c r="E133" s="6" t="s">
        <v>240</v>
      </c>
      <c r="F133" s="6" t="s">
        <v>46</v>
      </c>
      <c r="G133" s="6" t="s">
        <v>204</v>
      </c>
      <c r="H133" s="7"/>
      <c r="I133" s="5" t="s">
        <v>48</v>
      </c>
      <c r="J133" s="5" t="s">
        <v>48</v>
      </c>
      <c r="AG133" s="15" t="s">
        <v>49</v>
      </c>
      <c r="AH133" s="15"/>
      <c r="AI133" s="15"/>
    </row>
    <row r="134" spans="1:35" s="6" customFormat="1">
      <c r="A134" s="6" t="s">
        <v>670</v>
      </c>
      <c r="B134" s="6" t="s">
        <v>671</v>
      </c>
      <c r="C134" s="6" t="s">
        <v>43</v>
      </c>
      <c r="D134" s="6" t="s">
        <v>44</v>
      </c>
      <c r="E134" s="6" t="s">
        <v>45</v>
      </c>
      <c r="F134" s="6" t="s">
        <v>46</v>
      </c>
      <c r="G134" s="6" t="s">
        <v>204</v>
      </c>
      <c r="H134" s="7"/>
      <c r="I134" s="5" t="s">
        <v>48</v>
      </c>
      <c r="J134" s="5" t="s">
        <v>48</v>
      </c>
      <c r="AG134" s="15" t="s">
        <v>49</v>
      </c>
      <c r="AH134" s="15"/>
      <c r="AI134" s="15"/>
    </row>
    <row r="135" spans="1:35" s="6" customFormat="1">
      <c r="A135" s="6" t="s">
        <v>672</v>
      </c>
      <c r="B135" s="6" t="s">
        <v>673</v>
      </c>
      <c r="C135" s="6" t="s">
        <v>43</v>
      </c>
      <c r="D135" s="6" t="s">
        <v>44</v>
      </c>
      <c r="E135" s="6" t="s">
        <v>45</v>
      </c>
      <c r="F135" s="6" t="s">
        <v>46</v>
      </c>
      <c r="G135" s="6" t="s">
        <v>204</v>
      </c>
      <c r="H135" s="7"/>
      <c r="I135" s="5" t="s">
        <v>48</v>
      </c>
      <c r="J135" s="5" t="s">
        <v>48</v>
      </c>
      <c r="AG135" s="15" t="s">
        <v>49</v>
      </c>
      <c r="AH135" s="15"/>
      <c r="AI135" s="15"/>
    </row>
    <row r="136" spans="1:35" s="6" customFormat="1">
      <c r="A136" s="6" t="s">
        <v>674</v>
      </c>
      <c r="B136" s="6" t="s">
        <v>675</v>
      </c>
      <c r="C136" s="6" t="s">
        <v>43</v>
      </c>
      <c r="D136" s="6" t="s">
        <v>44</v>
      </c>
      <c r="E136" s="6" t="s">
        <v>45</v>
      </c>
      <c r="F136" s="6" t="s">
        <v>46</v>
      </c>
      <c r="G136" s="6" t="s">
        <v>204</v>
      </c>
      <c r="H136" s="7"/>
      <c r="I136" s="5" t="s">
        <v>48</v>
      </c>
      <c r="J136" s="5" t="s">
        <v>48</v>
      </c>
      <c r="AG136" s="15" t="s">
        <v>49</v>
      </c>
      <c r="AH136" s="15"/>
      <c r="AI136" s="15"/>
    </row>
    <row r="137" spans="1:35" s="6" customFormat="1">
      <c r="A137" s="6" t="s">
        <v>676</v>
      </c>
      <c r="B137" s="6" t="s">
        <v>677</v>
      </c>
      <c r="C137" s="6" t="s">
        <v>43</v>
      </c>
      <c r="D137" s="6" t="s">
        <v>44</v>
      </c>
      <c r="E137" s="6" t="s">
        <v>45</v>
      </c>
      <c r="F137" s="6" t="s">
        <v>46</v>
      </c>
      <c r="G137" s="6" t="s">
        <v>204</v>
      </c>
      <c r="H137" s="7"/>
      <c r="I137" s="5" t="s">
        <v>48</v>
      </c>
      <c r="J137" s="5" t="s">
        <v>48</v>
      </c>
      <c r="AG137" s="15" t="s">
        <v>49</v>
      </c>
      <c r="AH137" s="15"/>
      <c r="AI137" s="15"/>
    </row>
    <row r="138" spans="1:35" s="6" customFormat="1">
      <c r="A138" s="6" t="s">
        <v>678</v>
      </c>
      <c r="B138" s="6" t="s">
        <v>679</v>
      </c>
      <c r="C138" s="6" t="s">
        <v>43</v>
      </c>
      <c r="D138" s="6" t="s">
        <v>44</v>
      </c>
      <c r="E138" s="6" t="s">
        <v>45</v>
      </c>
      <c r="F138" s="6" t="s">
        <v>46</v>
      </c>
      <c r="G138" s="6" t="s">
        <v>204</v>
      </c>
      <c r="H138" s="7"/>
      <c r="I138" s="5" t="s">
        <v>48</v>
      </c>
      <c r="J138" s="5" t="s">
        <v>48</v>
      </c>
      <c r="AG138" s="15" t="s">
        <v>49</v>
      </c>
      <c r="AH138" s="15"/>
      <c r="AI138" s="15"/>
    </row>
    <row r="139" spans="1:35" s="6" customFormat="1">
      <c r="A139" s="6" t="s">
        <v>680</v>
      </c>
      <c r="B139" s="6" t="s">
        <v>681</v>
      </c>
      <c r="C139" s="6" t="s">
        <v>43</v>
      </c>
      <c r="D139" s="6" t="s">
        <v>44</v>
      </c>
      <c r="E139" s="6" t="s">
        <v>45</v>
      </c>
      <c r="F139" s="6" t="s">
        <v>46</v>
      </c>
      <c r="G139" s="6" t="s">
        <v>204</v>
      </c>
      <c r="H139" s="7"/>
      <c r="I139" s="5" t="s">
        <v>48</v>
      </c>
      <c r="J139" s="5" t="s">
        <v>48</v>
      </c>
      <c r="AG139" s="15" t="s">
        <v>49</v>
      </c>
      <c r="AH139" s="15"/>
      <c r="AI139" s="15"/>
    </row>
    <row r="140" spans="1:35" s="6" customFormat="1">
      <c r="A140" s="6" t="s">
        <v>682</v>
      </c>
      <c r="B140" s="6" t="s">
        <v>683</v>
      </c>
      <c r="C140" s="6" t="s">
        <v>43</v>
      </c>
      <c r="D140" s="6" t="s">
        <v>44</v>
      </c>
      <c r="E140" s="6" t="s">
        <v>45</v>
      </c>
      <c r="F140" s="6" t="s">
        <v>46</v>
      </c>
      <c r="G140" s="6" t="s">
        <v>204</v>
      </c>
      <c r="H140" s="7"/>
      <c r="I140" s="5" t="s">
        <v>48</v>
      </c>
      <c r="J140" s="5" t="s">
        <v>48</v>
      </c>
      <c r="AG140" s="15" t="s">
        <v>49</v>
      </c>
      <c r="AH140" s="15"/>
      <c r="AI140" s="15"/>
    </row>
    <row r="141" spans="1:35" s="6" customFormat="1">
      <c r="A141" s="6" t="s">
        <v>684</v>
      </c>
      <c r="B141" s="6" t="s">
        <v>685</v>
      </c>
      <c r="C141" s="6" t="s">
        <v>43</v>
      </c>
      <c r="D141" s="6" t="s">
        <v>44</v>
      </c>
      <c r="E141" s="6" t="s">
        <v>45</v>
      </c>
      <c r="F141" s="6" t="s">
        <v>46</v>
      </c>
      <c r="G141" s="6" t="s">
        <v>204</v>
      </c>
      <c r="H141" s="7"/>
      <c r="I141" s="5" t="s">
        <v>48</v>
      </c>
      <c r="J141" s="5" t="s">
        <v>48</v>
      </c>
      <c r="AG141" s="15" t="s">
        <v>49</v>
      </c>
      <c r="AH141" s="15"/>
      <c r="AI141" s="15"/>
    </row>
    <row r="142" spans="1:35" s="6" customFormat="1">
      <c r="A142" s="6" t="s">
        <v>686</v>
      </c>
      <c r="B142" s="6" t="s">
        <v>687</v>
      </c>
      <c r="C142" s="6" t="s">
        <v>43</v>
      </c>
      <c r="D142" s="6" t="s">
        <v>44</v>
      </c>
      <c r="E142" s="6" t="s">
        <v>45</v>
      </c>
      <c r="F142" s="6" t="s">
        <v>46</v>
      </c>
      <c r="G142" s="6" t="s">
        <v>204</v>
      </c>
      <c r="H142" s="7"/>
      <c r="I142" s="5" t="s">
        <v>48</v>
      </c>
      <c r="J142" s="5" t="s">
        <v>48</v>
      </c>
      <c r="AG142" s="15" t="s">
        <v>49</v>
      </c>
      <c r="AH142" s="15"/>
      <c r="AI142" s="15"/>
    </row>
    <row r="143" spans="1:35" s="6" customFormat="1">
      <c r="A143" s="6" t="s">
        <v>688</v>
      </c>
      <c r="B143" s="6" t="s">
        <v>689</v>
      </c>
      <c r="C143" s="6" t="s">
        <v>43</v>
      </c>
      <c r="D143" s="6" t="s">
        <v>44</v>
      </c>
      <c r="E143" s="6" t="s">
        <v>45</v>
      </c>
      <c r="F143" s="6" t="s">
        <v>46</v>
      </c>
      <c r="G143" s="6" t="s">
        <v>204</v>
      </c>
      <c r="H143" s="7"/>
      <c r="I143" s="5" t="s">
        <v>48</v>
      </c>
      <c r="J143" s="5" t="s">
        <v>48</v>
      </c>
      <c r="AG143" s="15" t="s">
        <v>49</v>
      </c>
      <c r="AH143" s="15"/>
      <c r="AI143" s="15"/>
    </row>
    <row r="144" spans="1:35" s="6" customFormat="1">
      <c r="A144" s="6" t="s">
        <v>690</v>
      </c>
      <c r="B144" s="6" t="s">
        <v>691</v>
      </c>
      <c r="C144" s="6" t="s">
        <v>43</v>
      </c>
      <c r="D144" s="6" t="s">
        <v>44</v>
      </c>
      <c r="E144" s="6" t="s">
        <v>240</v>
      </c>
      <c r="F144" s="6" t="s">
        <v>46</v>
      </c>
      <c r="G144" s="6" t="s">
        <v>204</v>
      </c>
      <c r="H144" s="7"/>
      <c r="I144" s="5" t="s">
        <v>48</v>
      </c>
      <c r="J144" s="5" t="s">
        <v>48</v>
      </c>
      <c r="AG144" s="15" t="s">
        <v>55</v>
      </c>
      <c r="AH144" s="15"/>
      <c r="AI144" s="15"/>
    </row>
    <row r="145" spans="1:35" s="6" customFormat="1">
      <c r="A145" s="6" t="s">
        <v>692</v>
      </c>
      <c r="B145" s="6" t="s">
        <v>693</v>
      </c>
      <c r="C145" s="6" t="s">
        <v>43</v>
      </c>
      <c r="D145" s="6" t="s">
        <v>44</v>
      </c>
      <c r="E145" s="6" t="s">
        <v>45</v>
      </c>
      <c r="F145" s="6" t="s">
        <v>46</v>
      </c>
      <c r="G145" s="6" t="s">
        <v>204</v>
      </c>
      <c r="H145" s="7"/>
      <c r="I145" s="5" t="s">
        <v>48</v>
      </c>
      <c r="J145" s="5" t="s">
        <v>48</v>
      </c>
      <c r="AG145" s="15" t="s">
        <v>49</v>
      </c>
      <c r="AH145" s="15"/>
      <c r="AI145" s="15"/>
    </row>
    <row r="146" spans="1:35" s="6" customFormat="1">
      <c r="A146" s="6" t="s">
        <v>694</v>
      </c>
      <c r="B146" s="6" t="s">
        <v>695</v>
      </c>
      <c r="C146" s="6" t="s">
        <v>43</v>
      </c>
      <c r="D146" s="6" t="s">
        <v>44</v>
      </c>
      <c r="E146" s="6" t="s">
        <v>240</v>
      </c>
      <c r="F146" s="6" t="s">
        <v>46</v>
      </c>
      <c r="G146" s="6" t="s">
        <v>204</v>
      </c>
      <c r="H146" s="7"/>
      <c r="I146" s="5" t="s">
        <v>48</v>
      </c>
      <c r="J146" s="5" t="s">
        <v>48</v>
      </c>
      <c r="AG146" s="15" t="s">
        <v>49</v>
      </c>
      <c r="AH146" s="15"/>
      <c r="AI146" s="15"/>
    </row>
    <row r="147" spans="1:35" s="6" customFormat="1">
      <c r="A147" s="6" t="s">
        <v>696</v>
      </c>
      <c r="B147" s="6" t="s">
        <v>697</v>
      </c>
      <c r="C147" s="6" t="s">
        <v>43</v>
      </c>
      <c r="D147" s="6" t="s">
        <v>44</v>
      </c>
      <c r="E147" s="6" t="s">
        <v>240</v>
      </c>
      <c r="F147" s="6" t="s">
        <v>46</v>
      </c>
      <c r="G147" s="6" t="s">
        <v>204</v>
      </c>
      <c r="H147" s="7"/>
      <c r="I147" s="5" t="s">
        <v>48</v>
      </c>
      <c r="J147" s="5" t="s">
        <v>48</v>
      </c>
      <c r="AG147" s="15" t="s">
        <v>49</v>
      </c>
      <c r="AH147" s="15"/>
      <c r="AI147" s="15"/>
    </row>
    <row r="148" spans="1:35" s="6" customFormat="1">
      <c r="A148" s="6" t="s">
        <v>698</v>
      </c>
      <c r="B148" s="6" t="s">
        <v>699</v>
      </c>
      <c r="C148" s="6" t="s">
        <v>43</v>
      </c>
      <c r="D148" s="6" t="s">
        <v>44</v>
      </c>
      <c r="E148" s="6" t="s">
        <v>240</v>
      </c>
      <c r="F148" s="6" t="s">
        <v>46</v>
      </c>
      <c r="G148" s="6" t="s">
        <v>204</v>
      </c>
      <c r="H148" s="7"/>
      <c r="I148" s="5" t="s">
        <v>48</v>
      </c>
      <c r="J148" s="5" t="s">
        <v>48</v>
      </c>
      <c r="AG148" s="15" t="s">
        <v>49</v>
      </c>
      <c r="AH148" s="15"/>
      <c r="AI148" s="15"/>
    </row>
    <row r="149" spans="1:35" s="6" customFormat="1">
      <c r="A149" s="6" t="s">
        <v>700</v>
      </c>
      <c r="B149" s="6" t="s">
        <v>701</v>
      </c>
      <c r="C149" s="6" t="s">
        <v>43</v>
      </c>
      <c r="D149" s="6" t="s">
        <v>44</v>
      </c>
      <c r="E149" s="6" t="s">
        <v>240</v>
      </c>
      <c r="F149" s="6" t="s">
        <v>46</v>
      </c>
      <c r="G149" s="6" t="s">
        <v>204</v>
      </c>
      <c r="H149" s="7"/>
      <c r="I149" s="5" t="s">
        <v>48</v>
      </c>
      <c r="J149" s="5" t="s">
        <v>48</v>
      </c>
      <c r="AG149" s="15" t="s">
        <v>49</v>
      </c>
      <c r="AH149" s="15"/>
      <c r="AI149" s="15"/>
    </row>
    <row r="150" spans="1:35" s="6" customFormat="1">
      <c r="A150" s="6" t="s">
        <v>702</v>
      </c>
      <c r="B150" s="6" t="s">
        <v>703</v>
      </c>
      <c r="C150" s="6" t="s">
        <v>43</v>
      </c>
      <c r="D150" s="6" t="s">
        <v>44</v>
      </c>
      <c r="E150" s="6" t="s">
        <v>45</v>
      </c>
      <c r="F150" s="6" t="s">
        <v>46</v>
      </c>
      <c r="G150" s="6" t="s">
        <v>204</v>
      </c>
      <c r="H150" s="7"/>
      <c r="I150" s="5" t="s">
        <v>48</v>
      </c>
      <c r="J150" s="5" t="s">
        <v>48</v>
      </c>
      <c r="AG150" s="15" t="s">
        <v>49</v>
      </c>
      <c r="AH150" s="15"/>
      <c r="AI150" s="15"/>
    </row>
    <row r="151" spans="1:35" s="6" customFormat="1">
      <c r="A151" s="6" t="s">
        <v>704</v>
      </c>
      <c r="B151" s="6" t="s">
        <v>705</v>
      </c>
      <c r="C151" s="6" t="s">
        <v>43</v>
      </c>
      <c r="D151" s="6" t="s">
        <v>44</v>
      </c>
      <c r="E151" s="6" t="s">
        <v>240</v>
      </c>
      <c r="F151" s="6" t="s">
        <v>46</v>
      </c>
      <c r="G151" s="6" t="s">
        <v>204</v>
      </c>
      <c r="H151" s="7"/>
      <c r="I151" s="5" t="s">
        <v>48</v>
      </c>
      <c r="J151" s="5" t="s">
        <v>48</v>
      </c>
      <c r="AG151" s="15" t="s">
        <v>49</v>
      </c>
      <c r="AH151" s="15"/>
      <c r="AI151" s="15"/>
    </row>
    <row r="152" spans="1:35" s="6" customFormat="1">
      <c r="A152" s="6" t="s">
        <v>706</v>
      </c>
      <c r="B152" s="6" t="s">
        <v>707</v>
      </c>
      <c r="C152" s="6" t="s">
        <v>43</v>
      </c>
      <c r="D152" s="6" t="s">
        <v>44</v>
      </c>
      <c r="E152" s="6" t="s">
        <v>45</v>
      </c>
      <c r="F152" s="6" t="s">
        <v>46</v>
      </c>
      <c r="G152" s="6" t="s">
        <v>204</v>
      </c>
      <c r="H152" s="7"/>
      <c r="I152" s="5" t="s">
        <v>48</v>
      </c>
      <c r="J152" s="5" t="s">
        <v>48</v>
      </c>
      <c r="AG152" s="15" t="s">
        <v>49</v>
      </c>
      <c r="AH152" s="15"/>
      <c r="AI152" s="15"/>
    </row>
    <row r="153" spans="1:35" s="6" customFormat="1">
      <c r="A153" s="6" t="s">
        <v>708</v>
      </c>
      <c r="B153" s="6" t="s">
        <v>703</v>
      </c>
      <c r="C153" s="6" t="s">
        <v>43</v>
      </c>
      <c r="D153" s="6" t="s">
        <v>44</v>
      </c>
      <c r="E153" s="6" t="s">
        <v>45</v>
      </c>
      <c r="F153" s="6" t="s">
        <v>46</v>
      </c>
      <c r="G153" s="6" t="s">
        <v>204</v>
      </c>
      <c r="H153" s="7"/>
      <c r="I153" s="5" t="s">
        <v>48</v>
      </c>
      <c r="J153" s="5" t="s">
        <v>48</v>
      </c>
      <c r="AG153" s="15" t="s">
        <v>49</v>
      </c>
      <c r="AH153" s="15"/>
      <c r="AI153" s="15"/>
    </row>
    <row r="154" spans="1:35" s="6" customFormat="1">
      <c r="A154" s="6" t="s">
        <v>709</v>
      </c>
      <c r="B154" s="6" t="s">
        <v>710</v>
      </c>
      <c r="C154" s="6" t="s">
        <v>43</v>
      </c>
      <c r="D154" s="6" t="s">
        <v>44</v>
      </c>
      <c r="E154" s="6" t="s">
        <v>240</v>
      </c>
      <c r="F154" s="6" t="s">
        <v>46</v>
      </c>
      <c r="G154" s="6" t="s">
        <v>204</v>
      </c>
      <c r="H154" s="7"/>
      <c r="I154" s="5" t="s">
        <v>48</v>
      </c>
      <c r="J154" s="5" t="s">
        <v>48</v>
      </c>
      <c r="AG154" s="15" t="s">
        <v>49</v>
      </c>
      <c r="AH154" s="15"/>
      <c r="AI154" s="15"/>
    </row>
    <row r="155" spans="1:35" s="6" customFormat="1">
      <c r="A155" s="6" t="s">
        <v>711</v>
      </c>
      <c r="B155" s="6" t="s">
        <v>712</v>
      </c>
      <c r="C155" s="6" t="s">
        <v>43</v>
      </c>
      <c r="D155" s="6" t="s">
        <v>44</v>
      </c>
      <c r="E155" s="6" t="s">
        <v>240</v>
      </c>
      <c r="F155" s="6" t="s">
        <v>46</v>
      </c>
      <c r="G155" s="6" t="s">
        <v>204</v>
      </c>
      <c r="H155" s="7"/>
      <c r="I155" s="5" t="s">
        <v>48</v>
      </c>
      <c r="J155" s="5" t="s">
        <v>48</v>
      </c>
      <c r="AG155" s="15" t="s">
        <v>49</v>
      </c>
      <c r="AH155" s="15"/>
      <c r="AI155" s="15"/>
    </row>
    <row r="156" spans="1:35" s="6" customFormat="1">
      <c r="A156" s="6" t="s">
        <v>713</v>
      </c>
      <c r="B156" s="6" t="s">
        <v>714</v>
      </c>
      <c r="C156" s="6" t="s">
        <v>43</v>
      </c>
      <c r="D156" s="6" t="s">
        <v>44</v>
      </c>
      <c r="E156" s="6" t="s">
        <v>240</v>
      </c>
      <c r="F156" s="6" t="s">
        <v>46</v>
      </c>
      <c r="G156" s="6" t="s">
        <v>204</v>
      </c>
      <c r="H156" s="7"/>
      <c r="I156" s="5" t="s">
        <v>48</v>
      </c>
      <c r="J156" s="5" t="s">
        <v>48</v>
      </c>
      <c r="AG156" s="15" t="s">
        <v>49</v>
      </c>
      <c r="AH156" s="15"/>
      <c r="AI156" s="15"/>
    </row>
    <row r="157" spans="1:35" s="6" customFormat="1">
      <c r="A157" s="6" t="s">
        <v>715</v>
      </c>
      <c r="B157" s="6" t="s">
        <v>716</v>
      </c>
      <c r="C157" s="6" t="s">
        <v>43</v>
      </c>
      <c r="D157" s="6" t="s">
        <v>44</v>
      </c>
      <c r="E157" s="6" t="s">
        <v>45</v>
      </c>
      <c r="F157" s="6" t="s">
        <v>46</v>
      </c>
      <c r="G157" s="6" t="s">
        <v>204</v>
      </c>
      <c r="H157" s="7"/>
      <c r="I157" s="5" t="s">
        <v>48</v>
      </c>
      <c r="J157" s="5" t="s">
        <v>48</v>
      </c>
      <c r="AG157" s="15" t="s">
        <v>49</v>
      </c>
      <c r="AH157" s="15"/>
      <c r="AI157" s="15"/>
    </row>
    <row r="158" spans="1:35" s="6" customFormat="1">
      <c r="A158" s="6" t="s">
        <v>717</v>
      </c>
      <c r="B158" s="6" t="s">
        <v>718</v>
      </c>
      <c r="C158" s="6" t="s">
        <v>43</v>
      </c>
      <c r="D158" s="6" t="s">
        <v>44</v>
      </c>
      <c r="E158" s="6" t="s">
        <v>45</v>
      </c>
      <c r="F158" s="6" t="s">
        <v>46</v>
      </c>
      <c r="G158" s="6" t="s">
        <v>204</v>
      </c>
      <c r="H158" s="7"/>
      <c r="I158" s="5" t="s">
        <v>48</v>
      </c>
      <c r="J158" s="5" t="s">
        <v>48</v>
      </c>
      <c r="AG158" s="15" t="s">
        <v>49</v>
      </c>
      <c r="AH158" s="15"/>
      <c r="AI158" s="15"/>
    </row>
    <row r="159" spans="1:35" s="6" customFormat="1">
      <c r="A159" s="6" t="s">
        <v>719</v>
      </c>
      <c r="B159" s="6" t="s">
        <v>720</v>
      </c>
      <c r="C159" s="6" t="s">
        <v>43</v>
      </c>
      <c r="D159" s="6" t="s">
        <v>44</v>
      </c>
      <c r="E159" s="6" t="s">
        <v>45</v>
      </c>
      <c r="F159" s="6" t="s">
        <v>46</v>
      </c>
      <c r="G159" s="6" t="s">
        <v>204</v>
      </c>
      <c r="H159" s="7"/>
      <c r="I159" s="5" t="s">
        <v>48</v>
      </c>
      <c r="J159" s="5" t="s">
        <v>48</v>
      </c>
      <c r="AG159" s="15" t="s">
        <v>49</v>
      </c>
      <c r="AH159" s="15"/>
      <c r="AI159" s="15"/>
    </row>
    <row r="160" spans="1:35" s="6" customFormat="1">
      <c r="A160" s="6" t="s">
        <v>721</v>
      </c>
      <c r="B160" s="6" t="s">
        <v>722</v>
      </c>
      <c r="C160" s="6" t="s">
        <v>43</v>
      </c>
      <c r="D160" s="6" t="s">
        <v>44</v>
      </c>
      <c r="E160" s="6" t="s">
        <v>45</v>
      </c>
      <c r="F160" s="6" t="s">
        <v>46</v>
      </c>
      <c r="G160" s="6" t="s">
        <v>204</v>
      </c>
      <c r="H160" s="7"/>
      <c r="I160" s="5" t="s">
        <v>48</v>
      </c>
      <c r="J160" s="5" t="s">
        <v>48</v>
      </c>
      <c r="AG160" s="15" t="s">
        <v>49</v>
      </c>
      <c r="AH160" s="15"/>
      <c r="AI160" s="15"/>
    </row>
    <row r="161" spans="1:35" s="6" customFormat="1">
      <c r="A161" s="6" t="s">
        <v>723</v>
      </c>
      <c r="B161" s="6" t="s">
        <v>724</v>
      </c>
      <c r="C161" s="6" t="s">
        <v>43</v>
      </c>
      <c r="D161" s="6" t="s">
        <v>44</v>
      </c>
      <c r="E161" s="6" t="s">
        <v>240</v>
      </c>
      <c r="F161" s="6" t="s">
        <v>46</v>
      </c>
      <c r="G161" s="6" t="s">
        <v>204</v>
      </c>
      <c r="H161" s="7"/>
      <c r="I161" s="5" t="s">
        <v>48</v>
      </c>
      <c r="J161" s="5" t="s">
        <v>48</v>
      </c>
      <c r="AG161" s="15" t="s">
        <v>49</v>
      </c>
      <c r="AH161" s="15"/>
      <c r="AI161" s="15"/>
    </row>
    <row r="162" spans="1:35" s="6" customFormat="1">
      <c r="A162" s="6" t="s">
        <v>725</v>
      </c>
      <c r="B162" s="6" t="s">
        <v>726</v>
      </c>
      <c r="C162" s="6" t="s">
        <v>43</v>
      </c>
      <c r="D162" s="6" t="s">
        <v>44</v>
      </c>
      <c r="E162" s="6" t="s">
        <v>45</v>
      </c>
      <c r="F162" s="6" t="s">
        <v>46</v>
      </c>
      <c r="G162" s="6" t="s">
        <v>204</v>
      </c>
      <c r="H162" s="7"/>
      <c r="I162" s="5" t="s">
        <v>48</v>
      </c>
      <c r="J162" s="5" t="s">
        <v>48</v>
      </c>
      <c r="AG162" s="15" t="s">
        <v>49</v>
      </c>
      <c r="AH162" s="15"/>
      <c r="AI162" s="15"/>
    </row>
    <row r="163" spans="1:35" s="6" customFormat="1">
      <c r="A163" s="6" t="s">
        <v>727</v>
      </c>
      <c r="B163" s="6" t="s">
        <v>728</v>
      </c>
      <c r="C163" s="6" t="s">
        <v>43</v>
      </c>
      <c r="D163" s="6" t="s">
        <v>44</v>
      </c>
      <c r="E163" s="6" t="s">
        <v>45</v>
      </c>
      <c r="F163" s="6" t="s">
        <v>46</v>
      </c>
      <c r="G163" s="6" t="s">
        <v>204</v>
      </c>
      <c r="H163" s="7"/>
      <c r="I163" s="5" t="s">
        <v>48</v>
      </c>
      <c r="J163" s="5" t="s">
        <v>48</v>
      </c>
      <c r="AG163" s="15" t="s">
        <v>49</v>
      </c>
      <c r="AH163" s="15"/>
      <c r="AI163" s="15"/>
    </row>
    <row r="164" spans="1:35" s="6" customFormat="1">
      <c r="A164" s="6" t="s">
        <v>729</v>
      </c>
      <c r="B164" s="6" t="s">
        <v>730</v>
      </c>
      <c r="C164" s="6" t="s">
        <v>43</v>
      </c>
      <c r="D164" s="6" t="s">
        <v>44</v>
      </c>
      <c r="E164" s="6" t="s">
        <v>45</v>
      </c>
      <c r="F164" s="6" t="s">
        <v>46</v>
      </c>
      <c r="G164" s="6" t="s">
        <v>204</v>
      </c>
      <c r="H164" s="7"/>
      <c r="I164" s="5" t="s">
        <v>48</v>
      </c>
      <c r="J164" s="5" t="s">
        <v>48</v>
      </c>
      <c r="AG164" s="15" t="s">
        <v>49</v>
      </c>
      <c r="AH164" s="15"/>
      <c r="AI164" s="15"/>
    </row>
    <row r="165" spans="1:35" s="6" customFormat="1">
      <c r="A165" s="6" t="s">
        <v>731</v>
      </c>
      <c r="B165" s="6" t="s">
        <v>732</v>
      </c>
      <c r="C165" s="6" t="s">
        <v>43</v>
      </c>
      <c r="D165" s="6" t="s">
        <v>44</v>
      </c>
      <c r="E165" s="6" t="s">
        <v>45</v>
      </c>
      <c r="F165" s="6" t="s">
        <v>46</v>
      </c>
      <c r="G165" s="6" t="s">
        <v>204</v>
      </c>
      <c r="H165" s="7"/>
      <c r="I165" s="5" t="s">
        <v>48</v>
      </c>
      <c r="J165" s="5" t="s">
        <v>48</v>
      </c>
      <c r="AG165" s="15" t="s">
        <v>49</v>
      </c>
      <c r="AH165" s="15"/>
      <c r="AI165" s="15"/>
    </row>
    <row r="166" spans="1:35" s="6" customFormat="1">
      <c r="A166" s="6" t="s">
        <v>733</v>
      </c>
      <c r="B166" s="6" t="s">
        <v>734</v>
      </c>
      <c r="C166" s="6" t="s">
        <v>43</v>
      </c>
      <c r="D166" s="6" t="s">
        <v>44</v>
      </c>
      <c r="E166" s="6" t="s">
        <v>45</v>
      </c>
      <c r="F166" s="6" t="s">
        <v>46</v>
      </c>
      <c r="G166" s="6" t="s">
        <v>204</v>
      </c>
      <c r="H166" s="7"/>
      <c r="I166" s="5" t="s">
        <v>48</v>
      </c>
      <c r="J166" s="5" t="s">
        <v>48</v>
      </c>
      <c r="AG166" s="15" t="s">
        <v>49</v>
      </c>
      <c r="AH166" s="15"/>
      <c r="AI166" s="15"/>
    </row>
    <row r="167" spans="1:35" s="6" customFormat="1">
      <c r="A167" s="6" t="s">
        <v>735</v>
      </c>
      <c r="B167" s="6" t="s">
        <v>736</v>
      </c>
      <c r="C167" s="6" t="s">
        <v>43</v>
      </c>
      <c r="D167" s="6" t="s">
        <v>44</v>
      </c>
      <c r="E167" s="6" t="s">
        <v>45</v>
      </c>
      <c r="F167" s="6" t="s">
        <v>46</v>
      </c>
      <c r="G167" s="6" t="s">
        <v>246</v>
      </c>
      <c r="H167" s="7"/>
      <c r="I167" s="5" t="s">
        <v>48</v>
      </c>
      <c r="J167" s="5" t="s">
        <v>48</v>
      </c>
      <c r="AG167" s="15" t="s">
        <v>49</v>
      </c>
      <c r="AH167" s="15"/>
      <c r="AI167" s="15"/>
    </row>
    <row r="168" spans="1:35" s="6" customFormat="1">
      <c r="A168" s="6" t="s">
        <v>737</v>
      </c>
      <c r="B168" s="6" t="s">
        <v>738</v>
      </c>
      <c r="C168" s="6" t="s">
        <v>43</v>
      </c>
      <c r="D168" s="6" t="s">
        <v>44</v>
      </c>
      <c r="E168" s="6" t="s">
        <v>45</v>
      </c>
      <c r="F168" s="6" t="s">
        <v>46</v>
      </c>
      <c r="G168" s="6" t="s">
        <v>204</v>
      </c>
      <c r="H168" s="7"/>
      <c r="I168" s="5" t="s">
        <v>48</v>
      </c>
      <c r="J168" s="5" t="s">
        <v>48</v>
      </c>
      <c r="AG168" s="15" t="s">
        <v>49</v>
      </c>
      <c r="AH168" s="15"/>
      <c r="AI168" s="15"/>
    </row>
    <row r="169" spans="1:35" s="6" customFormat="1">
      <c r="A169" s="6" t="s">
        <v>739</v>
      </c>
      <c r="B169" s="6" t="s">
        <v>740</v>
      </c>
      <c r="C169" s="6" t="s">
        <v>43</v>
      </c>
      <c r="D169" s="6" t="s">
        <v>44</v>
      </c>
      <c r="E169" s="6" t="s">
        <v>45</v>
      </c>
      <c r="F169" s="6" t="s">
        <v>46</v>
      </c>
      <c r="G169" s="6" t="s">
        <v>204</v>
      </c>
      <c r="H169" s="7"/>
      <c r="I169" s="5" t="s">
        <v>48</v>
      </c>
      <c r="J169" s="5" t="s">
        <v>48</v>
      </c>
      <c r="AG169" s="15" t="s">
        <v>49</v>
      </c>
      <c r="AH169" s="15"/>
      <c r="AI169" s="15"/>
    </row>
    <row r="170" spans="1:35" s="6" customFormat="1">
      <c r="A170" s="6" t="s">
        <v>741</v>
      </c>
      <c r="B170" s="6" t="s">
        <v>742</v>
      </c>
      <c r="C170" s="6" t="s">
        <v>43</v>
      </c>
      <c r="D170" s="6" t="s">
        <v>44</v>
      </c>
      <c r="E170" s="6" t="s">
        <v>45</v>
      </c>
      <c r="F170" s="6" t="s">
        <v>46</v>
      </c>
      <c r="G170" s="6" t="s">
        <v>204</v>
      </c>
      <c r="H170" s="7"/>
      <c r="I170" s="5" t="s">
        <v>48</v>
      </c>
      <c r="J170" s="5" t="s">
        <v>48</v>
      </c>
      <c r="AG170" s="15" t="s">
        <v>49</v>
      </c>
      <c r="AH170" s="15"/>
      <c r="AI170" s="15"/>
    </row>
    <row r="171" spans="1:35" s="6" customFormat="1">
      <c r="A171" s="6" t="s">
        <v>743</v>
      </c>
      <c r="B171" s="6" t="s">
        <v>744</v>
      </c>
      <c r="C171" s="6" t="s">
        <v>43</v>
      </c>
      <c r="D171" s="6" t="s">
        <v>44</v>
      </c>
      <c r="E171" s="6" t="s">
        <v>45</v>
      </c>
      <c r="F171" s="6" t="s">
        <v>46</v>
      </c>
      <c r="G171" s="6" t="s">
        <v>204</v>
      </c>
      <c r="H171" s="7"/>
      <c r="I171" s="5" t="s">
        <v>48</v>
      </c>
      <c r="J171" s="5" t="s">
        <v>48</v>
      </c>
      <c r="AG171" s="15" t="s">
        <v>49</v>
      </c>
      <c r="AH171" s="15"/>
      <c r="AI171" s="15"/>
    </row>
    <row r="172" spans="1:35" s="6" customFormat="1">
      <c r="A172" s="6" t="s">
        <v>745</v>
      </c>
      <c r="B172" s="6" t="s">
        <v>746</v>
      </c>
      <c r="C172" s="6" t="s">
        <v>43</v>
      </c>
      <c r="D172" s="6" t="s">
        <v>44</v>
      </c>
      <c r="E172" s="6" t="s">
        <v>45</v>
      </c>
      <c r="F172" s="6" t="s">
        <v>46</v>
      </c>
      <c r="G172" s="6" t="s">
        <v>246</v>
      </c>
      <c r="H172" s="7"/>
      <c r="I172" s="5" t="s">
        <v>48</v>
      </c>
      <c r="J172" s="5" t="s">
        <v>48</v>
      </c>
      <c r="AG172" s="15" t="s">
        <v>49</v>
      </c>
      <c r="AH172" s="15"/>
      <c r="AI172" s="15"/>
    </row>
    <row r="173" spans="1:35" s="6" customFormat="1">
      <c r="A173" s="6" t="s">
        <v>747</v>
      </c>
      <c r="B173" s="6" t="s">
        <v>748</v>
      </c>
      <c r="C173" s="6" t="s">
        <v>43</v>
      </c>
      <c r="D173" s="6" t="s">
        <v>44</v>
      </c>
      <c r="E173" s="6" t="s">
        <v>45</v>
      </c>
      <c r="F173" s="6" t="s">
        <v>46</v>
      </c>
      <c r="G173" s="6" t="s">
        <v>204</v>
      </c>
      <c r="H173" s="7"/>
      <c r="I173" s="5" t="s">
        <v>48</v>
      </c>
      <c r="J173" s="5" t="s">
        <v>48</v>
      </c>
      <c r="AG173" s="15" t="s">
        <v>49</v>
      </c>
      <c r="AH173" s="15"/>
      <c r="AI173" s="15"/>
    </row>
    <row r="174" spans="1:35" s="6" customFormat="1">
      <c r="A174" s="6" t="s">
        <v>749</v>
      </c>
      <c r="B174" s="6" t="s">
        <v>750</v>
      </c>
      <c r="C174" s="6" t="s">
        <v>43</v>
      </c>
      <c r="D174" s="6" t="s">
        <v>44</v>
      </c>
      <c r="E174" s="6" t="s">
        <v>45</v>
      </c>
      <c r="F174" s="6" t="s">
        <v>46</v>
      </c>
      <c r="G174" s="6" t="s">
        <v>204</v>
      </c>
      <c r="H174" s="7"/>
      <c r="I174" s="5" t="s">
        <v>48</v>
      </c>
      <c r="J174" s="5" t="s">
        <v>48</v>
      </c>
      <c r="AG174" s="15" t="s">
        <v>49</v>
      </c>
      <c r="AH174" s="15"/>
      <c r="AI174" s="15"/>
    </row>
    <row r="175" spans="1:35" s="6" customFormat="1">
      <c r="A175" s="6" t="s">
        <v>751</v>
      </c>
      <c r="B175" s="6" t="s">
        <v>752</v>
      </c>
      <c r="C175" s="6" t="s">
        <v>43</v>
      </c>
      <c r="D175" s="6" t="s">
        <v>44</v>
      </c>
      <c r="E175" s="6" t="s">
        <v>240</v>
      </c>
      <c r="F175" s="6" t="s">
        <v>46</v>
      </c>
      <c r="G175" s="6" t="s">
        <v>204</v>
      </c>
      <c r="H175" s="7"/>
      <c r="I175" s="5" t="s">
        <v>48</v>
      </c>
      <c r="J175" s="5" t="s">
        <v>48</v>
      </c>
      <c r="AG175" s="15" t="s">
        <v>49</v>
      </c>
      <c r="AH175" s="15"/>
      <c r="AI175" s="15"/>
    </row>
    <row r="176" spans="1:35" s="6" customFormat="1">
      <c r="A176" s="6" t="s">
        <v>753</v>
      </c>
      <c r="B176" s="6" t="s">
        <v>754</v>
      </c>
      <c r="C176" s="6" t="s">
        <v>43</v>
      </c>
      <c r="D176" s="6" t="s">
        <v>44</v>
      </c>
      <c r="E176" s="6" t="s">
        <v>45</v>
      </c>
      <c r="F176" s="6" t="s">
        <v>46</v>
      </c>
      <c r="G176" s="6" t="s">
        <v>204</v>
      </c>
      <c r="H176" s="7"/>
      <c r="I176" s="5" t="s">
        <v>48</v>
      </c>
      <c r="J176" s="5" t="s">
        <v>48</v>
      </c>
      <c r="AG176" s="15" t="s">
        <v>49</v>
      </c>
      <c r="AH176" s="15"/>
      <c r="AI176" s="15"/>
    </row>
    <row r="177" spans="1:35" s="6" customFormat="1">
      <c r="A177" s="6" t="s">
        <v>755</v>
      </c>
      <c r="B177" s="6" t="s">
        <v>756</v>
      </c>
      <c r="C177" s="6" t="s">
        <v>43</v>
      </c>
      <c r="D177" s="6" t="s">
        <v>44</v>
      </c>
      <c r="E177" s="6" t="s">
        <v>757</v>
      </c>
      <c r="F177" s="6" t="s">
        <v>46</v>
      </c>
      <c r="G177" s="6" t="s">
        <v>204</v>
      </c>
      <c r="H177" s="7"/>
      <c r="I177" s="5" t="s">
        <v>48</v>
      </c>
      <c r="J177" s="5" t="s">
        <v>48</v>
      </c>
      <c r="AG177" s="15" t="s">
        <v>49</v>
      </c>
      <c r="AH177" s="15"/>
      <c r="AI177" s="15"/>
    </row>
    <row r="178" spans="1:35" s="6" customFormat="1">
      <c r="A178" s="6" t="s">
        <v>758</v>
      </c>
      <c r="B178" s="6" t="s">
        <v>759</v>
      </c>
      <c r="C178" s="6" t="s">
        <v>43</v>
      </c>
      <c r="D178" s="6" t="s">
        <v>44</v>
      </c>
      <c r="E178" s="6" t="s">
        <v>757</v>
      </c>
      <c r="F178" s="6" t="s">
        <v>46</v>
      </c>
      <c r="G178" s="6" t="s">
        <v>204</v>
      </c>
      <c r="H178" s="7"/>
      <c r="I178" s="5" t="s">
        <v>48</v>
      </c>
      <c r="J178" s="5" t="s">
        <v>48</v>
      </c>
      <c r="AG178" s="15" t="s">
        <v>49</v>
      </c>
      <c r="AH178" s="15"/>
      <c r="AI178" s="15"/>
    </row>
    <row r="179" spans="1:35" s="6" customFormat="1">
      <c r="A179" s="6" t="s">
        <v>760</v>
      </c>
      <c r="B179" s="6" t="s">
        <v>761</v>
      </c>
      <c r="C179" s="6" t="s">
        <v>43</v>
      </c>
      <c r="D179" s="6" t="s">
        <v>44</v>
      </c>
      <c r="E179" s="6" t="s">
        <v>757</v>
      </c>
      <c r="F179" s="6" t="s">
        <v>46</v>
      </c>
      <c r="G179" s="6" t="s">
        <v>204</v>
      </c>
      <c r="H179" s="7"/>
      <c r="I179" s="5" t="s">
        <v>48</v>
      </c>
      <c r="J179" s="5" t="s">
        <v>48</v>
      </c>
      <c r="AG179" s="15" t="s">
        <v>49</v>
      </c>
      <c r="AH179" s="15"/>
      <c r="AI179" s="15"/>
    </row>
    <row r="180" spans="1:35" s="6" customFormat="1">
      <c r="A180" s="6" t="s">
        <v>762</v>
      </c>
      <c r="B180" s="6" t="s">
        <v>763</v>
      </c>
      <c r="C180" s="6" t="s">
        <v>43</v>
      </c>
      <c r="D180" s="6" t="s">
        <v>44</v>
      </c>
      <c r="E180" s="6" t="s">
        <v>757</v>
      </c>
      <c r="F180" s="6" t="s">
        <v>46</v>
      </c>
      <c r="G180" s="6" t="s">
        <v>204</v>
      </c>
      <c r="H180" s="7"/>
      <c r="I180" s="5" t="s">
        <v>48</v>
      </c>
      <c r="J180" s="5" t="s">
        <v>48</v>
      </c>
      <c r="AG180" s="15" t="s">
        <v>49</v>
      </c>
      <c r="AH180" s="15"/>
      <c r="AI180" s="15"/>
    </row>
    <row r="181" spans="1:35" s="6" customFormat="1">
      <c r="A181" s="6" t="s">
        <v>764</v>
      </c>
      <c r="B181" s="6" t="s">
        <v>765</v>
      </c>
      <c r="C181" s="6" t="s">
        <v>43</v>
      </c>
      <c r="D181" s="6" t="s">
        <v>44</v>
      </c>
      <c r="E181" s="6" t="s">
        <v>757</v>
      </c>
      <c r="F181" s="6" t="s">
        <v>46</v>
      </c>
      <c r="G181" s="6" t="s">
        <v>204</v>
      </c>
      <c r="H181" s="7"/>
      <c r="I181" s="5" t="s">
        <v>48</v>
      </c>
      <c r="J181" s="5" t="s">
        <v>48</v>
      </c>
      <c r="AG181" s="15" t="s">
        <v>49</v>
      </c>
      <c r="AH181" s="15"/>
      <c r="AI181" s="15"/>
    </row>
    <row r="182" spans="1:35" s="6" customFormat="1">
      <c r="A182" s="6" t="s">
        <v>766</v>
      </c>
      <c r="B182" s="6" t="s">
        <v>767</v>
      </c>
      <c r="C182" s="6" t="s">
        <v>43</v>
      </c>
      <c r="D182" s="6" t="s">
        <v>44</v>
      </c>
      <c r="E182" s="6" t="s">
        <v>757</v>
      </c>
      <c r="F182" s="6" t="s">
        <v>46</v>
      </c>
      <c r="G182" s="6" t="s">
        <v>204</v>
      </c>
      <c r="H182" s="7"/>
      <c r="I182" s="5" t="s">
        <v>48</v>
      </c>
      <c r="J182" s="5" t="s">
        <v>48</v>
      </c>
      <c r="AG182" s="15" t="s">
        <v>49</v>
      </c>
      <c r="AH182" s="15"/>
      <c r="AI182" s="15"/>
    </row>
    <row r="183" spans="1:35" s="6" customFormat="1">
      <c r="A183" s="6" t="s">
        <v>768</v>
      </c>
      <c r="B183" s="6" t="s">
        <v>769</v>
      </c>
      <c r="C183" s="6" t="s">
        <v>43</v>
      </c>
      <c r="D183" s="6" t="s">
        <v>44</v>
      </c>
      <c r="E183" s="6" t="s">
        <v>757</v>
      </c>
      <c r="F183" s="6" t="s">
        <v>46</v>
      </c>
      <c r="G183" s="6" t="s">
        <v>204</v>
      </c>
      <c r="H183" s="7"/>
      <c r="I183" s="5" t="s">
        <v>48</v>
      </c>
      <c r="J183" s="5" t="s">
        <v>48</v>
      </c>
      <c r="AG183" s="15" t="s">
        <v>49</v>
      </c>
      <c r="AH183" s="15"/>
      <c r="AI183" s="15"/>
    </row>
    <row r="184" spans="1:35" s="6" customFormat="1">
      <c r="A184" s="6" t="s">
        <v>770</v>
      </c>
      <c r="B184" s="6" t="s">
        <v>771</v>
      </c>
      <c r="C184" s="6" t="s">
        <v>43</v>
      </c>
      <c r="D184" s="6" t="s">
        <v>44</v>
      </c>
      <c r="E184" s="6" t="s">
        <v>757</v>
      </c>
      <c r="F184" s="6" t="s">
        <v>46</v>
      </c>
      <c r="G184" s="6" t="s">
        <v>204</v>
      </c>
      <c r="H184" s="7"/>
      <c r="I184" s="5" t="s">
        <v>48</v>
      </c>
      <c r="J184" s="5" t="s">
        <v>48</v>
      </c>
      <c r="AG184" s="15" t="s">
        <v>49</v>
      </c>
      <c r="AH184" s="15"/>
      <c r="AI184" s="15"/>
    </row>
    <row r="185" spans="1:35" s="6" customFormat="1">
      <c r="A185" s="6" t="s">
        <v>772</v>
      </c>
      <c r="B185" s="6" t="s">
        <v>773</v>
      </c>
      <c r="C185" s="6" t="s">
        <v>43</v>
      </c>
      <c r="D185" s="6" t="s">
        <v>44</v>
      </c>
      <c r="E185" s="6" t="s">
        <v>757</v>
      </c>
      <c r="F185" s="6" t="s">
        <v>46</v>
      </c>
      <c r="G185" s="6" t="s">
        <v>204</v>
      </c>
      <c r="H185" s="7"/>
      <c r="I185" s="5" t="s">
        <v>48</v>
      </c>
      <c r="J185" s="5" t="s">
        <v>48</v>
      </c>
      <c r="AG185" s="15" t="s">
        <v>49</v>
      </c>
      <c r="AH185" s="15"/>
      <c r="AI185" s="15"/>
    </row>
    <row r="186" spans="1:35" s="6" customFormat="1">
      <c r="A186" s="6" t="s">
        <v>774</v>
      </c>
      <c r="B186" s="6" t="s">
        <v>775</v>
      </c>
      <c r="C186" s="6" t="s">
        <v>43</v>
      </c>
      <c r="D186" s="6" t="s">
        <v>44</v>
      </c>
      <c r="E186" s="6" t="s">
        <v>757</v>
      </c>
      <c r="F186" s="6" t="s">
        <v>46</v>
      </c>
      <c r="G186" s="6" t="s">
        <v>204</v>
      </c>
      <c r="H186" s="7"/>
      <c r="I186" s="5" t="s">
        <v>48</v>
      </c>
      <c r="J186" s="5" t="s">
        <v>48</v>
      </c>
      <c r="AG186" s="15" t="s">
        <v>49</v>
      </c>
      <c r="AH186" s="15"/>
      <c r="AI186" s="15"/>
    </row>
    <row r="187" spans="1:35" s="6" customFormat="1">
      <c r="A187" s="6" t="s">
        <v>776</v>
      </c>
      <c r="B187" s="6" t="s">
        <v>777</v>
      </c>
      <c r="C187" s="6" t="s">
        <v>43</v>
      </c>
      <c r="D187" s="6" t="s">
        <v>44</v>
      </c>
      <c r="E187" s="6" t="s">
        <v>757</v>
      </c>
      <c r="F187" s="6" t="s">
        <v>46</v>
      </c>
      <c r="G187" s="6" t="s">
        <v>204</v>
      </c>
      <c r="H187" s="7"/>
      <c r="I187" s="5" t="s">
        <v>48</v>
      </c>
      <c r="J187" s="5" t="s">
        <v>48</v>
      </c>
      <c r="AG187" s="15" t="s">
        <v>49</v>
      </c>
      <c r="AH187" s="15"/>
      <c r="AI187" s="15"/>
    </row>
    <row r="188" spans="1:35" s="6" customFormat="1">
      <c r="A188" s="6" t="s">
        <v>778</v>
      </c>
      <c r="B188" s="6" t="s">
        <v>779</v>
      </c>
      <c r="C188" s="6" t="s">
        <v>43</v>
      </c>
      <c r="D188" s="6" t="s">
        <v>44</v>
      </c>
      <c r="E188" s="6" t="s">
        <v>757</v>
      </c>
      <c r="F188" s="6" t="s">
        <v>46</v>
      </c>
      <c r="G188" s="6" t="s">
        <v>204</v>
      </c>
      <c r="H188" s="7"/>
      <c r="I188" s="5" t="s">
        <v>48</v>
      </c>
      <c r="J188" s="5" t="s">
        <v>48</v>
      </c>
      <c r="AG188" s="15" t="s">
        <v>49</v>
      </c>
      <c r="AH188" s="15"/>
      <c r="AI188" s="15"/>
    </row>
    <row r="189" spans="1:35" s="6" customFormat="1">
      <c r="A189" s="6" t="s">
        <v>780</v>
      </c>
      <c r="B189" s="6" t="s">
        <v>781</v>
      </c>
      <c r="C189" s="6" t="s">
        <v>43</v>
      </c>
      <c r="D189" s="6" t="s">
        <v>44</v>
      </c>
      <c r="E189" s="6" t="s">
        <v>757</v>
      </c>
      <c r="F189" s="6" t="s">
        <v>46</v>
      </c>
      <c r="G189" s="6" t="s">
        <v>204</v>
      </c>
      <c r="H189" s="7"/>
      <c r="I189" s="5" t="s">
        <v>48</v>
      </c>
      <c r="J189" s="5" t="s">
        <v>48</v>
      </c>
      <c r="AG189" s="15" t="s">
        <v>49</v>
      </c>
      <c r="AH189" s="15"/>
      <c r="AI189" s="15"/>
    </row>
    <row r="190" spans="1:35" s="6" customFormat="1">
      <c r="A190" s="6" t="s">
        <v>782</v>
      </c>
      <c r="B190" s="6" t="s">
        <v>783</v>
      </c>
      <c r="C190" s="6" t="s">
        <v>43</v>
      </c>
      <c r="D190" s="6" t="s">
        <v>44</v>
      </c>
      <c r="E190" s="6" t="s">
        <v>757</v>
      </c>
      <c r="F190" s="6" t="s">
        <v>46</v>
      </c>
      <c r="G190" s="6" t="s">
        <v>204</v>
      </c>
      <c r="H190" s="7"/>
      <c r="I190" s="5" t="s">
        <v>48</v>
      </c>
      <c r="J190" s="5" t="s">
        <v>48</v>
      </c>
      <c r="AG190" s="15" t="s">
        <v>49</v>
      </c>
      <c r="AH190" s="15"/>
      <c r="AI190" s="15"/>
    </row>
    <row r="191" spans="1:35" s="6" customFormat="1">
      <c r="A191" s="6" t="s">
        <v>784</v>
      </c>
      <c r="B191" s="6" t="s">
        <v>785</v>
      </c>
      <c r="C191" s="6" t="s">
        <v>43</v>
      </c>
      <c r="D191" s="6" t="s">
        <v>44</v>
      </c>
      <c r="E191" s="6" t="s">
        <v>757</v>
      </c>
      <c r="F191" s="6" t="s">
        <v>46</v>
      </c>
      <c r="G191" s="6" t="s">
        <v>204</v>
      </c>
      <c r="H191" s="7"/>
      <c r="I191" s="5" t="s">
        <v>48</v>
      </c>
      <c r="J191" s="5" t="s">
        <v>48</v>
      </c>
      <c r="AG191" s="15" t="s">
        <v>49</v>
      </c>
      <c r="AH191" s="15"/>
      <c r="AI191" s="15"/>
    </row>
    <row r="192" spans="1:35" s="6" customFormat="1">
      <c r="A192" s="6" t="s">
        <v>786</v>
      </c>
      <c r="B192" s="6" t="s">
        <v>787</v>
      </c>
      <c r="C192" s="6" t="s">
        <v>43</v>
      </c>
      <c r="D192" s="6" t="s">
        <v>44</v>
      </c>
      <c r="E192" s="6" t="s">
        <v>757</v>
      </c>
      <c r="F192" s="6" t="s">
        <v>46</v>
      </c>
      <c r="G192" s="6" t="s">
        <v>204</v>
      </c>
      <c r="H192" s="7"/>
      <c r="I192" s="5" t="s">
        <v>48</v>
      </c>
      <c r="J192" s="5" t="s">
        <v>48</v>
      </c>
      <c r="AG192" s="15" t="s">
        <v>49</v>
      </c>
      <c r="AH192" s="15"/>
      <c r="AI192" s="15"/>
    </row>
    <row r="193" spans="1:35" s="6" customFormat="1">
      <c r="A193" s="6" t="s">
        <v>788</v>
      </c>
      <c r="B193" s="6" t="s">
        <v>789</v>
      </c>
      <c r="C193" s="6" t="s">
        <v>43</v>
      </c>
      <c r="D193" s="6" t="s">
        <v>44</v>
      </c>
      <c r="E193" s="6" t="s">
        <v>757</v>
      </c>
      <c r="F193" s="6" t="s">
        <v>46</v>
      </c>
      <c r="G193" s="6" t="s">
        <v>204</v>
      </c>
      <c r="H193" s="7"/>
      <c r="I193" s="5" t="s">
        <v>48</v>
      </c>
      <c r="J193" s="5" t="s">
        <v>48</v>
      </c>
      <c r="AG193" s="15" t="s">
        <v>49</v>
      </c>
      <c r="AH193" s="15"/>
      <c r="AI193" s="15"/>
    </row>
    <row r="194" spans="1:35" s="6" customFormat="1">
      <c r="A194" s="6" t="s">
        <v>790</v>
      </c>
      <c r="B194" s="6" t="s">
        <v>791</v>
      </c>
      <c r="C194" s="6" t="s">
        <v>43</v>
      </c>
      <c r="D194" s="6" t="s">
        <v>44</v>
      </c>
      <c r="E194" s="6" t="s">
        <v>757</v>
      </c>
      <c r="F194" s="6" t="s">
        <v>46</v>
      </c>
      <c r="G194" s="6" t="s">
        <v>204</v>
      </c>
      <c r="H194" s="7"/>
      <c r="I194" s="5" t="s">
        <v>48</v>
      </c>
      <c r="J194" s="5" t="s">
        <v>48</v>
      </c>
      <c r="AG194" s="15" t="s">
        <v>49</v>
      </c>
      <c r="AH194" s="15"/>
      <c r="AI194" s="15"/>
    </row>
    <row r="195" spans="1:35" s="6" customFormat="1">
      <c r="A195" s="6" t="s">
        <v>792</v>
      </c>
      <c r="B195" s="6" t="s">
        <v>793</v>
      </c>
      <c r="C195" s="6" t="s">
        <v>43</v>
      </c>
      <c r="D195" s="6" t="s">
        <v>44</v>
      </c>
      <c r="E195" s="6" t="s">
        <v>757</v>
      </c>
      <c r="F195" s="6" t="s">
        <v>46</v>
      </c>
      <c r="G195" s="6" t="s">
        <v>204</v>
      </c>
      <c r="H195" s="7"/>
      <c r="I195" s="5" t="s">
        <v>48</v>
      </c>
      <c r="J195" s="5" t="s">
        <v>48</v>
      </c>
      <c r="AG195" s="15" t="s">
        <v>49</v>
      </c>
      <c r="AH195" s="15"/>
      <c r="AI195" s="15"/>
    </row>
    <row r="196" spans="1:35" s="6" customFormat="1">
      <c r="A196" s="6" t="s">
        <v>794</v>
      </c>
      <c r="B196" s="6" t="s">
        <v>795</v>
      </c>
      <c r="C196" s="6" t="s">
        <v>43</v>
      </c>
      <c r="D196" s="6" t="s">
        <v>44</v>
      </c>
      <c r="E196" s="6" t="s">
        <v>757</v>
      </c>
      <c r="F196" s="6" t="s">
        <v>46</v>
      </c>
      <c r="G196" s="6" t="s">
        <v>204</v>
      </c>
      <c r="H196" s="7"/>
      <c r="I196" s="5" t="s">
        <v>48</v>
      </c>
      <c r="J196" s="5" t="s">
        <v>48</v>
      </c>
      <c r="AG196" s="15" t="s">
        <v>49</v>
      </c>
      <c r="AH196" s="15"/>
      <c r="AI196" s="15"/>
    </row>
    <row r="197" spans="1:35" s="6" customFormat="1">
      <c r="A197" s="6" t="s">
        <v>796</v>
      </c>
      <c r="B197" s="6" t="s">
        <v>797</v>
      </c>
      <c r="C197" s="6" t="s">
        <v>43</v>
      </c>
      <c r="D197" s="6" t="s">
        <v>44</v>
      </c>
      <c r="E197" s="6" t="s">
        <v>757</v>
      </c>
      <c r="F197" s="6" t="s">
        <v>46</v>
      </c>
      <c r="G197" s="6" t="s">
        <v>798</v>
      </c>
      <c r="H197" s="7"/>
      <c r="I197" s="5" t="s">
        <v>48</v>
      </c>
      <c r="J197" s="5" t="s">
        <v>48</v>
      </c>
      <c r="AG197" s="15" t="s">
        <v>49</v>
      </c>
      <c r="AH197" s="15"/>
      <c r="AI197" s="15"/>
    </row>
    <row r="198" spans="1:35" s="6" customFormat="1">
      <c r="A198" s="6" t="s">
        <v>799</v>
      </c>
      <c r="B198" s="6" t="s">
        <v>800</v>
      </c>
      <c r="C198" s="6" t="s">
        <v>43</v>
      </c>
      <c r="D198" s="6" t="s">
        <v>44</v>
      </c>
      <c r="E198" s="6" t="s">
        <v>757</v>
      </c>
      <c r="F198" s="6" t="s">
        <v>46</v>
      </c>
      <c r="G198" s="6" t="s">
        <v>801</v>
      </c>
      <c r="H198" s="7"/>
      <c r="I198" s="5" t="s">
        <v>48</v>
      </c>
      <c r="J198" s="5" t="s">
        <v>48</v>
      </c>
      <c r="AG198" s="15" t="s">
        <v>49</v>
      </c>
      <c r="AH198" s="15"/>
      <c r="AI198" s="15"/>
    </row>
    <row r="199" spans="1:35" s="6" customFormat="1">
      <c r="A199" s="6" t="s">
        <v>802</v>
      </c>
      <c r="B199" s="6" t="s">
        <v>803</v>
      </c>
      <c r="C199" s="6" t="s">
        <v>43</v>
      </c>
      <c r="D199" s="6" t="s">
        <v>44</v>
      </c>
      <c r="E199" s="6" t="s">
        <v>757</v>
      </c>
      <c r="F199" s="6" t="s">
        <v>46</v>
      </c>
      <c r="G199" s="6" t="s">
        <v>204</v>
      </c>
      <c r="H199" s="7"/>
      <c r="I199" s="5" t="s">
        <v>48</v>
      </c>
      <c r="J199" s="5" t="s">
        <v>48</v>
      </c>
      <c r="AG199" s="15" t="s">
        <v>49</v>
      </c>
      <c r="AH199" s="15"/>
      <c r="AI199" s="15"/>
    </row>
    <row r="200" spans="1:35" s="6" customFormat="1">
      <c r="A200" s="6" t="s">
        <v>804</v>
      </c>
      <c r="B200" s="6" t="s">
        <v>805</v>
      </c>
      <c r="C200" s="6" t="s">
        <v>43</v>
      </c>
      <c r="D200" s="6" t="s">
        <v>44</v>
      </c>
      <c r="E200" s="6" t="s">
        <v>757</v>
      </c>
      <c r="F200" s="6" t="s">
        <v>46</v>
      </c>
      <c r="G200" s="6" t="s">
        <v>204</v>
      </c>
      <c r="H200" s="7"/>
      <c r="I200" s="5" t="s">
        <v>48</v>
      </c>
      <c r="J200" s="5" t="s">
        <v>48</v>
      </c>
      <c r="AG200" s="15" t="s">
        <v>49</v>
      </c>
      <c r="AH200" s="15"/>
      <c r="AI200" s="15"/>
    </row>
    <row r="201" spans="1:35" s="6" customFormat="1">
      <c r="A201" s="6" t="s">
        <v>806</v>
      </c>
      <c r="B201" s="6" t="s">
        <v>807</v>
      </c>
      <c r="C201" s="6" t="s">
        <v>43</v>
      </c>
      <c r="D201" s="6" t="s">
        <v>44</v>
      </c>
      <c r="E201" s="6" t="s">
        <v>45</v>
      </c>
      <c r="F201" s="6" t="s">
        <v>46</v>
      </c>
      <c r="G201" s="6" t="s">
        <v>204</v>
      </c>
      <c r="H201" s="7"/>
      <c r="I201" s="5" t="s">
        <v>48</v>
      </c>
      <c r="J201" s="5" t="s">
        <v>48</v>
      </c>
      <c r="AG201" s="15" t="s">
        <v>49</v>
      </c>
      <c r="AH201" s="15"/>
      <c r="AI201" s="15"/>
    </row>
    <row r="202" spans="1:35" s="6" customFormat="1">
      <c r="A202" s="6" t="s">
        <v>808</v>
      </c>
      <c r="B202" s="6" t="s">
        <v>809</v>
      </c>
      <c r="C202" s="6" t="s">
        <v>43</v>
      </c>
      <c r="D202" s="6" t="s">
        <v>44</v>
      </c>
      <c r="E202" s="6" t="s">
        <v>45</v>
      </c>
      <c r="F202" s="6" t="s">
        <v>46</v>
      </c>
      <c r="G202" s="6" t="s">
        <v>204</v>
      </c>
      <c r="H202" s="7"/>
      <c r="I202" s="5" t="s">
        <v>48</v>
      </c>
      <c r="J202" s="5" t="s">
        <v>48</v>
      </c>
      <c r="AG202" s="15" t="s">
        <v>49</v>
      </c>
      <c r="AH202" s="15"/>
      <c r="AI202" s="15"/>
    </row>
    <row r="203" spans="1:35" s="6" customFormat="1">
      <c r="A203" s="6" t="s">
        <v>810</v>
      </c>
      <c r="B203" s="6" t="s">
        <v>811</v>
      </c>
      <c r="C203" s="6" t="s">
        <v>43</v>
      </c>
      <c r="D203" s="6" t="s">
        <v>44</v>
      </c>
      <c r="E203" s="6" t="s">
        <v>45</v>
      </c>
      <c r="F203" s="6" t="s">
        <v>46</v>
      </c>
      <c r="G203" s="6" t="s">
        <v>204</v>
      </c>
      <c r="H203" s="7"/>
      <c r="I203" s="5" t="s">
        <v>48</v>
      </c>
      <c r="J203" s="5" t="s">
        <v>48</v>
      </c>
      <c r="AG203" s="15" t="s">
        <v>49</v>
      </c>
      <c r="AH203" s="15"/>
      <c r="AI203" s="15"/>
    </row>
    <row r="204" spans="1:35" s="6" customFormat="1">
      <c r="A204" s="6" t="s">
        <v>812</v>
      </c>
      <c r="B204" s="6" t="s">
        <v>813</v>
      </c>
      <c r="C204" s="6" t="s">
        <v>43</v>
      </c>
      <c r="D204" s="6" t="s">
        <v>44</v>
      </c>
      <c r="E204" s="6" t="s">
        <v>45</v>
      </c>
      <c r="F204" s="6" t="s">
        <v>46</v>
      </c>
      <c r="G204" s="6" t="s">
        <v>204</v>
      </c>
      <c r="H204" s="7"/>
      <c r="I204" s="5" t="s">
        <v>48</v>
      </c>
      <c r="J204" s="5" t="s">
        <v>48</v>
      </c>
      <c r="AG204" s="15" t="s">
        <v>49</v>
      </c>
      <c r="AH204" s="15"/>
      <c r="AI204" s="15"/>
    </row>
    <row r="205" spans="1:35" s="6" customFormat="1">
      <c r="A205" s="6" t="s">
        <v>814</v>
      </c>
      <c r="B205" s="6" t="s">
        <v>815</v>
      </c>
      <c r="C205" s="6" t="s">
        <v>43</v>
      </c>
      <c r="D205" s="6" t="s">
        <v>44</v>
      </c>
      <c r="E205" s="6" t="s">
        <v>45</v>
      </c>
      <c r="F205" s="6" t="s">
        <v>46</v>
      </c>
      <c r="G205" s="6" t="s">
        <v>204</v>
      </c>
      <c r="H205" s="7"/>
      <c r="I205" s="5" t="s">
        <v>48</v>
      </c>
      <c r="J205" s="5" t="s">
        <v>48</v>
      </c>
      <c r="AG205" s="15" t="s">
        <v>49</v>
      </c>
      <c r="AH205" s="15"/>
      <c r="AI205" s="15"/>
    </row>
    <row r="206" spans="1:35" s="6" customFormat="1">
      <c r="A206" s="6" t="s">
        <v>816</v>
      </c>
      <c r="B206" s="6" t="s">
        <v>817</v>
      </c>
      <c r="C206" s="6" t="s">
        <v>43</v>
      </c>
      <c r="D206" s="6" t="s">
        <v>44</v>
      </c>
      <c r="E206" s="6" t="s">
        <v>45</v>
      </c>
      <c r="F206" s="6" t="s">
        <v>46</v>
      </c>
      <c r="G206" s="6" t="s">
        <v>204</v>
      </c>
      <c r="H206" s="7"/>
      <c r="I206" s="5" t="s">
        <v>48</v>
      </c>
      <c r="J206" s="5" t="s">
        <v>48</v>
      </c>
      <c r="AG206" s="15" t="s">
        <v>49</v>
      </c>
      <c r="AH206" s="15"/>
      <c r="AI206" s="15"/>
    </row>
    <row r="207" spans="1:35" s="6" customFormat="1">
      <c r="A207" s="6" t="s">
        <v>818</v>
      </c>
      <c r="B207" s="6" t="s">
        <v>819</v>
      </c>
      <c r="C207" s="6" t="s">
        <v>43</v>
      </c>
      <c r="D207" s="6" t="s">
        <v>44</v>
      </c>
      <c r="E207" s="6" t="s">
        <v>45</v>
      </c>
      <c r="F207" s="6" t="s">
        <v>46</v>
      </c>
      <c r="G207" s="6" t="s">
        <v>204</v>
      </c>
      <c r="H207" s="7"/>
      <c r="I207" s="5" t="s">
        <v>48</v>
      </c>
      <c r="J207" s="5" t="s">
        <v>48</v>
      </c>
      <c r="AG207" s="15" t="s">
        <v>49</v>
      </c>
      <c r="AH207" s="15"/>
      <c r="AI207" s="15"/>
    </row>
    <row r="208" spans="1:35" s="6" customFormat="1">
      <c r="A208" s="6" t="s">
        <v>820</v>
      </c>
      <c r="B208" s="6" t="s">
        <v>821</v>
      </c>
      <c r="C208" s="6" t="s">
        <v>43</v>
      </c>
      <c r="D208" s="6" t="s">
        <v>44</v>
      </c>
      <c r="E208" s="6" t="s">
        <v>45</v>
      </c>
      <c r="F208" s="6" t="s">
        <v>46</v>
      </c>
      <c r="G208" s="6" t="s">
        <v>204</v>
      </c>
      <c r="H208" s="7"/>
      <c r="I208" s="5" t="s">
        <v>48</v>
      </c>
      <c r="J208" s="5" t="s">
        <v>48</v>
      </c>
      <c r="AG208" s="15" t="s">
        <v>49</v>
      </c>
      <c r="AH208" s="15"/>
      <c r="AI208" s="15"/>
    </row>
    <row r="209" spans="1:35" s="6" customFormat="1">
      <c r="A209" s="6" t="s">
        <v>822</v>
      </c>
      <c r="B209" s="6" t="s">
        <v>823</v>
      </c>
      <c r="C209" s="6" t="s">
        <v>43</v>
      </c>
      <c r="D209" s="6" t="s">
        <v>44</v>
      </c>
      <c r="E209" s="6" t="s">
        <v>45</v>
      </c>
      <c r="F209" s="6" t="s">
        <v>46</v>
      </c>
      <c r="G209" s="6" t="s">
        <v>204</v>
      </c>
      <c r="H209" s="7"/>
      <c r="I209" s="5" t="s">
        <v>48</v>
      </c>
      <c r="J209" s="5" t="s">
        <v>48</v>
      </c>
      <c r="AG209" s="15" t="s">
        <v>49</v>
      </c>
      <c r="AH209" s="15"/>
      <c r="AI209" s="15"/>
    </row>
    <row r="210" spans="1:35" s="6" customFormat="1">
      <c r="A210" s="6" t="s">
        <v>824</v>
      </c>
      <c r="B210" s="6" t="s">
        <v>825</v>
      </c>
      <c r="C210" s="6" t="s">
        <v>43</v>
      </c>
      <c r="D210" s="6" t="s">
        <v>44</v>
      </c>
      <c r="E210" s="6" t="s">
        <v>45</v>
      </c>
      <c r="F210" s="6" t="s">
        <v>46</v>
      </c>
      <c r="G210" s="6" t="s">
        <v>246</v>
      </c>
      <c r="H210" s="7"/>
      <c r="I210" s="5" t="s">
        <v>48</v>
      </c>
      <c r="J210" s="5" t="s">
        <v>48</v>
      </c>
      <c r="AG210" s="15" t="s">
        <v>49</v>
      </c>
      <c r="AH210" s="15"/>
      <c r="AI210" s="15"/>
    </row>
    <row r="211" spans="1:35" s="6" customFormat="1">
      <c r="A211" s="6" t="s">
        <v>826</v>
      </c>
      <c r="B211" s="6" t="s">
        <v>827</v>
      </c>
      <c r="C211" s="6" t="s">
        <v>43</v>
      </c>
      <c r="D211" s="6" t="s">
        <v>44</v>
      </c>
      <c r="E211" s="6" t="s">
        <v>45</v>
      </c>
      <c r="F211" s="6" t="s">
        <v>46</v>
      </c>
      <c r="G211" s="6" t="s">
        <v>204</v>
      </c>
      <c r="H211" s="7"/>
      <c r="I211" s="5" t="s">
        <v>48</v>
      </c>
      <c r="J211" s="5" t="s">
        <v>48</v>
      </c>
      <c r="AG211" s="15" t="s">
        <v>49</v>
      </c>
      <c r="AH211" s="15"/>
      <c r="AI211" s="15"/>
    </row>
    <row r="212" spans="1:35" s="6" customFormat="1">
      <c r="A212" s="6" t="s">
        <v>828</v>
      </c>
      <c r="B212" s="6" t="s">
        <v>829</v>
      </c>
      <c r="C212" s="6" t="s">
        <v>43</v>
      </c>
      <c r="D212" s="6" t="s">
        <v>44</v>
      </c>
      <c r="E212" s="6" t="s">
        <v>45</v>
      </c>
      <c r="F212" s="6" t="s">
        <v>46</v>
      </c>
      <c r="G212" s="6" t="s">
        <v>204</v>
      </c>
      <c r="H212" s="7"/>
      <c r="I212" s="5" t="s">
        <v>48</v>
      </c>
      <c r="J212" s="5" t="s">
        <v>48</v>
      </c>
      <c r="AG212" s="15" t="s">
        <v>49</v>
      </c>
      <c r="AH212" s="15"/>
      <c r="AI212" s="15"/>
    </row>
    <row r="213" spans="1:35" s="6" customFormat="1">
      <c r="A213" s="6" t="s">
        <v>830</v>
      </c>
      <c r="B213" s="6" t="s">
        <v>831</v>
      </c>
      <c r="C213" s="6" t="s">
        <v>43</v>
      </c>
      <c r="D213" s="6" t="s">
        <v>44</v>
      </c>
      <c r="E213" s="6" t="s">
        <v>45</v>
      </c>
      <c r="F213" s="6" t="s">
        <v>46</v>
      </c>
      <c r="G213" s="6" t="s">
        <v>204</v>
      </c>
      <c r="H213" s="7"/>
      <c r="I213" s="5" t="s">
        <v>48</v>
      </c>
      <c r="J213" s="5" t="s">
        <v>48</v>
      </c>
      <c r="AG213" s="15" t="s">
        <v>49</v>
      </c>
      <c r="AH213" s="15"/>
      <c r="AI213" s="15"/>
    </row>
    <row r="214" spans="1:35" s="6" customFormat="1">
      <c r="A214" s="6" t="s">
        <v>832</v>
      </c>
      <c r="B214" s="6" t="s">
        <v>833</v>
      </c>
      <c r="C214" s="6" t="s">
        <v>43</v>
      </c>
      <c r="D214" s="6" t="s">
        <v>44</v>
      </c>
      <c r="E214" s="6" t="s">
        <v>240</v>
      </c>
      <c r="F214" s="6" t="s">
        <v>46</v>
      </c>
      <c r="G214" s="6" t="s">
        <v>204</v>
      </c>
      <c r="H214" s="7"/>
      <c r="I214" s="5" t="s">
        <v>48</v>
      </c>
      <c r="J214" s="5" t="s">
        <v>48</v>
      </c>
      <c r="AG214" s="15" t="s">
        <v>49</v>
      </c>
      <c r="AH214" s="15"/>
      <c r="AI214" s="15"/>
    </row>
    <row r="215" spans="1:35" s="6" customFormat="1">
      <c r="A215" s="6" t="s">
        <v>834</v>
      </c>
      <c r="B215" s="6" t="s">
        <v>835</v>
      </c>
      <c r="C215" s="6" t="s">
        <v>43</v>
      </c>
      <c r="D215" s="6" t="s">
        <v>44</v>
      </c>
      <c r="E215" s="6" t="s">
        <v>45</v>
      </c>
      <c r="F215" s="6" t="s">
        <v>46</v>
      </c>
      <c r="G215" s="6" t="s">
        <v>204</v>
      </c>
      <c r="H215" s="7"/>
      <c r="I215" s="5" t="s">
        <v>48</v>
      </c>
      <c r="J215" s="5" t="s">
        <v>48</v>
      </c>
      <c r="AG215" s="15" t="s">
        <v>49</v>
      </c>
      <c r="AH215" s="15"/>
      <c r="AI215" s="15"/>
    </row>
    <row r="216" spans="1:35" s="6" customFormat="1">
      <c r="A216" s="6" t="s">
        <v>836</v>
      </c>
      <c r="B216" s="6" t="s">
        <v>837</v>
      </c>
      <c r="C216" s="6" t="s">
        <v>43</v>
      </c>
      <c r="D216" s="6" t="s">
        <v>44</v>
      </c>
      <c r="E216" s="6" t="s">
        <v>45</v>
      </c>
      <c r="F216" s="6" t="s">
        <v>46</v>
      </c>
      <c r="G216" s="6" t="s">
        <v>246</v>
      </c>
      <c r="H216" s="7"/>
      <c r="I216" s="5" t="s">
        <v>48</v>
      </c>
      <c r="J216" s="5" t="s">
        <v>48</v>
      </c>
      <c r="AG216" s="15" t="s">
        <v>49</v>
      </c>
      <c r="AH216" s="15"/>
      <c r="AI216" s="15"/>
    </row>
    <row r="217" spans="1:35" s="6" customFormat="1">
      <c r="A217" s="6" t="s">
        <v>838</v>
      </c>
      <c r="B217" s="6" t="s">
        <v>839</v>
      </c>
      <c r="C217" s="6" t="s">
        <v>43</v>
      </c>
      <c r="D217" s="6" t="s">
        <v>239</v>
      </c>
      <c r="E217" s="6" t="s">
        <v>240</v>
      </c>
      <c r="F217" s="6" t="s">
        <v>46</v>
      </c>
      <c r="G217" s="6" t="s">
        <v>204</v>
      </c>
      <c r="H217" s="7"/>
      <c r="I217" s="5" t="s">
        <v>48</v>
      </c>
      <c r="J217" s="5" t="s">
        <v>48</v>
      </c>
      <c r="AG217" s="15" t="s">
        <v>49</v>
      </c>
      <c r="AH217" s="15"/>
      <c r="AI217" s="15"/>
    </row>
    <row r="218" spans="1:35" s="6" customFormat="1">
      <c r="A218" s="6" t="s">
        <v>840</v>
      </c>
      <c r="B218" s="6" t="s">
        <v>841</v>
      </c>
      <c r="C218" s="6" t="s">
        <v>43</v>
      </c>
      <c r="D218" s="6" t="s">
        <v>44</v>
      </c>
      <c r="E218" s="6" t="s">
        <v>45</v>
      </c>
      <c r="F218" s="6" t="s">
        <v>46</v>
      </c>
      <c r="G218" s="6" t="s">
        <v>204</v>
      </c>
      <c r="H218" s="7"/>
      <c r="I218" s="5" t="s">
        <v>48</v>
      </c>
      <c r="J218" s="5" t="s">
        <v>48</v>
      </c>
      <c r="AG218" s="15" t="s">
        <v>49</v>
      </c>
      <c r="AH218" s="15"/>
      <c r="AI218" s="15"/>
    </row>
    <row r="219" spans="1:35" s="6" customFormat="1">
      <c r="A219" s="6" t="s">
        <v>842</v>
      </c>
      <c r="B219" s="6" t="s">
        <v>843</v>
      </c>
      <c r="C219" s="6" t="s">
        <v>43</v>
      </c>
      <c r="D219" s="6" t="s">
        <v>44</v>
      </c>
      <c r="E219" s="6" t="s">
        <v>45</v>
      </c>
      <c r="F219" s="6" t="s">
        <v>46</v>
      </c>
      <c r="G219" s="6" t="s">
        <v>204</v>
      </c>
      <c r="H219" s="7"/>
      <c r="I219" s="5" t="s">
        <v>48</v>
      </c>
      <c r="J219" s="5" t="s">
        <v>48</v>
      </c>
      <c r="AG219" s="15" t="s">
        <v>49</v>
      </c>
      <c r="AH219" s="15"/>
      <c r="AI219" s="15"/>
    </row>
    <row r="220" spans="1:35" s="6" customFormat="1">
      <c r="A220" s="6" t="s">
        <v>844</v>
      </c>
      <c r="B220" s="6" t="s">
        <v>845</v>
      </c>
      <c r="C220" s="6" t="s">
        <v>43</v>
      </c>
      <c r="D220" s="6" t="s">
        <v>44</v>
      </c>
      <c r="E220" s="6" t="s">
        <v>45</v>
      </c>
      <c r="F220" s="6" t="s">
        <v>46</v>
      </c>
      <c r="G220" s="6" t="s">
        <v>204</v>
      </c>
      <c r="H220" s="7"/>
      <c r="I220" s="5" t="s">
        <v>48</v>
      </c>
      <c r="J220" s="5" t="s">
        <v>48</v>
      </c>
      <c r="AG220" s="15" t="s">
        <v>49</v>
      </c>
      <c r="AH220" s="15"/>
      <c r="AI220" s="15"/>
    </row>
    <row r="221" spans="1:35" s="6" customFormat="1">
      <c r="A221" s="6" t="s">
        <v>846</v>
      </c>
      <c r="B221" s="6" t="s">
        <v>847</v>
      </c>
      <c r="C221" s="6" t="s">
        <v>43</v>
      </c>
      <c r="D221" s="6" t="s">
        <v>44</v>
      </c>
      <c r="E221" s="6" t="s">
        <v>240</v>
      </c>
      <c r="F221" s="6" t="s">
        <v>46</v>
      </c>
      <c r="G221" s="6" t="s">
        <v>204</v>
      </c>
      <c r="H221" s="7"/>
      <c r="I221" s="5" t="s">
        <v>48</v>
      </c>
      <c r="J221" s="5" t="s">
        <v>48</v>
      </c>
      <c r="AG221" s="15" t="s">
        <v>49</v>
      </c>
      <c r="AH221" s="15"/>
      <c r="AI221" s="15"/>
    </row>
    <row r="222" spans="1:35" s="6" customFormat="1">
      <c r="A222" s="6" t="s">
        <v>848</v>
      </c>
      <c r="B222" s="6" t="s">
        <v>849</v>
      </c>
      <c r="C222" s="6" t="s">
        <v>43</v>
      </c>
      <c r="D222" s="6" t="s">
        <v>850</v>
      </c>
      <c r="E222" s="6" t="s">
        <v>218</v>
      </c>
      <c r="F222" s="6" t="s">
        <v>46</v>
      </c>
      <c r="G222" s="6" t="s">
        <v>851</v>
      </c>
      <c r="H222" s="7"/>
      <c r="I222" s="5" t="s">
        <v>48</v>
      </c>
      <c r="J222" s="5" t="s">
        <v>48</v>
      </c>
      <c r="AG222" s="15" t="s">
        <v>49</v>
      </c>
      <c r="AH222" s="15"/>
      <c r="AI222" s="15"/>
    </row>
    <row r="223" spans="1:35" s="6" customFormat="1">
      <c r="A223" s="6" t="s">
        <v>852</v>
      </c>
      <c r="B223" s="6" t="s">
        <v>853</v>
      </c>
      <c r="C223" s="6" t="s">
        <v>43</v>
      </c>
      <c r="D223" s="6" t="s">
        <v>850</v>
      </c>
      <c r="E223" s="6" t="s">
        <v>218</v>
      </c>
      <c r="F223" s="6" t="s">
        <v>46</v>
      </c>
      <c r="G223" s="6" t="s">
        <v>854</v>
      </c>
      <c r="H223" s="7"/>
      <c r="I223" s="5" t="s">
        <v>48</v>
      </c>
      <c r="J223" s="5" t="s">
        <v>48</v>
      </c>
      <c r="AG223" s="15" t="s">
        <v>49</v>
      </c>
      <c r="AH223" s="15"/>
      <c r="AI223" s="15"/>
    </row>
    <row r="224" spans="1:35" s="6" customFormat="1">
      <c r="A224" s="6" t="s">
        <v>855</v>
      </c>
      <c r="B224" s="6" t="s">
        <v>856</v>
      </c>
      <c r="C224" s="6" t="s">
        <v>43</v>
      </c>
      <c r="D224" s="6" t="s">
        <v>850</v>
      </c>
      <c r="E224" s="6" t="s">
        <v>218</v>
      </c>
      <c r="F224" s="6" t="s">
        <v>46</v>
      </c>
      <c r="G224" s="6" t="s">
        <v>857</v>
      </c>
      <c r="H224" s="7"/>
      <c r="I224" s="5" t="s">
        <v>48</v>
      </c>
      <c r="J224" s="5" t="s">
        <v>48</v>
      </c>
      <c r="AG224" s="15" t="s">
        <v>49</v>
      </c>
      <c r="AH224" s="15"/>
      <c r="AI224" s="15"/>
    </row>
    <row r="225" spans="1:35" s="6" customFormat="1">
      <c r="A225" s="6" t="s">
        <v>858</v>
      </c>
      <c r="B225" s="6" t="s">
        <v>859</v>
      </c>
      <c r="C225" s="6" t="s">
        <v>860</v>
      </c>
      <c r="D225" s="6" t="s">
        <v>861</v>
      </c>
      <c r="E225" s="6" t="s">
        <v>862</v>
      </c>
      <c r="F225" s="6" t="s">
        <v>46</v>
      </c>
      <c r="G225" s="6" t="s">
        <v>863</v>
      </c>
      <c r="H225" s="7"/>
      <c r="I225" s="5" t="s">
        <v>48</v>
      </c>
      <c r="J225" s="5" t="s">
        <v>48</v>
      </c>
      <c r="AG225" s="15" t="s">
        <v>55</v>
      </c>
      <c r="AH225" s="15"/>
      <c r="AI225" s="15"/>
    </row>
    <row r="226" spans="1:35" s="6" customFormat="1">
      <c r="A226" s="6" t="s">
        <v>864</v>
      </c>
      <c r="B226" s="6" t="s">
        <v>865</v>
      </c>
      <c r="C226" s="6" t="s">
        <v>866</v>
      </c>
      <c r="D226" s="6" t="s">
        <v>861</v>
      </c>
      <c r="E226" s="6" t="s">
        <v>862</v>
      </c>
      <c r="F226" s="6" t="s">
        <v>46</v>
      </c>
      <c r="G226" s="6" t="s">
        <v>867</v>
      </c>
      <c r="H226" s="7"/>
      <c r="I226" s="5" t="s">
        <v>48</v>
      </c>
      <c r="J226" s="5" t="s">
        <v>48</v>
      </c>
      <c r="AG226" s="15" t="s">
        <v>55</v>
      </c>
      <c r="AH226" s="15"/>
      <c r="AI226" s="15"/>
    </row>
    <row r="227" spans="1:35" s="6" customFormat="1">
      <c r="A227" s="6" t="s">
        <v>868</v>
      </c>
      <c r="B227" s="6" t="s">
        <v>869</v>
      </c>
      <c r="C227" s="6" t="s">
        <v>870</v>
      </c>
      <c r="D227" s="6" t="s">
        <v>861</v>
      </c>
      <c r="E227" s="6" t="s">
        <v>862</v>
      </c>
      <c r="F227" s="6" t="s">
        <v>46</v>
      </c>
      <c r="G227" s="6" t="s">
        <v>871</v>
      </c>
      <c r="H227" s="7"/>
      <c r="I227" s="5" t="s">
        <v>48</v>
      </c>
      <c r="J227" s="5" t="s">
        <v>48</v>
      </c>
      <c r="AG227" s="15" t="s">
        <v>55</v>
      </c>
      <c r="AH227" s="15"/>
      <c r="AI227" s="15"/>
    </row>
    <row r="228" spans="1:35" s="6" customFormat="1">
      <c r="A228" s="6" t="s">
        <v>872</v>
      </c>
      <c r="B228" s="6" t="s">
        <v>873</v>
      </c>
      <c r="C228" s="6" t="s">
        <v>43</v>
      </c>
      <c r="D228" s="6" t="s">
        <v>861</v>
      </c>
      <c r="E228" s="6" t="s">
        <v>862</v>
      </c>
      <c r="F228" s="6" t="s">
        <v>46</v>
      </c>
      <c r="G228" s="6" t="s">
        <v>874</v>
      </c>
      <c r="H228" s="7"/>
      <c r="I228" s="5" t="s">
        <v>48</v>
      </c>
      <c r="J228" s="5" t="s">
        <v>48</v>
      </c>
      <c r="AG228" s="15" t="s">
        <v>55</v>
      </c>
      <c r="AH228" s="15"/>
      <c r="AI228" s="15"/>
    </row>
    <row r="229" spans="1:35" s="6" customFormat="1">
      <c r="A229" s="6" t="s">
        <v>875</v>
      </c>
      <c r="B229" s="6" t="s">
        <v>876</v>
      </c>
      <c r="C229" s="6" t="s">
        <v>877</v>
      </c>
      <c r="D229" s="6" t="s">
        <v>861</v>
      </c>
      <c r="E229" s="6" t="s">
        <v>862</v>
      </c>
      <c r="F229" s="6" t="s">
        <v>46</v>
      </c>
      <c r="G229" s="6" t="s">
        <v>878</v>
      </c>
      <c r="H229" s="7"/>
      <c r="I229" s="5" t="s">
        <v>48</v>
      </c>
      <c r="J229" s="5" t="s">
        <v>48</v>
      </c>
      <c r="AG229" s="15" t="s">
        <v>55</v>
      </c>
      <c r="AH229" s="15"/>
      <c r="AI229" s="15"/>
    </row>
    <row r="230" spans="1:35" s="6" customFormat="1">
      <c r="A230" s="6" t="s">
        <v>879</v>
      </c>
      <c r="B230" s="6" t="s">
        <v>880</v>
      </c>
      <c r="C230" s="6" t="s">
        <v>881</v>
      </c>
      <c r="D230" s="6" t="s">
        <v>861</v>
      </c>
      <c r="E230" s="6" t="s">
        <v>503</v>
      </c>
      <c r="F230" s="6" t="s">
        <v>46</v>
      </c>
      <c r="G230" s="6" t="s">
        <v>882</v>
      </c>
      <c r="H230" s="7"/>
      <c r="I230" s="5" t="s">
        <v>48</v>
      </c>
      <c r="J230" s="5" t="s">
        <v>48</v>
      </c>
      <c r="AG230" s="15" t="s">
        <v>55</v>
      </c>
      <c r="AH230" s="15"/>
      <c r="AI230" s="15"/>
    </row>
    <row r="231" spans="1:35" s="6" customFormat="1">
      <c r="A231" s="6" t="s">
        <v>883</v>
      </c>
      <c r="B231" s="6" t="s">
        <v>884</v>
      </c>
      <c r="C231" s="6" t="s">
        <v>43</v>
      </c>
      <c r="D231" s="6" t="s">
        <v>861</v>
      </c>
      <c r="E231" s="6" t="s">
        <v>885</v>
      </c>
      <c r="F231" s="6" t="s">
        <v>46</v>
      </c>
      <c r="G231" s="6" t="s">
        <v>886</v>
      </c>
      <c r="H231" s="7"/>
      <c r="I231" s="5" t="s">
        <v>48</v>
      </c>
      <c r="J231" s="5" t="s">
        <v>48</v>
      </c>
      <c r="AG231" s="15" t="s">
        <v>55</v>
      </c>
      <c r="AH231" s="15"/>
      <c r="AI231" s="15"/>
    </row>
    <row r="232" spans="1:35" s="6" customFormat="1">
      <c r="A232" s="6" t="s">
        <v>887</v>
      </c>
      <c r="B232" s="6" t="s">
        <v>888</v>
      </c>
      <c r="C232" s="6" t="s">
        <v>43</v>
      </c>
      <c r="D232" s="6" t="s">
        <v>861</v>
      </c>
      <c r="E232" s="6" t="s">
        <v>885</v>
      </c>
      <c r="F232" s="6" t="s">
        <v>46</v>
      </c>
      <c r="G232" s="6" t="s">
        <v>889</v>
      </c>
      <c r="H232" s="7"/>
      <c r="I232" s="5" t="s">
        <v>48</v>
      </c>
      <c r="J232" s="5" t="s">
        <v>48</v>
      </c>
      <c r="AG232" s="15" t="s">
        <v>55</v>
      </c>
      <c r="AH232" s="15"/>
      <c r="AI232" s="15"/>
    </row>
    <row r="233" spans="1:35" s="6" customFormat="1">
      <c r="A233" s="6" t="s">
        <v>890</v>
      </c>
      <c r="B233" s="6" t="s">
        <v>891</v>
      </c>
      <c r="C233" s="6" t="s">
        <v>43</v>
      </c>
      <c r="D233" s="6" t="s">
        <v>861</v>
      </c>
      <c r="E233" s="6" t="s">
        <v>885</v>
      </c>
      <c r="F233" s="6" t="s">
        <v>46</v>
      </c>
      <c r="G233" s="6" t="s">
        <v>892</v>
      </c>
      <c r="H233" s="7"/>
      <c r="I233" s="5" t="s">
        <v>48</v>
      </c>
      <c r="J233" s="5" t="s">
        <v>48</v>
      </c>
      <c r="AG233" s="15" t="s">
        <v>55</v>
      </c>
      <c r="AH233" s="15"/>
      <c r="AI233" s="15"/>
    </row>
    <row r="234" spans="1:35" s="6" customFormat="1">
      <c r="A234" s="6" t="s">
        <v>893</v>
      </c>
      <c r="B234" s="6" t="s">
        <v>894</v>
      </c>
      <c r="C234" s="6" t="s">
        <v>43</v>
      </c>
      <c r="D234" s="6" t="s">
        <v>861</v>
      </c>
      <c r="E234" s="6" t="s">
        <v>885</v>
      </c>
      <c r="F234" s="6" t="s">
        <v>46</v>
      </c>
      <c r="G234" s="6" t="s">
        <v>895</v>
      </c>
      <c r="H234" s="7"/>
      <c r="I234" s="5" t="s">
        <v>48</v>
      </c>
      <c r="J234" s="5" t="s">
        <v>48</v>
      </c>
      <c r="AG234" s="15" t="s">
        <v>55</v>
      </c>
      <c r="AH234" s="15"/>
      <c r="AI234" s="15"/>
    </row>
    <row r="235" spans="1:35" s="6" customFormat="1">
      <c r="A235" s="6" t="s">
        <v>896</v>
      </c>
      <c r="B235" s="6" t="s">
        <v>897</v>
      </c>
      <c r="C235" s="6" t="s">
        <v>43</v>
      </c>
      <c r="D235" s="6" t="s">
        <v>861</v>
      </c>
      <c r="E235" s="6" t="s">
        <v>885</v>
      </c>
      <c r="F235" s="6" t="s">
        <v>46</v>
      </c>
      <c r="G235" s="6" t="s">
        <v>895</v>
      </c>
      <c r="H235" s="7"/>
      <c r="I235" s="5" t="s">
        <v>48</v>
      </c>
      <c r="J235" s="5" t="s">
        <v>48</v>
      </c>
      <c r="AG235" s="15" t="s">
        <v>55</v>
      </c>
      <c r="AH235" s="15"/>
      <c r="AI235" s="15"/>
    </row>
    <row r="236" spans="1:35" s="6" customFormat="1">
      <c r="A236" s="6" t="s">
        <v>898</v>
      </c>
      <c r="B236" s="6" t="s">
        <v>899</v>
      </c>
      <c r="C236" s="6" t="s">
        <v>43</v>
      </c>
      <c r="D236" s="6" t="s">
        <v>861</v>
      </c>
      <c r="E236" s="6" t="s">
        <v>885</v>
      </c>
      <c r="F236" s="6" t="s">
        <v>46</v>
      </c>
      <c r="G236" s="6" t="s">
        <v>900</v>
      </c>
      <c r="H236" s="7"/>
      <c r="I236" s="5" t="s">
        <v>48</v>
      </c>
      <c r="J236" s="5" t="s">
        <v>48</v>
      </c>
      <c r="AG236" s="15" t="s">
        <v>55</v>
      </c>
      <c r="AH236" s="15"/>
      <c r="AI236" s="15"/>
    </row>
    <row r="237" spans="1:35" s="6" customFormat="1">
      <c r="A237" s="6" t="s">
        <v>901</v>
      </c>
      <c r="B237" s="6" t="s">
        <v>902</v>
      </c>
      <c r="C237" s="6" t="s">
        <v>43</v>
      </c>
      <c r="D237" s="6" t="s">
        <v>861</v>
      </c>
      <c r="E237" s="6" t="s">
        <v>885</v>
      </c>
      <c r="F237" s="6" t="s">
        <v>46</v>
      </c>
      <c r="G237" s="6" t="s">
        <v>903</v>
      </c>
      <c r="H237" s="7"/>
      <c r="I237" s="5" t="s">
        <v>48</v>
      </c>
      <c r="J237" s="5" t="s">
        <v>48</v>
      </c>
      <c r="AG237" s="15" t="s">
        <v>55</v>
      </c>
      <c r="AH237" s="15"/>
      <c r="AI237" s="15"/>
    </row>
    <row r="238" spans="1:35" s="6" customFormat="1">
      <c r="A238" s="6" t="s">
        <v>904</v>
      </c>
      <c r="B238" s="6" t="s">
        <v>905</v>
      </c>
      <c r="C238" s="6" t="s">
        <v>43</v>
      </c>
      <c r="D238" s="6" t="s">
        <v>861</v>
      </c>
      <c r="E238" s="6" t="s">
        <v>885</v>
      </c>
      <c r="F238" s="6" t="s">
        <v>46</v>
      </c>
      <c r="G238" s="6" t="s">
        <v>906</v>
      </c>
      <c r="H238" s="7"/>
      <c r="I238" s="5" t="s">
        <v>48</v>
      </c>
      <c r="J238" s="5" t="s">
        <v>48</v>
      </c>
      <c r="AG238" s="15" t="s">
        <v>55</v>
      </c>
      <c r="AH238" s="15"/>
      <c r="AI238" s="15"/>
    </row>
    <row r="239" spans="1:35" s="6" customFormat="1">
      <c r="A239" s="6" t="s">
        <v>907</v>
      </c>
      <c r="B239" s="6" t="s">
        <v>908</v>
      </c>
      <c r="C239" s="6" t="s">
        <v>43</v>
      </c>
      <c r="D239" s="6" t="s">
        <v>909</v>
      </c>
      <c r="E239" s="6" t="s">
        <v>885</v>
      </c>
      <c r="F239" s="6" t="s">
        <v>46</v>
      </c>
      <c r="G239" s="6" t="s">
        <v>910</v>
      </c>
      <c r="H239" s="7"/>
      <c r="I239" s="5" t="s">
        <v>48</v>
      </c>
      <c r="J239" s="5" t="s">
        <v>48</v>
      </c>
      <c r="AG239" s="15" t="s">
        <v>55</v>
      </c>
      <c r="AH239" s="15"/>
      <c r="AI239" s="15"/>
    </row>
    <row r="240" spans="1:35" s="6" customFormat="1">
      <c r="A240" s="6" t="s">
        <v>911</v>
      </c>
      <c r="B240" s="6" t="s">
        <v>912</v>
      </c>
      <c r="C240" s="6" t="s">
        <v>43</v>
      </c>
      <c r="D240" s="6" t="s">
        <v>909</v>
      </c>
      <c r="E240" s="6" t="s">
        <v>885</v>
      </c>
      <c r="F240" s="6" t="s">
        <v>46</v>
      </c>
      <c r="G240" s="6" t="s">
        <v>913</v>
      </c>
      <c r="H240" s="7"/>
      <c r="I240" s="5" t="s">
        <v>48</v>
      </c>
      <c r="J240" s="5" t="s">
        <v>48</v>
      </c>
      <c r="AG240" s="15" t="s">
        <v>55</v>
      </c>
      <c r="AH240" s="15"/>
      <c r="AI240" s="15"/>
    </row>
    <row r="241" spans="1:35" s="6" customFormat="1">
      <c r="A241" s="6" t="s">
        <v>914</v>
      </c>
      <c r="B241" s="6" t="s">
        <v>915</v>
      </c>
      <c r="C241" s="6" t="s">
        <v>43</v>
      </c>
      <c r="D241" s="6" t="s">
        <v>909</v>
      </c>
      <c r="E241" s="6" t="s">
        <v>885</v>
      </c>
      <c r="F241" s="6" t="s">
        <v>46</v>
      </c>
      <c r="G241" s="6" t="s">
        <v>916</v>
      </c>
      <c r="H241" s="7"/>
      <c r="I241" s="5" t="s">
        <v>48</v>
      </c>
      <c r="J241" s="5" t="s">
        <v>48</v>
      </c>
      <c r="AG241" s="15" t="s">
        <v>55</v>
      </c>
      <c r="AH241" s="15"/>
      <c r="AI241" s="15"/>
    </row>
    <row r="242" spans="1:35" s="6" customFormat="1">
      <c r="A242" s="6" t="s">
        <v>917</v>
      </c>
      <c r="B242" s="6" t="s">
        <v>918</v>
      </c>
      <c r="C242" s="6" t="s">
        <v>43</v>
      </c>
      <c r="D242" s="6" t="s">
        <v>909</v>
      </c>
      <c r="E242" s="6" t="s">
        <v>885</v>
      </c>
      <c r="F242" s="6" t="s">
        <v>46</v>
      </c>
      <c r="G242" s="6" t="s">
        <v>919</v>
      </c>
      <c r="H242" s="7"/>
      <c r="I242" s="5" t="s">
        <v>48</v>
      </c>
      <c r="J242" s="5" t="s">
        <v>48</v>
      </c>
      <c r="AG242" s="15" t="s">
        <v>55</v>
      </c>
      <c r="AH242" s="15"/>
      <c r="AI242" s="15"/>
    </row>
    <row r="243" spans="1:35" s="6" customFormat="1">
      <c r="A243" s="6" t="s">
        <v>920</v>
      </c>
      <c r="B243" s="6" t="s">
        <v>921</v>
      </c>
      <c r="C243" s="6" t="s">
        <v>43</v>
      </c>
      <c r="D243" s="6" t="s">
        <v>909</v>
      </c>
      <c r="E243" s="6" t="s">
        <v>885</v>
      </c>
      <c r="F243" s="6" t="s">
        <v>46</v>
      </c>
      <c r="G243" s="6" t="s">
        <v>922</v>
      </c>
      <c r="H243" s="7"/>
      <c r="I243" s="5" t="s">
        <v>48</v>
      </c>
      <c r="J243" s="5" t="s">
        <v>48</v>
      </c>
      <c r="AG243" s="15" t="s">
        <v>55</v>
      </c>
      <c r="AH243" s="15"/>
      <c r="AI243" s="15"/>
    </row>
    <row r="244" spans="1:35" s="6" customFormat="1">
      <c r="A244" s="6" t="s">
        <v>923</v>
      </c>
      <c r="B244" s="6" t="s">
        <v>924</v>
      </c>
      <c r="C244" s="6" t="s">
        <v>43</v>
      </c>
      <c r="D244" s="6" t="s">
        <v>909</v>
      </c>
      <c r="E244" s="6" t="s">
        <v>885</v>
      </c>
      <c r="F244" s="6" t="s">
        <v>46</v>
      </c>
      <c r="G244" s="6" t="s">
        <v>925</v>
      </c>
      <c r="H244" s="7"/>
      <c r="I244" s="5" t="s">
        <v>48</v>
      </c>
      <c r="J244" s="5" t="s">
        <v>48</v>
      </c>
      <c r="AG244" s="15" t="s">
        <v>55</v>
      </c>
      <c r="AH244" s="15"/>
      <c r="AI244" s="15"/>
    </row>
    <row r="245" spans="1:35" s="6" customFormat="1">
      <c r="A245" s="6" t="s">
        <v>926</v>
      </c>
      <c r="B245" s="6" t="s">
        <v>927</v>
      </c>
      <c r="C245" s="6" t="s">
        <v>43</v>
      </c>
      <c r="D245" s="6" t="s">
        <v>909</v>
      </c>
      <c r="E245" s="6" t="s">
        <v>885</v>
      </c>
      <c r="F245" s="6" t="s">
        <v>46</v>
      </c>
      <c r="G245" s="6" t="s">
        <v>928</v>
      </c>
      <c r="H245" s="7"/>
      <c r="I245" s="5" t="s">
        <v>48</v>
      </c>
      <c r="J245" s="5" t="s">
        <v>48</v>
      </c>
      <c r="AG245" s="15" t="s">
        <v>55</v>
      </c>
      <c r="AH245" s="15"/>
      <c r="AI245" s="15"/>
    </row>
    <row r="246" spans="1:35" s="6" customFormat="1">
      <c r="A246" s="6" t="s">
        <v>929</v>
      </c>
      <c r="B246" s="6" t="s">
        <v>930</v>
      </c>
      <c r="C246" s="6" t="s">
        <v>43</v>
      </c>
      <c r="D246" s="6" t="s">
        <v>909</v>
      </c>
      <c r="E246" s="6" t="s">
        <v>885</v>
      </c>
      <c r="F246" s="6" t="s">
        <v>46</v>
      </c>
      <c r="G246" s="6" t="s">
        <v>931</v>
      </c>
      <c r="H246" s="7"/>
      <c r="I246" s="5" t="s">
        <v>48</v>
      </c>
      <c r="J246" s="5" t="s">
        <v>48</v>
      </c>
      <c r="AG246" s="15" t="s">
        <v>55</v>
      </c>
      <c r="AH246" s="15"/>
      <c r="AI246" s="15"/>
    </row>
    <row r="247" spans="1:35" s="6" customFormat="1">
      <c r="A247" s="6" t="s">
        <v>932</v>
      </c>
      <c r="B247" s="6" t="s">
        <v>933</v>
      </c>
      <c r="C247" s="6" t="s">
        <v>43</v>
      </c>
      <c r="D247" s="6" t="s">
        <v>909</v>
      </c>
      <c r="E247" s="6" t="s">
        <v>885</v>
      </c>
      <c r="F247" s="6" t="s">
        <v>46</v>
      </c>
      <c r="G247" s="6" t="s">
        <v>934</v>
      </c>
      <c r="H247" s="7"/>
      <c r="I247" s="5" t="s">
        <v>48</v>
      </c>
      <c r="J247" s="5" t="s">
        <v>48</v>
      </c>
      <c r="AG247" s="15" t="s">
        <v>55</v>
      </c>
      <c r="AH247" s="15"/>
      <c r="AI247" s="15"/>
    </row>
    <row r="248" spans="1:35" s="6" customFormat="1">
      <c r="A248" s="6" t="s">
        <v>935</v>
      </c>
      <c r="B248" s="6" t="s">
        <v>936</v>
      </c>
      <c r="C248" s="6" t="s">
        <v>43</v>
      </c>
      <c r="D248" s="6" t="s">
        <v>909</v>
      </c>
      <c r="E248" s="6" t="s">
        <v>885</v>
      </c>
      <c r="F248" s="6" t="s">
        <v>46</v>
      </c>
      <c r="G248" s="6" t="s">
        <v>937</v>
      </c>
      <c r="H248" s="7"/>
      <c r="I248" s="5" t="s">
        <v>48</v>
      </c>
      <c r="J248" s="5" t="s">
        <v>48</v>
      </c>
      <c r="AG248" s="15" t="s">
        <v>55</v>
      </c>
      <c r="AH248" s="15"/>
      <c r="AI248" s="15"/>
    </row>
    <row r="249" spans="1:35" s="6" customFormat="1">
      <c r="A249" s="6" t="s">
        <v>938</v>
      </c>
      <c r="B249" s="6" t="s">
        <v>939</v>
      </c>
      <c r="C249" s="6" t="s">
        <v>43</v>
      </c>
      <c r="D249" s="6" t="s">
        <v>909</v>
      </c>
      <c r="E249" s="6" t="s">
        <v>885</v>
      </c>
      <c r="F249" s="6" t="s">
        <v>46</v>
      </c>
      <c r="G249" s="6" t="s">
        <v>940</v>
      </c>
      <c r="H249" s="7"/>
      <c r="I249" s="5" t="s">
        <v>48</v>
      </c>
      <c r="J249" s="5" t="s">
        <v>48</v>
      </c>
      <c r="AG249" s="15" t="s">
        <v>55</v>
      </c>
      <c r="AH249" s="15"/>
      <c r="AI249" s="15"/>
    </row>
    <row r="250" spans="1:35" s="6" customFormat="1">
      <c r="A250" s="6" t="s">
        <v>941</v>
      </c>
      <c r="B250" s="6" t="s">
        <v>942</v>
      </c>
      <c r="C250" s="6" t="s">
        <v>43</v>
      </c>
      <c r="D250" s="6" t="s">
        <v>909</v>
      </c>
      <c r="E250" s="6" t="s">
        <v>885</v>
      </c>
      <c r="F250" s="6" t="s">
        <v>46</v>
      </c>
      <c r="G250" s="6" t="s">
        <v>943</v>
      </c>
      <c r="H250" s="7"/>
      <c r="I250" s="5" t="s">
        <v>48</v>
      </c>
      <c r="J250" s="5" t="s">
        <v>48</v>
      </c>
      <c r="AG250" s="15" t="s">
        <v>55</v>
      </c>
      <c r="AH250" s="15"/>
      <c r="AI250" s="15"/>
    </row>
    <row r="251" spans="1:35" s="6" customFormat="1">
      <c r="A251" s="6" t="s">
        <v>944</v>
      </c>
      <c r="B251" s="6" t="s">
        <v>945</v>
      </c>
      <c r="C251" s="6" t="s">
        <v>43</v>
      </c>
      <c r="D251" s="6" t="s">
        <v>909</v>
      </c>
      <c r="E251" s="6" t="s">
        <v>885</v>
      </c>
      <c r="F251" s="6" t="s">
        <v>46</v>
      </c>
      <c r="G251" s="6" t="s">
        <v>946</v>
      </c>
      <c r="H251" s="7"/>
      <c r="I251" s="5" t="s">
        <v>48</v>
      </c>
      <c r="J251" s="5" t="s">
        <v>48</v>
      </c>
      <c r="AG251" s="15" t="s">
        <v>55</v>
      </c>
      <c r="AH251" s="15"/>
      <c r="AI251" s="15"/>
    </row>
    <row r="252" spans="1:35" s="6" customFormat="1">
      <c r="A252" s="6" t="s">
        <v>947</v>
      </c>
      <c r="B252" s="6" t="s">
        <v>948</v>
      </c>
      <c r="C252" s="6" t="s">
        <v>43</v>
      </c>
      <c r="D252" s="6" t="s">
        <v>909</v>
      </c>
      <c r="E252" s="6" t="s">
        <v>885</v>
      </c>
      <c r="F252" s="6" t="s">
        <v>46</v>
      </c>
      <c r="G252" s="6" t="s">
        <v>949</v>
      </c>
      <c r="H252" s="7"/>
      <c r="I252" s="5" t="s">
        <v>48</v>
      </c>
      <c r="J252" s="5" t="s">
        <v>48</v>
      </c>
      <c r="AG252" s="15" t="s">
        <v>55</v>
      </c>
      <c r="AH252" s="15"/>
      <c r="AI252" s="15"/>
    </row>
    <row r="253" spans="1:35" s="6" customFormat="1">
      <c r="A253" s="6" t="s">
        <v>950</v>
      </c>
      <c r="B253" s="6" t="s">
        <v>951</v>
      </c>
      <c r="C253" s="6" t="s">
        <v>43</v>
      </c>
      <c r="D253" s="6" t="s">
        <v>861</v>
      </c>
      <c r="E253" s="6" t="s">
        <v>885</v>
      </c>
      <c r="F253" s="6" t="s">
        <v>46</v>
      </c>
      <c r="G253" s="6" t="s">
        <v>952</v>
      </c>
      <c r="H253" s="7"/>
      <c r="I253" s="5" t="s">
        <v>48</v>
      </c>
      <c r="J253" s="5" t="s">
        <v>48</v>
      </c>
      <c r="AG253" s="15" t="s">
        <v>55</v>
      </c>
      <c r="AH253" s="15"/>
      <c r="AI253" s="15"/>
    </row>
    <row r="254" spans="1:35" s="6" customFormat="1">
      <c r="A254" s="6" t="s">
        <v>953</v>
      </c>
      <c r="B254" s="6" t="s">
        <v>954</v>
      </c>
      <c r="C254" s="6" t="s">
        <v>43</v>
      </c>
      <c r="D254" s="6" t="s">
        <v>909</v>
      </c>
      <c r="E254" s="6" t="s">
        <v>885</v>
      </c>
      <c r="F254" s="6" t="s">
        <v>46</v>
      </c>
      <c r="G254" s="6" t="s">
        <v>955</v>
      </c>
      <c r="H254" s="7"/>
      <c r="I254" s="5" t="s">
        <v>48</v>
      </c>
      <c r="J254" s="5" t="s">
        <v>48</v>
      </c>
      <c r="AG254" s="15" t="s">
        <v>55</v>
      </c>
      <c r="AH254" s="15"/>
      <c r="AI254" s="15"/>
    </row>
    <row r="255" spans="1:35" s="6" customFormat="1">
      <c r="A255" s="6" t="s">
        <v>956</v>
      </c>
      <c r="B255" s="6" t="s">
        <v>957</v>
      </c>
      <c r="C255" s="6" t="s">
        <v>43</v>
      </c>
      <c r="D255" s="6" t="s">
        <v>909</v>
      </c>
      <c r="E255" s="6" t="s">
        <v>885</v>
      </c>
      <c r="F255" s="6" t="s">
        <v>46</v>
      </c>
      <c r="G255" s="6" t="s">
        <v>958</v>
      </c>
      <c r="H255" s="7"/>
      <c r="I255" s="5" t="s">
        <v>48</v>
      </c>
      <c r="J255" s="5" t="s">
        <v>48</v>
      </c>
      <c r="AG255" s="15" t="s">
        <v>55</v>
      </c>
      <c r="AH255" s="15"/>
      <c r="AI255" s="15"/>
    </row>
    <row r="256" spans="1:35" s="6" customFormat="1">
      <c r="A256" s="6" t="s">
        <v>959</v>
      </c>
      <c r="B256" s="6" t="s">
        <v>960</v>
      </c>
      <c r="C256" s="6" t="s">
        <v>43</v>
      </c>
      <c r="D256" s="6" t="s">
        <v>909</v>
      </c>
      <c r="E256" s="6" t="s">
        <v>885</v>
      </c>
      <c r="F256" s="6" t="s">
        <v>46</v>
      </c>
      <c r="G256" s="6" t="s">
        <v>961</v>
      </c>
      <c r="H256" s="7"/>
      <c r="I256" s="5" t="s">
        <v>48</v>
      </c>
      <c r="J256" s="5" t="s">
        <v>48</v>
      </c>
      <c r="AG256" s="15" t="s">
        <v>55</v>
      </c>
      <c r="AH256" s="15"/>
      <c r="AI256" s="15"/>
    </row>
    <row r="257" spans="1:35" s="6" customFormat="1">
      <c r="A257" s="6" t="s">
        <v>962</v>
      </c>
      <c r="B257" s="6" t="s">
        <v>963</v>
      </c>
      <c r="C257" s="6" t="s">
        <v>43</v>
      </c>
      <c r="D257" s="6" t="s">
        <v>909</v>
      </c>
      <c r="E257" s="6" t="s">
        <v>885</v>
      </c>
      <c r="F257" s="6" t="s">
        <v>46</v>
      </c>
      <c r="G257" s="6" t="s">
        <v>964</v>
      </c>
      <c r="H257" s="7"/>
      <c r="I257" s="5" t="s">
        <v>48</v>
      </c>
      <c r="J257" s="5" t="s">
        <v>48</v>
      </c>
      <c r="AG257" s="15" t="s">
        <v>55</v>
      </c>
      <c r="AH257" s="15"/>
      <c r="AI257" s="15"/>
    </row>
    <row r="258" spans="1:35" s="6" customFormat="1">
      <c r="A258" s="6" t="s">
        <v>965</v>
      </c>
      <c r="B258" s="6" t="s">
        <v>966</v>
      </c>
      <c r="C258" s="6" t="s">
        <v>43</v>
      </c>
      <c r="D258" s="6" t="s">
        <v>909</v>
      </c>
      <c r="E258" s="6" t="s">
        <v>885</v>
      </c>
      <c r="F258" s="6" t="s">
        <v>46</v>
      </c>
      <c r="G258" s="6" t="s">
        <v>967</v>
      </c>
      <c r="H258" s="7"/>
      <c r="I258" s="5" t="s">
        <v>48</v>
      </c>
      <c r="J258" s="5" t="s">
        <v>48</v>
      </c>
      <c r="AG258" s="15" t="s">
        <v>55</v>
      </c>
      <c r="AH258" s="15"/>
      <c r="AI258" s="15"/>
    </row>
    <row r="259" spans="1:35" s="6" customFormat="1">
      <c r="A259" s="6" t="s">
        <v>968</v>
      </c>
      <c r="B259" s="6" t="s">
        <v>969</v>
      </c>
      <c r="C259" s="6" t="s">
        <v>43</v>
      </c>
      <c r="D259" s="6" t="s">
        <v>909</v>
      </c>
      <c r="E259" s="6" t="s">
        <v>885</v>
      </c>
      <c r="F259" s="6" t="s">
        <v>46</v>
      </c>
      <c r="G259" s="6" t="s">
        <v>970</v>
      </c>
      <c r="H259" s="7"/>
      <c r="I259" s="5" t="s">
        <v>48</v>
      </c>
      <c r="J259" s="5" t="s">
        <v>48</v>
      </c>
      <c r="AG259" s="15" t="s">
        <v>55</v>
      </c>
      <c r="AH259" s="15"/>
      <c r="AI259" s="15"/>
    </row>
    <row r="260" spans="1:35" s="6" customFormat="1">
      <c r="A260" s="6" t="s">
        <v>971</v>
      </c>
      <c r="B260" s="6" t="s">
        <v>972</v>
      </c>
      <c r="C260" s="6" t="s">
        <v>43</v>
      </c>
      <c r="D260" s="6" t="s">
        <v>909</v>
      </c>
      <c r="E260" s="6" t="s">
        <v>885</v>
      </c>
      <c r="F260" s="6" t="s">
        <v>46</v>
      </c>
      <c r="G260" s="6" t="s">
        <v>973</v>
      </c>
      <c r="H260" s="7"/>
      <c r="I260" s="5" t="s">
        <v>48</v>
      </c>
      <c r="J260" s="5" t="s">
        <v>48</v>
      </c>
      <c r="AG260" s="15" t="s">
        <v>55</v>
      </c>
      <c r="AH260" s="15"/>
      <c r="AI260" s="15"/>
    </row>
    <row r="261" spans="1:35" s="6" customFormat="1">
      <c r="A261" s="6" t="s">
        <v>974</v>
      </c>
      <c r="B261" s="6" t="s">
        <v>975</v>
      </c>
      <c r="C261" s="6" t="s">
        <v>43</v>
      </c>
      <c r="D261" s="6" t="s">
        <v>909</v>
      </c>
      <c r="E261" s="6" t="s">
        <v>885</v>
      </c>
      <c r="F261" s="6" t="s">
        <v>46</v>
      </c>
      <c r="G261" s="6" t="s">
        <v>976</v>
      </c>
      <c r="H261" s="7"/>
      <c r="I261" s="5" t="s">
        <v>48</v>
      </c>
      <c r="J261" s="5" t="s">
        <v>48</v>
      </c>
      <c r="AG261" s="15" t="s">
        <v>55</v>
      </c>
      <c r="AH261" s="15"/>
      <c r="AI261" s="15"/>
    </row>
    <row r="262" spans="1:35" s="6" customFormat="1">
      <c r="A262" s="6" t="s">
        <v>977</v>
      </c>
      <c r="B262" s="6" t="s">
        <v>978</v>
      </c>
      <c r="C262" s="6" t="s">
        <v>43</v>
      </c>
      <c r="D262" s="6" t="s">
        <v>909</v>
      </c>
      <c r="E262" s="6" t="s">
        <v>885</v>
      </c>
      <c r="F262" s="6" t="s">
        <v>46</v>
      </c>
      <c r="G262" s="6" t="s">
        <v>979</v>
      </c>
      <c r="H262" s="7"/>
      <c r="I262" s="5" t="s">
        <v>48</v>
      </c>
      <c r="J262" s="5" t="s">
        <v>48</v>
      </c>
      <c r="AG262" s="15" t="s">
        <v>55</v>
      </c>
      <c r="AH262" s="15"/>
      <c r="AI262" s="15"/>
    </row>
    <row r="263" spans="1:35" s="6" customFormat="1">
      <c r="A263" s="6" t="s">
        <v>980</v>
      </c>
      <c r="B263" s="6" t="s">
        <v>981</v>
      </c>
      <c r="C263" s="6" t="s">
        <v>43</v>
      </c>
      <c r="D263" s="6" t="s">
        <v>909</v>
      </c>
      <c r="E263" s="6" t="s">
        <v>885</v>
      </c>
      <c r="F263" s="6" t="s">
        <v>46</v>
      </c>
      <c r="G263" s="6" t="s">
        <v>976</v>
      </c>
      <c r="H263" s="7"/>
      <c r="I263" s="5" t="s">
        <v>48</v>
      </c>
      <c r="J263" s="5" t="s">
        <v>48</v>
      </c>
      <c r="AG263" s="15" t="s">
        <v>55</v>
      </c>
      <c r="AH263" s="15"/>
      <c r="AI263" s="15"/>
    </row>
    <row r="264" spans="1:35" s="6" customFormat="1">
      <c r="A264" s="6" t="s">
        <v>982</v>
      </c>
      <c r="B264" s="6" t="s">
        <v>983</v>
      </c>
      <c r="C264" s="6" t="s">
        <v>43</v>
      </c>
      <c r="D264" s="6" t="s">
        <v>909</v>
      </c>
      <c r="E264" s="6" t="s">
        <v>885</v>
      </c>
      <c r="F264" s="6" t="s">
        <v>46</v>
      </c>
      <c r="G264" s="6" t="s">
        <v>979</v>
      </c>
      <c r="H264" s="7"/>
      <c r="I264" s="5" t="s">
        <v>48</v>
      </c>
      <c r="J264" s="5" t="s">
        <v>48</v>
      </c>
      <c r="AG264" s="15" t="s">
        <v>55</v>
      </c>
      <c r="AH264" s="15"/>
      <c r="AI264" s="15"/>
    </row>
    <row r="265" spans="1:35" s="6" customFormat="1">
      <c r="A265" s="6" t="s">
        <v>984</v>
      </c>
      <c r="B265" s="6" t="s">
        <v>985</v>
      </c>
      <c r="C265" s="6" t="s">
        <v>43</v>
      </c>
      <c r="D265" s="6" t="s">
        <v>909</v>
      </c>
      <c r="E265" s="6" t="s">
        <v>885</v>
      </c>
      <c r="F265" s="6" t="s">
        <v>46</v>
      </c>
      <c r="G265" s="6" t="s">
        <v>986</v>
      </c>
      <c r="H265" s="7"/>
      <c r="I265" s="5" t="s">
        <v>48</v>
      </c>
      <c r="J265" s="5" t="s">
        <v>48</v>
      </c>
      <c r="AG265" s="15" t="s">
        <v>55</v>
      </c>
      <c r="AH265" s="15"/>
      <c r="AI265" s="15"/>
    </row>
    <row r="266" spans="1:35" s="6" customFormat="1">
      <c r="A266" s="6" t="s">
        <v>987</v>
      </c>
      <c r="B266" s="6" t="s">
        <v>988</v>
      </c>
      <c r="C266" s="6" t="s">
        <v>43</v>
      </c>
      <c r="D266" s="6" t="s">
        <v>909</v>
      </c>
      <c r="E266" s="6" t="s">
        <v>885</v>
      </c>
      <c r="F266" s="6" t="s">
        <v>46</v>
      </c>
      <c r="G266" s="6" t="s">
        <v>989</v>
      </c>
      <c r="H266" s="7"/>
      <c r="I266" s="5" t="s">
        <v>48</v>
      </c>
      <c r="J266" s="5" t="s">
        <v>48</v>
      </c>
      <c r="AG266" s="15" t="s">
        <v>55</v>
      </c>
      <c r="AH266" s="15"/>
      <c r="AI266" s="15"/>
    </row>
    <row r="267" spans="1:35" s="6" customFormat="1">
      <c r="A267" s="6" t="s">
        <v>990</v>
      </c>
      <c r="B267" s="6" t="s">
        <v>991</v>
      </c>
      <c r="C267" s="6" t="s">
        <v>43</v>
      </c>
      <c r="D267" s="6" t="s">
        <v>909</v>
      </c>
      <c r="E267" s="6" t="s">
        <v>885</v>
      </c>
      <c r="F267" s="6" t="s">
        <v>46</v>
      </c>
      <c r="G267" s="6" t="s">
        <v>992</v>
      </c>
      <c r="H267" s="7"/>
      <c r="I267" s="5" t="s">
        <v>48</v>
      </c>
      <c r="J267" s="5" t="s">
        <v>48</v>
      </c>
      <c r="AG267" s="15" t="s">
        <v>55</v>
      </c>
      <c r="AH267" s="15"/>
      <c r="AI267" s="15"/>
    </row>
    <row r="268" spans="1:35" s="6" customFormat="1">
      <c r="A268" s="6" t="s">
        <v>993</v>
      </c>
      <c r="B268" s="6" t="s">
        <v>994</v>
      </c>
      <c r="C268" s="6" t="s">
        <v>43</v>
      </c>
      <c r="D268" s="6" t="s">
        <v>909</v>
      </c>
      <c r="E268" s="6" t="s">
        <v>885</v>
      </c>
      <c r="F268" s="6" t="s">
        <v>46</v>
      </c>
      <c r="G268" s="6" t="s">
        <v>995</v>
      </c>
      <c r="H268" s="7"/>
      <c r="I268" s="5" t="s">
        <v>48</v>
      </c>
      <c r="J268" s="5" t="s">
        <v>48</v>
      </c>
      <c r="AG268" s="15" t="s">
        <v>55</v>
      </c>
      <c r="AH268" s="15"/>
      <c r="AI268" s="15"/>
    </row>
    <row r="269" spans="1:35" s="6" customFormat="1">
      <c r="A269" s="6" t="s">
        <v>996</v>
      </c>
      <c r="B269" s="6" t="s">
        <v>997</v>
      </c>
      <c r="C269" s="6" t="s">
        <v>43</v>
      </c>
      <c r="D269" s="6" t="s">
        <v>909</v>
      </c>
      <c r="E269" s="6" t="s">
        <v>885</v>
      </c>
      <c r="F269" s="6" t="s">
        <v>46</v>
      </c>
      <c r="G269" s="6" t="s">
        <v>998</v>
      </c>
      <c r="H269" s="7"/>
      <c r="I269" s="5" t="s">
        <v>48</v>
      </c>
      <c r="J269" s="5" t="s">
        <v>48</v>
      </c>
      <c r="AG269" s="15" t="s">
        <v>55</v>
      </c>
      <c r="AH269" s="15"/>
      <c r="AI269" s="15"/>
    </row>
    <row r="270" spans="1:35" s="6" customFormat="1">
      <c r="A270" s="6" t="s">
        <v>999</v>
      </c>
      <c r="B270" s="6" t="s">
        <v>1000</v>
      </c>
      <c r="C270" s="6" t="s">
        <v>43</v>
      </c>
      <c r="D270" s="6" t="s">
        <v>909</v>
      </c>
      <c r="E270" s="6" t="s">
        <v>885</v>
      </c>
      <c r="F270" s="6" t="s">
        <v>46</v>
      </c>
      <c r="G270" s="6" t="s">
        <v>1001</v>
      </c>
      <c r="H270" s="7"/>
      <c r="I270" s="5" t="s">
        <v>48</v>
      </c>
      <c r="J270" s="5" t="s">
        <v>48</v>
      </c>
      <c r="AG270" s="15" t="s">
        <v>55</v>
      </c>
      <c r="AH270" s="15"/>
      <c r="AI270" s="15"/>
    </row>
    <row r="271" spans="1:35" s="6" customFormat="1">
      <c r="A271" s="6" t="s">
        <v>1002</v>
      </c>
      <c r="B271" s="6" t="s">
        <v>1003</v>
      </c>
      <c r="C271" s="6" t="s">
        <v>43</v>
      </c>
      <c r="D271" s="6" t="s">
        <v>909</v>
      </c>
      <c r="E271" s="6" t="s">
        <v>885</v>
      </c>
      <c r="F271" s="6" t="s">
        <v>46</v>
      </c>
      <c r="G271" s="6" t="s">
        <v>1004</v>
      </c>
      <c r="H271" s="7"/>
      <c r="I271" s="5" t="s">
        <v>48</v>
      </c>
      <c r="J271" s="5" t="s">
        <v>48</v>
      </c>
      <c r="AG271" s="15" t="s">
        <v>55</v>
      </c>
      <c r="AH271" s="15"/>
      <c r="AI271" s="15"/>
    </row>
    <row r="272" spans="1:35" s="6" customFormat="1">
      <c r="A272" s="6" t="s">
        <v>1005</v>
      </c>
      <c r="B272" s="6" t="s">
        <v>1006</v>
      </c>
      <c r="C272" s="6" t="s">
        <v>43</v>
      </c>
      <c r="D272" s="6" t="s">
        <v>909</v>
      </c>
      <c r="E272" s="6" t="s">
        <v>885</v>
      </c>
      <c r="F272" s="6" t="s">
        <v>46</v>
      </c>
      <c r="G272" s="6" t="s">
        <v>1007</v>
      </c>
      <c r="H272" s="7"/>
      <c r="I272" s="5" t="s">
        <v>48</v>
      </c>
      <c r="J272" s="5" t="s">
        <v>48</v>
      </c>
      <c r="AG272" s="15" t="s">
        <v>55</v>
      </c>
      <c r="AH272" s="15"/>
      <c r="AI272" s="15"/>
    </row>
    <row r="273" spans="1:35" s="6" customFormat="1">
      <c r="A273" s="6" t="s">
        <v>1008</v>
      </c>
      <c r="B273" s="6" t="s">
        <v>1009</v>
      </c>
      <c r="C273" s="6" t="s">
        <v>43</v>
      </c>
      <c r="D273" s="6" t="s">
        <v>909</v>
      </c>
      <c r="E273" s="6" t="s">
        <v>885</v>
      </c>
      <c r="F273" s="6" t="s">
        <v>46</v>
      </c>
      <c r="G273" s="6" t="s">
        <v>1010</v>
      </c>
      <c r="H273" s="7"/>
      <c r="I273" s="5" t="s">
        <v>48</v>
      </c>
      <c r="J273" s="5" t="s">
        <v>48</v>
      </c>
      <c r="AG273" s="15" t="s">
        <v>55</v>
      </c>
      <c r="AH273" s="15"/>
      <c r="AI273" s="15"/>
    </row>
    <row r="274" spans="1:35" s="6" customFormat="1">
      <c r="A274" s="6" t="s">
        <v>1011</v>
      </c>
      <c r="B274" s="6" t="s">
        <v>1012</v>
      </c>
      <c r="C274" s="6" t="s">
        <v>43</v>
      </c>
      <c r="D274" s="6" t="s">
        <v>909</v>
      </c>
      <c r="E274" s="6" t="s">
        <v>885</v>
      </c>
      <c r="F274" s="6" t="s">
        <v>46</v>
      </c>
      <c r="G274" s="6" t="s">
        <v>1013</v>
      </c>
      <c r="H274" s="7"/>
      <c r="I274" s="5" t="s">
        <v>48</v>
      </c>
      <c r="J274" s="5" t="s">
        <v>48</v>
      </c>
      <c r="AG274" s="15" t="s">
        <v>55</v>
      </c>
      <c r="AH274" s="15"/>
      <c r="AI274" s="15"/>
    </row>
    <row r="275" spans="1:35" s="6" customFormat="1">
      <c r="A275" s="6" t="s">
        <v>1014</v>
      </c>
      <c r="B275" s="6" t="s">
        <v>1015</v>
      </c>
      <c r="C275" s="6" t="s">
        <v>43</v>
      </c>
      <c r="D275" s="6" t="s">
        <v>909</v>
      </c>
      <c r="E275" s="6" t="s">
        <v>885</v>
      </c>
      <c r="F275" s="6" t="s">
        <v>46</v>
      </c>
      <c r="G275" s="6" t="s">
        <v>1016</v>
      </c>
      <c r="H275" s="7"/>
      <c r="I275" s="5" t="s">
        <v>48</v>
      </c>
      <c r="J275" s="5" t="s">
        <v>48</v>
      </c>
      <c r="AG275" s="15" t="s">
        <v>55</v>
      </c>
      <c r="AH275" s="15"/>
      <c r="AI275" s="15"/>
    </row>
    <row r="276" spans="1:35" s="6" customFormat="1">
      <c r="A276" s="6" t="s">
        <v>1017</v>
      </c>
      <c r="B276" s="6" t="s">
        <v>1018</v>
      </c>
      <c r="C276" s="6" t="s">
        <v>43</v>
      </c>
      <c r="D276" s="6" t="s">
        <v>909</v>
      </c>
      <c r="E276" s="6" t="s">
        <v>885</v>
      </c>
      <c r="F276" s="6" t="s">
        <v>46</v>
      </c>
      <c r="G276" s="6" t="s">
        <v>1019</v>
      </c>
      <c r="H276" s="7"/>
      <c r="I276" s="5" t="s">
        <v>48</v>
      </c>
      <c r="J276" s="5" t="s">
        <v>48</v>
      </c>
      <c r="AG276" s="15" t="s">
        <v>55</v>
      </c>
      <c r="AH276" s="15"/>
      <c r="AI276" s="15"/>
    </row>
    <row r="277" spans="1:35" s="6" customFormat="1">
      <c r="A277" s="6" t="s">
        <v>1020</v>
      </c>
      <c r="B277" s="6" t="s">
        <v>1021</v>
      </c>
      <c r="C277" s="6" t="s">
        <v>43</v>
      </c>
      <c r="D277" s="6" t="s">
        <v>909</v>
      </c>
      <c r="E277" s="6" t="s">
        <v>885</v>
      </c>
      <c r="F277" s="6" t="s">
        <v>46</v>
      </c>
      <c r="G277" s="6" t="s">
        <v>1022</v>
      </c>
      <c r="H277" s="7"/>
      <c r="I277" s="5" t="s">
        <v>48</v>
      </c>
      <c r="J277" s="5" t="s">
        <v>48</v>
      </c>
      <c r="AG277" s="15" t="s">
        <v>55</v>
      </c>
      <c r="AH277" s="15"/>
      <c r="AI277" s="15"/>
    </row>
    <row r="278" spans="1:35" s="6" customFormat="1">
      <c r="A278" s="6" t="s">
        <v>1023</v>
      </c>
      <c r="B278" s="6" t="s">
        <v>1024</v>
      </c>
      <c r="C278" s="6" t="s">
        <v>43</v>
      </c>
      <c r="D278" s="6" t="s">
        <v>909</v>
      </c>
      <c r="E278" s="6" t="s">
        <v>885</v>
      </c>
      <c r="F278" s="6" t="s">
        <v>46</v>
      </c>
      <c r="G278" s="6" t="s">
        <v>1025</v>
      </c>
      <c r="H278" s="7"/>
      <c r="I278" s="5" t="s">
        <v>48</v>
      </c>
      <c r="J278" s="5" t="s">
        <v>48</v>
      </c>
      <c r="AG278" s="15" t="s">
        <v>55</v>
      </c>
      <c r="AH278" s="15"/>
      <c r="AI278" s="15"/>
    </row>
    <row r="279" spans="1:35" s="6" customFormat="1">
      <c r="A279" s="6" t="s">
        <v>1026</v>
      </c>
      <c r="B279" s="6" t="s">
        <v>1027</v>
      </c>
      <c r="C279" s="6" t="s">
        <v>43</v>
      </c>
      <c r="D279" s="6" t="s">
        <v>909</v>
      </c>
      <c r="E279" s="6" t="s">
        <v>885</v>
      </c>
      <c r="F279" s="6" t="s">
        <v>46</v>
      </c>
      <c r="G279" s="6" t="s">
        <v>1028</v>
      </c>
      <c r="H279" s="7"/>
      <c r="I279" s="5" t="s">
        <v>48</v>
      </c>
      <c r="J279" s="5" t="s">
        <v>48</v>
      </c>
      <c r="AG279" s="15" t="s">
        <v>55</v>
      </c>
      <c r="AH279" s="15"/>
      <c r="AI279" s="15"/>
    </row>
    <row r="280" spans="1:35" s="6" customFormat="1">
      <c r="A280" s="6" t="s">
        <v>1029</v>
      </c>
      <c r="B280" s="6" t="s">
        <v>1030</v>
      </c>
      <c r="C280" s="6" t="s">
        <v>43</v>
      </c>
      <c r="D280" s="6" t="s">
        <v>909</v>
      </c>
      <c r="E280" s="6" t="s">
        <v>885</v>
      </c>
      <c r="F280" s="6" t="s">
        <v>46</v>
      </c>
      <c r="G280" s="6" t="s">
        <v>1031</v>
      </c>
      <c r="H280" s="7"/>
      <c r="I280" s="5" t="s">
        <v>48</v>
      </c>
      <c r="J280" s="5" t="s">
        <v>48</v>
      </c>
      <c r="AG280" s="15" t="s">
        <v>55</v>
      </c>
      <c r="AH280" s="15"/>
      <c r="AI280" s="15"/>
    </row>
    <row r="281" spans="1:35" s="6" customFormat="1">
      <c r="A281" s="6" t="s">
        <v>1032</v>
      </c>
      <c r="B281" s="6" t="s">
        <v>1033</v>
      </c>
      <c r="C281" s="6" t="s">
        <v>43</v>
      </c>
      <c r="D281" s="6" t="s">
        <v>909</v>
      </c>
      <c r="E281" s="6" t="s">
        <v>885</v>
      </c>
      <c r="F281" s="6" t="s">
        <v>46</v>
      </c>
      <c r="G281" s="6" t="s">
        <v>1034</v>
      </c>
      <c r="H281" s="7"/>
      <c r="I281" s="5" t="s">
        <v>48</v>
      </c>
      <c r="J281" s="5" t="s">
        <v>48</v>
      </c>
      <c r="AG281" s="15" t="s">
        <v>55</v>
      </c>
      <c r="AH281" s="15"/>
      <c r="AI281" s="15"/>
    </row>
    <row r="282" spans="1:35" s="6" customFormat="1">
      <c r="A282" s="6" t="s">
        <v>1035</v>
      </c>
      <c r="B282" s="6" t="s">
        <v>1036</v>
      </c>
      <c r="C282" s="6" t="s">
        <v>43</v>
      </c>
      <c r="D282" s="6" t="s">
        <v>909</v>
      </c>
      <c r="E282" s="6" t="s">
        <v>885</v>
      </c>
      <c r="F282" s="6" t="s">
        <v>46</v>
      </c>
      <c r="G282" s="6" t="s">
        <v>1037</v>
      </c>
      <c r="H282" s="7"/>
      <c r="I282" s="5" t="s">
        <v>48</v>
      </c>
      <c r="J282" s="5" t="s">
        <v>48</v>
      </c>
      <c r="AG282" s="15" t="s">
        <v>55</v>
      </c>
      <c r="AH282" s="15"/>
      <c r="AI282" s="15"/>
    </row>
    <row r="283" spans="1:35" s="6" customFormat="1">
      <c r="A283" s="6" t="s">
        <v>1038</v>
      </c>
      <c r="B283" s="6" t="s">
        <v>1039</v>
      </c>
      <c r="C283" s="6" t="s">
        <v>43</v>
      </c>
      <c r="D283" s="6" t="s">
        <v>1040</v>
      </c>
      <c r="E283" s="6" t="s">
        <v>885</v>
      </c>
      <c r="F283" s="6" t="s">
        <v>46</v>
      </c>
      <c r="G283" s="6" t="s">
        <v>1041</v>
      </c>
      <c r="H283" s="7"/>
      <c r="I283" s="5" t="s">
        <v>48</v>
      </c>
      <c r="J283" s="5" t="s">
        <v>48</v>
      </c>
      <c r="AG283" s="15" t="s">
        <v>55</v>
      </c>
      <c r="AH283" s="15"/>
      <c r="AI283" s="15"/>
    </row>
    <row r="284" spans="1:35" s="6" customFormat="1">
      <c r="A284" s="6" t="s">
        <v>1042</v>
      </c>
      <c r="B284" s="6" t="s">
        <v>1043</v>
      </c>
      <c r="C284" s="6" t="s">
        <v>43</v>
      </c>
      <c r="D284" s="6" t="s">
        <v>1040</v>
      </c>
      <c r="E284" s="6" t="s">
        <v>885</v>
      </c>
      <c r="F284" s="6" t="s">
        <v>46</v>
      </c>
      <c r="G284" s="6" t="s">
        <v>1044</v>
      </c>
      <c r="H284" s="7"/>
      <c r="I284" s="5" t="s">
        <v>48</v>
      </c>
      <c r="J284" s="5" t="s">
        <v>48</v>
      </c>
      <c r="AG284" s="15" t="s">
        <v>55</v>
      </c>
      <c r="AH284" s="15"/>
      <c r="AI284" s="15"/>
    </row>
    <row r="285" spans="1:35" s="6" customFormat="1">
      <c r="A285" s="6" t="s">
        <v>1045</v>
      </c>
      <c r="B285" s="6" t="s">
        <v>1046</v>
      </c>
      <c r="C285" s="6" t="s">
        <v>43</v>
      </c>
      <c r="D285" s="6" t="s">
        <v>1040</v>
      </c>
      <c r="E285" s="6" t="s">
        <v>885</v>
      </c>
      <c r="F285" s="6" t="s">
        <v>46</v>
      </c>
      <c r="G285" s="6" t="s">
        <v>1047</v>
      </c>
      <c r="H285" s="7"/>
      <c r="I285" s="5" t="s">
        <v>48</v>
      </c>
      <c r="J285" s="5" t="s">
        <v>48</v>
      </c>
      <c r="AG285" s="15" t="s">
        <v>55</v>
      </c>
      <c r="AH285" s="15"/>
      <c r="AI285" s="15"/>
    </row>
    <row r="286" spans="1:35" s="6" customFormat="1">
      <c r="A286" s="6" t="s">
        <v>1048</v>
      </c>
      <c r="B286" s="6" t="s">
        <v>1049</v>
      </c>
      <c r="C286" s="6" t="s">
        <v>43</v>
      </c>
      <c r="D286" s="6" t="s">
        <v>1040</v>
      </c>
      <c r="E286" s="6" t="s">
        <v>885</v>
      </c>
      <c r="F286" s="6" t="s">
        <v>46</v>
      </c>
      <c r="G286" s="6" t="s">
        <v>1050</v>
      </c>
      <c r="H286" s="7"/>
      <c r="I286" s="5" t="s">
        <v>48</v>
      </c>
      <c r="J286" s="5" t="s">
        <v>48</v>
      </c>
      <c r="AG286" s="15" t="s">
        <v>55</v>
      </c>
      <c r="AH286" s="15"/>
      <c r="AI286" s="15"/>
    </row>
    <row r="287" spans="1:35" s="6" customFormat="1">
      <c r="A287" s="6" t="s">
        <v>1051</v>
      </c>
      <c r="B287" s="6" t="s">
        <v>1052</v>
      </c>
      <c r="C287" s="6" t="s">
        <v>43</v>
      </c>
      <c r="D287" s="6" t="s">
        <v>1040</v>
      </c>
      <c r="E287" s="6" t="s">
        <v>885</v>
      </c>
      <c r="F287" s="6" t="s">
        <v>46</v>
      </c>
      <c r="G287" s="6" t="s">
        <v>1053</v>
      </c>
      <c r="H287" s="7"/>
      <c r="I287" s="5" t="s">
        <v>48</v>
      </c>
      <c r="J287" s="5" t="s">
        <v>48</v>
      </c>
      <c r="AG287" s="15" t="s">
        <v>55</v>
      </c>
      <c r="AH287" s="15"/>
      <c r="AI287" s="15"/>
    </row>
    <row r="288" spans="1:35" s="6" customFormat="1">
      <c r="A288" s="6" t="s">
        <v>1054</v>
      </c>
      <c r="B288" s="6" t="s">
        <v>1055</v>
      </c>
      <c r="C288" s="6" t="s">
        <v>43</v>
      </c>
      <c r="D288" s="6" t="s">
        <v>1040</v>
      </c>
      <c r="E288" s="6" t="s">
        <v>885</v>
      </c>
      <c r="F288" s="6" t="s">
        <v>46</v>
      </c>
      <c r="G288" s="6" t="s">
        <v>1056</v>
      </c>
      <c r="H288" s="7"/>
      <c r="I288" s="5" t="s">
        <v>48</v>
      </c>
      <c r="J288" s="5" t="s">
        <v>48</v>
      </c>
      <c r="AG288" s="15" t="s">
        <v>55</v>
      </c>
      <c r="AH288" s="15"/>
      <c r="AI288" s="15"/>
    </row>
    <row r="289" spans="1:37" s="6" customFormat="1">
      <c r="A289" s="6" t="s">
        <v>1057</v>
      </c>
      <c r="B289" s="6" t="s">
        <v>1058</v>
      </c>
      <c r="C289" s="6" t="s">
        <v>43</v>
      </c>
      <c r="D289" s="6" t="s">
        <v>1040</v>
      </c>
      <c r="E289" s="6" t="s">
        <v>885</v>
      </c>
      <c r="F289" s="6" t="s">
        <v>46</v>
      </c>
      <c r="G289" s="6" t="s">
        <v>1059</v>
      </c>
      <c r="H289" s="7"/>
      <c r="I289" s="5" t="s">
        <v>48</v>
      </c>
      <c r="J289" s="5" t="s">
        <v>48</v>
      </c>
      <c r="AG289" s="15" t="s">
        <v>55</v>
      </c>
      <c r="AH289" s="15"/>
      <c r="AI289" s="15"/>
    </row>
    <row r="290" spans="1:37" s="6" customFormat="1">
      <c r="A290" s="6" t="s">
        <v>1060</v>
      </c>
      <c r="B290" s="6" t="s">
        <v>1061</v>
      </c>
      <c r="C290" s="6" t="s">
        <v>43</v>
      </c>
      <c r="D290" s="6" t="s">
        <v>1040</v>
      </c>
      <c r="E290" s="6" t="s">
        <v>885</v>
      </c>
      <c r="F290" s="6" t="s">
        <v>46</v>
      </c>
      <c r="G290" s="6" t="s">
        <v>1062</v>
      </c>
      <c r="H290" s="7"/>
      <c r="I290" s="5" t="s">
        <v>48</v>
      </c>
      <c r="J290" s="5" t="s">
        <v>48</v>
      </c>
      <c r="AG290" s="15" t="s">
        <v>55</v>
      </c>
      <c r="AH290" s="15"/>
      <c r="AI290" s="15"/>
    </row>
    <row r="291" spans="1:37" s="6" customFormat="1">
      <c r="A291" s="6" t="s">
        <v>1063</v>
      </c>
      <c r="B291" s="6" t="s">
        <v>1064</v>
      </c>
      <c r="C291" s="6" t="s">
        <v>43</v>
      </c>
      <c r="D291" s="6" t="s">
        <v>1040</v>
      </c>
      <c r="E291" s="6" t="s">
        <v>885</v>
      </c>
      <c r="F291" s="6" t="s">
        <v>46</v>
      </c>
      <c r="G291" s="6" t="s">
        <v>1065</v>
      </c>
      <c r="H291" s="7"/>
      <c r="I291" s="5" t="s">
        <v>48</v>
      </c>
      <c r="J291" s="5" t="s">
        <v>48</v>
      </c>
      <c r="AG291" s="15" t="s">
        <v>55</v>
      </c>
      <c r="AH291" s="15"/>
      <c r="AI291" s="15"/>
    </row>
    <row r="292" spans="1:37" s="6" customFormat="1">
      <c r="A292" s="6" t="s">
        <v>1066</v>
      </c>
      <c r="B292" s="6" t="s">
        <v>1067</v>
      </c>
      <c r="C292" s="6" t="s">
        <v>43</v>
      </c>
      <c r="D292" s="6" t="s">
        <v>909</v>
      </c>
      <c r="E292" s="6" t="s">
        <v>885</v>
      </c>
      <c r="F292" s="6" t="s">
        <v>46</v>
      </c>
      <c r="G292" s="6" t="s">
        <v>1068</v>
      </c>
      <c r="H292" s="7"/>
      <c r="I292" s="5" t="s">
        <v>48</v>
      </c>
      <c r="J292" s="5" t="s">
        <v>48</v>
      </c>
      <c r="AG292" s="15" t="s">
        <v>55</v>
      </c>
      <c r="AH292" s="15"/>
      <c r="AI292" s="15"/>
    </row>
    <row r="293" spans="1:37" s="6" customFormat="1">
      <c r="A293" s="6" t="s">
        <v>1069</v>
      </c>
      <c r="B293" s="6" t="s">
        <v>1070</v>
      </c>
      <c r="C293" s="6" t="s">
        <v>43</v>
      </c>
      <c r="D293" s="6" t="s">
        <v>909</v>
      </c>
      <c r="E293" s="6" t="s">
        <v>885</v>
      </c>
      <c r="F293" s="6" t="s">
        <v>46</v>
      </c>
      <c r="G293" s="6" t="s">
        <v>1071</v>
      </c>
      <c r="H293" s="7"/>
      <c r="I293" s="5" t="s">
        <v>48</v>
      </c>
      <c r="J293" s="5" t="s">
        <v>48</v>
      </c>
      <c r="AG293" s="15" t="s">
        <v>55</v>
      </c>
      <c r="AH293" s="15"/>
      <c r="AI293" s="15"/>
    </row>
    <row r="294" spans="1:37" s="6" customFormat="1">
      <c r="A294" s="6" t="s">
        <v>1072</v>
      </c>
      <c r="B294" s="6" t="s">
        <v>1073</v>
      </c>
      <c r="C294" s="6" t="s">
        <v>1074</v>
      </c>
      <c r="D294" s="6" t="s">
        <v>44</v>
      </c>
      <c r="E294" s="6" t="s">
        <v>45</v>
      </c>
      <c r="F294" s="6" t="s">
        <v>46</v>
      </c>
      <c r="G294" s="6" t="s">
        <v>1075</v>
      </c>
      <c r="H294" s="7"/>
      <c r="I294" s="5" t="s">
        <v>48</v>
      </c>
      <c r="J294" s="5" t="s">
        <v>48</v>
      </c>
      <c r="AG294" s="15" t="s">
        <v>49</v>
      </c>
      <c r="AH294" s="15"/>
      <c r="AI294" s="15"/>
    </row>
    <row r="295" spans="1:37" s="6" customFormat="1">
      <c r="A295" s="6" t="s">
        <v>1076</v>
      </c>
      <c r="B295" s="6" t="s">
        <v>1077</v>
      </c>
      <c r="C295" s="6" t="s">
        <v>1074</v>
      </c>
      <c r="D295" s="6" t="s">
        <v>44</v>
      </c>
      <c r="E295" s="6" t="s">
        <v>45</v>
      </c>
      <c r="F295" s="6" t="s">
        <v>46</v>
      </c>
      <c r="G295" s="6" t="s">
        <v>1078</v>
      </c>
      <c r="H295" s="7"/>
      <c r="I295" s="5" t="s">
        <v>48</v>
      </c>
      <c r="J295" s="5" t="s">
        <v>48</v>
      </c>
      <c r="AG295" s="15" t="s">
        <v>49</v>
      </c>
      <c r="AH295" s="15"/>
      <c r="AI295" s="15"/>
    </row>
    <row r="296" spans="1:37" s="6" customFormat="1">
      <c r="A296" s="6" t="s">
        <v>1079</v>
      </c>
      <c r="B296" s="6" t="s">
        <v>1080</v>
      </c>
      <c r="C296" s="6" t="s">
        <v>43</v>
      </c>
      <c r="D296" s="6" t="s">
        <v>44</v>
      </c>
      <c r="E296" s="6" t="s">
        <v>45</v>
      </c>
      <c r="F296" s="6" t="s">
        <v>46</v>
      </c>
      <c r="G296" s="6" t="s">
        <v>1081</v>
      </c>
      <c r="H296" s="7"/>
      <c r="I296" s="5" t="s">
        <v>48</v>
      </c>
      <c r="J296" s="5" t="s">
        <v>48</v>
      </c>
      <c r="AG296" s="15" t="s">
        <v>49</v>
      </c>
      <c r="AH296" s="15"/>
      <c r="AI296" s="15"/>
    </row>
    <row r="297" spans="1:37" s="6" customFormat="1">
      <c r="A297" s="5" t="s">
        <v>1082</v>
      </c>
      <c r="B297" s="5" t="s">
        <v>1083</v>
      </c>
      <c r="C297" s="6" t="s">
        <v>1084</v>
      </c>
      <c r="D297" s="6" t="s">
        <v>52</v>
      </c>
      <c r="E297" s="6" t="s">
        <v>1085</v>
      </c>
      <c r="F297" s="6" t="s">
        <v>46</v>
      </c>
      <c r="G297" s="6" t="s">
        <v>1086</v>
      </c>
      <c r="H297" s="18">
        <v>999</v>
      </c>
      <c r="I297" s="19" t="s">
        <v>219</v>
      </c>
      <c r="J297" s="19" t="s">
        <v>1087</v>
      </c>
      <c r="K297" s="5" t="s">
        <v>1088</v>
      </c>
      <c r="L297" s="5" t="s">
        <v>1089</v>
      </c>
      <c r="M297" s="5" t="s">
        <v>1090</v>
      </c>
      <c r="N297" s="5" t="s">
        <v>1091</v>
      </c>
      <c r="O297" s="5" t="s">
        <v>1092</v>
      </c>
      <c r="P297" s="5" t="s">
        <v>1093</v>
      </c>
      <c r="Q297" s="5" t="s">
        <v>1094</v>
      </c>
      <c r="R297" s="17" t="s">
        <v>1095</v>
      </c>
      <c r="S297" s="5"/>
      <c r="T297" s="5"/>
      <c r="U297" s="5"/>
      <c r="V297" s="5"/>
      <c r="W297" s="5"/>
      <c r="X297" s="5"/>
      <c r="Y297" s="5"/>
      <c r="Z297" s="5"/>
      <c r="AA297" s="5" t="s">
        <v>1096</v>
      </c>
      <c r="AB297" s="5" t="s">
        <v>1097</v>
      </c>
      <c r="AC297" s="5" t="s">
        <v>1098</v>
      </c>
      <c r="AD297" s="5" t="s">
        <v>1099</v>
      </c>
      <c r="AE297" s="5" t="s">
        <v>1100</v>
      </c>
      <c r="AF297" s="5" t="s">
        <v>1101</v>
      </c>
      <c r="AG297" s="14" t="s">
        <v>55</v>
      </c>
      <c r="AH297" s="14" t="s">
        <v>1102</v>
      </c>
      <c r="AI297" s="14" t="s">
        <v>1103</v>
      </c>
      <c r="AJ297" s="5" t="s">
        <v>1104</v>
      </c>
      <c r="AK297" s="5"/>
    </row>
    <row r="298" spans="1:37">
      <c r="A298" s="5" t="s">
        <v>1105</v>
      </c>
      <c r="B298" s="5" t="s">
        <v>1083</v>
      </c>
      <c r="C298" s="6" t="s">
        <v>1084</v>
      </c>
      <c r="D298" s="6" t="s">
        <v>52</v>
      </c>
      <c r="E298" s="6" t="s">
        <v>1106</v>
      </c>
      <c r="F298" s="6" t="s">
        <v>46</v>
      </c>
      <c r="G298" s="6" t="s">
        <v>1107</v>
      </c>
      <c r="H298" s="18">
        <v>999</v>
      </c>
      <c r="I298" s="19" t="s">
        <v>219</v>
      </c>
      <c r="J298" s="19" t="s">
        <v>1087</v>
      </c>
      <c r="K298" s="5" t="s">
        <v>1088</v>
      </c>
      <c r="L298" s="5" t="s">
        <v>1089</v>
      </c>
      <c r="M298" s="5" t="s">
        <v>1090</v>
      </c>
      <c r="N298" s="5" t="s">
        <v>1091</v>
      </c>
      <c r="O298" s="5" t="s">
        <v>1092</v>
      </c>
      <c r="P298" s="5" t="s">
        <v>1093</v>
      </c>
      <c r="Q298" s="5" t="s">
        <v>1094</v>
      </c>
      <c r="R298" s="17" t="s">
        <v>1095</v>
      </c>
      <c r="AA298" s="5" t="s">
        <v>1096</v>
      </c>
      <c r="AB298" s="5" t="s">
        <v>1097</v>
      </c>
      <c r="AC298" s="5" t="s">
        <v>1098</v>
      </c>
      <c r="AD298" s="5" t="s">
        <v>1099</v>
      </c>
      <c r="AE298" s="5" t="s">
        <v>1100</v>
      </c>
      <c r="AF298" s="5" t="s">
        <v>1108</v>
      </c>
      <c r="AG298" s="14" t="s">
        <v>55</v>
      </c>
      <c r="AH298" s="14" t="s">
        <v>1102</v>
      </c>
      <c r="AI298" s="14" t="s">
        <v>1103</v>
      </c>
      <c r="AJ298" s="5" t="s">
        <v>1104</v>
      </c>
    </row>
    <row r="299" spans="1:37">
      <c r="A299" s="5" t="s">
        <v>1109</v>
      </c>
      <c r="B299" s="5" t="s">
        <v>1110</v>
      </c>
      <c r="C299" s="6" t="s">
        <v>1084</v>
      </c>
      <c r="D299" s="6" t="s">
        <v>52</v>
      </c>
      <c r="E299" s="6" t="s">
        <v>1106</v>
      </c>
      <c r="F299" s="6" t="s">
        <v>46</v>
      </c>
      <c r="G299" s="6" t="s">
        <v>1111</v>
      </c>
      <c r="H299" s="18">
        <v>999</v>
      </c>
      <c r="I299" s="19" t="s">
        <v>219</v>
      </c>
      <c r="J299" s="19" t="s">
        <v>1087</v>
      </c>
      <c r="K299" s="5" t="s">
        <v>1112</v>
      </c>
      <c r="L299" s="5" t="s">
        <v>1113</v>
      </c>
      <c r="M299" s="5" t="s">
        <v>1114</v>
      </c>
      <c r="N299" s="5" t="s">
        <v>1115</v>
      </c>
      <c r="O299" s="5" t="s">
        <v>1116</v>
      </c>
      <c r="P299" s="5" t="s">
        <v>1117</v>
      </c>
      <c r="Q299" s="5" t="s">
        <v>1118</v>
      </c>
      <c r="R299" s="17" t="s">
        <v>1119</v>
      </c>
      <c r="AA299" s="5" t="s">
        <v>1096</v>
      </c>
      <c r="AB299" s="5" t="s">
        <v>1097</v>
      </c>
      <c r="AC299" s="5" t="s">
        <v>1098</v>
      </c>
      <c r="AD299" s="5" t="s">
        <v>1099</v>
      </c>
      <c r="AE299" s="5" t="s">
        <v>1120</v>
      </c>
      <c r="AF299" s="5" t="s">
        <v>1121</v>
      </c>
      <c r="AG299" s="14" t="s">
        <v>55</v>
      </c>
      <c r="AH299" s="14" t="s">
        <v>1102</v>
      </c>
      <c r="AI299" s="14" t="s">
        <v>1103</v>
      </c>
      <c r="AJ299" s="5" t="s">
        <v>1104</v>
      </c>
    </row>
    <row r="300" spans="1:37">
      <c r="A300" s="5" t="s">
        <v>1122</v>
      </c>
      <c r="B300" s="5" t="s">
        <v>1123</v>
      </c>
      <c r="C300" s="6" t="s">
        <v>43</v>
      </c>
      <c r="D300" s="6" t="s">
        <v>52</v>
      </c>
      <c r="E300" s="6" t="s">
        <v>1124</v>
      </c>
      <c r="F300" s="6" t="s">
        <v>46</v>
      </c>
      <c r="G300" s="6" t="s">
        <v>1125</v>
      </c>
      <c r="H300" s="18">
        <v>999</v>
      </c>
      <c r="I300" s="19" t="s">
        <v>219</v>
      </c>
      <c r="J300" s="19" t="s">
        <v>1087</v>
      </c>
      <c r="K300" s="5" t="s">
        <v>1126</v>
      </c>
      <c r="L300" s="5" t="s">
        <v>1127</v>
      </c>
      <c r="M300" s="5" t="s">
        <v>1128</v>
      </c>
      <c r="N300" s="5" t="s">
        <v>1129</v>
      </c>
      <c r="O300" s="5" t="s">
        <v>1130</v>
      </c>
      <c r="P300" s="5" t="s">
        <v>1131</v>
      </c>
      <c r="Q300" s="5" t="s">
        <v>1132</v>
      </c>
      <c r="R300" s="17" t="s">
        <v>1133</v>
      </c>
      <c r="AA300" s="5" t="s">
        <v>1096</v>
      </c>
      <c r="AB300" s="5" t="s">
        <v>1097</v>
      </c>
      <c r="AC300" s="5" t="s">
        <v>1098</v>
      </c>
      <c r="AD300" s="5" t="s">
        <v>1099</v>
      </c>
      <c r="AE300" s="5" t="s">
        <v>1134</v>
      </c>
      <c r="AF300" s="5" t="s">
        <v>1135</v>
      </c>
      <c r="AG300" s="14" t="s">
        <v>55</v>
      </c>
      <c r="AH300" s="14" t="s">
        <v>1102</v>
      </c>
      <c r="AI300" s="14" t="s">
        <v>1103</v>
      </c>
      <c r="AJ300" s="5" t="s">
        <v>1104</v>
      </c>
    </row>
    <row r="301" spans="1:37">
      <c r="A301" s="5" t="s">
        <v>1136</v>
      </c>
      <c r="B301" s="5" t="s">
        <v>1123</v>
      </c>
      <c r="C301" s="6" t="s">
        <v>43</v>
      </c>
      <c r="D301" s="6" t="s">
        <v>52</v>
      </c>
      <c r="E301" s="6" t="s">
        <v>1085</v>
      </c>
      <c r="F301" s="6" t="s">
        <v>46</v>
      </c>
      <c r="G301" s="6" t="s">
        <v>1137</v>
      </c>
      <c r="H301" s="18">
        <v>999</v>
      </c>
      <c r="I301" s="19" t="s">
        <v>219</v>
      </c>
      <c r="J301" s="19" t="s">
        <v>1087</v>
      </c>
      <c r="K301" s="5" t="s">
        <v>1126</v>
      </c>
      <c r="L301" s="5" t="s">
        <v>1127</v>
      </c>
      <c r="M301" s="5" t="s">
        <v>1128</v>
      </c>
      <c r="N301" s="5" t="s">
        <v>1138</v>
      </c>
      <c r="O301" s="5" t="s">
        <v>1130</v>
      </c>
      <c r="P301" s="5" t="s">
        <v>1131</v>
      </c>
      <c r="Q301" s="5" t="s">
        <v>1132</v>
      </c>
      <c r="R301" s="17" t="s">
        <v>1133</v>
      </c>
      <c r="AA301" s="5" t="s">
        <v>1096</v>
      </c>
      <c r="AB301" s="5" t="s">
        <v>1097</v>
      </c>
      <c r="AC301" s="5" t="s">
        <v>1098</v>
      </c>
      <c r="AD301" s="5" t="s">
        <v>1099</v>
      </c>
      <c r="AE301" s="5" t="s">
        <v>1134</v>
      </c>
      <c r="AF301" s="5" t="s">
        <v>1139</v>
      </c>
      <c r="AG301" s="14" t="s">
        <v>55</v>
      </c>
      <c r="AH301" s="14" t="s">
        <v>1102</v>
      </c>
      <c r="AI301" s="14" t="s">
        <v>1103</v>
      </c>
      <c r="AJ301" s="5" t="s">
        <v>1104</v>
      </c>
    </row>
    <row r="302" spans="1:37">
      <c r="A302" s="5" t="s">
        <v>1140</v>
      </c>
      <c r="B302" s="5" t="s">
        <v>1141</v>
      </c>
      <c r="C302" s="6" t="s">
        <v>43</v>
      </c>
      <c r="D302" s="6" t="s">
        <v>52</v>
      </c>
      <c r="E302" s="6" t="s">
        <v>1124</v>
      </c>
      <c r="F302" s="6" t="s">
        <v>46</v>
      </c>
      <c r="G302" s="6" t="s">
        <v>1142</v>
      </c>
      <c r="H302" s="18">
        <v>999</v>
      </c>
      <c r="I302" s="19" t="s">
        <v>219</v>
      </c>
      <c r="J302" s="19" t="s">
        <v>1087</v>
      </c>
      <c r="K302" s="5" t="s">
        <v>1143</v>
      </c>
      <c r="L302" s="5" t="s">
        <v>1144</v>
      </c>
      <c r="M302" s="5" t="s">
        <v>1145</v>
      </c>
      <c r="N302" s="5" t="s">
        <v>1138</v>
      </c>
      <c r="O302" s="5" t="s">
        <v>1146</v>
      </c>
      <c r="P302" s="5" t="s">
        <v>1147</v>
      </c>
      <c r="Q302" s="5" t="s">
        <v>1148</v>
      </c>
      <c r="R302" s="17" t="s">
        <v>1149</v>
      </c>
      <c r="AA302" s="5" t="s">
        <v>1096</v>
      </c>
      <c r="AB302" s="5" t="s">
        <v>1097</v>
      </c>
      <c r="AC302" s="5" t="s">
        <v>1098</v>
      </c>
      <c r="AD302" s="5" t="s">
        <v>1099</v>
      </c>
      <c r="AE302" s="5" t="s">
        <v>1150</v>
      </c>
      <c r="AF302" s="5" t="s">
        <v>1151</v>
      </c>
      <c r="AG302" s="14" t="s">
        <v>55</v>
      </c>
      <c r="AH302" s="14" t="s">
        <v>1102</v>
      </c>
      <c r="AI302" s="14" t="s">
        <v>1103</v>
      </c>
      <c r="AJ302" s="5" t="s">
        <v>1104</v>
      </c>
    </row>
    <row r="303" spans="1:37">
      <c r="A303" s="5" t="s">
        <v>1152</v>
      </c>
      <c r="B303" s="5" t="s">
        <v>1141</v>
      </c>
      <c r="C303" s="6" t="s">
        <v>43</v>
      </c>
      <c r="D303" s="6" t="s">
        <v>52</v>
      </c>
      <c r="E303" s="6" t="s">
        <v>1106</v>
      </c>
      <c r="F303" s="6" t="s">
        <v>46</v>
      </c>
      <c r="G303" s="6" t="s">
        <v>1153</v>
      </c>
      <c r="H303" s="18">
        <v>999</v>
      </c>
      <c r="I303" s="19" t="s">
        <v>219</v>
      </c>
      <c r="J303" s="19" t="s">
        <v>1087</v>
      </c>
      <c r="K303" s="5" t="s">
        <v>1143</v>
      </c>
      <c r="L303" s="5" t="s">
        <v>1144</v>
      </c>
      <c r="M303" s="5" t="s">
        <v>1145</v>
      </c>
      <c r="N303" s="5" t="s">
        <v>1138</v>
      </c>
      <c r="O303" s="5" t="s">
        <v>1146</v>
      </c>
      <c r="P303" s="5" t="s">
        <v>1147</v>
      </c>
      <c r="Q303" s="5" t="s">
        <v>1148</v>
      </c>
      <c r="R303" s="17" t="s">
        <v>1149</v>
      </c>
      <c r="AA303" s="5" t="s">
        <v>1096</v>
      </c>
      <c r="AB303" s="5" t="s">
        <v>1097</v>
      </c>
      <c r="AC303" s="5" t="s">
        <v>1098</v>
      </c>
      <c r="AD303" s="5" t="s">
        <v>1099</v>
      </c>
      <c r="AE303" s="5" t="s">
        <v>1150</v>
      </c>
      <c r="AF303" s="5" t="s">
        <v>1154</v>
      </c>
      <c r="AG303" s="14" t="s">
        <v>55</v>
      </c>
      <c r="AH303" s="14" t="s">
        <v>1102</v>
      </c>
      <c r="AI303" s="14" t="s">
        <v>1103</v>
      </c>
      <c r="AJ303" s="5" t="s">
        <v>1104</v>
      </c>
    </row>
    <row r="304" spans="1:37">
      <c r="A304" s="5" t="s">
        <v>1155</v>
      </c>
      <c r="B304" s="5" t="s">
        <v>1156</v>
      </c>
      <c r="C304" s="6" t="s">
        <v>43</v>
      </c>
      <c r="D304" s="6" t="s">
        <v>52</v>
      </c>
      <c r="E304" s="6" t="s">
        <v>1106</v>
      </c>
      <c r="F304" s="6" t="s">
        <v>46</v>
      </c>
      <c r="G304" s="6" t="s">
        <v>1157</v>
      </c>
      <c r="H304" s="18">
        <v>19.399999999999999</v>
      </c>
      <c r="I304" s="19" t="s">
        <v>219</v>
      </c>
      <c r="J304" s="19" t="s">
        <v>1087</v>
      </c>
      <c r="K304" s="5" t="s">
        <v>1158</v>
      </c>
      <c r="L304" s="5" t="s">
        <v>1159</v>
      </c>
      <c r="M304" s="5" t="s">
        <v>1160</v>
      </c>
      <c r="N304" s="5" t="s">
        <v>1161</v>
      </c>
      <c r="O304" s="5" t="s">
        <v>1162</v>
      </c>
      <c r="P304" s="5" t="s">
        <v>1163</v>
      </c>
      <c r="Q304" s="5" t="s">
        <v>1164</v>
      </c>
      <c r="R304" s="17" t="s">
        <v>1165</v>
      </c>
      <c r="AA304" s="5" t="s">
        <v>1096</v>
      </c>
      <c r="AB304" s="5" t="s">
        <v>1097</v>
      </c>
      <c r="AC304" s="5" t="s">
        <v>1098</v>
      </c>
      <c r="AD304" s="5" t="s">
        <v>1099</v>
      </c>
      <c r="AE304" s="5" t="s">
        <v>1166</v>
      </c>
      <c r="AF304" s="5" t="s">
        <v>1167</v>
      </c>
      <c r="AG304" s="14" t="s">
        <v>55</v>
      </c>
      <c r="AH304" s="14" t="s">
        <v>1102</v>
      </c>
      <c r="AI304" s="14" t="s">
        <v>1103</v>
      </c>
      <c r="AJ304" s="5" t="s">
        <v>1104</v>
      </c>
    </row>
    <row r="305" spans="1:37">
      <c r="A305" s="5" t="s">
        <v>1168</v>
      </c>
      <c r="B305" s="5" t="s">
        <v>1169</v>
      </c>
      <c r="C305" s="6" t="s">
        <v>43</v>
      </c>
      <c r="D305" s="6" t="s">
        <v>52</v>
      </c>
      <c r="E305" s="6" t="s">
        <v>1106</v>
      </c>
      <c r="F305" s="6" t="s">
        <v>46</v>
      </c>
      <c r="G305" s="6" t="s">
        <v>1170</v>
      </c>
      <c r="H305" s="18">
        <v>24.3</v>
      </c>
      <c r="I305" s="19" t="s">
        <v>219</v>
      </c>
      <c r="J305" s="19" t="s">
        <v>1087</v>
      </c>
      <c r="K305" s="5" t="s">
        <v>1171</v>
      </c>
      <c r="L305" s="5" t="s">
        <v>1172</v>
      </c>
      <c r="M305" s="5" t="s">
        <v>1173</v>
      </c>
      <c r="N305" s="5" t="s">
        <v>1174</v>
      </c>
      <c r="O305" s="5" t="s">
        <v>1175</v>
      </c>
      <c r="P305" s="5" t="s">
        <v>1176</v>
      </c>
      <c r="Q305" s="5" t="s">
        <v>1177</v>
      </c>
      <c r="R305" s="17" t="s">
        <v>1178</v>
      </c>
      <c r="AA305" s="5" t="s">
        <v>1096</v>
      </c>
      <c r="AB305" s="5" t="s">
        <v>1097</v>
      </c>
      <c r="AC305" s="5" t="s">
        <v>1098</v>
      </c>
      <c r="AD305" s="5" t="s">
        <v>1099</v>
      </c>
      <c r="AE305" s="5" t="s">
        <v>1179</v>
      </c>
      <c r="AF305" s="5" t="s">
        <v>1180</v>
      </c>
      <c r="AG305" s="14" t="s">
        <v>55</v>
      </c>
      <c r="AH305" s="14" t="s">
        <v>1102</v>
      </c>
      <c r="AI305" s="14" t="s">
        <v>1103</v>
      </c>
      <c r="AJ305" s="5" t="s">
        <v>1104</v>
      </c>
    </row>
    <row r="306" spans="1:37">
      <c r="A306" s="5" t="s">
        <v>1181</v>
      </c>
      <c r="B306" s="5" t="s">
        <v>1182</v>
      </c>
      <c r="C306" s="6" t="s">
        <v>43</v>
      </c>
      <c r="D306" s="6" t="s">
        <v>52</v>
      </c>
      <c r="E306" s="6" t="s">
        <v>1106</v>
      </c>
      <c r="F306" s="6" t="s">
        <v>46</v>
      </c>
      <c r="G306" s="6" t="s">
        <v>1183</v>
      </c>
      <c r="H306" s="18">
        <v>36.4</v>
      </c>
      <c r="I306" s="19" t="s">
        <v>219</v>
      </c>
      <c r="J306" s="19" t="s">
        <v>1087</v>
      </c>
      <c r="K306" s="5" t="s">
        <v>1184</v>
      </c>
      <c r="L306" s="5" t="s">
        <v>1185</v>
      </c>
      <c r="M306" s="5" t="s">
        <v>1186</v>
      </c>
      <c r="N306" s="5" t="s">
        <v>1187</v>
      </c>
      <c r="O306" s="5" t="s">
        <v>1188</v>
      </c>
      <c r="P306" s="5" t="s">
        <v>1189</v>
      </c>
      <c r="Q306" s="5" t="s">
        <v>1190</v>
      </c>
      <c r="R306" s="17" t="s">
        <v>1191</v>
      </c>
      <c r="AA306" s="5" t="s">
        <v>1096</v>
      </c>
      <c r="AB306" s="5" t="s">
        <v>1097</v>
      </c>
      <c r="AC306" s="5" t="s">
        <v>1098</v>
      </c>
      <c r="AD306" s="5" t="s">
        <v>1099</v>
      </c>
      <c r="AE306" s="5" t="s">
        <v>1192</v>
      </c>
      <c r="AF306" s="5" t="s">
        <v>1193</v>
      </c>
      <c r="AG306" s="14" t="s">
        <v>55</v>
      </c>
      <c r="AH306" s="14" t="s">
        <v>1102</v>
      </c>
      <c r="AI306" s="14" t="s">
        <v>1103</v>
      </c>
      <c r="AJ306" s="5" t="s">
        <v>1104</v>
      </c>
    </row>
    <row r="307" spans="1:37">
      <c r="A307" s="5" t="s">
        <v>1194</v>
      </c>
      <c r="B307" s="5" t="s">
        <v>1195</v>
      </c>
      <c r="C307" s="6" t="s">
        <v>1196</v>
      </c>
      <c r="D307" s="6" t="s">
        <v>52</v>
      </c>
      <c r="E307" s="6" t="s">
        <v>1106</v>
      </c>
      <c r="F307" s="6" t="s">
        <v>46</v>
      </c>
      <c r="G307" s="6" t="s">
        <v>1197</v>
      </c>
      <c r="H307" s="18">
        <v>42.5</v>
      </c>
      <c r="I307" s="19" t="s">
        <v>219</v>
      </c>
      <c r="J307" s="19" t="s">
        <v>1087</v>
      </c>
      <c r="K307" s="5" t="s">
        <v>1198</v>
      </c>
      <c r="L307" s="5" t="s">
        <v>1199</v>
      </c>
      <c r="M307" s="5" t="s">
        <v>1200</v>
      </c>
      <c r="N307" s="5" t="s">
        <v>1201</v>
      </c>
      <c r="O307" s="5" t="s">
        <v>1202</v>
      </c>
      <c r="P307" s="5" t="s">
        <v>1203</v>
      </c>
      <c r="Q307" s="5" t="s">
        <v>1204</v>
      </c>
      <c r="R307" s="17" t="s">
        <v>1205</v>
      </c>
      <c r="AA307" s="5" t="s">
        <v>1096</v>
      </c>
      <c r="AB307" s="5" t="s">
        <v>1097</v>
      </c>
      <c r="AC307" s="5" t="s">
        <v>1098</v>
      </c>
      <c r="AD307" s="5" t="s">
        <v>1099</v>
      </c>
      <c r="AE307" s="5" t="s">
        <v>1206</v>
      </c>
      <c r="AF307" s="5" t="s">
        <v>1207</v>
      </c>
      <c r="AG307" s="14" t="s">
        <v>55</v>
      </c>
      <c r="AH307" s="14" t="s">
        <v>1102</v>
      </c>
      <c r="AI307" s="14" t="s">
        <v>1103</v>
      </c>
      <c r="AJ307" s="5" t="s">
        <v>1104</v>
      </c>
    </row>
    <row r="308" spans="1:37">
      <c r="A308" s="5" t="s">
        <v>1208</v>
      </c>
      <c r="B308" s="5" t="s">
        <v>1209</v>
      </c>
      <c r="C308" s="6" t="s">
        <v>43</v>
      </c>
      <c r="D308" s="6" t="s">
        <v>52</v>
      </c>
      <c r="E308" s="6" t="s">
        <v>1106</v>
      </c>
      <c r="F308" s="6" t="s">
        <v>46</v>
      </c>
      <c r="G308" s="6" t="s">
        <v>1210</v>
      </c>
      <c r="H308" s="18">
        <f>50*0.8</f>
        <v>40</v>
      </c>
      <c r="I308" s="19" t="s">
        <v>219</v>
      </c>
      <c r="J308" s="19" t="s">
        <v>1211</v>
      </c>
      <c r="K308" s="5" t="s">
        <v>1212</v>
      </c>
      <c r="L308" s="5" t="s">
        <v>1213</v>
      </c>
      <c r="M308" s="5" t="s">
        <v>1214</v>
      </c>
      <c r="N308" s="5" t="s">
        <v>1215</v>
      </c>
      <c r="O308" s="5" t="s">
        <v>1216</v>
      </c>
      <c r="P308" s="5" t="s">
        <v>1217</v>
      </c>
      <c r="Q308" s="5" t="s">
        <v>1218</v>
      </c>
      <c r="R308" s="5" t="s">
        <v>1219</v>
      </c>
      <c r="AA308" s="5" t="s">
        <v>1220</v>
      </c>
      <c r="AB308" s="5" t="s">
        <v>1221</v>
      </c>
      <c r="AC308" s="5" t="s">
        <v>1222</v>
      </c>
      <c r="AD308" s="5" t="s">
        <v>1223</v>
      </c>
      <c r="AE308" s="5" t="s">
        <v>1224</v>
      </c>
      <c r="AG308" s="14" t="s">
        <v>55</v>
      </c>
      <c r="AH308" s="14" t="s">
        <v>1102</v>
      </c>
      <c r="AI308" s="14" t="s">
        <v>1103</v>
      </c>
      <c r="AJ308" s="5" t="s">
        <v>1104</v>
      </c>
    </row>
    <row r="309" spans="1:37">
      <c r="A309" s="5" t="s">
        <v>1225</v>
      </c>
      <c r="B309" s="5" t="s">
        <v>1226</v>
      </c>
      <c r="C309" s="6" t="s">
        <v>43</v>
      </c>
      <c r="D309" s="6" t="s">
        <v>52</v>
      </c>
      <c r="E309" s="6" t="s">
        <v>1106</v>
      </c>
      <c r="F309" s="6" t="s">
        <v>46</v>
      </c>
      <c r="G309" s="6" t="s">
        <v>1227</v>
      </c>
      <c r="H309" s="18">
        <f>20*0.9</f>
        <v>18</v>
      </c>
      <c r="I309" s="19" t="s">
        <v>219</v>
      </c>
      <c r="J309" s="19" t="s">
        <v>1211</v>
      </c>
      <c r="K309" s="5" t="s">
        <v>1228</v>
      </c>
      <c r="L309" s="5" t="s">
        <v>1229</v>
      </c>
      <c r="M309" s="5" t="s">
        <v>1230</v>
      </c>
      <c r="N309" s="5" t="s">
        <v>1231</v>
      </c>
      <c r="O309" s="5" t="s">
        <v>1232</v>
      </c>
      <c r="P309" s="5" t="s">
        <v>1233</v>
      </c>
      <c r="Q309" s="5" t="s">
        <v>1234</v>
      </c>
      <c r="R309" s="5" t="s">
        <v>1235</v>
      </c>
      <c r="AA309" s="5" t="s">
        <v>1220</v>
      </c>
      <c r="AB309" s="5" t="s">
        <v>1221</v>
      </c>
      <c r="AC309" s="5" t="s">
        <v>1222</v>
      </c>
      <c r="AD309" s="5" t="s">
        <v>1223</v>
      </c>
      <c r="AE309" s="5" t="s">
        <v>1236</v>
      </c>
      <c r="AG309" s="14" t="s">
        <v>55</v>
      </c>
      <c r="AH309" s="14" t="s">
        <v>1102</v>
      </c>
      <c r="AI309" s="14" t="s">
        <v>1103</v>
      </c>
      <c r="AJ309" s="5" t="s">
        <v>1104</v>
      </c>
    </row>
    <row r="310" spans="1:37">
      <c r="A310" s="5" t="s">
        <v>1237</v>
      </c>
      <c r="B310" s="5" t="s">
        <v>1238</v>
      </c>
      <c r="C310" s="6" t="s">
        <v>43</v>
      </c>
      <c r="D310" s="6" t="s">
        <v>52</v>
      </c>
      <c r="E310" s="6" t="s">
        <v>1106</v>
      </c>
      <c r="F310" s="6" t="s">
        <v>46</v>
      </c>
      <c r="G310" s="6" t="s">
        <v>1239</v>
      </c>
      <c r="H310" s="18">
        <f>20*0.95</f>
        <v>19</v>
      </c>
      <c r="I310" s="19" t="s">
        <v>219</v>
      </c>
      <c r="J310" s="19" t="s">
        <v>1211</v>
      </c>
      <c r="K310" s="5" t="s">
        <v>1240</v>
      </c>
      <c r="L310" s="5" t="s">
        <v>1241</v>
      </c>
      <c r="M310" s="5" t="s">
        <v>1242</v>
      </c>
      <c r="N310" s="5" t="s">
        <v>1243</v>
      </c>
      <c r="O310" s="5" t="s">
        <v>1244</v>
      </c>
      <c r="P310" s="5" t="s">
        <v>1245</v>
      </c>
      <c r="Q310" s="5" t="s">
        <v>1246</v>
      </c>
      <c r="R310" s="5" t="s">
        <v>1247</v>
      </c>
      <c r="AA310" s="5" t="s">
        <v>1220</v>
      </c>
      <c r="AB310" s="5" t="s">
        <v>1221</v>
      </c>
      <c r="AC310" s="5" t="s">
        <v>1222</v>
      </c>
      <c r="AD310" s="5" t="s">
        <v>1223</v>
      </c>
      <c r="AE310" s="5" t="s">
        <v>1236</v>
      </c>
      <c r="AG310" s="14" t="s">
        <v>55</v>
      </c>
      <c r="AH310" s="14" t="s">
        <v>1102</v>
      </c>
      <c r="AI310" s="14" t="s">
        <v>1103</v>
      </c>
      <c r="AJ310" s="5" t="s">
        <v>1104</v>
      </c>
    </row>
    <row r="311" spans="1:37">
      <c r="A311" s="5" t="s">
        <v>1248</v>
      </c>
      <c r="B311" s="5" t="s">
        <v>1249</v>
      </c>
      <c r="C311" s="6" t="s">
        <v>43</v>
      </c>
      <c r="D311" s="6" t="s">
        <v>52</v>
      </c>
      <c r="E311" s="6" t="s">
        <v>1106</v>
      </c>
      <c r="F311" s="6" t="s">
        <v>46</v>
      </c>
      <c r="G311" s="6" t="s">
        <v>1250</v>
      </c>
      <c r="H311" s="18">
        <f>10*2.05</f>
        <v>20.5</v>
      </c>
      <c r="I311" s="19" t="s">
        <v>219</v>
      </c>
      <c r="J311" s="19" t="s">
        <v>1211</v>
      </c>
      <c r="K311" s="5" t="s">
        <v>1251</v>
      </c>
      <c r="L311" s="5" t="s">
        <v>1252</v>
      </c>
      <c r="M311" s="5" t="s">
        <v>1253</v>
      </c>
      <c r="N311" s="5" t="s">
        <v>1254</v>
      </c>
      <c r="O311" s="5" t="s">
        <v>1255</v>
      </c>
      <c r="P311" s="5" t="s">
        <v>1256</v>
      </c>
      <c r="Q311" s="5" t="s">
        <v>1257</v>
      </c>
      <c r="R311" s="5" t="s">
        <v>1258</v>
      </c>
      <c r="AA311" s="5" t="s">
        <v>1220</v>
      </c>
      <c r="AB311" s="5" t="s">
        <v>1221</v>
      </c>
      <c r="AC311" s="5" t="s">
        <v>1222</v>
      </c>
      <c r="AD311" s="5" t="s">
        <v>1223</v>
      </c>
      <c r="AE311" s="5" t="s">
        <v>1259</v>
      </c>
      <c r="AG311" s="14" t="s">
        <v>55</v>
      </c>
      <c r="AH311" s="14" t="s">
        <v>1102</v>
      </c>
      <c r="AI311" s="14" t="s">
        <v>1103</v>
      </c>
      <c r="AJ311" s="5" t="s">
        <v>1104</v>
      </c>
    </row>
    <row r="312" spans="1:37">
      <c r="A312" s="6" t="s">
        <v>1260</v>
      </c>
      <c r="B312" s="6" t="s">
        <v>1261</v>
      </c>
      <c r="C312" s="6" t="s">
        <v>43</v>
      </c>
      <c r="D312" s="6" t="s">
        <v>52</v>
      </c>
      <c r="E312" s="6" t="s">
        <v>1085</v>
      </c>
      <c r="F312" s="6" t="s">
        <v>46</v>
      </c>
      <c r="G312" s="6" t="s">
        <v>1262</v>
      </c>
      <c r="I312" s="19" t="s">
        <v>48</v>
      </c>
      <c r="J312" s="5" t="s">
        <v>48</v>
      </c>
      <c r="K312" s="6"/>
      <c r="L312" s="6"/>
      <c r="M312" s="6"/>
      <c r="N312" s="6"/>
      <c r="O312" s="6"/>
      <c r="P312" s="6"/>
      <c r="Q312" s="6"/>
      <c r="R312" s="6"/>
      <c r="S312" s="6"/>
      <c r="T312" s="6"/>
      <c r="U312" s="6"/>
      <c r="V312" s="6"/>
      <c r="W312" s="6"/>
      <c r="X312" s="6"/>
      <c r="Y312" s="6"/>
      <c r="Z312" s="6"/>
      <c r="AA312" s="6"/>
      <c r="AB312" s="6"/>
      <c r="AC312" s="6"/>
      <c r="AD312" s="6"/>
      <c r="AE312" s="6"/>
      <c r="AF312" s="6"/>
      <c r="AG312" s="15" t="s">
        <v>55</v>
      </c>
      <c r="AH312" s="15"/>
      <c r="AI312" s="15"/>
      <c r="AJ312" s="6"/>
      <c r="AK312" s="6"/>
    </row>
    <row r="313" spans="1:37" s="6" customFormat="1">
      <c r="A313" s="6" t="s">
        <v>1263</v>
      </c>
      <c r="B313" s="6" t="s">
        <v>1264</v>
      </c>
      <c r="C313" s="6" t="s">
        <v>1084</v>
      </c>
      <c r="D313" s="6" t="s">
        <v>52</v>
      </c>
      <c r="E313" s="6" t="s">
        <v>1085</v>
      </c>
      <c r="F313" s="6" t="s">
        <v>46</v>
      </c>
      <c r="G313" s="6" t="s">
        <v>1265</v>
      </c>
      <c r="H313" s="7"/>
      <c r="I313" s="19" t="s">
        <v>48</v>
      </c>
      <c r="J313" s="5" t="s">
        <v>48</v>
      </c>
      <c r="AG313" s="15" t="s">
        <v>55</v>
      </c>
      <c r="AH313" s="15"/>
      <c r="AI313" s="15"/>
    </row>
    <row r="314" spans="1:37" s="6" customFormat="1">
      <c r="A314" s="6" t="s">
        <v>1266</v>
      </c>
      <c r="B314" s="6" t="s">
        <v>1267</v>
      </c>
      <c r="C314" s="6" t="s">
        <v>1084</v>
      </c>
      <c r="D314" s="6" t="s">
        <v>52</v>
      </c>
      <c r="E314" s="6" t="s">
        <v>1085</v>
      </c>
      <c r="F314" s="6" t="s">
        <v>46</v>
      </c>
      <c r="G314" s="6" t="s">
        <v>1268</v>
      </c>
      <c r="H314" s="7"/>
      <c r="I314" s="19" t="s">
        <v>48</v>
      </c>
      <c r="J314" s="5" t="s">
        <v>48</v>
      </c>
      <c r="AG314" s="15" t="s">
        <v>55</v>
      </c>
      <c r="AH314" s="15"/>
      <c r="AI314" s="15"/>
    </row>
    <row r="315" spans="1:37" s="6" customFormat="1">
      <c r="A315" s="6" t="s">
        <v>1269</v>
      </c>
      <c r="B315" s="6" t="s">
        <v>1270</v>
      </c>
      <c r="C315" s="6" t="s">
        <v>1084</v>
      </c>
      <c r="D315" s="6" t="s">
        <v>52</v>
      </c>
      <c r="E315" s="6" t="s">
        <v>1085</v>
      </c>
      <c r="F315" s="6" t="s">
        <v>46</v>
      </c>
      <c r="G315" s="6" t="s">
        <v>1271</v>
      </c>
      <c r="H315" s="7"/>
      <c r="I315" s="19" t="s">
        <v>48</v>
      </c>
      <c r="J315" s="5" t="s">
        <v>48</v>
      </c>
      <c r="AG315" s="15" t="s">
        <v>55</v>
      </c>
      <c r="AH315" s="15"/>
      <c r="AI315" s="15"/>
    </row>
    <row r="316" spans="1:37" s="6" customFormat="1">
      <c r="A316" s="5" t="s">
        <v>1272</v>
      </c>
      <c r="B316" s="5" t="s">
        <v>1273</v>
      </c>
      <c r="C316" s="6" t="s">
        <v>1274</v>
      </c>
      <c r="D316" s="6" t="s">
        <v>1275</v>
      </c>
      <c r="E316" s="6" t="s">
        <v>1276</v>
      </c>
      <c r="F316" s="6" t="s">
        <v>46</v>
      </c>
      <c r="G316" s="6" t="s">
        <v>426</v>
      </c>
      <c r="H316" s="18">
        <v>46.2</v>
      </c>
      <c r="I316" s="19" t="s">
        <v>1277</v>
      </c>
      <c r="J316" s="19" t="s">
        <v>1278</v>
      </c>
      <c r="K316" s="5" t="s">
        <v>1279</v>
      </c>
      <c r="L316" s="5" t="s">
        <v>1280</v>
      </c>
      <c r="M316" s="5" t="s">
        <v>1281</v>
      </c>
      <c r="N316" s="5" t="s">
        <v>1282</v>
      </c>
      <c r="O316" s="5"/>
      <c r="P316" s="5"/>
      <c r="Q316" s="5"/>
      <c r="R316" s="5"/>
      <c r="S316" s="5"/>
      <c r="T316" s="5"/>
      <c r="U316" s="5"/>
      <c r="V316" s="5"/>
      <c r="W316" s="5"/>
      <c r="X316" s="5"/>
      <c r="Y316" s="5"/>
      <c r="Z316" s="5"/>
      <c r="AA316" s="5"/>
      <c r="AB316" s="5"/>
      <c r="AC316" s="5"/>
      <c r="AD316" s="5"/>
      <c r="AE316" s="5"/>
      <c r="AF316" s="5"/>
      <c r="AG316" s="14" t="s">
        <v>55</v>
      </c>
      <c r="AH316" s="14" t="s">
        <v>1283</v>
      </c>
      <c r="AI316" s="14" t="s">
        <v>1283</v>
      </c>
      <c r="AJ316" s="5" t="s">
        <v>1284</v>
      </c>
      <c r="AK316" s="5"/>
    </row>
    <row r="317" spans="1:37">
      <c r="A317" s="5" t="s">
        <v>1285</v>
      </c>
      <c r="B317" s="5" t="s">
        <v>1286</v>
      </c>
      <c r="C317" s="6" t="s">
        <v>1274</v>
      </c>
      <c r="D317" s="6" t="s">
        <v>1275</v>
      </c>
      <c r="E317" s="6" t="s">
        <v>1276</v>
      </c>
      <c r="F317" s="6" t="s">
        <v>46</v>
      </c>
      <c r="G317" s="6" t="s">
        <v>1287</v>
      </c>
      <c r="H317" s="18">
        <v>49.7</v>
      </c>
      <c r="I317" s="19" t="s">
        <v>1277</v>
      </c>
      <c r="J317" s="19" t="s">
        <v>1278</v>
      </c>
      <c r="K317" s="5" t="s">
        <v>1288</v>
      </c>
      <c r="L317" s="5" t="s">
        <v>1289</v>
      </c>
      <c r="M317" s="5" t="s">
        <v>1290</v>
      </c>
      <c r="N317" s="5" t="s">
        <v>1291</v>
      </c>
      <c r="R317" s="5"/>
      <c r="AG317" s="14" t="s">
        <v>55</v>
      </c>
      <c r="AH317" s="14" t="s">
        <v>1283</v>
      </c>
      <c r="AI317" s="14" t="s">
        <v>1283</v>
      </c>
      <c r="AJ317" s="5" t="s">
        <v>1284</v>
      </c>
    </row>
    <row r="318" spans="1:37">
      <c r="A318" s="5" t="s">
        <v>1292</v>
      </c>
      <c r="B318" s="5" t="s">
        <v>1293</v>
      </c>
      <c r="C318" s="6" t="s">
        <v>43</v>
      </c>
      <c r="D318" s="6" t="s">
        <v>1275</v>
      </c>
      <c r="E318" s="6" t="s">
        <v>1276</v>
      </c>
      <c r="F318" s="6" t="s">
        <v>46</v>
      </c>
      <c r="G318" s="6" t="s">
        <v>1294</v>
      </c>
      <c r="H318" s="18">
        <v>54.3</v>
      </c>
      <c r="I318" s="19" t="s">
        <v>1277</v>
      </c>
      <c r="J318" s="19" t="s">
        <v>1278</v>
      </c>
      <c r="K318" s="5" t="s">
        <v>1295</v>
      </c>
      <c r="L318" s="5" t="s">
        <v>1296</v>
      </c>
      <c r="M318" s="5" t="s">
        <v>1297</v>
      </c>
      <c r="N318" s="5" t="s">
        <v>1298</v>
      </c>
      <c r="R318" s="5"/>
      <c r="AG318" s="14" t="s">
        <v>55</v>
      </c>
      <c r="AH318" s="14" t="s">
        <v>1283</v>
      </c>
      <c r="AI318" s="14" t="s">
        <v>1283</v>
      </c>
      <c r="AJ318" s="5" t="s">
        <v>1284</v>
      </c>
    </row>
    <row r="319" spans="1:37">
      <c r="A319" s="5" t="s">
        <v>1299</v>
      </c>
      <c r="B319" s="5" t="s">
        <v>1300</v>
      </c>
      <c r="C319" s="6" t="s">
        <v>1301</v>
      </c>
      <c r="D319" s="6" t="s">
        <v>1275</v>
      </c>
      <c r="E319" s="6" t="s">
        <v>1276</v>
      </c>
      <c r="F319" s="6" t="s">
        <v>46</v>
      </c>
      <c r="G319" s="6" t="s">
        <v>1302</v>
      </c>
      <c r="H319" s="18">
        <v>67</v>
      </c>
      <c r="I319" s="19" t="s">
        <v>1277</v>
      </c>
      <c r="J319" s="19" t="s">
        <v>1278</v>
      </c>
      <c r="K319" s="5" t="s">
        <v>1303</v>
      </c>
      <c r="L319" s="5" t="s">
        <v>1304</v>
      </c>
      <c r="M319" s="5" t="s">
        <v>1305</v>
      </c>
      <c r="N319" s="5" t="s">
        <v>1306</v>
      </c>
      <c r="R319" s="5"/>
      <c r="AG319" s="14" t="s">
        <v>55</v>
      </c>
      <c r="AH319" s="14" t="s">
        <v>1283</v>
      </c>
      <c r="AI319" s="14" t="s">
        <v>1283</v>
      </c>
      <c r="AJ319" s="5" t="s">
        <v>1284</v>
      </c>
    </row>
    <row r="320" spans="1:37">
      <c r="A320" s="5" t="s">
        <v>1307</v>
      </c>
      <c r="B320" s="5" t="s">
        <v>1308</v>
      </c>
      <c r="C320" s="6" t="s">
        <v>1309</v>
      </c>
      <c r="D320" s="6" t="s">
        <v>1275</v>
      </c>
      <c r="E320" s="6" t="s">
        <v>1276</v>
      </c>
      <c r="F320" s="6" t="s">
        <v>46</v>
      </c>
      <c r="G320" s="6" t="s">
        <v>1310</v>
      </c>
      <c r="H320" s="18">
        <v>71.599999999999994</v>
      </c>
      <c r="I320" s="19" t="s">
        <v>1277</v>
      </c>
      <c r="J320" s="19" t="s">
        <v>1278</v>
      </c>
      <c r="K320" s="5" t="s">
        <v>1311</v>
      </c>
      <c r="L320" s="5" t="s">
        <v>1312</v>
      </c>
      <c r="M320" s="5" t="s">
        <v>1313</v>
      </c>
      <c r="N320" s="5" t="s">
        <v>1314</v>
      </c>
      <c r="R320" s="5"/>
      <c r="AG320" s="14" t="s">
        <v>55</v>
      </c>
      <c r="AH320" s="14" t="s">
        <v>1283</v>
      </c>
      <c r="AI320" s="14" t="s">
        <v>1283</v>
      </c>
      <c r="AJ320" s="5" t="s">
        <v>1284</v>
      </c>
    </row>
    <row r="321" spans="1:37">
      <c r="A321" s="5" t="s">
        <v>1315</v>
      </c>
      <c r="B321" s="5" t="s">
        <v>1316</v>
      </c>
      <c r="C321" s="6" t="s">
        <v>1317</v>
      </c>
      <c r="D321" s="6" t="s">
        <v>1275</v>
      </c>
      <c r="E321" s="6" t="s">
        <v>1276</v>
      </c>
      <c r="F321" s="6" t="s">
        <v>46</v>
      </c>
      <c r="G321" s="6" t="s">
        <v>1318</v>
      </c>
      <c r="H321" s="18">
        <v>83.75</v>
      </c>
      <c r="I321" s="19" t="s">
        <v>1277</v>
      </c>
      <c r="J321" s="19" t="s">
        <v>1278</v>
      </c>
      <c r="K321" s="5" t="s">
        <v>1319</v>
      </c>
      <c r="L321" s="5" t="s">
        <v>1320</v>
      </c>
      <c r="M321" s="5" t="s">
        <v>1321</v>
      </c>
      <c r="N321" s="5" t="s">
        <v>1322</v>
      </c>
      <c r="R321" s="5"/>
      <c r="AG321" s="14" t="s">
        <v>55</v>
      </c>
      <c r="AH321" s="14" t="s">
        <v>1283</v>
      </c>
      <c r="AI321" s="14" t="s">
        <v>1283</v>
      </c>
      <c r="AJ321" s="5" t="s">
        <v>1284</v>
      </c>
    </row>
    <row r="322" spans="1:37">
      <c r="A322" s="5" t="s">
        <v>1323</v>
      </c>
      <c r="B322" s="5" t="s">
        <v>1324</v>
      </c>
      <c r="C322" s="6" t="s">
        <v>1325</v>
      </c>
      <c r="D322" s="6" t="s">
        <v>1275</v>
      </c>
      <c r="E322" s="6" t="s">
        <v>1276</v>
      </c>
      <c r="F322" s="6" t="s">
        <v>46</v>
      </c>
      <c r="G322" s="6" t="s">
        <v>1326</v>
      </c>
      <c r="H322" s="18">
        <v>100.5</v>
      </c>
      <c r="I322" s="19" t="s">
        <v>1277</v>
      </c>
      <c r="J322" s="19" t="s">
        <v>1278</v>
      </c>
      <c r="K322" s="5" t="s">
        <v>1327</v>
      </c>
      <c r="L322" s="5" t="s">
        <v>1328</v>
      </c>
      <c r="M322" s="5" t="s">
        <v>1329</v>
      </c>
      <c r="N322" s="5" t="s">
        <v>1330</v>
      </c>
      <c r="R322" s="5"/>
      <c r="AG322" s="14" t="s">
        <v>55</v>
      </c>
      <c r="AH322" s="14" t="s">
        <v>1283</v>
      </c>
      <c r="AI322" s="14" t="s">
        <v>1283</v>
      </c>
      <c r="AJ322" s="5" t="s">
        <v>1284</v>
      </c>
    </row>
    <row r="323" spans="1:37">
      <c r="A323" s="5" t="s">
        <v>1331</v>
      </c>
      <c r="B323" s="5" t="s">
        <v>1332</v>
      </c>
      <c r="C323" s="6" t="s">
        <v>1333</v>
      </c>
      <c r="D323" s="6" t="s">
        <v>1275</v>
      </c>
      <c r="E323" s="6" t="s">
        <v>1334</v>
      </c>
      <c r="F323" s="6" t="s">
        <v>46</v>
      </c>
      <c r="G323" s="6" t="s">
        <v>1335</v>
      </c>
      <c r="H323" s="18">
        <v>43</v>
      </c>
      <c r="I323" s="19" t="s">
        <v>1277</v>
      </c>
      <c r="J323" s="19" t="s">
        <v>1336</v>
      </c>
      <c r="K323" s="5" t="s">
        <v>1337</v>
      </c>
      <c r="L323" s="5" t="s">
        <v>1338</v>
      </c>
      <c r="M323" s="5" t="s">
        <v>1339</v>
      </c>
      <c r="N323" s="5" t="s">
        <v>1340</v>
      </c>
      <c r="R323" s="5"/>
      <c r="AG323" s="14" t="s">
        <v>55</v>
      </c>
      <c r="AH323" s="14" t="s">
        <v>1283</v>
      </c>
      <c r="AI323" s="14" t="s">
        <v>1283</v>
      </c>
      <c r="AJ323" s="5" t="s">
        <v>1284</v>
      </c>
    </row>
    <row r="324" spans="1:37">
      <c r="A324" s="5" t="s">
        <v>1341</v>
      </c>
      <c r="B324" s="5" t="s">
        <v>1342</v>
      </c>
      <c r="C324" s="6" t="s">
        <v>1333</v>
      </c>
      <c r="D324" s="6" t="s">
        <v>1275</v>
      </c>
      <c r="E324" s="6" t="s">
        <v>1334</v>
      </c>
      <c r="F324" s="6" t="s">
        <v>46</v>
      </c>
      <c r="G324" s="6" t="s">
        <v>1343</v>
      </c>
      <c r="H324" s="18">
        <v>47.2</v>
      </c>
      <c r="I324" s="19" t="s">
        <v>1277</v>
      </c>
      <c r="J324" s="19" t="s">
        <v>1336</v>
      </c>
      <c r="K324" s="5" t="s">
        <v>1344</v>
      </c>
      <c r="L324" s="5" t="s">
        <v>1345</v>
      </c>
      <c r="M324" s="5" t="s">
        <v>1346</v>
      </c>
      <c r="N324" s="5" t="s">
        <v>1347</v>
      </c>
      <c r="R324" s="5"/>
      <c r="AG324" s="14" t="s">
        <v>55</v>
      </c>
      <c r="AH324" s="14" t="s">
        <v>1283</v>
      </c>
      <c r="AI324" s="14" t="s">
        <v>1283</v>
      </c>
      <c r="AJ324" s="5" t="s">
        <v>1284</v>
      </c>
    </row>
    <row r="325" spans="1:37">
      <c r="A325" s="5" t="s">
        <v>1348</v>
      </c>
      <c r="B325" s="5" t="s">
        <v>1349</v>
      </c>
      <c r="C325" s="6" t="s">
        <v>1333</v>
      </c>
      <c r="D325" s="6" t="s">
        <v>1275</v>
      </c>
      <c r="E325" s="6" t="s">
        <v>1334</v>
      </c>
      <c r="F325" s="6" t="s">
        <v>46</v>
      </c>
      <c r="G325" s="6" t="s">
        <v>1350</v>
      </c>
      <c r="H325" s="18">
        <v>53.2</v>
      </c>
      <c r="I325" s="19" t="s">
        <v>1277</v>
      </c>
      <c r="J325" s="19" t="s">
        <v>1336</v>
      </c>
      <c r="K325" s="5" t="s">
        <v>1351</v>
      </c>
      <c r="L325" s="5" t="s">
        <v>1352</v>
      </c>
      <c r="M325" s="5" t="s">
        <v>1353</v>
      </c>
      <c r="N325" s="5" t="s">
        <v>1354</v>
      </c>
      <c r="R325" s="5"/>
      <c r="AG325" s="14" t="s">
        <v>55</v>
      </c>
      <c r="AH325" s="14" t="s">
        <v>1283</v>
      </c>
      <c r="AI325" s="14" t="s">
        <v>1283</v>
      </c>
      <c r="AJ325" s="5" t="s">
        <v>1284</v>
      </c>
    </row>
    <row r="326" spans="1:37">
      <c r="A326" s="5" t="s">
        <v>1355</v>
      </c>
      <c r="B326" s="5" t="s">
        <v>1356</v>
      </c>
      <c r="C326" s="6" t="s">
        <v>43</v>
      </c>
      <c r="D326" s="6" t="s">
        <v>1275</v>
      </c>
      <c r="E326" s="6" t="s">
        <v>1334</v>
      </c>
      <c r="F326" s="6" t="s">
        <v>46</v>
      </c>
      <c r="G326" s="6" t="s">
        <v>1357</v>
      </c>
      <c r="H326" s="18">
        <v>61.6</v>
      </c>
      <c r="I326" s="19" t="s">
        <v>1277</v>
      </c>
      <c r="J326" s="19" t="s">
        <v>1336</v>
      </c>
      <c r="K326" s="5" t="s">
        <v>1358</v>
      </c>
      <c r="L326" s="5" t="s">
        <v>1359</v>
      </c>
      <c r="M326" s="5" t="s">
        <v>1360</v>
      </c>
      <c r="N326" s="5" t="s">
        <v>1361</v>
      </c>
      <c r="R326" s="5"/>
      <c r="AG326" s="14" t="s">
        <v>55</v>
      </c>
      <c r="AH326" s="14" t="s">
        <v>1283</v>
      </c>
      <c r="AI326" s="14" t="s">
        <v>1283</v>
      </c>
      <c r="AJ326" s="5" t="s">
        <v>1284</v>
      </c>
    </row>
    <row r="327" spans="1:37">
      <c r="A327" s="5" t="s">
        <v>1362</v>
      </c>
      <c r="B327" s="5" t="s">
        <v>1363</v>
      </c>
      <c r="C327" s="6" t="s">
        <v>43</v>
      </c>
      <c r="D327" s="6" t="s">
        <v>1275</v>
      </c>
      <c r="E327" s="6" t="s">
        <v>1334</v>
      </c>
      <c r="F327" s="6" t="s">
        <v>46</v>
      </c>
      <c r="G327" s="6" t="s">
        <v>1364</v>
      </c>
      <c r="H327" s="18">
        <v>69.8</v>
      </c>
      <c r="I327" s="19" t="s">
        <v>1277</v>
      </c>
      <c r="J327" s="19" t="s">
        <v>1336</v>
      </c>
      <c r="K327" s="5" t="s">
        <v>1365</v>
      </c>
      <c r="L327" s="5" t="s">
        <v>1366</v>
      </c>
      <c r="M327" s="5" t="s">
        <v>1367</v>
      </c>
      <c r="N327" s="5" t="s">
        <v>1368</v>
      </c>
      <c r="R327" s="5"/>
      <c r="AG327" s="14" t="s">
        <v>55</v>
      </c>
      <c r="AH327" s="14" t="s">
        <v>1283</v>
      </c>
      <c r="AI327" s="14" t="s">
        <v>1283</v>
      </c>
      <c r="AJ327" s="5" t="s">
        <v>1284</v>
      </c>
    </row>
    <row r="328" spans="1:37">
      <c r="A328" s="5" t="s">
        <v>1369</v>
      </c>
      <c r="B328" s="5" t="s">
        <v>1370</v>
      </c>
      <c r="C328" s="6" t="s">
        <v>1371</v>
      </c>
      <c r="D328" s="6" t="s">
        <v>1275</v>
      </c>
      <c r="E328" s="6" t="s">
        <v>1334</v>
      </c>
      <c r="F328" s="6" t="s">
        <v>46</v>
      </c>
      <c r="G328" s="6" t="s">
        <v>1372</v>
      </c>
      <c r="H328" s="18">
        <v>80.099999999999994</v>
      </c>
      <c r="I328" s="19" t="s">
        <v>1277</v>
      </c>
      <c r="J328" s="19" t="s">
        <v>1336</v>
      </c>
      <c r="K328" s="5" t="s">
        <v>1373</v>
      </c>
      <c r="L328" s="5" t="s">
        <v>1374</v>
      </c>
      <c r="M328" s="5" t="s">
        <v>1375</v>
      </c>
      <c r="N328" s="5" t="s">
        <v>1376</v>
      </c>
      <c r="R328" s="5"/>
      <c r="AG328" s="14" t="s">
        <v>55</v>
      </c>
      <c r="AH328" s="14" t="s">
        <v>1283</v>
      </c>
      <c r="AI328" s="14" t="s">
        <v>1283</v>
      </c>
      <c r="AJ328" s="5" t="s">
        <v>1284</v>
      </c>
    </row>
    <row r="329" spans="1:37">
      <c r="A329" s="5" t="s">
        <v>1377</v>
      </c>
      <c r="B329" s="5" t="s">
        <v>1378</v>
      </c>
      <c r="C329" s="6" t="s">
        <v>1371</v>
      </c>
      <c r="D329" s="6" t="s">
        <v>1275</v>
      </c>
      <c r="E329" s="6" t="s">
        <v>1334</v>
      </c>
      <c r="F329" s="6" t="s">
        <v>46</v>
      </c>
      <c r="G329" s="6" t="s">
        <v>1379</v>
      </c>
      <c r="H329" s="18">
        <v>88.5</v>
      </c>
      <c r="I329" s="19" t="s">
        <v>1277</v>
      </c>
      <c r="J329" s="19" t="s">
        <v>1336</v>
      </c>
      <c r="K329" s="5" t="s">
        <v>1380</v>
      </c>
      <c r="L329" s="5" t="s">
        <v>1381</v>
      </c>
      <c r="M329" s="5" t="s">
        <v>1382</v>
      </c>
      <c r="N329" s="5" t="s">
        <v>1383</v>
      </c>
      <c r="R329" s="5"/>
      <c r="AG329" s="14" t="s">
        <v>55</v>
      </c>
      <c r="AH329" s="14" t="s">
        <v>1283</v>
      </c>
      <c r="AI329" s="14" t="s">
        <v>1283</v>
      </c>
      <c r="AJ329" s="5" t="s">
        <v>1284</v>
      </c>
    </row>
    <row r="330" spans="1:37">
      <c r="A330" s="6" t="s">
        <v>1384</v>
      </c>
      <c r="B330" s="6" t="s">
        <v>1385</v>
      </c>
      <c r="C330" s="6" t="s">
        <v>43</v>
      </c>
      <c r="D330" s="6" t="s">
        <v>909</v>
      </c>
      <c r="E330" s="6" t="s">
        <v>1386</v>
      </c>
      <c r="F330" s="6" t="s">
        <v>46</v>
      </c>
      <c r="G330" s="6" t="s">
        <v>1387</v>
      </c>
      <c r="I330" s="5" t="s">
        <v>48</v>
      </c>
      <c r="J330" s="5" t="s">
        <v>48</v>
      </c>
      <c r="K330" s="6"/>
      <c r="L330" s="6"/>
      <c r="M330" s="6"/>
      <c r="N330" s="6"/>
      <c r="O330" s="6"/>
      <c r="P330" s="6"/>
      <c r="Q330" s="6"/>
      <c r="R330" s="6"/>
      <c r="S330" s="6"/>
      <c r="T330" s="6"/>
      <c r="U330" s="6"/>
      <c r="V330" s="6"/>
      <c r="W330" s="6"/>
      <c r="X330" s="6"/>
      <c r="Y330" s="6"/>
      <c r="Z330" s="6"/>
      <c r="AA330" s="6"/>
      <c r="AB330" s="6"/>
      <c r="AC330" s="6"/>
      <c r="AD330" s="6"/>
      <c r="AE330" s="6"/>
      <c r="AF330" s="6"/>
      <c r="AG330" s="15" t="s">
        <v>55</v>
      </c>
      <c r="AH330" s="15"/>
      <c r="AI330" s="15"/>
      <c r="AJ330" s="6"/>
      <c r="AK330" s="6"/>
    </row>
    <row r="331" spans="1:37" s="6" customFormat="1">
      <c r="A331" s="5" t="s">
        <v>1388</v>
      </c>
      <c r="B331" s="5" t="s">
        <v>1389</v>
      </c>
      <c r="C331" s="6" t="s">
        <v>43</v>
      </c>
      <c r="D331" s="6" t="s">
        <v>1390</v>
      </c>
      <c r="E331" s="6" t="s">
        <v>1391</v>
      </c>
      <c r="F331" s="6" t="s">
        <v>46</v>
      </c>
      <c r="G331" s="6" t="s">
        <v>1392</v>
      </c>
      <c r="H331" s="18">
        <v>2000</v>
      </c>
      <c r="I331" s="19" t="s">
        <v>1393</v>
      </c>
      <c r="J331" s="19" t="s">
        <v>1394</v>
      </c>
      <c r="K331" s="5" t="s">
        <v>1395</v>
      </c>
      <c r="L331" s="23" t="s">
        <v>1396</v>
      </c>
      <c r="M331" s="5" t="s">
        <v>1397</v>
      </c>
      <c r="N331" s="5" t="s">
        <v>1398</v>
      </c>
      <c r="O331" s="5" t="s">
        <v>1399</v>
      </c>
      <c r="P331" s="5" t="s">
        <v>1400</v>
      </c>
      <c r="Q331" s="5" t="s">
        <v>1401</v>
      </c>
      <c r="R331" s="5" t="s">
        <v>1402</v>
      </c>
      <c r="S331" s="5"/>
      <c r="T331" s="5"/>
      <c r="U331" s="5" t="s">
        <v>1403</v>
      </c>
      <c r="V331" s="5"/>
      <c r="W331" s="5" t="s">
        <v>1404</v>
      </c>
      <c r="X331" s="5" t="s">
        <v>1405</v>
      </c>
      <c r="Y331" s="5" t="s">
        <v>1406</v>
      </c>
      <c r="Z331" s="5" t="s">
        <v>1407</v>
      </c>
      <c r="AA331" s="5"/>
      <c r="AB331" s="5"/>
      <c r="AC331" s="5"/>
      <c r="AD331" s="5"/>
      <c r="AE331" s="5"/>
      <c r="AF331" s="5"/>
      <c r="AG331" s="14" t="s">
        <v>55</v>
      </c>
      <c r="AH331" s="14" t="s">
        <v>1408</v>
      </c>
      <c r="AI331" s="14" t="s">
        <v>1409</v>
      </c>
      <c r="AJ331" s="5" t="s">
        <v>1410</v>
      </c>
      <c r="AK331" s="5"/>
    </row>
    <row r="332" spans="1:37">
      <c r="A332" s="5" t="s">
        <v>1411</v>
      </c>
      <c r="B332" s="5" t="s">
        <v>1412</v>
      </c>
      <c r="C332" s="6" t="s">
        <v>43</v>
      </c>
      <c r="D332" s="6" t="s">
        <v>52</v>
      </c>
      <c r="E332" s="6" t="s">
        <v>1391</v>
      </c>
      <c r="F332" s="6" t="s">
        <v>46</v>
      </c>
      <c r="G332" s="6" t="s">
        <v>1413</v>
      </c>
      <c r="H332" s="18">
        <v>220</v>
      </c>
      <c r="I332" s="19" t="s">
        <v>1393</v>
      </c>
      <c r="J332" s="19" t="s">
        <v>1414</v>
      </c>
      <c r="K332" s="5" t="s">
        <v>1415</v>
      </c>
      <c r="L332" s="5" t="s">
        <v>1416</v>
      </c>
      <c r="M332" s="5" t="s">
        <v>1417</v>
      </c>
      <c r="N332" s="5" t="s">
        <v>1418</v>
      </c>
      <c r="O332" s="5" t="s">
        <v>1419</v>
      </c>
      <c r="P332" s="5" t="s">
        <v>1420</v>
      </c>
      <c r="Q332" s="5" t="s">
        <v>1421</v>
      </c>
      <c r="R332" s="5" t="s">
        <v>1422</v>
      </c>
      <c r="S332" s="5" t="s">
        <v>1423</v>
      </c>
      <c r="T332" s="5" t="s">
        <v>1424</v>
      </c>
      <c r="U332" s="5" t="s">
        <v>1425</v>
      </c>
      <c r="V332" s="5" t="s">
        <v>1426</v>
      </c>
      <c r="AC332" s="5" t="s">
        <v>1427</v>
      </c>
      <c r="AD332" s="5" t="s">
        <v>1428</v>
      </c>
      <c r="AG332" s="14" t="s">
        <v>55</v>
      </c>
      <c r="AH332" s="14" t="s">
        <v>1408</v>
      </c>
      <c r="AI332" s="14" t="s">
        <v>1409</v>
      </c>
      <c r="AJ332" s="5" t="s">
        <v>1410</v>
      </c>
    </row>
    <row r="333" spans="1:37">
      <c r="A333" s="5" t="s">
        <v>1429</v>
      </c>
      <c r="B333" s="5" t="s">
        <v>1430</v>
      </c>
      <c r="C333" s="6" t="s">
        <v>43</v>
      </c>
      <c r="D333" s="6" t="s">
        <v>52</v>
      </c>
      <c r="E333" s="6" t="s">
        <v>1391</v>
      </c>
      <c r="F333" s="6" t="s">
        <v>46</v>
      </c>
      <c r="G333" s="6" t="s">
        <v>1431</v>
      </c>
      <c r="H333" s="18">
        <v>190</v>
      </c>
      <c r="I333" s="19" t="s">
        <v>1393</v>
      </c>
      <c r="J333" s="19" t="s">
        <v>1414</v>
      </c>
      <c r="K333" s="5" t="s">
        <v>1432</v>
      </c>
      <c r="L333" s="5" t="s">
        <v>1433</v>
      </c>
      <c r="M333" s="5" t="s">
        <v>1434</v>
      </c>
      <c r="N333" s="5" t="s">
        <v>1435</v>
      </c>
      <c r="O333" s="5" t="s">
        <v>1436</v>
      </c>
      <c r="P333" s="5" t="s">
        <v>1437</v>
      </c>
      <c r="Q333" s="5" t="s">
        <v>1438</v>
      </c>
      <c r="R333" s="5" t="s">
        <v>1439</v>
      </c>
      <c r="S333" s="5" t="s">
        <v>1423</v>
      </c>
      <c r="T333" s="5" t="s">
        <v>1424</v>
      </c>
      <c r="U333" s="5" t="s">
        <v>1425</v>
      </c>
      <c r="V333" s="5" t="s">
        <v>1426</v>
      </c>
      <c r="AC333" s="5" t="s">
        <v>1427</v>
      </c>
      <c r="AD333" s="5" t="s">
        <v>1428</v>
      </c>
      <c r="AG333" s="14" t="s">
        <v>55</v>
      </c>
      <c r="AH333" s="14" t="s">
        <v>1408</v>
      </c>
      <c r="AI333" s="14" t="s">
        <v>1409</v>
      </c>
      <c r="AJ333" s="5" t="s">
        <v>1410</v>
      </c>
    </row>
    <row r="334" spans="1:37">
      <c r="A334" s="5" t="s">
        <v>1440</v>
      </c>
      <c r="B334" s="5" t="s">
        <v>1441</v>
      </c>
      <c r="C334" s="6" t="s">
        <v>1442</v>
      </c>
      <c r="D334" s="6" t="s">
        <v>1275</v>
      </c>
      <c r="E334" s="6" t="s">
        <v>1334</v>
      </c>
      <c r="F334" s="6" t="s">
        <v>46</v>
      </c>
      <c r="G334" s="6" t="s">
        <v>1443</v>
      </c>
      <c r="H334" s="18">
        <v>17</v>
      </c>
      <c r="I334" s="19" t="s">
        <v>1277</v>
      </c>
      <c r="J334" s="19" t="s">
        <v>1336</v>
      </c>
      <c r="K334" s="5" t="s">
        <v>1444</v>
      </c>
      <c r="L334" s="5" t="s">
        <v>1445</v>
      </c>
      <c r="M334" s="5" t="s">
        <v>1446</v>
      </c>
      <c r="N334" s="5" t="s">
        <v>1447</v>
      </c>
      <c r="R334" s="5"/>
      <c r="AG334" s="14" t="s">
        <v>55</v>
      </c>
      <c r="AH334" s="14" t="s">
        <v>1283</v>
      </c>
      <c r="AI334" s="14" t="s">
        <v>1283</v>
      </c>
      <c r="AJ334" s="5" t="s">
        <v>1284</v>
      </c>
    </row>
    <row r="335" spans="1:37">
      <c r="A335" s="5" t="s">
        <v>1448</v>
      </c>
      <c r="B335" s="5" t="s">
        <v>1449</v>
      </c>
      <c r="C335" s="6" t="s">
        <v>1450</v>
      </c>
      <c r="D335" s="6" t="s">
        <v>1275</v>
      </c>
      <c r="E335" s="6" t="s">
        <v>1334</v>
      </c>
      <c r="F335" s="6" t="s">
        <v>46</v>
      </c>
      <c r="G335" s="6" t="s">
        <v>1451</v>
      </c>
      <c r="H335" s="18">
        <v>999</v>
      </c>
      <c r="I335" s="19" t="s">
        <v>1277</v>
      </c>
      <c r="J335" s="19" t="s">
        <v>1336</v>
      </c>
      <c r="K335" s="5" t="s">
        <v>1449</v>
      </c>
      <c r="L335" s="5" t="s">
        <v>1452</v>
      </c>
      <c r="M335" s="5" t="s">
        <v>1453</v>
      </c>
      <c r="N335" s="5" t="s">
        <v>1454</v>
      </c>
      <c r="R335" s="5"/>
      <c r="AG335" s="14" t="s">
        <v>55</v>
      </c>
      <c r="AH335" s="14" t="s">
        <v>1283</v>
      </c>
      <c r="AI335" s="14" t="s">
        <v>1283</v>
      </c>
      <c r="AJ335" s="5" t="s">
        <v>1284</v>
      </c>
    </row>
    <row r="336" spans="1:37">
      <c r="A336" s="5" t="s">
        <v>1455</v>
      </c>
      <c r="B336" s="5" t="s">
        <v>1456</v>
      </c>
      <c r="C336" s="6" t="s">
        <v>1450</v>
      </c>
      <c r="D336" s="6" t="s">
        <v>1275</v>
      </c>
      <c r="E336" s="6" t="s">
        <v>1334</v>
      </c>
      <c r="F336" s="6" t="s">
        <v>46</v>
      </c>
      <c r="G336" s="6" t="s">
        <v>1457</v>
      </c>
      <c r="H336" s="18">
        <v>999</v>
      </c>
      <c r="I336" s="19" t="s">
        <v>1277</v>
      </c>
      <c r="J336" s="19" t="s">
        <v>1336</v>
      </c>
      <c r="K336" s="5" t="s">
        <v>1456</v>
      </c>
      <c r="L336" s="5" t="s">
        <v>1458</v>
      </c>
      <c r="M336" s="5" t="s">
        <v>1459</v>
      </c>
      <c r="N336" s="5" t="s">
        <v>1460</v>
      </c>
      <c r="R336" s="5"/>
      <c r="AG336" s="14" t="s">
        <v>55</v>
      </c>
      <c r="AH336" s="14" t="s">
        <v>1283</v>
      </c>
      <c r="AI336" s="14" t="s">
        <v>1283</v>
      </c>
      <c r="AJ336" s="5" t="s">
        <v>1284</v>
      </c>
    </row>
    <row r="337" spans="1:37">
      <c r="A337" s="5" t="s">
        <v>1461</v>
      </c>
      <c r="B337" s="5" t="s">
        <v>1462</v>
      </c>
      <c r="C337" s="6" t="s">
        <v>1463</v>
      </c>
      <c r="D337" s="6" t="s">
        <v>1275</v>
      </c>
      <c r="E337" s="6" t="s">
        <v>1276</v>
      </c>
      <c r="F337" s="6" t="s">
        <v>46</v>
      </c>
      <c r="G337" s="6" t="s">
        <v>1464</v>
      </c>
      <c r="H337" s="18">
        <v>999</v>
      </c>
      <c r="I337" s="19" t="s">
        <v>1277</v>
      </c>
      <c r="J337" s="19" t="s">
        <v>1278</v>
      </c>
      <c r="K337" s="5" t="s">
        <v>1462</v>
      </c>
      <c r="L337" s="24" t="s">
        <v>1465</v>
      </c>
      <c r="M337" s="5" t="s">
        <v>1466</v>
      </c>
      <c r="N337" s="5" t="s">
        <v>1467</v>
      </c>
      <c r="R337" s="5"/>
      <c r="AG337" s="14" t="s">
        <v>55</v>
      </c>
      <c r="AH337" s="14" t="s">
        <v>1283</v>
      </c>
      <c r="AI337" s="14" t="s">
        <v>1283</v>
      </c>
      <c r="AJ337" s="5" t="s">
        <v>1284</v>
      </c>
    </row>
    <row r="338" spans="1:37">
      <c r="A338" s="5" t="s">
        <v>1468</v>
      </c>
      <c r="B338" s="5" t="s">
        <v>1469</v>
      </c>
      <c r="C338" s="6" t="s">
        <v>1463</v>
      </c>
      <c r="D338" s="6" t="s">
        <v>1275</v>
      </c>
      <c r="E338" s="6" t="s">
        <v>1276</v>
      </c>
      <c r="F338" s="6" t="s">
        <v>46</v>
      </c>
      <c r="G338" s="6" t="s">
        <v>1464</v>
      </c>
      <c r="H338" s="18">
        <v>999</v>
      </c>
      <c r="I338" s="19" t="s">
        <v>1277</v>
      </c>
      <c r="J338" s="19" t="s">
        <v>1278</v>
      </c>
      <c r="K338" s="5" t="s">
        <v>1469</v>
      </c>
      <c r="L338" s="24" t="s">
        <v>1470</v>
      </c>
      <c r="M338" s="5" t="s">
        <v>1471</v>
      </c>
      <c r="N338" s="5" t="s">
        <v>1472</v>
      </c>
      <c r="R338" s="5"/>
      <c r="AG338" s="14" t="s">
        <v>55</v>
      </c>
      <c r="AH338" s="14" t="s">
        <v>1283</v>
      </c>
      <c r="AI338" s="14" t="s">
        <v>1283</v>
      </c>
      <c r="AJ338" s="5" t="s">
        <v>1284</v>
      </c>
    </row>
    <row r="339" spans="1:37">
      <c r="A339" s="5" t="s">
        <v>1473</v>
      </c>
      <c r="B339" s="5" t="s">
        <v>1474</v>
      </c>
      <c r="C339" s="6" t="s">
        <v>1463</v>
      </c>
      <c r="D339" s="6" t="s">
        <v>1275</v>
      </c>
      <c r="E339" s="6" t="s">
        <v>1276</v>
      </c>
      <c r="F339" s="6" t="s">
        <v>46</v>
      </c>
      <c r="G339" s="6" t="s">
        <v>1464</v>
      </c>
      <c r="H339" s="18">
        <v>999</v>
      </c>
      <c r="I339" s="19" t="s">
        <v>1277</v>
      </c>
      <c r="J339" s="19" t="s">
        <v>1278</v>
      </c>
      <c r="K339" s="5" t="s">
        <v>1474</v>
      </c>
      <c r="L339" s="24" t="s">
        <v>1475</v>
      </c>
      <c r="M339" s="5" t="s">
        <v>1476</v>
      </c>
      <c r="N339" s="5" t="s">
        <v>1477</v>
      </c>
      <c r="R339" s="5"/>
      <c r="AG339" s="14" t="s">
        <v>55</v>
      </c>
      <c r="AH339" s="14" t="s">
        <v>1283</v>
      </c>
      <c r="AI339" s="14" t="s">
        <v>1283</v>
      </c>
      <c r="AJ339" s="5" t="s">
        <v>1284</v>
      </c>
    </row>
    <row r="340" spans="1:37">
      <c r="A340" s="5" t="s">
        <v>1478</v>
      </c>
      <c r="B340" s="5" t="s">
        <v>1479</v>
      </c>
      <c r="C340" s="6" t="s">
        <v>1463</v>
      </c>
      <c r="D340" s="6" t="s">
        <v>1275</v>
      </c>
      <c r="E340" s="6" t="s">
        <v>1276</v>
      </c>
      <c r="F340" s="6" t="s">
        <v>46</v>
      </c>
      <c r="G340" s="6" t="s">
        <v>1464</v>
      </c>
      <c r="H340" s="18">
        <v>999</v>
      </c>
      <c r="I340" s="19" t="s">
        <v>1277</v>
      </c>
      <c r="J340" s="19" t="s">
        <v>1278</v>
      </c>
      <c r="K340" s="5" t="s">
        <v>1479</v>
      </c>
      <c r="L340" s="24" t="s">
        <v>1480</v>
      </c>
      <c r="M340" s="5" t="s">
        <v>1481</v>
      </c>
      <c r="N340" s="5" t="s">
        <v>1482</v>
      </c>
      <c r="R340" s="5"/>
      <c r="AG340" s="14" t="s">
        <v>55</v>
      </c>
      <c r="AH340" s="14" t="s">
        <v>1283</v>
      </c>
      <c r="AI340" s="14" t="s">
        <v>1283</v>
      </c>
      <c r="AJ340" s="5" t="s">
        <v>1284</v>
      </c>
    </row>
    <row r="341" spans="1:37">
      <c r="A341" s="5" t="s">
        <v>1483</v>
      </c>
      <c r="B341" s="5" t="s">
        <v>1484</v>
      </c>
      <c r="C341" s="6" t="s">
        <v>1463</v>
      </c>
      <c r="D341" s="6" t="s">
        <v>1275</v>
      </c>
      <c r="E341" s="6" t="s">
        <v>1276</v>
      </c>
      <c r="F341" s="6" t="s">
        <v>46</v>
      </c>
      <c r="G341" s="6" t="s">
        <v>1485</v>
      </c>
      <c r="H341" s="18">
        <v>23.5</v>
      </c>
      <c r="I341" s="19" t="s">
        <v>1277</v>
      </c>
      <c r="J341" s="19" t="s">
        <v>1278</v>
      </c>
      <c r="K341" s="5" t="s">
        <v>1486</v>
      </c>
      <c r="L341" s="24" t="s">
        <v>1487</v>
      </c>
      <c r="M341" s="5" t="s">
        <v>1488</v>
      </c>
      <c r="N341" s="5" t="s">
        <v>1489</v>
      </c>
      <c r="R341" s="5"/>
      <c r="AG341" s="14" t="s">
        <v>55</v>
      </c>
      <c r="AH341" s="14" t="s">
        <v>1283</v>
      </c>
      <c r="AI341" s="14" t="s">
        <v>1283</v>
      </c>
      <c r="AJ341" s="5" t="s">
        <v>1284</v>
      </c>
    </row>
    <row r="342" spans="1:37">
      <c r="A342" s="5" t="s">
        <v>1490</v>
      </c>
      <c r="B342" s="5" t="s">
        <v>1491</v>
      </c>
      <c r="C342" s="6" t="s">
        <v>1463</v>
      </c>
      <c r="D342" s="6" t="s">
        <v>1275</v>
      </c>
      <c r="E342" s="6" t="s">
        <v>1492</v>
      </c>
      <c r="F342" s="6" t="s">
        <v>46</v>
      </c>
      <c r="G342" s="6" t="s">
        <v>1493</v>
      </c>
      <c r="H342" s="18">
        <v>999</v>
      </c>
      <c r="I342" s="19" t="s">
        <v>1277</v>
      </c>
      <c r="J342" s="19" t="s">
        <v>1278</v>
      </c>
      <c r="K342" s="5" t="s">
        <v>1491</v>
      </c>
      <c r="L342" s="24" t="s">
        <v>1494</v>
      </c>
      <c r="M342" s="5" t="s">
        <v>1495</v>
      </c>
      <c r="N342" s="5" t="s">
        <v>1496</v>
      </c>
      <c r="R342" s="5"/>
      <c r="AG342" s="14" t="s">
        <v>55</v>
      </c>
      <c r="AH342" s="14" t="s">
        <v>1283</v>
      </c>
      <c r="AI342" s="14" t="s">
        <v>1283</v>
      </c>
      <c r="AJ342" s="5" t="s">
        <v>1284</v>
      </c>
    </row>
    <row r="343" spans="1:37">
      <c r="A343" s="6" t="s">
        <v>1497</v>
      </c>
      <c r="B343" s="6" t="s">
        <v>1498</v>
      </c>
      <c r="C343" s="6" t="s">
        <v>1499</v>
      </c>
      <c r="D343" s="6" t="s">
        <v>1275</v>
      </c>
      <c r="E343" s="6" t="s">
        <v>1276</v>
      </c>
      <c r="F343" s="6" t="s">
        <v>46</v>
      </c>
      <c r="G343" s="6" t="s">
        <v>1500</v>
      </c>
      <c r="I343" s="5" t="s">
        <v>48</v>
      </c>
      <c r="J343" s="5" t="s">
        <v>48</v>
      </c>
      <c r="K343" s="6"/>
      <c r="L343" s="6"/>
      <c r="M343" s="6"/>
      <c r="N343" s="6"/>
      <c r="O343" s="6"/>
      <c r="P343" s="6"/>
      <c r="Q343" s="6"/>
      <c r="R343" s="6"/>
      <c r="S343" s="6"/>
      <c r="T343" s="6"/>
      <c r="U343" s="6"/>
      <c r="V343" s="6"/>
      <c r="W343" s="6"/>
      <c r="X343" s="6"/>
      <c r="Y343" s="6"/>
      <c r="Z343" s="6"/>
      <c r="AA343" s="6"/>
      <c r="AB343" s="6"/>
      <c r="AC343" s="6"/>
      <c r="AD343" s="6"/>
      <c r="AE343" s="6"/>
      <c r="AF343" s="6"/>
      <c r="AG343" s="15" t="s">
        <v>55</v>
      </c>
      <c r="AH343" s="15"/>
      <c r="AI343" s="15"/>
      <c r="AJ343" s="6"/>
      <c r="AK343" s="6"/>
    </row>
    <row r="344" spans="1:37" s="6" customFormat="1">
      <c r="A344" s="5" t="s">
        <v>1501</v>
      </c>
      <c r="B344" s="5" t="s">
        <v>1502</v>
      </c>
      <c r="C344" s="6" t="s">
        <v>1503</v>
      </c>
      <c r="D344" s="6" t="s">
        <v>1504</v>
      </c>
      <c r="E344" s="6" t="s">
        <v>1505</v>
      </c>
      <c r="F344" s="6" t="s">
        <v>46</v>
      </c>
      <c r="G344" s="6" t="s">
        <v>1506</v>
      </c>
      <c r="H344" s="18">
        <v>420</v>
      </c>
      <c r="I344" s="19" t="s">
        <v>1507</v>
      </c>
      <c r="J344" s="19" t="s">
        <v>1508</v>
      </c>
      <c r="K344" s="5" t="s">
        <v>1509</v>
      </c>
      <c r="L344" s="5" t="s">
        <v>1510</v>
      </c>
      <c r="M344" s="5" t="s">
        <v>1511</v>
      </c>
      <c r="N344" s="25" t="s">
        <v>1512</v>
      </c>
      <c r="O344" s="5" t="s">
        <v>1513</v>
      </c>
      <c r="P344" s="5" t="s">
        <v>1514</v>
      </c>
      <c r="Q344" s="5" t="s">
        <v>1515</v>
      </c>
      <c r="R344" s="5" t="s">
        <v>1516</v>
      </c>
      <c r="S344" s="5"/>
      <c r="T344" s="5"/>
      <c r="U344" s="5"/>
      <c r="V344" s="5"/>
      <c r="W344" s="5"/>
      <c r="X344" s="5"/>
      <c r="Y344" s="5"/>
      <c r="Z344" s="5"/>
      <c r="AA344" s="5"/>
      <c r="AB344" s="5"/>
      <c r="AC344" s="5"/>
      <c r="AD344" s="5"/>
      <c r="AE344" s="5"/>
      <c r="AF344" s="5"/>
      <c r="AG344" s="14" t="s">
        <v>55</v>
      </c>
      <c r="AH344" s="14" t="s">
        <v>1517</v>
      </c>
      <c r="AI344" s="14" t="s">
        <v>1518</v>
      </c>
      <c r="AJ344" s="5" t="s">
        <v>1519</v>
      </c>
      <c r="AK344" s="5"/>
    </row>
    <row r="345" spans="1:37">
      <c r="A345" s="5" t="s">
        <v>1520</v>
      </c>
      <c r="B345" s="5" t="s">
        <v>1521</v>
      </c>
      <c r="C345" s="6" t="s">
        <v>43</v>
      </c>
      <c r="D345" s="6" t="s">
        <v>1504</v>
      </c>
      <c r="E345" s="6" t="s">
        <v>218</v>
      </c>
      <c r="F345" s="6" t="s">
        <v>46</v>
      </c>
      <c r="G345" s="6" t="s">
        <v>1522</v>
      </c>
      <c r="H345" s="18">
        <v>1270</v>
      </c>
      <c r="I345" s="19" t="s">
        <v>1507</v>
      </c>
      <c r="J345" s="19" t="s">
        <v>1523</v>
      </c>
      <c r="K345" s="5" t="s">
        <v>1524</v>
      </c>
      <c r="L345" s="5" t="s">
        <v>1525</v>
      </c>
      <c r="M345" s="5" t="s">
        <v>1526</v>
      </c>
      <c r="N345" s="25" t="s">
        <v>1527</v>
      </c>
      <c r="O345" s="5" t="s">
        <v>1528</v>
      </c>
      <c r="P345" s="5" t="s">
        <v>1529</v>
      </c>
      <c r="Q345" s="5" t="s">
        <v>1530</v>
      </c>
      <c r="R345" s="5" t="s">
        <v>1531</v>
      </c>
      <c r="X345" s="5" t="s">
        <v>1532</v>
      </c>
      <c r="Y345" s="5" t="s">
        <v>1533</v>
      </c>
      <c r="AB345" s="5" t="s">
        <v>1534</v>
      </c>
      <c r="AC345" s="5" t="s">
        <v>1535</v>
      </c>
      <c r="AG345" s="14" t="s">
        <v>49</v>
      </c>
      <c r="AH345" s="14" t="s">
        <v>1517</v>
      </c>
      <c r="AI345" s="14" t="s">
        <v>1536</v>
      </c>
      <c r="AJ345" s="5" t="s">
        <v>1537</v>
      </c>
    </row>
    <row r="346" spans="1:37">
      <c r="A346" s="6" t="s">
        <v>1538</v>
      </c>
      <c r="B346" s="6" t="s">
        <v>1539</v>
      </c>
      <c r="C346" s="6" t="s">
        <v>43</v>
      </c>
      <c r="D346" s="6" t="s">
        <v>239</v>
      </c>
      <c r="E346" s="6" t="s">
        <v>1540</v>
      </c>
      <c r="F346" s="6" t="s">
        <v>46</v>
      </c>
      <c r="G346" s="6" t="s">
        <v>1541</v>
      </c>
      <c r="I346" s="5" t="s">
        <v>48</v>
      </c>
      <c r="J346" s="5" t="s">
        <v>48</v>
      </c>
      <c r="K346" s="6"/>
      <c r="L346" s="6"/>
      <c r="M346" s="6"/>
      <c r="N346" s="6"/>
      <c r="O346" s="6"/>
      <c r="P346" s="6"/>
      <c r="Q346" s="6"/>
      <c r="R346" s="6"/>
      <c r="S346" s="6"/>
      <c r="T346" s="6"/>
      <c r="U346" s="6"/>
      <c r="V346" s="6"/>
      <c r="W346" s="6"/>
      <c r="X346" s="6"/>
      <c r="Y346" s="6"/>
      <c r="Z346" s="6"/>
      <c r="AA346" s="6"/>
      <c r="AB346" s="6"/>
      <c r="AC346" s="6"/>
      <c r="AD346" s="6"/>
      <c r="AE346" s="6"/>
      <c r="AF346" s="6"/>
      <c r="AG346" s="15" t="s">
        <v>55</v>
      </c>
      <c r="AH346" s="15"/>
      <c r="AI346" s="15"/>
      <c r="AJ346" s="6"/>
      <c r="AK346" s="6"/>
    </row>
    <row r="347" spans="1:37" s="6" customFormat="1">
      <c r="A347" s="6" t="s">
        <v>1542</v>
      </c>
      <c r="B347" s="6" t="s">
        <v>1543</v>
      </c>
      <c r="C347" s="6" t="s">
        <v>1544</v>
      </c>
      <c r="D347" s="6" t="s">
        <v>1545</v>
      </c>
      <c r="E347" s="6" t="s">
        <v>218</v>
      </c>
      <c r="F347" s="6" t="s">
        <v>46</v>
      </c>
      <c r="G347" s="6" t="s">
        <v>1546</v>
      </c>
      <c r="H347" s="7"/>
      <c r="I347" s="5" t="s">
        <v>48</v>
      </c>
      <c r="J347" s="5" t="s">
        <v>48</v>
      </c>
      <c r="AG347" s="15" t="s">
        <v>55</v>
      </c>
      <c r="AH347" s="15"/>
      <c r="AI347" s="15"/>
    </row>
    <row r="348" spans="1:37" s="6" customFormat="1">
      <c r="A348" s="6" t="s">
        <v>1547</v>
      </c>
      <c r="B348" s="6" t="s">
        <v>1548</v>
      </c>
      <c r="C348" s="6" t="s">
        <v>1544</v>
      </c>
      <c r="D348" s="6" t="s">
        <v>1545</v>
      </c>
      <c r="E348" s="6" t="s">
        <v>218</v>
      </c>
      <c r="F348" s="6" t="s">
        <v>46</v>
      </c>
      <c r="G348" s="6" t="s">
        <v>1549</v>
      </c>
      <c r="H348" s="7"/>
      <c r="I348" s="5" t="s">
        <v>48</v>
      </c>
      <c r="J348" s="5" t="s">
        <v>48</v>
      </c>
      <c r="AG348" s="15" t="s">
        <v>55</v>
      </c>
      <c r="AH348" s="15"/>
      <c r="AI348" s="15"/>
    </row>
    <row r="349" spans="1:37" s="6" customFormat="1">
      <c r="A349" s="6" t="s">
        <v>1550</v>
      </c>
      <c r="B349" s="6" t="s">
        <v>1551</v>
      </c>
      <c r="C349" s="6" t="s">
        <v>1552</v>
      </c>
      <c r="D349" s="6" t="s">
        <v>52</v>
      </c>
      <c r="E349" s="6" t="s">
        <v>1085</v>
      </c>
      <c r="F349" s="6" t="s">
        <v>46</v>
      </c>
      <c r="G349" s="6" t="s">
        <v>1553</v>
      </c>
      <c r="H349" s="7"/>
      <c r="I349" s="5" t="s">
        <v>48</v>
      </c>
      <c r="J349" s="5" t="s">
        <v>48</v>
      </c>
      <c r="AG349" s="15" t="s">
        <v>55</v>
      </c>
      <c r="AH349" s="15"/>
      <c r="AI349" s="15"/>
    </row>
    <row r="350" spans="1:37" s="6" customFormat="1">
      <c r="A350" s="5" t="s">
        <v>1554</v>
      </c>
      <c r="B350" s="5" t="s">
        <v>1555</v>
      </c>
      <c r="C350" s="6" t="s">
        <v>43</v>
      </c>
      <c r="D350" s="6" t="s">
        <v>52</v>
      </c>
      <c r="E350" s="6" t="s">
        <v>1391</v>
      </c>
      <c r="F350" s="6" t="s">
        <v>46</v>
      </c>
      <c r="G350" s="6" t="s">
        <v>1556</v>
      </c>
      <c r="H350" s="18">
        <v>435</v>
      </c>
      <c r="I350" s="19" t="s">
        <v>1393</v>
      </c>
      <c r="J350" s="5" t="s">
        <v>1557</v>
      </c>
      <c r="K350" s="5" t="s">
        <v>1558</v>
      </c>
      <c r="L350" s="5" t="s">
        <v>1559</v>
      </c>
      <c r="M350" s="5" t="s">
        <v>1560</v>
      </c>
      <c r="N350" s="5" t="s">
        <v>1561</v>
      </c>
      <c r="O350" s="5"/>
      <c r="P350" s="5"/>
      <c r="Q350" s="5"/>
      <c r="R350" s="5"/>
      <c r="S350" s="5"/>
      <c r="T350" s="5"/>
      <c r="U350" s="5"/>
      <c r="V350" s="5"/>
      <c r="W350" s="5" t="s">
        <v>1562</v>
      </c>
      <c r="X350" s="5" t="s">
        <v>1563</v>
      </c>
      <c r="Y350" s="5" t="s">
        <v>1564</v>
      </c>
      <c r="Z350" s="5" t="s">
        <v>1565</v>
      </c>
      <c r="AA350" s="5"/>
      <c r="AB350" s="5"/>
      <c r="AC350" s="5"/>
      <c r="AD350" s="5"/>
      <c r="AE350" s="5"/>
      <c r="AF350" s="5"/>
      <c r="AG350" s="14" t="s">
        <v>55</v>
      </c>
      <c r="AH350" s="14" t="s">
        <v>1408</v>
      </c>
      <c r="AI350" s="14" t="s">
        <v>1408</v>
      </c>
      <c r="AJ350" s="5" t="s">
        <v>1566</v>
      </c>
      <c r="AK350" s="5"/>
    </row>
    <row r="351" spans="1:37">
      <c r="A351" s="5" t="s">
        <v>1567</v>
      </c>
      <c r="B351" s="5" t="s">
        <v>1568</v>
      </c>
      <c r="C351" s="6" t="s">
        <v>43</v>
      </c>
      <c r="D351" s="6" t="s">
        <v>52</v>
      </c>
      <c r="E351" s="6" t="s">
        <v>1391</v>
      </c>
      <c r="F351" s="6" t="s">
        <v>46</v>
      </c>
      <c r="G351" s="6" t="s">
        <v>1569</v>
      </c>
      <c r="H351" s="18">
        <v>999</v>
      </c>
      <c r="I351" s="19" t="s">
        <v>1393</v>
      </c>
      <c r="J351" s="5" t="s">
        <v>1557</v>
      </c>
      <c r="K351" s="5" t="s">
        <v>1570</v>
      </c>
      <c r="L351" s="5" t="s">
        <v>1571</v>
      </c>
      <c r="M351" s="5" t="s">
        <v>1572</v>
      </c>
      <c r="N351" s="5" t="s">
        <v>1561</v>
      </c>
      <c r="R351" s="5"/>
      <c r="W351" s="5" t="s">
        <v>1562</v>
      </c>
      <c r="X351" s="5" t="s">
        <v>1563</v>
      </c>
      <c r="Y351" s="5" t="s">
        <v>1564</v>
      </c>
      <c r="Z351" s="5" t="s">
        <v>1565</v>
      </c>
      <c r="AG351" s="14" t="s">
        <v>55</v>
      </c>
      <c r="AH351" s="14" t="s">
        <v>1408</v>
      </c>
      <c r="AI351" s="14" t="s">
        <v>1408</v>
      </c>
      <c r="AJ351" s="5" t="s">
        <v>1566</v>
      </c>
    </row>
    <row r="352" spans="1:37">
      <c r="A352" s="5" t="s">
        <v>1573</v>
      </c>
      <c r="B352" s="5" t="s">
        <v>1574</v>
      </c>
      <c r="C352" s="6" t="s">
        <v>43</v>
      </c>
      <c r="D352" s="6" t="s">
        <v>52</v>
      </c>
      <c r="E352" s="6" t="s">
        <v>1391</v>
      </c>
      <c r="F352" s="6" t="s">
        <v>46</v>
      </c>
      <c r="G352" s="6" t="s">
        <v>1575</v>
      </c>
      <c r="H352" s="18">
        <v>349</v>
      </c>
      <c r="I352" s="19" t="s">
        <v>1393</v>
      </c>
      <c r="J352" s="5" t="s">
        <v>1557</v>
      </c>
      <c r="K352" s="5" t="s">
        <v>1576</v>
      </c>
      <c r="L352" s="5" t="s">
        <v>1577</v>
      </c>
      <c r="M352" s="5" t="s">
        <v>1578</v>
      </c>
      <c r="N352" s="5" t="s">
        <v>1561</v>
      </c>
      <c r="R352" s="5"/>
      <c r="W352" s="5" t="s">
        <v>1562</v>
      </c>
      <c r="X352" s="5" t="s">
        <v>1563</v>
      </c>
      <c r="Y352" s="5" t="s">
        <v>1564</v>
      </c>
      <c r="Z352" s="5" t="s">
        <v>1565</v>
      </c>
      <c r="AG352" s="14" t="s">
        <v>55</v>
      </c>
      <c r="AH352" s="14" t="s">
        <v>1408</v>
      </c>
      <c r="AI352" s="14" t="s">
        <v>1408</v>
      </c>
      <c r="AJ352" s="5" t="s">
        <v>1566</v>
      </c>
    </row>
    <row r="353" spans="1:37">
      <c r="A353" s="5" t="s">
        <v>1579</v>
      </c>
      <c r="B353" s="5" t="s">
        <v>1580</v>
      </c>
      <c r="C353" s="6" t="s">
        <v>43</v>
      </c>
      <c r="D353" s="6" t="s">
        <v>52</v>
      </c>
      <c r="E353" s="6" t="s">
        <v>1391</v>
      </c>
      <c r="F353" s="6" t="s">
        <v>46</v>
      </c>
      <c r="G353" s="6" t="s">
        <v>900</v>
      </c>
      <c r="H353" s="18">
        <v>364</v>
      </c>
      <c r="I353" s="19" t="s">
        <v>1393</v>
      </c>
      <c r="J353" s="5" t="s">
        <v>1557</v>
      </c>
      <c r="K353" s="5" t="s">
        <v>1581</v>
      </c>
      <c r="L353" s="5" t="s">
        <v>1582</v>
      </c>
      <c r="M353" s="5" t="s">
        <v>1583</v>
      </c>
      <c r="N353" s="5" t="s">
        <v>1561</v>
      </c>
      <c r="R353" s="5"/>
      <c r="W353" s="5" t="s">
        <v>1562</v>
      </c>
      <c r="X353" s="5" t="s">
        <v>1584</v>
      </c>
      <c r="Y353" s="5" t="s">
        <v>1564</v>
      </c>
      <c r="Z353" s="5" t="s">
        <v>1565</v>
      </c>
      <c r="AG353" s="14" t="s">
        <v>55</v>
      </c>
      <c r="AH353" s="14" t="s">
        <v>1408</v>
      </c>
      <c r="AI353" s="14" t="s">
        <v>1408</v>
      </c>
      <c r="AJ353" s="5" t="s">
        <v>1566</v>
      </c>
    </row>
    <row r="354" spans="1:37">
      <c r="A354" s="5" t="s">
        <v>1585</v>
      </c>
      <c r="B354" s="5" t="s">
        <v>1586</v>
      </c>
      <c r="C354" s="6" t="s">
        <v>43</v>
      </c>
      <c r="D354" s="6" t="s">
        <v>1390</v>
      </c>
      <c r="E354" s="6" t="s">
        <v>1587</v>
      </c>
      <c r="F354" s="6" t="s">
        <v>46</v>
      </c>
      <c r="G354" s="6" t="s">
        <v>1588</v>
      </c>
      <c r="H354" s="7">
        <v>126.5</v>
      </c>
      <c r="I354" s="19" t="s">
        <v>1589</v>
      </c>
      <c r="J354" s="19" t="s">
        <v>1590</v>
      </c>
      <c r="K354" s="5" t="s">
        <v>1591</v>
      </c>
      <c r="L354" s="5" t="s">
        <v>1592</v>
      </c>
      <c r="M354" s="5" t="s">
        <v>1593</v>
      </c>
      <c r="N354" s="5" t="s">
        <v>1594</v>
      </c>
      <c r="O354" s="5" t="s">
        <v>1595</v>
      </c>
      <c r="P354" s="5" t="s">
        <v>1596</v>
      </c>
      <c r="Q354" s="5" t="s">
        <v>1597</v>
      </c>
      <c r="R354" s="5" t="s">
        <v>1598</v>
      </c>
      <c r="W354" s="5" t="s">
        <v>1599</v>
      </c>
      <c r="X354" s="5" t="s">
        <v>1600</v>
      </c>
      <c r="Y354" s="5" t="s">
        <v>1601</v>
      </c>
      <c r="Z354" s="5" t="s">
        <v>1602</v>
      </c>
      <c r="AG354" s="14" t="s">
        <v>55</v>
      </c>
      <c r="AH354" s="14" t="s">
        <v>1603</v>
      </c>
      <c r="AI354" s="14" t="s">
        <v>1604</v>
      </c>
    </row>
    <row r="355" spans="1:37">
      <c r="A355" s="5" t="s">
        <v>1605</v>
      </c>
      <c r="B355" s="5" t="s">
        <v>1586</v>
      </c>
      <c r="C355" s="6" t="s">
        <v>43</v>
      </c>
      <c r="D355" s="6" t="s">
        <v>1390</v>
      </c>
      <c r="E355" s="6" t="s">
        <v>1540</v>
      </c>
      <c r="F355" s="6" t="s">
        <v>46</v>
      </c>
      <c r="G355" s="6" t="s">
        <v>1606</v>
      </c>
      <c r="H355" s="7">
        <v>126.5</v>
      </c>
      <c r="I355" s="19" t="s">
        <v>1589</v>
      </c>
      <c r="J355" s="19" t="s">
        <v>1590</v>
      </c>
      <c r="K355" s="20" t="s">
        <v>1591</v>
      </c>
      <c r="L355" s="20" t="s">
        <v>1607</v>
      </c>
      <c r="M355" s="20" t="s">
        <v>1593</v>
      </c>
      <c r="N355" s="20" t="s">
        <v>1594</v>
      </c>
      <c r="O355" s="20" t="s">
        <v>1608</v>
      </c>
      <c r="P355" s="20" t="s">
        <v>1609</v>
      </c>
      <c r="Q355" s="20" t="s">
        <v>1610</v>
      </c>
      <c r="R355" s="5" t="s">
        <v>1598</v>
      </c>
      <c r="W355" s="20" t="s">
        <v>1599</v>
      </c>
      <c r="X355" s="20" t="s">
        <v>1611</v>
      </c>
      <c r="Y355" s="20" t="s">
        <v>1601</v>
      </c>
      <c r="Z355" s="20" t="s">
        <v>1602</v>
      </c>
      <c r="AG355" s="14" t="s">
        <v>55</v>
      </c>
      <c r="AH355" s="14" t="s">
        <v>1603</v>
      </c>
      <c r="AI355" s="14" t="s">
        <v>1604</v>
      </c>
    </row>
    <row r="356" spans="1:37">
      <c r="A356" s="5" t="s">
        <v>1612</v>
      </c>
      <c r="B356" s="5" t="s">
        <v>1586</v>
      </c>
      <c r="C356" s="6" t="s">
        <v>43</v>
      </c>
      <c r="D356" s="6" t="s">
        <v>1390</v>
      </c>
      <c r="E356" s="6" t="s">
        <v>1540</v>
      </c>
      <c r="F356" s="6" t="s">
        <v>46</v>
      </c>
      <c r="G356" s="6" t="s">
        <v>1613</v>
      </c>
      <c r="H356" s="7">
        <v>126.5</v>
      </c>
      <c r="I356" s="19" t="s">
        <v>1589</v>
      </c>
      <c r="J356" s="19" t="s">
        <v>1590</v>
      </c>
      <c r="K356" s="20" t="s">
        <v>1591</v>
      </c>
      <c r="L356" s="20" t="s">
        <v>1607</v>
      </c>
      <c r="M356" s="20" t="s">
        <v>1593</v>
      </c>
      <c r="N356" s="20" t="s">
        <v>1594</v>
      </c>
      <c r="O356" s="20" t="s">
        <v>1595</v>
      </c>
      <c r="P356" s="20" t="s">
        <v>1614</v>
      </c>
      <c r="Q356" s="20" t="s">
        <v>1597</v>
      </c>
      <c r="R356" s="5" t="s">
        <v>1598</v>
      </c>
      <c r="W356" s="20" t="s">
        <v>1599</v>
      </c>
      <c r="X356" s="20" t="s">
        <v>1611</v>
      </c>
      <c r="Y356" s="20" t="s">
        <v>1601</v>
      </c>
      <c r="Z356" s="20" t="s">
        <v>1602</v>
      </c>
      <c r="AG356" s="14" t="s">
        <v>55</v>
      </c>
      <c r="AH356" s="14" t="s">
        <v>1603</v>
      </c>
      <c r="AI356" s="14" t="s">
        <v>1604</v>
      </c>
    </row>
    <row r="357" spans="1:37">
      <c r="A357" s="5" t="s">
        <v>1615</v>
      </c>
      <c r="B357" s="5" t="s">
        <v>1616</v>
      </c>
      <c r="C357" s="6" t="s">
        <v>43</v>
      </c>
      <c r="D357" s="6" t="s">
        <v>1390</v>
      </c>
      <c r="E357" s="6" t="s">
        <v>1587</v>
      </c>
      <c r="F357" s="6" t="s">
        <v>46</v>
      </c>
      <c r="G357" s="6" t="s">
        <v>1617</v>
      </c>
      <c r="H357" s="7">
        <v>98.18</v>
      </c>
      <c r="I357" s="19" t="s">
        <v>1589</v>
      </c>
      <c r="J357" s="19" t="s">
        <v>1590</v>
      </c>
      <c r="K357" s="20" t="s">
        <v>1618</v>
      </c>
      <c r="L357" s="20" t="s">
        <v>1619</v>
      </c>
      <c r="M357" s="20" t="s">
        <v>1620</v>
      </c>
      <c r="N357" s="20" t="s">
        <v>1621</v>
      </c>
      <c r="O357" s="20" t="s">
        <v>1622</v>
      </c>
      <c r="P357" s="20" t="s">
        <v>1623</v>
      </c>
      <c r="Q357" s="20" t="s">
        <v>1624</v>
      </c>
      <c r="R357" s="5" t="s">
        <v>1625</v>
      </c>
      <c r="W357" s="20" t="s">
        <v>1599</v>
      </c>
      <c r="X357" s="20" t="s">
        <v>1611</v>
      </c>
      <c r="Y357" s="20" t="s">
        <v>1601</v>
      </c>
      <c r="Z357" s="20" t="s">
        <v>1602</v>
      </c>
      <c r="AG357" s="14" t="s">
        <v>55</v>
      </c>
      <c r="AH357" s="14" t="s">
        <v>1603</v>
      </c>
      <c r="AI357" s="14" t="s">
        <v>1604</v>
      </c>
    </row>
    <row r="358" spans="1:37">
      <c r="A358" s="5" t="s">
        <v>1626</v>
      </c>
      <c r="B358" s="5" t="s">
        <v>1616</v>
      </c>
      <c r="C358" s="6" t="s">
        <v>43</v>
      </c>
      <c r="D358" s="6" t="s">
        <v>1390</v>
      </c>
      <c r="E358" s="6" t="s">
        <v>1540</v>
      </c>
      <c r="F358" s="6" t="s">
        <v>46</v>
      </c>
      <c r="G358" s="6" t="s">
        <v>1627</v>
      </c>
      <c r="H358" s="7">
        <v>98.18</v>
      </c>
      <c r="I358" s="19" t="s">
        <v>1589</v>
      </c>
      <c r="J358" s="19" t="s">
        <v>1590</v>
      </c>
      <c r="K358" s="20" t="s">
        <v>1618</v>
      </c>
      <c r="L358" s="20" t="s">
        <v>1619</v>
      </c>
      <c r="M358" s="20" t="s">
        <v>1620</v>
      </c>
      <c r="N358" s="20" t="s">
        <v>1621</v>
      </c>
      <c r="O358" s="20" t="s">
        <v>1622</v>
      </c>
      <c r="P358" s="20" t="s">
        <v>1623</v>
      </c>
      <c r="Q358" s="20" t="s">
        <v>1624</v>
      </c>
      <c r="R358" s="5" t="s">
        <v>1625</v>
      </c>
      <c r="W358" s="20" t="s">
        <v>1599</v>
      </c>
      <c r="X358" s="20" t="s">
        <v>1611</v>
      </c>
      <c r="Y358" s="20" t="s">
        <v>1601</v>
      </c>
      <c r="Z358" s="20" t="s">
        <v>1602</v>
      </c>
      <c r="AG358" s="14" t="s">
        <v>55</v>
      </c>
      <c r="AH358" s="14" t="s">
        <v>1603</v>
      </c>
      <c r="AI358" s="14" t="s">
        <v>1604</v>
      </c>
    </row>
    <row r="359" spans="1:37">
      <c r="A359" s="5" t="s">
        <v>1628</v>
      </c>
      <c r="B359" s="5" t="s">
        <v>1629</v>
      </c>
      <c r="C359" s="6" t="s">
        <v>43</v>
      </c>
      <c r="D359" s="6" t="s">
        <v>1390</v>
      </c>
      <c r="E359" s="6" t="s">
        <v>1587</v>
      </c>
      <c r="F359" s="6" t="s">
        <v>46</v>
      </c>
      <c r="G359" s="6" t="s">
        <v>1630</v>
      </c>
      <c r="H359" s="7">
        <v>112.97</v>
      </c>
      <c r="I359" s="19" t="s">
        <v>1589</v>
      </c>
      <c r="J359" s="19" t="s">
        <v>1590</v>
      </c>
      <c r="K359" s="20" t="s">
        <v>1631</v>
      </c>
      <c r="L359" s="5" t="s">
        <v>1632</v>
      </c>
      <c r="M359" s="20" t="s">
        <v>1633</v>
      </c>
      <c r="N359" s="5" t="s">
        <v>1634</v>
      </c>
      <c r="O359" s="20" t="s">
        <v>1635</v>
      </c>
      <c r="P359" s="20" t="s">
        <v>1636</v>
      </c>
      <c r="Q359" s="20" t="s">
        <v>1637</v>
      </c>
      <c r="R359" s="20" t="s">
        <v>1638</v>
      </c>
      <c r="W359" s="20" t="s">
        <v>1599</v>
      </c>
      <c r="X359" s="20" t="s">
        <v>1611</v>
      </c>
      <c r="Y359" s="20" t="s">
        <v>1601</v>
      </c>
      <c r="Z359" s="20" t="s">
        <v>1602</v>
      </c>
      <c r="AG359" s="14" t="s">
        <v>55</v>
      </c>
      <c r="AH359" s="14" t="s">
        <v>1603</v>
      </c>
      <c r="AI359" s="14" t="s">
        <v>1604</v>
      </c>
    </row>
    <row r="360" spans="1:37">
      <c r="A360" s="5" t="s">
        <v>1639</v>
      </c>
      <c r="B360" s="5" t="s">
        <v>1629</v>
      </c>
      <c r="C360" s="6" t="s">
        <v>43</v>
      </c>
      <c r="D360" s="6" t="s">
        <v>1390</v>
      </c>
      <c r="E360" s="6" t="s">
        <v>1540</v>
      </c>
      <c r="F360" s="6" t="s">
        <v>46</v>
      </c>
      <c r="G360" s="6" t="s">
        <v>1640</v>
      </c>
      <c r="H360" s="7">
        <v>112.97</v>
      </c>
      <c r="I360" s="19" t="s">
        <v>1589</v>
      </c>
      <c r="J360" s="19" t="s">
        <v>1590</v>
      </c>
      <c r="K360" s="20" t="s">
        <v>1631</v>
      </c>
      <c r="L360" s="5" t="s">
        <v>1632</v>
      </c>
      <c r="M360" s="20" t="s">
        <v>1633</v>
      </c>
      <c r="N360" s="5" t="s">
        <v>1634</v>
      </c>
      <c r="O360" s="20" t="s">
        <v>1635</v>
      </c>
      <c r="P360" s="20" t="s">
        <v>1636</v>
      </c>
      <c r="Q360" s="20" t="s">
        <v>1637</v>
      </c>
      <c r="R360" s="20" t="s">
        <v>1638</v>
      </c>
      <c r="W360" s="20" t="s">
        <v>1599</v>
      </c>
      <c r="X360" s="20" t="s">
        <v>1611</v>
      </c>
      <c r="Y360" s="20" t="s">
        <v>1601</v>
      </c>
      <c r="Z360" s="20" t="s">
        <v>1602</v>
      </c>
      <c r="AG360" s="14" t="s">
        <v>55</v>
      </c>
      <c r="AH360" s="14" t="s">
        <v>1603</v>
      </c>
      <c r="AI360" s="14" t="s">
        <v>1604</v>
      </c>
    </row>
    <row r="361" spans="1:37">
      <c r="A361" s="5" t="s">
        <v>1641</v>
      </c>
      <c r="B361" s="5" t="s">
        <v>1629</v>
      </c>
      <c r="C361" s="6" t="s">
        <v>43</v>
      </c>
      <c r="D361" s="6" t="s">
        <v>1390</v>
      </c>
      <c r="E361" s="6" t="s">
        <v>503</v>
      </c>
      <c r="F361" s="6" t="s">
        <v>46</v>
      </c>
      <c r="G361" s="6" t="s">
        <v>1642</v>
      </c>
      <c r="H361" s="7">
        <v>112.97</v>
      </c>
      <c r="I361" s="19" t="s">
        <v>1589</v>
      </c>
      <c r="J361" s="19" t="s">
        <v>1590</v>
      </c>
      <c r="K361" s="20" t="s">
        <v>1631</v>
      </c>
      <c r="L361" s="5" t="s">
        <v>1632</v>
      </c>
      <c r="M361" s="20" t="s">
        <v>1633</v>
      </c>
      <c r="N361" s="5" t="s">
        <v>1634</v>
      </c>
      <c r="O361" s="20" t="s">
        <v>1635</v>
      </c>
      <c r="P361" s="20" t="s">
        <v>1636</v>
      </c>
      <c r="Q361" s="20" t="s">
        <v>1637</v>
      </c>
      <c r="R361" s="20" t="s">
        <v>1638</v>
      </c>
      <c r="W361" s="20" t="s">
        <v>1599</v>
      </c>
      <c r="X361" s="20" t="s">
        <v>1611</v>
      </c>
      <c r="Y361" s="20" t="s">
        <v>1601</v>
      </c>
      <c r="Z361" s="20" t="s">
        <v>1602</v>
      </c>
      <c r="AG361" s="14" t="s">
        <v>55</v>
      </c>
      <c r="AH361" s="14" t="s">
        <v>1603</v>
      </c>
      <c r="AI361" s="14" t="s">
        <v>1604</v>
      </c>
    </row>
    <row r="362" spans="1:37">
      <c r="A362" s="6" t="s">
        <v>1643</v>
      </c>
      <c r="B362" s="6" t="s">
        <v>1644</v>
      </c>
      <c r="C362" s="6" t="s">
        <v>43</v>
      </c>
      <c r="D362" s="6" t="s">
        <v>1645</v>
      </c>
      <c r="E362" s="6" t="s">
        <v>1386</v>
      </c>
      <c r="F362" s="6" t="s">
        <v>46</v>
      </c>
      <c r="G362" s="6" t="s">
        <v>1646</v>
      </c>
      <c r="I362" s="5" t="s">
        <v>48</v>
      </c>
      <c r="J362" s="5" t="s">
        <v>48</v>
      </c>
      <c r="K362" s="6"/>
      <c r="L362" s="6"/>
      <c r="M362" s="6"/>
      <c r="N362" s="6"/>
      <c r="O362" s="6"/>
      <c r="P362" s="6"/>
      <c r="Q362" s="6"/>
      <c r="R362" s="6"/>
      <c r="S362" s="6"/>
      <c r="T362" s="6"/>
      <c r="U362" s="6"/>
      <c r="V362" s="6"/>
      <c r="W362" s="6"/>
      <c r="X362" s="6"/>
      <c r="Y362" s="6"/>
      <c r="Z362" s="6"/>
      <c r="AA362" s="6"/>
      <c r="AB362" s="6"/>
      <c r="AC362" s="6"/>
      <c r="AD362" s="6"/>
      <c r="AE362" s="6"/>
      <c r="AF362" s="6"/>
      <c r="AG362" s="15" t="s">
        <v>55</v>
      </c>
      <c r="AH362" s="15"/>
      <c r="AI362" s="15"/>
      <c r="AJ362" s="6"/>
      <c r="AK362" s="6"/>
    </row>
    <row r="363" spans="1:37" s="6" customFormat="1">
      <c r="A363" s="6" t="s">
        <v>1647</v>
      </c>
      <c r="B363" s="6" t="s">
        <v>1648</v>
      </c>
      <c r="C363" s="6" t="s">
        <v>43</v>
      </c>
      <c r="D363" s="6" t="s">
        <v>1390</v>
      </c>
      <c r="E363" s="6" t="s">
        <v>1540</v>
      </c>
      <c r="F363" s="6" t="s">
        <v>46</v>
      </c>
      <c r="G363" s="6" t="s">
        <v>1649</v>
      </c>
      <c r="H363" s="7"/>
      <c r="I363" s="5" t="s">
        <v>48</v>
      </c>
      <c r="J363" s="5" t="s">
        <v>48</v>
      </c>
      <c r="AG363" s="15" t="s">
        <v>55</v>
      </c>
      <c r="AH363" s="15"/>
      <c r="AI363" s="15"/>
    </row>
    <row r="364" spans="1:37" s="6" customFormat="1">
      <c r="A364" s="6" t="s">
        <v>1650</v>
      </c>
      <c r="B364" s="6" t="s">
        <v>1651</v>
      </c>
      <c r="C364" s="6" t="s">
        <v>1652</v>
      </c>
      <c r="D364" s="6" t="s">
        <v>1645</v>
      </c>
      <c r="E364" s="6" t="s">
        <v>1653</v>
      </c>
      <c r="F364" s="6" t="s">
        <v>46</v>
      </c>
      <c r="G364" s="6" t="s">
        <v>1654</v>
      </c>
      <c r="H364" s="7"/>
      <c r="I364" s="5" t="s">
        <v>48</v>
      </c>
      <c r="J364" s="5" t="s">
        <v>48</v>
      </c>
      <c r="AG364" s="15" t="s">
        <v>55</v>
      </c>
      <c r="AH364" s="15"/>
      <c r="AI364" s="15"/>
    </row>
    <row r="365" spans="1:37" s="6" customFormat="1">
      <c r="A365" s="6" t="s">
        <v>1655</v>
      </c>
      <c r="B365" s="6" t="s">
        <v>1656</v>
      </c>
      <c r="C365" s="6" t="s">
        <v>43</v>
      </c>
      <c r="D365" s="6" t="s">
        <v>1390</v>
      </c>
      <c r="E365" s="6" t="s">
        <v>1587</v>
      </c>
      <c r="F365" s="6" t="s">
        <v>46</v>
      </c>
      <c r="G365" s="6" t="s">
        <v>481</v>
      </c>
      <c r="H365" s="7"/>
      <c r="I365" s="5" t="s">
        <v>48</v>
      </c>
      <c r="J365" s="5" t="s">
        <v>48</v>
      </c>
      <c r="AG365" s="15" t="s">
        <v>55</v>
      </c>
      <c r="AH365" s="15"/>
      <c r="AI365" s="15"/>
    </row>
    <row r="366" spans="1:37" s="6" customFormat="1">
      <c r="A366" s="6" t="s">
        <v>1657</v>
      </c>
      <c r="B366" s="6" t="s">
        <v>1656</v>
      </c>
      <c r="C366" s="6" t="s">
        <v>43</v>
      </c>
      <c r="D366" s="6" t="s">
        <v>1390</v>
      </c>
      <c r="E366" s="6" t="s">
        <v>1540</v>
      </c>
      <c r="F366" s="6" t="s">
        <v>46</v>
      </c>
      <c r="G366" s="6" t="s">
        <v>1658</v>
      </c>
      <c r="H366" s="7"/>
      <c r="I366" s="5" t="s">
        <v>48</v>
      </c>
      <c r="J366" s="5" t="s">
        <v>48</v>
      </c>
      <c r="AG366" s="15" t="s">
        <v>55</v>
      </c>
      <c r="AH366" s="15"/>
      <c r="AI366" s="15"/>
    </row>
    <row r="367" spans="1:37" s="6" customFormat="1">
      <c r="A367" s="5" t="s">
        <v>1659</v>
      </c>
      <c r="B367" s="5" t="s">
        <v>1660</v>
      </c>
      <c r="C367" s="6" t="s">
        <v>43</v>
      </c>
      <c r="D367" s="6" t="s">
        <v>1390</v>
      </c>
      <c r="E367" s="6" t="s">
        <v>1587</v>
      </c>
      <c r="F367" s="6" t="s">
        <v>46</v>
      </c>
      <c r="G367" s="6" t="s">
        <v>1661</v>
      </c>
      <c r="H367" s="7">
        <v>151.80000000000001</v>
      </c>
      <c r="I367" s="19" t="s">
        <v>1589</v>
      </c>
      <c r="J367" s="19" t="s">
        <v>1590</v>
      </c>
      <c r="K367" s="20" t="s">
        <v>1591</v>
      </c>
      <c r="L367" s="20" t="s">
        <v>1607</v>
      </c>
      <c r="M367" s="20" t="s">
        <v>1593</v>
      </c>
      <c r="N367" s="20" t="s">
        <v>1594</v>
      </c>
      <c r="O367" s="20" t="s">
        <v>1662</v>
      </c>
      <c r="P367" s="20" t="s">
        <v>1663</v>
      </c>
      <c r="Q367" s="20" t="s">
        <v>1664</v>
      </c>
      <c r="R367" s="5" t="s">
        <v>1665</v>
      </c>
      <c r="S367" s="5"/>
      <c r="T367" s="5"/>
      <c r="U367" s="5"/>
      <c r="V367" s="5"/>
      <c r="W367" s="20" t="s">
        <v>1599</v>
      </c>
      <c r="X367" s="20" t="s">
        <v>1611</v>
      </c>
      <c r="Y367" s="20" t="s">
        <v>1601</v>
      </c>
      <c r="Z367" s="20" t="s">
        <v>1602</v>
      </c>
      <c r="AA367" s="5"/>
      <c r="AB367" s="5"/>
      <c r="AC367" s="5"/>
      <c r="AD367" s="5"/>
      <c r="AE367" s="5"/>
      <c r="AF367" s="5"/>
      <c r="AG367" s="14" t="s">
        <v>55</v>
      </c>
      <c r="AH367" s="14" t="s">
        <v>1603</v>
      </c>
      <c r="AI367" s="14" t="s">
        <v>1604</v>
      </c>
      <c r="AJ367" s="5"/>
      <c r="AK367" s="5"/>
    </row>
    <row r="368" spans="1:37">
      <c r="A368" s="6" t="s">
        <v>1666</v>
      </c>
      <c r="B368" s="6" t="s">
        <v>1667</v>
      </c>
      <c r="C368" s="6" t="s">
        <v>43</v>
      </c>
      <c r="D368" s="6" t="s">
        <v>1390</v>
      </c>
      <c r="E368" s="6" t="s">
        <v>1540</v>
      </c>
      <c r="F368" s="6" t="s">
        <v>46</v>
      </c>
      <c r="G368" s="6" t="s">
        <v>1668</v>
      </c>
      <c r="I368" s="5" t="s">
        <v>48</v>
      </c>
      <c r="J368" s="5" t="s">
        <v>48</v>
      </c>
      <c r="K368" s="6"/>
      <c r="L368" s="6"/>
      <c r="M368" s="6"/>
      <c r="N368" s="6"/>
      <c r="O368" s="6"/>
      <c r="P368" s="6"/>
      <c r="Q368" s="6"/>
      <c r="R368" s="6"/>
      <c r="S368" s="6"/>
      <c r="T368" s="6"/>
      <c r="U368" s="6"/>
      <c r="V368" s="6"/>
      <c r="W368" s="6"/>
      <c r="X368" s="6"/>
      <c r="Y368" s="6"/>
      <c r="Z368" s="6"/>
      <c r="AA368" s="6"/>
      <c r="AB368" s="6"/>
      <c r="AC368" s="6"/>
      <c r="AD368" s="6"/>
      <c r="AE368" s="6"/>
      <c r="AF368" s="6"/>
      <c r="AG368" s="15" t="s">
        <v>55</v>
      </c>
      <c r="AH368" s="15"/>
      <c r="AI368" s="15"/>
      <c r="AJ368" s="6"/>
      <c r="AK368" s="6"/>
    </row>
    <row r="369" spans="1:37" s="6" customFormat="1">
      <c r="A369" s="6" t="s">
        <v>1669</v>
      </c>
      <c r="B369" s="6" t="s">
        <v>1670</v>
      </c>
      <c r="C369" s="6" t="s">
        <v>43</v>
      </c>
      <c r="D369" s="6" t="s">
        <v>1390</v>
      </c>
      <c r="E369" s="6" t="s">
        <v>1671</v>
      </c>
      <c r="F369" s="6" t="s">
        <v>46</v>
      </c>
      <c r="G369" s="6" t="s">
        <v>1672</v>
      </c>
      <c r="H369" s="7"/>
      <c r="I369" s="5" t="s">
        <v>48</v>
      </c>
      <c r="J369" s="5" t="s">
        <v>48</v>
      </c>
      <c r="AG369" s="15" t="s">
        <v>55</v>
      </c>
      <c r="AH369" s="15"/>
      <c r="AI369" s="15"/>
    </row>
    <row r="370" spans="1:37" s="6" customFormat="1">
      <c r="A370" s="5" t="s">
        <v>1673</v>
      </c>
      <c r="B370" s="5" t="s">
        <v>1660</v>
      </c>
      <c r="C370" s="6" t="s">
        <v>43</v>
      </c>
      <c r="D370" s="6" t="s">
        <v>1390</v>
      </c>
      <c r="E370" s="6" t="s">
        <v>1540</v>
      </c>
      <c r="F370" s="6" t="s">
        <v>46</v>
      </c>
      <c r="G370" s="6" t="s">
        <v>1674</v>
      </c>
      <c r="H370" s="7">
        <v>151.80000000000001</v>
      </c>
      <c r="I370" s="19" t="s">
        <v>1589</v>
      </c>
      <c r="J370" s="19" t="s">
        <v>1590</v>
      </c>
      <c r="K370" s="20" t="s">
        <v>1591</v>
      </c>
      <c r="L370" s="20" t="s">
        <v>1607</v>
      </c>
      <c r="M370" s="20" t="s">
        <v>1593</v>
      </c>
      <c r="N370" s="20" t="s">
        <v>1594</v>
      </c>
      <c r="O370" s="20" t="s">
        <v>1662</v>
      </c>
      <c r="P370" s="20" t="s">
        <v>1663</v>
      </c>
      <c r="Q370" s="20" t="s">
        <v>1664</v>
      </c>
      <c r="R370" s="5" t="s">
        <v>1665</v>
      </c>
      <c r="S370" s="5"/>
      <c r="T370" s="5"/>
      <c r="U370" s="5"/>
      <c r="V370" s="5"/>
      <c r="W370" s="20" t="s">
        <v>1599</v>
      </c>
      <c r="X370" s="20" t="s">
        <v>1611</v>
      </c>
      <c r="Y370" s="20" t="s">
        <v>1601</v>
      </c>
      <c r="Z370" s="20" t="s">
        <v>1602</v>
      </c>
      <c r="AA370" s="5"/>
      <c r="AB370" s="5"/>
      <c r="AC370" s="5"/>
      <c r="AD370" s="5"/>
      <c r="AE370" s="5"/>
      <c r="AF370" s="5"/>
      <c r="AG370" s="14" t="s">
        <v>55</v>
      </c>
      <c r="AH370" s="14" t="s">
        <v>1603</v>
      </c>
      <c r="AI370" s="14" t="s">
        <v>1604</v>
      </c>
      <c r="AJ370" s="5"/>
      <c r="AK370" s="5"/>
    </row>
    <row r="371" spans="1:37">
      <c r="A371" s="5" t="s">
        <v>1675</v>
      </c>
      <c r="B371" s="5" t="s">
        <v>1676</v>
      </c>
      <c r="C371" s="6" t="s">
        <v>1677</v>
      </c>
      <c r="D371" s="6" t="s">
        <v>1390</v>
      </c>
      <c r="E371" s="6" t="s">
        <v>1587</v>
      </c>
      <c r="F371" s="6" t="s">
        <v>46</v>
      </c>
      <c r="G371" s="6" t="s">
        <v>1678</v>
      </c>
      <c r="H371" s="7">
        <v>117.81</v>
      </c>
      <c r="I371" s="19" t="s">
        <v>1589</v>
      </c>
      <c r="J371" s="19" t="s">
        <v>1590</v>
      </c>
      <c r="K371" s="20" t="s">
        <v>1618</v>
      </c>
      <c r="L371" s="20" t="s">
        <v>1619</v>
      </c>
      <c r="M371" s="20" t="s">
        <v>1620</v>
      </c>
      <c r="N371" s="20" t="s">
        <v>1621</v>
      </c>
      <c r="O371" s="20" t="s">
        <v>1679</v>
      </c>
      <c r="P371" s="20" t="s">
        <v>1680</v>
      </c>
      <c r="Q371" s="20" t="s">
        <v>1681</v>
      </c>
      <c r="R371" s="5" t="s">
        <v>1682</v>
      </c>
      <c r="W371" s="20" t="s">
        <v>1599</v>
      </c>
      <c r="X371" s="20" t="s">
        <v>1611</v>
      </c>
      <c r="Y371" s="20" t="s">
        <v>1601</v>
      </c>
      <c r="Z371" s="20" t="s">
        <v>1602</v>
      </c>
      <c r="AG371" s="14" t="s">
        <v>55</v>
      </c>
      <c r="AH371" s="14" t="s">
        <v>1603</v>
      </c>
      <c r="AI371" s="14" t="s">
        <v>1604</v>
      </c>
    </row>
    <row r="372" spans="1:37">
      <c r="A372" s="5" t="s">
        <v>1683</v>
      </c>
      <c r="B372" s="5" t="s">
        <v>1676</v>
      </c>
      <c r="C372" s="6" t="s">
        <v>1677</v>
      </c>
      <c r="D372" s="6" t="s">
        <v>1390</v>
      </c>
      <c r="E372" s="6" t="s">
        <v>1540</v>
      </c>
      <c r="F372" s="6" t="s">
        <v>46</v>
      </c>
      <c r="G372" s="6" t="s">
        <v>1684</v>
      </c>
      <c r="H372" s="7">
        <v>117.81</v>
      </c>
      <c r="I372" s="19" t="s">
        <v>1589</v>
      </c>
      <c r="J372" s="19" t="s">
        <v>1590</v>
      </c>
      <c r="K372" s="20" t="s">
        <v>1618</v>
      </c>
      <c r="L372" s="20" t="s">
        <v>1619</v>
      </c>
      <c r="M372" s="20" t="s">
        <v>1620</v>
      </c>
      <c r="N372" s="20" t="s">
        <v>1621</v>
      </c>
      <c r="O372" s="20" t="s">
        <v>1679</v>
      </c>
      <c r="P372" s="20" t="s">
        <v>1680</v>
      </c>
      <c r="Q372" s="20" t="s">
        <v>1681</v>
      </c>
      <c r="R372" s="5" t="s">
        <v>1682</v>
      </c>
      <c r="W372" s="20" t="s">
        <v>1599</v>
      </c>
      <c r="X372" s="20" t="s">
        <v>1611</v>
      </c>
      <c r="Y372" s="20" t="s">
        <v>1601</v>
      </c>
      <c r="Z372" s="20" t="s">
        <v>1602</v>
      </c>
      <c r="AG372" s="14" t="s">
        <v>55</v>
      </c>
      <c r="AH372" s="14" t="s">
        <v>1603</v>
      </c>
      <c r="AI372" s="14" t="s">
        <v>1604</v>
      </c>
    </row>
    <row r="373" spans="1:37">
      <c r="A373" s="5" t="s">
        <v>1685</v>
      </c>
      <c r="B373" s="5" t="s">
        <v>1686</v>
      </c>
      <c r="C373" s="6" t="s">
        <v>43</v>
      </c>
      <c r="D373" s="6" t="s">
        <v>1390</v>
      </c>
      <c r="E373" s="6" t="s">
        <v>1587</v>
      </c>
      <c r="F373" s="6" t="s">
        <v>46</v>
      </c>
      <c r="G373" s="6" t="s">
        <v>1687</v>
      </c>
      <c r="H373" s="7">
        <v>135.56</v>
      </c>
      <c r="I373" s="19" t="s">
        <v>1589</v>
      </c>
      <c r="J373" s="19" t="s">
        <v>1590</v>
      </c>
      <c r="K373" s="20" t="s">
        <v>1631</v>
      </c>
      <c r="L373" s="5" t="s">
        <v>1632</v>
      </c>
      <c r="M373" s="20" t="s">
        <v>1633</v>
      </c>
      <c r="N373" s="5" t="s">
        <v>1634</v>
      </c>
      <c r="O373" s="20" t="s">
        <v>1688</v>
      </c>
      <c r="P373" s="20" t="s">
        <v>1689</v>
      </c>
      <c r="Q373" s="20" t="s">
        <v>1690</v>
      </c>
      <c r="R373" s="20" t="s">
        <v>1691</v>
      </c>
      <c r="W373" s="20" t="s">
        <v>1599</v>
      </c>
      <c r="X373" s="20" t="s">
        <v>1611</v>
      </c>
      <c r="Y373" s="20" t="s">
        <v>1601</v>
      </c>
      <c r="Z373" s="20" t="s">
        <v>1602</v>
      </c>
      <c r="AG373" s="14" t="s">
        <v>55</v>
      </c>
      <c r="AH373" s="14" t="s">
        <v>1603</v>
      </c>
      <c r="AI373" s="14" t="s">
        <v>1604</v>
      </c>
    </row>
    <row r="374" spans="1:37">
      <c r="A374" s="5" t="s">
        <v>1692</v>
      </c>
      <c r="B374" s="5" t="s">
        <v>1686</v>
      </c>
      <c r="C374" s="6" t="s">
        <v>43</v>
      </c>
      <c r="D374" s="6" t="s">
        <v>1390</v>
      </c>
      <c r="E374" s="6" t="s">
        <v>1693</v>
      </c>
      <c r="F374" s="6" t="s">
        <v>46</v>
      </c>
      <c r="G374" s="6" t="s">
        <v>1694</v>
      </c>
      <c r="H374" s="7">
        <v>135.56</v>
      </c>
      <c r="I374" s="19" t="s">
        <v>1589</v>
      </c>
      <c r="J374" s="19" t="s">
        <v>1590</v>
      </c>
      <c r="K374" s="20" t="s">
        <v>1631</v>
      </c>
      <c r="L374" s="5" t="s">
        <v>1632</v>
      </c>
      <c r="M374" s="20" t="s">
        <v>1633</v>
      </c>
      <c r="N374" s="5" t="s">
        <v>1634</v>
      </c>
      <c r="O374" s="20" t="s">
        <v>1688</v>
      </c>
      <c r="P374" s="20" t="s">
        <v>1636</v>
      </c>
      <c r="Q374" s="20" t="s">
        <v>1690</v>
      </c>
      <c r="R374" s="20" t="s">
        <v>1691</v>
      </c>
      <c r="W374" s="20" t="s">
        <v>1599</v>
      </c>
      <c r="X374" s="20" t="s">
        <v>1611</v>
      </c>
      <c r="Y374" s="20" t="s">
        <v>1601</v>
      </c>
      <c r="Z374" s="20" t="s">
        <v>1602</v>
      </c>
      <c r="AG374" s="14" t="s">
        <v>55</v>
      </c>
      <c r="AH374" s="14" t="s">
        <v>1603</v>
      </c>
      <c r="AI374" s="14" t="s">
        <v>1604</v>
      </c>
    </row>
    <row r="375" spans="1:37">
      <c r="A375" s="5" t="s">
        <v>1695</v>
      </c>
      <c r="B375" s="5" t="s">
        <v>1686</v>
      </c>
      <c r="C375" s="6" t="s">
        <v>43</v>
      </c>
      <c r="D375" s="6" t="s">
        <v>1390</v>
      </c>
      <c r="E375" s="6" t="s">
        <v>1540</v>
      </c>
      <c r="F375" s="6" t="s">
        <v>46</v>
      </c>
      <c r="G375" s="6" t="s">
        <v>1696</v>
      </c>
      <c r="H375" s="7">
        <v>135.56</v>
      </c>
      <c r="I375" s="19" t="s">
        <v>1589</v>
      </c>
      <c r="J375" s="19" t="s">
        <v>1590</v>
      </c>
      <c r="K375" s="20" t="s">
        <v>1631</v>
      </c>
      <c r="L375" s="5" t="s">
        <v>1632</v>
      </c>
      <c r="M375" s="20" t="s">
        <v>1633</v>
      </c>
      <c r="N375" s="5" t="s">
        <v>1634</v>
      </c>
      <c r="O375" s="20" t="s">
        <v>1688</v>
      </c>
      <c r="P375" s="20" t="s">
        <v>1689</v>
      </c>
      <c r="Q375" s="20" t="s">
        <v>1690</v>
      </c>
      <c r="R375" s="20" t="s">
        <v>1691</v>
      </c>
      <c r="W375" s="20" t="s">
        <v>1599</v>
      </c>
      <c r="X375" s="20" t="s">
        <v>1611</v>
      </c>
      <c r="Y375" s="20" t="s">
        <v>1601</v>
      </c>
      <c r="Z375" s="20" t="s">
        <v>1602</v>
      </c>
      <c r="AG375" s="14" t="s">
        <v>55</v>
      </c>
      <c r="AH375" s="14" t="s">
        <v>1603</v>
      </c>
      <c r="AI375" s="14" t="s">
        <v>1604</v>
      </c>
    </row>
    <row r="376" spans="1:37">
      <c r="A376" s="6" t="s">
        <v>1697</v>
      </c>
      <c r="B376" s="6" t="s">
        <v>1698</v>
      </c>
      <c r="C376" s="6" t="s">
        <v>1652</v>
      </c>
      <c r="D376" s="6" t="s">
        <v>1645</v>
      </c>
      <c r="E376" s="6" t="s">
        <v>1653</v>
      </c>
      <c r="F376" s="6" t="s">
        <v>46</v>
      </c>
      <c r="G376" s="6" t="s">
        <v>1699</v>
      </c>
      <c r="I376" s="5" t="s">
        <v>48</v>
      </c>
      <c r="J376" s="5" t="s">
        <v>48</v>
      </c>
      <c r="K376" s="6"/>
      <c r="L376" s="6"/>
      <c r="M376" s="6"/>
      <c r="N376" s="6"/>
      <c r="O376" s="6"/>
      <c r="P376" s="6"/>
      <c r="Q376" s="6"/>
      <c r="R376" s="6"/>
      <c r="S376" s="6"/>
      <c r="T376" s="6"/>
      <c r="U376" s="6"/>
      <c r="V376" s="6"/>
      <c r="W376" s="6"/>
      <c r="X376" s="6"/>
      <c r="Y376" s="6"/>
      <c r="Z376" s="6"/>
      <c r="AA376" s="6"/>
      <c r="AB376" s="6"/>
      <c r="AC376" s="6"/>
      <c r="AD376" s="6"/>
      <c r="AE376" s="6"/>
      <c r="AF376" s="6"/>
      <c r="AG376" s="15" t="s">
        <v>55</v>
      </c>
      <c r="AH376" s="15"/>
      <c r="AI376" s="15"/>
      <c r="AJ376" s="6"/>
      <c r="AK376" s="6"/>
    </row>
    <row r="377" spans="1:37" s="6" customFormat="1">
      <c r="A377" s="5" t="s">
        <v>1700</v>
      </c>
      <c r="B377" s="5" t="s">
        <v>1701</v>
      </c>
      <c r="C377" s="6" t="s">
        <v>43</v>
      </c>
      <c r="D377" s="6" t="s">
        <v>1390</v>
      </c>
      <c r="E377" s="6" t="s">
        <v>1587</v>
      </c>
      <c r="F377" s="6" t="s">
        <v>46</v>
      </c>
      <c r="G377" s="6" t="s">
        <v>1702</v>
      </c>
      <c r="H377" s="7">
        <v>177.1</v>
      </c>
      <c r="I377" s="19" t="s">
        <v>1589</v>
      </c>
      <c r="J377" s="19" t="s">
        <v>1590</v>
      </c>
      <c r="K377" s="20" t="s">
        <v>1591</v>
      </c>
      <c r="L377" s="20" t="s">
        <v>1607</v>
      </c>
      <c r="M377" s="20" t="s">
        <v>1593</v>
      </c>
      <c r="N377" s="20" t="s">
        <v>1594</v>
      </c>
      <c r="O377" s="20" t="s">
        <v>1703</v>
      </c>
      <c r="P377" s="20" t="s">
        <v>1704</v>
      </c>
      <c r="Q377" s="20" t="s">
        <v>1705</v>
      </c>
      <c r="R377" s="5" t="s">
        <v>1706</v>
      </c>
      <c r="S377" s="5"/>
      <c r="T377" s="5"/>
      <c r="U377" s="5"/>
      <c r="V377" s="5"/>
      <c r="W377" s="20" t="s">
        <v>1599</v>
      </c>
      <c r="X377" s="20" t="s">
        <v>1611</v>
      </c>
      <c r="Y377" s="20" t="s">
        <v>1601</v>
      </c>
      <c r="Z377" s="20" t="s">
        <v>1602</v>
      </c>
      <c r="AA377" s="5"/>
      <c r="AB377" s="5"/>
      <c r="AC377" s="5"/>
      <c r="AD377" s="5"/>
      <c r="AE377" s="5"/>
      <c r="AF377" s="5"/>
      <c r="AG377" s="14" t="s">
        <v>55</v>
      </c>
      <c r="AH377" s="14" t="s">
        <v>1603</v>
      </c>
      <c r="AI377" s="14" t="s">
        <v>1604</v>
      </c>
      <c r="AJ377" s="5"/>
      <c r="AK377" s="5"/>
    </row>
    <row r="378" spans="1:37">
      <c r="A378" s="5" t="s">
        <v>1707</v>
      </c>
      <c r="B378" s="5" t="s">
        <v>1701</v>
      </c>
      <c r="C378" s="6" t="s">
        <v>43</v>
      </c>
      <c r="D378" s="6" t="s">
        <v>1390</v>
      </c>
      <c r="E378" s="6" t="s">
        <v>1540</v>
      </c>
      <c r="F378" s="6" t="s">
        <v>46</v>
      </c>
      <c r="G378" s="6" t="s">
        <v>1708</v>
      </c>
      <c r="H378" s="7">
        <v>177.1</v>
      </c>
      <c r="I378" s="19" t="s">
        <v>1589</v>
      </c>
      <c r="J378" s="19" t="s">
        <v>1590</v>
      </c>
      <c r="K378" s="20" t="s">
        <v>1591</v>
      </c>
      <c r="L378" s="20" t="s">
        <v>1607</v>
      </c>
      <c r="M378" s="20" t="s">
        <v>1593</v>
      </c>
      <c r="N378" s="20" t="s">
        <v>1594</v>
      </c>
      <c r="O378" s="20" t="s">
        <v>1703</v>
      </c>
      <c r="P378" s="20" t="s">
        <v>1704</v>
      </c>
      <c r="Q378" s="20" t="s">
        <v>1705</v>
      </c>
      <c r="R378" s="5" t="s">
        <v>1706</v>
      </c>
      <c r="W378" s="20" t="s">
        <v>1599</v>
      </c>
      <c r="X378" s="20" t="s">
        <v>1611</v>
      </c>
      <c r="Y378" s="20" t="s">
        <v>1601</v>
      </c>
      <c r="Z378" s="20" t="s">
        <v>1602</v>
      </c>
      <c r="AG378" s="14" t="s">
        <v>55</v>
      </c>
      <c r="AH378" s="14" t="s">
        <v>1603</v>
      </c>
      <c r="AI378" s="14" t="s">
        <v>1604</v>
      </c>
    </row>
    <row r="379" spans="1:37">
      <c r="A379" s="5" t="s">
        <v>1709</v>
      </c>
      <c r="B379" s="5" t="s">
        <v>1710</v>
      </c>
      <c r="C379" s="6" t="s">
        <v>43</v>
      </c>
      <c r="D379" s="6" t="s">
        <v>1390</v>
      </c>
      <c r="E379" s="6" t="s">
        <v>1587</v>
      </c>
      <c r="F379" s="6" t="s">
        <v>46</v>
      </c>
      <c r="G379" s="6" t="s">
        <v>1711</v>
      </c>
      <c r="H379" s="7">
        <v>137.44999999999999</v>
      </c>
      <c r="I379" s="19" t="s">
        <v>1589</v>
      </c>
      <c r="J379" s="19" t="s">
        <v>1590</v>
      </c>
      <c r="K379" s="20" t="s">
        <v>1618</v>
      </c>
      <c r="L379" s="20" t="s">
        <v>1619</v>
      </c>
      <c r="M379" s="20" t="s">
        <v>1620</v>
      </c>
      <c r="N379" s="20" t="s">
        <v>1621</v>
      </c>
      <c r="O379" s="20" t="s">
        <v>1712</v>
      </c>
      <c r="P379" s="20" t="s">
        <v>1713</v>
      </c>
      <c r="Q379" s="20" t="s">
        <v>1714</v>
      </c>
      <c r="R379" s="5" t="s">
        <v>1715</v>
      </c>
      <c r="W379" s="20" t="s">
        <v>1599</v>
      </c>
      <c r="X379" s="20" t="s">
        <v>1611</v>
      </c>
      <c r="Y379" s="20" t="s">
        <v>1601</v>
      </c>
      <c r="Z379" s="20" t="s">
        <v>1602</v>
      </c>
      <c r="AG379" s="14" t="s">
        <v>55</v>
      </c>
      <c r="AH379" s="14" t="s">
        <v>1603</v>
      </c>
      <c r="AI379" s="14" t="s">
        <v>1604</v>
      </c>
    </row>
    <row r="380" spans="1:37">
      <c r="A380" s="5" t="s">
        <v>1716</v>
      </c>
      <c r="B380" s="5" t="s">
        <v>1710</v>
      </c>
      <c r="C380" s="6" t="s">
        <v>43</v>
      </c>
      <c r="D380" s="6" t="s">
        <v>1390</v>
      </c>
      <c r="E380" s="6" t="s">
        <v>1540</v>
      </c>
      <c r="F380" s="6" t="s">
        <v>46</v>
      </c>
      <c r="G380" s="6" t="s">
        <v>1717</v>
      </c>
      <c r="H380" s="7">
        <v>137.44999999999999</v>
      </c>
      <c r="I380" s="19" t="s">
        <v>1589</v>
      </c>
      <c r="J380" s="19" t="s">
        <v>1590</v>
      </c>
      <c r="K380" s="20" t="s">
        <v>1618</v>
      </c>
      <c r="L380" s="20" t="s">
        <v>1619</v>
      </c>
      <c r="M380" s="20" t="s">
        <v>1620</v>
      </c>
      <c r="N380" s="20" t="s">
        <v>1621</v>
      </c>
      <c r="O380" s="20" t="s">
        <v>1712</v>
      </c>
      <c r="P380" s="20" t="s">
        <v>1713</v>
      </c>
      <c r="Q380" s="20" t="s">
        <v>1714</v>
      </c>
      <c r="R380" s="5" t="s">
        <v>1715</v>
      </c>
      <c r="W380" s="20" t="s">
        <v>1599</v>
      </c>
      <c r="X380" s="20" t="s">
        <v>1611</v>
      </c>
      <c r="Y380" s="20" t="s">
        <v>1601</v>
      </c>
      <c r="Z380" s="20" t="s">
        <v>1602</v>
      </c>
      <c r="AG380" s="14" t="s">
        <v>55</v>
      </c>
      <c r="AH380" s="14" t="s">
        <v>1603</v>
      </c>
      <c r="AI380" s="14" t="s">
        <v>1604</v>
      </c>
    </row>
    <row r="381" spans="1:37">
      <c r="A381" s="5" t="s">
        <v>1718</v>
      </c>
      <c r="B381" s="5" t="s">
        <v>1719</v>
      </c>
      <c r="C381" s="6" t="s">
        <v>43</v>
      </c>
      <c r="D381" s="6" t="s">
        <v>1390</v>
      </c>
      <c r="E381" s="6" t="s">
        <v>1587</v>
      </c>
      <c r="F381" s="6" t="s">
        <v>46</v>
      </c>
      <c r="G381" s="6" t="s">
        <v>1720</v>
      </c>
      <c r="H381" s="7">
        <v>157.16</v>
      </c>
      <c r="I381" s="19" t="s">
        <v>1589</v>
      </c>
      <c r="J381" s="19" t="s">
        <v>1590</v>
      </c>
      <c r="K381" s="20" t="s">
        <v>1631</v>
      </c>
      <c r="L381" s="5" t="s">
        <v>1632</v>
      </c>
      <c r="M381" s="20" t="s">
        <v>1633</v>
      </c>
      <c r="N381" s="5" t="s">
        <v>1634</v>
      </c>
      <c r="O381" s="20" t="s">
        <v>1721</v>
      </c>
      <c r="P381" s="20" t="s">
        <v>1722</v>
      </c>
      <c r="Q381" s="20" t="s">
        <v>1723</v>
      </c>
      <c r="R381" s="20" t="s">
        <v>1724</v>
      </c>
      <c r="W381" s="20" t="s">
        <v>1599</v>
      </c>
      <c r="X381" s="20" t="s">
        <v>1611</v>
      </c>
      <c r="Y381" s="20" t="s">
        <v>1601</v>
      </c>
      <c r="Z381" s="20" t="s">
        <v>1602</v>
      </c>
      <c r="AG381" s="14" t="s">
        <v>55</v>
      </c>
      <c r="AH381" s="14" t="s">
        <v>1603</v>
      </c>
      <c r="AI381" s="14" t="s">
        <v>1604</v>
      </c>
    </row>
    <row r="382" spans="1:37">
      <c r="A382" s="5" t="s">
        <v>1725</v>
      </c>
      <c r="B382" s="5" t="s">
        <v>1719</v>
      </c>
      <c r="C382" s="6" t="s">
        <v>43</v>
      </c>
      <c r="D382" s="6" t="s">
        <v>1390</v>
      </c>
      <c r="E382" s="6" t="s">
        <v>1540</v>
      </c>
      <c r="F382" s="6" t="s">
        <v>46</v>
      </c>
      <c r="G382" s="6" t="s">
        <v>1726</v>
      </c>
      <c r="H382" s="7">
        <v>157.16</v>
      </c>
      <c r="I382" s="19" t="s">
        <v>1589</v>
      </c>
      <c r="J382" s="19" t="s">
        <v>1590</v>
      </c>
      <c r="K382" s="20" t="s">
        <v>1631</v>
      </c>
      <c r="L382" s="5" t="s">
        <v>1632</v>
      </c>
      <c r="M382" s="20" t="s">
        <v>1633</v>
      </c>
      <c r="N382" s="5" t="s">
        <v>1634</v>
      </c>
      <c r="O382" s="20" t="s">
        <v>1635</v>
      </c>
      <c r="P382" s="20" t="s">
        <v>1722</v>
      </c>
      <c r="Q382" s="20" t="s">
        <v>1723</v>
      </c>
      <c r="R382" s="20" t="s">
        <v>1724</v>
      </c>
      <c r="W382" s="20" t="s">
        <v>1599</v>
      </c>
      <c r="X382" s="20" t="s">
        <v>1611</v>
      </c>
      <c r="Y382" s="20" t="s">
        <v>1601</v>
      </c>
      <c r="Z382" s="20" t="s">
        <v>1602</v>
      </c>
      <c r="AG382" s="14" t="s">
        <v>55</v>
      </c>
      <c r="AH382" s="14" t="s">
        <v>1603</v>
      </c>
      <c r="AI382" s="14" t="s">
        <v>1604</v>
      </c>
    </row>
    <row r="383" spans="1:37">
      <c r="A383" s="5" t="s">
        <v>1727</v>
      </c>
      <c r="B383" s="5" t="s">
        <v>1728</v>
      </c>
      <c r="C383" s="6" t="s">
        <v>43</v>
      </c>
      <c r="D383" s="6" t="s">
        <v>1390</v>
      </c>
      <c r="E383" s="6" t="s">
        <v>1587</v>
      </c>
      <c r="F383" s="6" t="s">
        <v>46</v>
      </c>
      <c r="G383" s="6" t="s">
        <v>1729</v>
      </c>
      <c r="H383" s="7">
        <v>202.4</v>
      </c>
      <c r="I383" s="19" t="s">
        <v>1589</v>
      </c>
      <c r="J383" s="19" t="s">
        <v>1590</v>
      </c>
      <c r="K383" s="20" t="s">
        <v>1591</v>
      </c>
      <c r="L383" s="20" t="s">
        <v>1607</v>
      </c>
      <c r="M383" s="20" t="s">
        <v>1593</v>
      </c>
      <c r="N383" s="20" t="s">
        <v>1594</v>
      </c>
      <c r="O383" s="20" t="s">
        <v>1730</v>
      </c>
      <c r="P383" s="20" t="s">
        <v>1731</v>
      </c>
      <c r="Q383" s="20" t="s">
        <v>1732</v>
      </c>
      <c r="R383" s="5" t="s">
        <v>1733</v>
      </c>
      <c r="W383" s="20" t="s">
        <v>1599</v>
      </c>
      <c r="X383" s="20" t="s">
        <v>1611</v>
      </c>
      <c r="Y383" s="20" t="s">
        <v>1601</v>
      </c>
      <c r="Z383" s="20" t="s">
        <v>1602</v>
      </c>
      <c r="AG383" s="14" t="s">
        <v>55</v>
      </c>
      <c r="AH383" s="14" t="s">
        <v>1603</v>
      </c>
      <c r="AI383" s="14" t="s">
        <v>1604</v>
      </c>
    </row>
    <row r="384" spans="1:37">
      <c r="A384" s="5" t="s">
        <v>1734</v>
      </c>
      <c r="B384" s="5" t="s">
        <v>1728</v>
      </c>
      <c r="C384" s="6" t="s">
        <v>43</v>
      </c>
      <c r="D384" s="6" t="s">
        <v>1390</v>
      </c>
      <c r="E384" s="6" t="s">
        <v>1540</v>
      </c>
      <c r="F384" s="6" t="s">
        <v>46</v>
      </c>
      <c r="G384" s="6" t="s">
        <v>1735</v>
      </c>
      <c r="H384" s="7">
        <v>202.4</v>
      </c>
      <c r="I384" s="19" t="s">
        <v>1589</v>
      </c>
      <c r="J384" s="19" t="s">
        <v>1590</v>
      </c>
      <c r="K384" s="20" t="s">
        <v>1591</v>
      </c>
      <c r="L384" s="20" t="s">
        <v>1607</v>
      </c>
      <c r="M384" s="20" t="s">
        <v>1593</v>
      </c>
      <c r="N384" s="20" t="s">
        <v>1594</v>
      </c>
      <c r="O384" s="20" t="s">
        <v>1730</v>
      </c>
      <c r="P384" s="20" t="s">
        <v>1731</v>
      </c>
      <c r="Q384" s="20" t="s">
        <v>1732</v>
      </c>
      <c r="R384" s="5" t="s">
        <v>1733</v>
      </c>
      <c r="W384" s="20" t="s">
        <v>1599</v>
      </c>
      <c r="X384" s="20" t="s">
        <v>1611</v>
      </c>
      <c r="Y384" s="20" t="s">
        <v>1601</v>
      </c>
      <c r="Z384" s="20" t="s">
        <v>1602</v>
      </c>
      <c r="AG384" s="14" t="s">
        <v>55</v>
      </c>
      <c r="AH384" s="14" t="s">
        <v>1603</v>
      </c>
      <c r="AI384" s="14" t="s">
        <v>1604</v>
      </c>
    </row>
    <row r="385" spans="1:37">
      <c r="A385" s="5" t="s">
        <v>1736</v>
      </c>
      <c r="B385" s="5" t="s">
        <v>1737</v>
      </c>
      <c r="C385" s="6" t="s">
        <v>1738</v>
      </c>
      <c r="D385" s="6" t="s">
        <v>1390</v>
      </c>
      <c r="E385" s="6" t="s">
        <v>1587</v>
      </c>
      <c r="F385" s="6" t="s">
        <v>46</v>
      </c>
      <c r="G385" s="6" t="s">
        <v>1739</v>
      </c>
      <c r="H385" s="7">
        <v>157.08000000000001</v>
      </c>
      <c r="I385" s="19" t="s">
        <v>1589</v>
      </c>
      <c r="J385" s="19" t="s">
        <v>1590</v>
      </c>
      <c r="K385" s="20" t="s">
        <v>1618</v>
      </c>
      <c r="L385" s="20" t="s">
        <v>1619</v>
      </c>
      <c r="M385" s="20" t="s">
        <v>1620</v>
      </c>
      <c r="N385" s="20" t="s">
        <v>1621</v>
      </c>
      <c r="O385" s="20" t="s">
        <v>1740</v>
      </c>
      <c r="P385" s="20" t="s">
        <v>1741</v>
      </c>
      <c r="Q385" s="20" t="s">
        <v>1742</v>
      </c>
      <c r="R385" s="5" t="s">
        <v>1743</v>
      </c>
      <c r="W385" s="20" t="s">
        <v>1599</v>
      </c>
      <c r="X385" s="20" t="s">
        <v>1611</v>
      </c>
      <c r="Y385" s="20" t="s">
        <v>1601</v>
      </c>
      <c r="Z385" s="20" t="s">
        <v>1602</v>
      </c>
      <c r="AG385" s="14" t="s">
        <v>55</v>
      </c>
      <c r="AH385" s="14" t="s">
        <v>1603</v>
      </c>
      <c r="AI385" s="14" t="s">
        <v>1604</v>
      </c>
    </row>
    <row r="386" spans="1:37">
      <c r="A386" s="5" t="s">
        <v>1744</v>
      </c>
      <c r="B386" s="5" t="s">
        <v>1737</v>
      </c>
      <c r="C386" s="6" t="s">
        <v>1738</v>
      </c>
      <c r="D386" s="6" t="s">
        <v>1390</v>
      </c>
      <c r="E386" s="6" t="s">
        <v>1540</v>
      </c>
      <c r="F386" s="6" t="s">
        <v>46</v>
      </c>
      <c r="G386" s="6" t="s">
        <v>1745</v>
      </c>
      <c r="H386" s="7">
        <v>157.08000000000001</v>
      </c>
      <c r="I386" s="19" t="s">
        <v>1589</v>
      </c>
      <c r="J386" s="19" t="s">
        <v>1590</v>
      </c>
      <c r="K386" s="20" t="s">
        <v>1618</v>
      </c>
      <c r="L386" s="20" t="s">
        <v>1619</v>
      </c>
      <c r="M386" s="20" t="s">
        <v>1620</v>
      </c>
      <c r="N386" s="20" t="s">
        <v>1621</v>
      </c>
      <c r="O386" s="20" t="s">
        <v>1740</v>
      </c>
      <c r="P386" s="20" t="s">
        <v>1741</v>
      </c>
      <c r="Q386" s="20" t="s">
        <v>1742</v>
      </c>
      <c r="R386" s="5" t="s">
        <v>1743</v>
      </c>
      <c r="W386" s="20" t="s">
        <v>1599</v>
      </c>
      <c r="X386" s="20" t="s">
        <v>1611</v>
      </c>
      <c r="Y386" s="20" t="s">
        <v>1601</v>
      </c>
      <c r="Z386" s="20" t="s">
        <v>1602</v>
      </c>
      <c r="AG386" s="14" t="s">
        <v>55</v>
      </c>
      <c r="AH386" s="14" t="s">
        <v>1603</v>
      </c>
      <c r="AI386" s="14" t="s">
        <v>1604</v>
      </c>
    </row>
    <row r="387" spans="1:37">
      <c r="A387" s="5" t="s">
        <v>1746</v>
      </c>
      <c r="B387" s="5" t="s">
        <v>1747</v>
      </c>
      <c r="C387" s="6" t="s">
        <v>43</v>
      </c>
      <c r="D387" s="6" t="s">
        <v>1390</v>
      </c>
      <c r="E387" s="6" t="s">
        <v>1587</v>
      </c>
      <c r="F387" s="6" t="s">
        <v>46</v>
      </c>
      <c r="G387" s="6" t="s">
        <v>1748</v>
      </c>
      <c r="H387" s="7">
        <v>180.75</v>
      </c>
      <c r="I387" s="19" t="s">
        <v>1589</v>
      </c>
      <c r="J387" s="19" t="s">
        <v>1590</v>
      </c>
      <c r="K387" s="20" t="s">
        <v>1631</v>
      </c>
      <c r="L387" s="5" t="s">
        <v>1632</v>
      </c>
      <c r="M387" s="20" t="s">
        <v>1633</v>
      </c>
      <c r="N387" s="5" t="s">
        <v>1634</v>
      </c>
      <c r="O387" s="20" t="s">
        <v>1749</v>
      </c>
      <c r="P387" s="20" t="s">
        <v>1750</v>
      </c>
      <c r="Q387" s="20" t="s">
        <v>1751</v>
      </c>
      <c r="R387" s="20" t="s">
        <v>1752</v>
      </c>
      <c r="W387" s="20" t="s">
        <v>1599</v>
      </c>
      <c r="X387" s="20" t="s">
        <v>1611</v>
      </c>
      <c r="Y387" s="20" t="s">
        <v>1601</v>
      </c>
      <c r="Z387" s="20" t="s">
        <v>1602</v>
      </c>
      <c r="AG387" s="14" t="s">
        <v>55</v>
      </c>
      <c r="AH387" s="14" t="s">
        <v>1603</v>
      </c>
      <c r="AI387" s="14" t="s">
        <v>1604</v>
      </c>
    </row>
    <row r="388" spans="1:37">
      <c r="A388" s="5" t="s">
        <v>1753</v>
      </c>
      <c r="B388" s="5" t="s">
        <v>1747</v>
      </c>
      <c r="C388" s="6" t="s">
        <v>43</v>
      </c>
      <c r="D388" s="6" t="s">
        <v>1390</v>
      </c>
      <c r="E388" s="6" t="s">
        <v>1540</v>
      </c>
      <c r="F388" s="6" t="s">
        <v>46</v>
      </c>
      <c r="G388" s="6" t="s">
        <v>1754</v>
      </c>
      <c r="H388" s="7">
        <v>180.75</v>
      </c>
      <c r="I388" s="19" t="s">
        <v>1589</v>
      </c>
      <c r="J388" s="19" t="s">
        <v>1590</v>
      </c>
      <c r="K388" s="20" t="s">
        <v>1631</v>
      </c>
      <c r="L388" s="5" t="s">
        <v>1632</v>
      </c>
      <c r="M388" s="20" t="s">
        <v>1633</v>
      </c>
      <c r="N388" s="5" t="s">
        <v>1634</v>
      </c>
      <c r="O388" s="20" t="s">
        <v>1749</v>
      </c>
      <c r="P388" s="20" t="s">
        <v>1750</v>
      </c>
      <c r="Q388" s="20" t="s">
        <v>1751</v>
      </c>
      <c r="R388" s="20" t="s">
        <v>1752</v>
      </c>
      <c r="W388" s="20" t="s">
        <v>1599</v>
      </c>
      <c r="X388" s="20" t="s">
        <v>1611</v>
      </c>
      <c r="Y388" s="20" t="s">
        <v>1601</v>
      </c>
      <c r="Z388" s="20" t="s">
        <v>1602</v>
      </c>
      <c r="AG388" s="14" t="s">
        <v>55</v>
      </c>
      <c r="AH388" s="14" t="s">
        <v>1603</v>
      </c>
      <c r="AI388" s="14" t="s">
        <v>1604</v>
      </c>
    </row>
    <row r="389" spans="1:37">
      <c r="A389" s="6" t="s">
        <v>1755</v>
      </c>
      <c r="B389" s="6" t="s">
        <v>1756</v>
      </c>
      <c r="C389" s="6" t="s">
        <v>43</v>
      </c>
      <c r="D389" s="6" t="s">
        <v>1390</v>
      </c>
      <c r="E389" s="6" t="s">
        <v>1540</v>
      </c>
      <c r="F389" s="6" t="s">
        <v>46</v>
      </c>
      <c r="G389" s="6" t="s">
        <v>1757</v>
      </c>
      <c r="I389" s="5" t="s">
        <v>48</v>
      </c>
      <c r="J389" s="5" t="s">
        <v>48</v>
      </c>
      <c r="K389" s="6"/>
      <c r="L389" s="6"/>
      <c r="M389" s="6"/>
      <c r="N389" s="6"/>
      <c r="O389" s="6"/>
      <c r="P389" s="6"/>
      <c r="Q389" s="6"/>
      <c r="R389" s="6"/>
      <c r="S389" s="6"/>
      <c r="T389" s="6"/>
      <c r="U389" s="6"/>
      <c r="V389" s="6"/>
      <c r="W389" s="6"/>
      <c r="X389" s="6"/>
      <c r="Y389" s="6"/>
      <c r="Z389" s="6"/>
      <c r="AA389" s="6"/>
      <c r="AB389" s="6"/>
      <c r="AC389" s="6"/>
      <c r="AD389" s="6"/>
      <c r="AE389" s="6"/>
      <c r="AF389" s="6"/>
      <c r="AG389" s="15" t="s">
        <v>55</v>
      </c>
      <c r="AH389" s="15"/>
      <c r="AI389" s="15"/>
      <c r="AJ389" s="6"/>
      <c r="AK389" s="6"/>
    </row>
    <row r="390" spans="1:37" s="6" customFormat="1">
      <c r="A390" s="6" t="s">
        <v>1758</v>
      </c>
      <c r="B390" s="6" t="s">
        <v>1759</v>
      </c>
      <c r="C390" s="6" t="s">
        <v>1652</v>
      </c>
      <c r="D390" s="6" t="s">
        <v>1645</v>
      </c>
      <c r="E390" s="6" t="s">
        <v>1653</v>
      </c>
      <c r="F390" s="6" t="s">
        <v>46</v>
      </c>
      <c r="G390" s="6" t="s">
        <v>1760</v>
      </c>
      <c r="H390" s="7"/>
      <c r="I390" s="5" t="s">
        <v>48</v>
      </c>
      <c r="J390" s="5" t="s">
        <v>48</v>
      </c>
      <c r="AG390" s="15" t="s">
        <v>55</v>
      </c>
      <c r="AH390" s="15"/>
      <c r="AI390" s="15"/>
    </row>
    <row r="391" spans="1:37" s="6" customFormat="1">
      <c r="A391" s="6" t="s">
        <v>1761</v>
      </c>
      <c r="B391" s="6" t="s">
        <v>1762</v>
      </c>
      <c r="C391" s="6" t="s">
        <v>1652</v>
      </c>
      <c r="D391" s="6" t="s">
        <v>1645</v>
      </c>
      <c r="E391" s="6" t="s">
        <v>1653</v>
      </c>
      <c r="F391" s="6" t="s">
        <v>46</v>
      </c>
      <c r="G391" s="6" t="s">
        <v>1763</v>
      </c>
      <c r="H391" s="7"/>
      <c r="I391" s="5" t="s">
        <v>48</v>
      </c>
      <c r="J391" s="5" t="s">
        <v>48</v>
      </c>
      <c r="AG391" s="15" t="s">
        <v>55</v>
      </c>
      <c r="AH391" s="15"/>
      <c r="AI391" s="15"/>
    </row>
    <row r="392" spans="1:37" s="6" customFormat="1">
      <c r="A392" s="6" t="s">
        <v>1764</v>
      </c>
      <c r="B392" s="6" t="s">
        <v>1765</v>
      </c>
      <c r="C392" s="6" t="s">
        <v>1652</v>
      </c>
      <c r="D392" s="6" t="s">
        <v>1645</v>
      </c>
      <c r="E392" s="6" t="s">
        <v>1653</v>
      </c>
      <c r="F392" s="6" t="s">
        <v>46</v>
      </c>
      <c r="G392" s="6" t="s">
        <v>1766</v>
      </c>
      <c r="H392" s="7"/>
      <c r="I392" s="5" t="s">
        <v>48</v>
      </c>
      <c r="J392" s="5" t="s">
        <v>48</v>
      </c>
      <c r="AG392" s="15" t="s">
        <v>55</v>
      </c>
      <c r="AH392" s="15"/>
      <c r="AI392" s="15"/>
    </row>
    <row r="393" spans="1:37" s="6" customFormat="1">
      <c r="A393" s="5" t="s">
        <v>1767</v>
      </c>
      <c r="B393" s="5" t="s">
        <v>1768</v>
      </c>
      <c r="C393" s="6" t="s">
        <v>43</v>
      </c>
      <c r="D393" s="6" t="s">
        <v>1390</v>
      </c>
      <c r="E393" s="6" t="s">
        <v>1587</v>
      </c>
      <c r="F393" s="6" t="s">
        <v>46</v>
      </c>
      <c r="G393" s="6" t="s">
        <v>1769</v>
      </c>
      <c r="H393" s="7">
        <v>63.81</v>
      </c>
      <c r="I393" s="19" t="s">
        <v>1589</v>
      </c>
      <c r="J393" s="19" t="s">
        <v>1590</v>
      </c>
      <c r="K393" s="20" t="s">
        <v>1618</v>
      </c>
      <c r="L393" s="20" t="s">
        <v>1619</v>
      </c>
      <c r="M393" s="20" t="s">
        <v>1620</v>
      </c>
      <c r="N393" s="20" t="s">
        <v>1621</v>
      </c>
      <c r="O393" s="20" t="s">
        <v>1770</v>
      </c>
      <c r="P393" s="20" t="s">
        <v>1771</v>
      </c>
      <c r="Q393" s="20" t="s">
        <v>1772</v>
      </c>
      <c r="R393" s="5" t="s">
        <v>1773</v>
      </c>
      <c r="S393" s="5"/>
      <c r="T393" s="5"/>
      <c r="U393" s="5"/>
      <c r="V393" s="5"/>
      <c r="W393" s="20" t="s">
        <v>1599</v>
      </c>
      <c r="X393" s="20" t="s">
        <v>1611</v>
      </c>
      <c r="Y393" s="20" t="s">
        <v>1601</v>
      </c>
      <c r="Z393" s="20" t="s">
        <v>1602</v>
      </c>
      <c r="AA393" s="5"/>
      <c r="AB393" s="5"/>
      <c r="AC393" s="5"/>
      <c r="AD393" s="5"/>
      <c r="AE393" s="5"/>
      <c r="AF393" s="5"/>
      <c r="AG393" s="14" t="s">
        <v>55</v>
      </c>
      <c r="AH393" s="14" t="s">
        <v>1603</v>
      </c>
      <c r="AI393" s="14" t="s">
        <v>1604</v>
      </c>
      <c r="AJ393" s="5"/>
      <c r="AK393" s="5"/>
    </row>
    <row r="394" spans="1:37">
      <c r="A394" s="5" t="s">
        <v>1774</v>
      </c>
      <c r="B394" s="5" t="s">
        <v>1768</v>
      </c>
      <c r="C394" s="6" t="s">
        <v>43</v>
      </c>
      <c r="D394" s="6" t="s">
        <v>1390</v>
      </c>
      <c r="E394" s="6" t="s">
        <v>1540</v>
      </c>
      <c r="F394" s="6" t="s">
        <v>46</v>
      </c>
      <c r="G394" s="6" t="s">
        <v>1775</v>
      </c>
      <c r="H394" s="7">
        <v>63.81</v>
      </c>
      <c r="I394" s="19" t="s">
        <v>1589</v>
      </c>
      <c r="J394" s="19" t="s">
        <v>1590</v>
      </c>
      <c r="K394" s="20" t="s">
        <v>1618</v>
      </c>
      <c r="L394" s="20" t="s">
        <v>1619</v>
      </c>
      <c r="M394" s="20" t="s">
        <v>1620</v>
      </c>
      <c r="N394" s="20" t="s">
        <v>1621</v>
      </c>
      <c r="O394" s="20" t="s">
        <v>1770</v>
      </c>
      <c r="P394" s="20" t="s">
        <v>1771</v>
      </c>
      <c r="Q394" s="20" t="s">
        <v>1776</v>
      </c>
      <c r="R394" s="5" t="s">
        <v>1773</v>
      </c>
      <c r="W394" s="20" t="s">
        <v>1599</v>
      </c>
      <c r="X394" s="20" t="s">
        <v>1611</v>
      </c>
      <c r="Y394" s="20" t="s">
        <v>1601</v>
      </c>
      <c r="Z394" s="20" t="s">
        <v>1602</v>
      </c>
      <c r="AG394" s="14" t="s">
        <v>55</v>
      </c>
      <c r="AH394" s="14" t="s">
        <v>1603</v>
      </c>
      <c r="AI394" s="14" t="s">
        <v>1604</v>
      </c>
    </row>
    <row r="395" spans="1:37">
      <c r="A395" s="6" t="s">
        <v>1777</v>
      </c>
      <c r="B395" s="6" t="s">
        <v>1778</v>
      </c>
      <c r="C395" s="6" t="s">
        <v>1652</v>
      </c>
      <c r="D395" s="6" t="s">
        <v>1645</v>
      </c>
      <c r="E395" s="6" t="s">
        <v>1671</v>
      </c>
      <c r="F395" s="6" t="s">
        <v>46</v>
      </c>
      <c r="G395" s="6" t="s">
        <v>1779</v>
      </c>
      <c r="I395" s="5" t="s">
        <v>48</v>
      </c>
      <c r="J395" s="5" t="s">
        <v>48</v>
      </c>
      <c r="K395" s="6"/>
      <c r="L395" s="6"/>
      <c r="M395" s="6"/>
      <c r="N395" s="6"/>
      <c r="O395" s="6"/>
      <c r="P395" s="6"/>
      <c r="Q395" s="6"/>
      <c r="R395" s="6"/>
      <c r="S395" s="6"/>
      <c r="T395" s="6"/>
      <c r="U395" s="6"/>
      <c r="V395" s="6"/>
      <c r="W395" s="6"/>
      <c r="X395" s="6"/>
      <c r="Y395" s="6"/>
      <c r="Z395" s="6"/>
      <c r="AA395" s="6"/>
      <c r="AB395" s="6"/>
      <c r="AC395" s="6"/>
      <c r="AD395" s="6"/>
      <c r="AE395" s="6"/>
      <c r="AF395" s="6"/>
      <c r="AG395" s="15" t="s">
        <v>55</v>
      </c>
      <c r="AH395" s="15"/>
      <c r="AI395" s="15"/>
      <c r="AJ395" s="6"/>
      <c r="AK395" s="6"/>
    </row>
    <row r="396" spans="1:37" s="6" customFormat="1">
      <c r="A396" s="6" t="s">
        <v>1780</v>
      </c>
      <c r="B396" s="6" t="s">
        <v>1781</v>
      </c>
      <c r="C396" s="6" t="s">
        <v>1652</v>
      </c>
      <c r="D396" s="6" t="s">
        <v>1645</v>
      </c>
      <c r="E396" s="6" t="s">
        <v>1653</v>
      </c>
      <c r="F396" s="6" t="s">
        <v>46</v>
      </c>
      <c r="G396" s="6" t="s">
        <v>1782</v>
      </c>
      <c r="H396" s="7"/>
      <c r="I396" s="5" t="s">
        <v>48</v>
      </c>
      <c r="J396" s="5" t="s">
        <v>48</v>
      </c>
      <c r="AG396" s="15" t="s">
        <v>55</v>
      </c>
      <c r="AH396" s="15"/>
      <c r="AI396" s="15"/>
    </row>
    <row r="397" spans="1:37" s="6" customFormat="1">
      <c r="A397" s="5" t="s">
        <v>1783</v>
      </c>
      <c r="B397" s="5" t="s">
        <v>1784</v>
      </c>
      <c r="C397" s="6" t="s">
        <v>43</v>
      </c>
      <c r="D397" s="6" t="s">
        <v>1390</v>
      </c>
      <c r="E397" s="6" t="s">
        <v>1587</v>
      </c>
      <c r="F397" s="6" t="s">
        <v>46</v>
      </c>
      <c r="G397" s="6" t="s">
        <v>1785</v>
      </c>
      <c r="H397" s="7">
        <v>101.2</v>
      </c>
      <c r="I397" s="19" t="s">
        <v>1589</v>
      </c>
      <c r="J397" s="19" t="s">
        <v>1590</v>
      </c>
      <c r="K397" s="20" t="s">
        <v>1591</v>
      </c>
      <c r="L397" s="20" t="s">
        <v>1607</v>
      </c>
      <c r="M397" s="20" t="s">
        <v>1593</v>
      </c>
      <c r="N397" s="20" t="s">
        <v>1594</v>
      </c>
      <c r="O397" s="20" t="s">
        <v>1786</v>
      </c>
      <c r="P397" s="20" t="s">
        <v>1787</v>
      </c>
      <c r="Q397" s="20" t="s">
        <v>1788</v>
      </c>
      <c r="R397" s="5" t="s">
        <v>1789</v>
      </c>
      <c r="S397" s="5"/>
      <c r="T397" s="5"/>
      <c r="U397" s="5"/>
      <c r="V397" s="5"/>
      <c r="W397" s="20" t="s">
        <v>1599</v>
      </c>
      <c r="X397" s="20" t="s">
        <v>1611</v>
      </c>
      <c r="Y397" s="20" t="s">
        <v>1601</v>
      </c>
      <c r="Z397" s="20" t="s">
        <v>1602</v>
      </c>
      <c r="AA397" s="5"/>
      <c r="AB397" s="5"/>
      <c r="AC397" s="5"/>
      <c r="AD397" s="5"/>
      <c r="AE397" s="5"/>
      <c r="AF397" s="5"/>
      <c r="AG397" s="14" t="s">
        <v>55</v>
      </c>
      <c r="AH397" s="14" t="s">
        <v>1603</v>
      </c>
      <c r="AI397" s="14" t="s">
        <v>1604</v>
      </c>
      <c r="AJ397" s="5"/>
      <c r="AK397" s="5"/>
    </row>
    <row r="398" spans="1:37">
      <c r="A398" s="5" t="s">
        <v>1790</v>
      </c>
      <c r="B398" s="5" t="s">
        <v>1784</v>
      </c>
      <c r="C398" s="6" t="s">
        <v>43</v>
      </c>
      <c r="D398" s="6" t="s">
        <v>1390</v>
      </c>
      <c r="E398" s="6" t="s">
        <v>1540</v>
      </c>
      <c r="F398" s="6" t="s">
        <v>46</v>
      </c>
      <c r="G398" s="6" t="s">
        <v>1791</v>
      </c>
      <c r="H398" s="7">
        <v>101.2</v>
      </c>
      <c r="I398" s="19" t="s">
        <v>1589</v>
      </c>
      <c r="J398" s="19" t="s">
        <v>1590</v>
      </c>
      <c r="K398" s="20" t="s">
        <v>1591</v>
      </c>
      <c r="L398" s="20" t="s">
        <v>1607</v>
      </c>
      <c r="M398" s="20" t="s">
        <v>1593</v>
      </c>
      <c r="N398" s="20" t="s">
        <v>1594</v>
      </c>
      <c r="O398" s="20" t="s">
        <v>1792</v>
      </c>
      <c r="P398" s="20" t="s">
        <v>1793</v>
      </c>
      <c r="Q398" s="20" t="s">
        <v>1794</v>
      </c>
      <c r="R398" s="5" t="s">
        <v>1789</v>
      </c>
      <c r="W398" s="20" t="s">
        <v>1599</v>
      </c>
      <c r="X398" s="20" t="s">
        <v>1611</v>
      </c>
      <c r="Y398" s="20" t="s">
        <v>1601</v>
      </c>
      <c r="Z398" s="20" t="s">
        <v>1602</v>
      </c>
      <c r="AG398" s="14" t="s">
        <v>55</v>
      </c>
      <c r="AH398" s="14" t="s">
        <v>1603</v>
      </c>
      <c r="AI398" s="14" t="s">
        <v>1604</v>
      </c>
    </row>
    <row r="399" spans="1:37">
      <c r="A399" s="5" t="s">
        <v>1795</v>
      </c>
      <c r="B399" s="5" t="s">
        <v>1784</v>
      </c>
      <c r="C399" s="6" t="s">
        <v>43</v>
      </c>
      <c r="D399" s="6" t="s">
        <v>1390</v>
      </c>
      <c r="E399" s="6" t="s">
        <v>1540</v>
      </c>
      <c r="F399" s="6" t="s">
        <v>46</v>
      </c>
      <c r="G399" s="6" t="s">
        <v>1796</v>
      </c>
      <c r="H399" s="7">
        <v>101.2</v>
      </c>
      <c r="I399" s="19" t="s">
        <v>1589</v>
      </c>
      <c r="J399" s="19" t="s">
        <v>1590</v>
      </c>
      <c r="K399" s="20" t="s">
        <v>1591</v>
      </c>
      <c r="L399" s="20" t="s">
        <v>1607</v>
      </c>
      <c r="M399" s="20" t="s">
        <v>1593</v>
      </c>
      <c r="N399" s="20" t="s">
        <v>1594</v>
      </c>
      <c r="O399" s="20" t="s">
        <v>1786</v>
      </c>
      <c r="P399" s="20" t="s">
        <v>1787</v>
      </c>
      <c r="Q399" s="20" t="s">
        <v>1788</v>
      </c>
      <c r="R399" s="5" t="s">
        <v>1789</v>
      </c>
      <c r="W399" s="20" t="s">
        <v>1599</v>
      </c>
      <c r="X399" s="20" t="s">
        <v>1611</v>
      </c>
      <c r="Y399" s="20" t="s">
        <v>1601</v>
      </c>
      <c r="Z399" s="20" t="s">
        <v>1602</v>
      </c>
      <c r="AG399" s="14" t="s">
        <v>55</v>
      </c>
      <c r="AH399" s="14" t="s">
        <v>1603</v>
      </c>
      <c r="AI399" s="14" t="s">
        <v>1604</v>
      </c>
    </row>
    <row r="400" spans="1:37">
      <c r="A400" s="5" t="s">
        <v>1797</v>
      </c>
      <c r="B400" s="5" t="s">
        <v>1798</v>
      </c>
      <c r="C400" s="6" t="s">
        <v>43</v>
      </c>
      <c r="D400" s="6" t="s">
        <v>1390</v>
      </c>
      <c r="E400" s="6" t="s">
        <v>1587</v>
      </c>
      <c r="F400" s="6" t="s">
        <v>46</v>
      </c>
      <c r="G400" s="6" t="s">
        <v>1799</v>
      </c>
      <c r="H400" s="7">
        <v>78.540000000000006</v>
      </c>
      <c r="I400" s="19" t="s">
        <v>1589</v>
      </c>
      <c r="J400" s="19" t="s">
        <v>1590</v>
      </c>
      <c r="K400" s="20" t="s">
        <v>1618</v>
      </c>
      <c r="L400" s="20" t="s">
        <v>1619</v>
      </c>
      <c r="M400" s="20" t="s">
        <v>1620</v>
      </c>
      <c r="N400" s="20" t="s">
        <v>1621</v>
      </c>
      <c r="O400" s="20" t="s">
        <v>1800</v>
      </c>
      <c r="P400" s="20" t="s">
        <v>1801</v>
      </c>
      <c r="Q400" s="20" t="s">
        <v>1802</v>
      </c>
      <c r="R400" s="5" t="s">
        <v>1803</v>
      </c>
      <c r="W400" s="20" t="s">
        <v>1599</v>
      </c>
      <c r="X400" s="20" t="s">
        <v>1611</v>
      </c>
      <c r="Y400" s="20" t="s">
        <v>1601</v>
      </c>
      <c r="Z400" s="20" t="s">
        <v>1602</v>
      </c>
      <c r="AG400" s="14" t="s">
        <v>55</v>
      </c>
      <c r="AH400" s="14" t="s">
        <v>1603</v>
      </c>
      <c r="AI400" s="14" t="s">
        <v>1604</v>
      </c>
    </row>
    <row r="401" spans="1:37">
      <c r="A401" s="5" t="s">
        <v>1804</v>
      </c>
      <c r="B401" s="5" t="s">
        <v>1798</v>
      </c>
      <c r="C401" s="6" t="s">
        <v>43</v>
      </c>
      <c r="D401" s="6" t="s">
        <v>1390</v>
      </c>
      <c r="E401" s="6" t="s">
        <v>1540</v>
      </c>
      <c r="F401" s="6" t="s">
        <v>46</v>
      </c>
      <c r="G401" s="6" t="s">
        <v>1805</v>
      </c>
      <c r="H401" s="7">
        <v>78.540000000000006</v>
      </c>
      <c r="I401" s="19" t="s">
        <v>1589</v>
      </c>
      <c r="J401" s="19" t="s">
        <v>1590</v>
      </c>
      <c r="K401" s="20" t="s">
        <v>1618</v>
      </c>
      <c r="L401" s="20" t="s">
        <v>1619</v>
      </c>
      <c r="M401" s="20" t="s">
        <v>1620</v>
      </c>
      <c r="N401" s="20" t="s">
        <v>1621</v>
      </c>
      <c r="O401" s="20" t="s">
        <v>1800</v>
      </c>
      <c r="P401" s="20" t="s">
        <v>1801</v>
      </c>
      <c r="Q401" s="20" t="s">
        <v>1802</v>
      </c>
      <c r="R401" s="5" t="s">
        <v>1803</v>
      </c>
      <c r="W401" s="20" t="s">
        <v>1599</v>
      </c>
      <c r="X401" s="20" t="s">
        <v>1611</v>
      </c>
      <c r="Y401" s="20" t="s">
        <v>1601</v>
      </c>
      <c r="Z401" s="20" t="s">
        <v>1602</v>
      </c>
      <c r="AG401" s="14" t="s">
        <v>55</v>
      </c>
      <c r="AH401" s="14" t="s">
        <v>1603</v>
      </c>
      <c r="AI401" s="14" t="s">
        <v>1604</v>
      </c>
    </row>
    <row r="402" spans="1:37">
      <c r="A402" s="5" t="s">
        <v>1806</v>
      </c>
      <c r="B402" s="5" t="s">
        <v>1807</v>
      </c>
      <c r="C402" s="6" t="s">
        <v>43</v>
      </c>
      <c r="D402" s="6" t="s">
        <v>1390</v>
      </c>
      <c r="E402" s="6" t="s">
        <v>1587</v>
      </c>
      <c r="F402" s="6" t="s">
        <v>46</v>
      </c>
      <c r="G402" s="6" t="s">
        <v>1808</v>
      </c>
      <c r="H402" s="7">
        <v>90.38</v>
      </c>
      <c r="I402" s="19" t="s">
        <v>1589</v>
      </c>
      <c r="J402" s="19" t="s">
        <v>1590</v>
      </c>
      <c r="K402" s="20" t="s">
        <v>1631</v>
      </c>
      <c r="L402" s="5" t="s">
        <v>1632</v>
      </c>
      <c r="M402" s="20" t="s">
        <v>1633</v>
      </c>
      <c r="N402" s="5" t="s">
        <v>1634</v>
      </c>
      <c r="O402" s="20" t="s">
        <v>1809</v>
      </c>
      <c r="P402" s="20" t="s">
        <v>1810</v>
      </c>
      <c r="Q402" s="20" t="s">
        <v>1811</v>
      </c>
      <c r="R402" s="20" t="s">
        <v>1812</v>
      </c>
      <c r="W402" s="20" t="s">
        <v>1599</v>
      </c>
      <c r="X402" s="20" t="s">
        <v>1611</v>
      </c>
      <c r="Y402" s="20" t="s">
        <v>1601</v>
      </c>
      <c r="Z402" s="20" t="s">
        <v>1602</v>
      </c>
      <c r="AG402" s="14" t="s">
        <v>55</v>
      </c>
      <c r="AH402" s="14" t="s">
        <v>1603</v>
      </c>
      <c r="AI402" s="14" t="s">
        <v>1604</v>
      </c>
    </row>
    <row r="403" spans="1:37">
      <c r="A403" s="5" t="s">
        <v>1813</v>
      </c>
      <c r="B403" s="5" t="s">
        <v>1807</v>
      </c>
      <c r="C403" s="6" t="s">
        <v>43</v>
      </c>
      <c r="D403" s="6" t="s">
        <v>1390</v>
      </c>
      <c r="E403" s="6" t="s">
        <v>1540</v>
      </c>
      <c r="F403" s="6" t="s">
        <v>46</v>
      </c>
      <c r="G403" s="6" t="s">
        <v>1814</v>
      </c>
      <c r="H403" s="7">
        <v>90.38</v>
      </c>
      <c r="I403" s="19" t="s">
        <v>1589</v>
      </c>
      <c r="J403" s="19" t="s">
        <v>1590</v>
      </c>
      <c r="K403" s="20" t="s">
        <v>1631</v>
      </c>
      <c r="L403" s="5" t="s">
        <v>1632</v>
      </c>
      <c r="M403" s="20" t="s">
        <v>1633</v>
      </c>
      <c r="N403" s="5" t="s">
        <v>1634</v>
      </c>
      <c r="O403" s="20" t="s">
        <v>1809</v>
      </c>
      <c r="P403" s="20" t="s">
        <v>1810</v>
      </c>
      <c r="Q403" s="20" t="s">
        <v>1811</v>
      </c>
      <c r="R403" s="20" t="s">
        <v>1812</v>
      </c>
      <c r="W403" s="20" t="s">
        <v>1599</v>
      </c>
      <c r="X403" s="20" t="s">
        <v>1611</v>
      </c>
      <c r="Y403" s="20" t="s">
        <v>1601</v>
      </c>
      <c r="Z403" s="20" t="s">
        <v>1602</v>
      </c>
      <c r="AG403" s="14" t="s">
        <v>55</v>
      </c>
      <c r="AH403" s="14" t="s">
        <v>1603</v>
      </c>
      <c r="AI403" s="14" t="s">
        <v>1604</v>
      </c>
    </row>
    <row r="404" spans="1:37">
      <c r="A404" s="6" t="s">
        <v>1815</v>
      </c>
      <c r="B404" s="6" t="s">
        <v>1816</v>
      </c>
      <c r="C404" s="6" t="s">
        <v>43</v>
      </c>
      <c r="D404" s="6" t="s">
        <v>52</v>
      </c>
      <c r="E404" s="6" t="s">
        <v>1817</v>
      </c>
      <c r="F404" s="6" t="s">
        <v>46</v>
      </c>
      <c r="G404" s="6" t="s">
        <v>1818</v>
      </c>
      <c r="I404" s="5" t="s">
        <v>48</v>
      </c>
      <c r="J404" s="5" t="s">
        <v>48</v>
      </c>
      <c r="K404" s="6"/>
      <c r="L404" s="6"/>
      <c r="M404" s="6"/>
      <c r="N404" s="6"/>
      <c r="O404" s="6"/>
      <c r="P404" s="6"/>
      <c r="Q404" s="6"/>
      <c r="R404" s="6"/>
      <c r="S404" s="6"/>
      <c r="T404" s="6"/>
      <c r="U404" s="6"/>
      <c r="V404" s="6"/>
      <c r="W404" s="6"/>
      <c r="X404" s="6"/>
      <c r="Y404" s="6"/>
      <c r="Z404" s="6"/>
      <c r="AA404" s="6"/>
      <c r="AB404" s="6"/>
      <c r="AC404" s="6"/>
      <c r="AD404" s="6"/>
      <c r="AE404" s="6"/>
      <c r="AF404" s="6"/>
      <c r="AG404" s="15" t="s">
        <v>55</v>
      </c>
      <c r="AH404" s="15"/>
      <c r="AI404" s="15"/>
      <c r="AJ404" s="6"/>
      <c r="AK404" s="6"/>
    </row>
    <row r="405" spans="1:37" s="6" customFormat="1">
      <c r="A405" s="6" t="s">
        <v>1819</v>
      </c>
      <c r="B405" s="6" t="s">
        <v>1820</v>
      </c>
      <c r="C405" s="6" t="s">
        <v>43</v>
      </c>
      <c r="D405" s="6" t="s">
        <v>52</v>
      </c>
      <c r="E405" s="6" t="s">
        <v>1817</v>
      </c>
      <c r="F405" s="6" t="s">
        <v>46</v>
      </c>
      <c r="G405" s="6" t="s">
        <v>1821</v>
      </c>
      <c r="H405" s="7"/>
      <c r="I405" s="5" t="s">
        <v>48</v>
      </c>
      <c r="J405" s="5" t="s">
        <v>48</v>
      </c>
      <c r="AG405" s="15" t="s">
        <v>55</v>
      </c>
      <c r="AH405" s="15"/>
      <c r="AI405" s="15"/>
    </row>
    <row r="406" spans="1:37" s="6" customFormat="1">
      <c r="A406" s="5" t="s">
        <v>1822</v>
      </c>
      <c r="B406" s="5" t="s">
        <v>1823</v>
      </c>
      <c r="C406" s="6" t="s">
        <v>43</v>
      </c>
      <c r="D406" s="6" t="s">
        <v>52</v>
      </c>
      <c r="E406" s="6" t="s">
        <v>1824</v>
      </c>
      <c r="F406" s="6" t="s">
        <v>46</v>
      </c>
      <c r="G406" s="6" t="s">
        <v>1825</v>
      </c>
      <c r="H406" s="18">
        <v>6.5</v>
      </c>
      <c r="I406" s="19" t="s">
        <v>63</v>
      </c>
      <c r="J406" s="19" t="s">
        <v>1826</v>
      </c>
      <c r="K406" s="5" t="s">
        <v>1827</v>
      </c>
      <c r="L406" s="5" t="s">
        <v>1828</v>
      </c>
      <c r="M406" s="5" t="s">
        <v>1829</v>
      </c>
      <c r="N406" s="5" t="s">
        <v>1830</v>
      </c>
      <c r="O406" s="5" t="s">
        <v>1831</v>
      </c>
      <c r="P406" s="5" t="s">
        <v>1832</v>
      </c>
      <c r="Q406" s="5" t="s">
        <v>1833</v>
      </c>
      <c r="R406" s="25" t="s">
        <v>1834</v>
      </c>
      <c r="S406" s="5"/>
      <c r="T406" s="5"/>
      <c r="U406" s="5"/>
      <c r="V406" s="5"/>
      <c r="W406" s="5"/>
      <c r="X406" s="5"/>
      <c r="Y406" s="5"/>
      <c r="Z406" s="5"/>
      <c r="AA406" s="5"/>
      <c r="AB406" s="5"/>
      <c r="AC406" s="5"/>
      <c r="AD406" s="5"/>
      <c r="AE406" s="5" t="s">
        <v>1835</v>
      </c>
      <c r="AF406" s="5"/>
      <c r="AG406" s="14" t="s">
        <v>55</v>
      </c>
      <c r="AH406" s="14" t="s">
        <v>87</v>
      </c>
      <c r="AI406" s="14" t="s">
        <v>1836</v>
      </c>
      <c r="AJ406" s="5" t="s">
        <v>1837</v>
      </c>
      <c r="AK406" s="5"/>
    </row>
    <row r="407" spans="1:37">
      <c r="A407" s="5" t="s">
        <v>1838</v>
      </c>
      <c r="B407" s="5" t="s">
        <v>1839</v>
      </c>
      <c r="C407" s="6" t="s">
        <v>43</v>
      </c>
      <c r="D407" s="6" t="s">
        <v>52</v>
      </c>
      <c r="E407" s="6" t="s">
        <v>1824</v>
      </c>
      <c r="F407" s="6" t="s">
        <v>46</v>
      </c>
      <c r="G407" s="6" t="s">
        <v>1825</v>
      </c>
      <c r="H407" s="18">
        <v>6.5</v>
      </c>
      <c r="I407" s="19" t="s">
        <v>63</v>
      </c>
      <c r="J407" s="19" t="s">
        <v>1826</v>
      </c>
      <c r="K407" s="5" t="s">
        <v>1840</v>
      </c>
      <c r="L407" s="5" t="s">
        <v>1841</v>
      </c>
      <c r="M407" s="5" t="s">
        <v>1842</v>
      </c>
      <c r="N407" s="5" t="s">
        <v>1843</v>
      </c>
      <c r="O407" s="5" t="s">
        <v>1844</v>
      </c>
      <c r="P407" s="5" t="s">
        <v>1845</v>
      </c>
      <c r="Q407" s="5" t="s">
        <v>1846</v>
      </c>
      <c r="R407" s="25" t="s">
        <v>1847</v>
      </c>
      <c r="AE407" s="5" t="s">
        <v>1848</v>
      </c>
      <c r="AG407" s="14" t="s">
        <v>55</v>
      </c>
      <c r="AH407" s="14" t="s">
        <v>87</v>
      </c>
      <c r="AI407" s="14" t="s">
        <v>1836</v>
      </c>
      <c r="AJ407" s="5" t="s">
        <v>1837</v>
      </c>
    </row>
    <row r="408" spans="1:37">
      <c r="A408" s="5" t="s">
        <v>1849</v>
      </c>
      <c r="B408" s="5" t="s">
        <v>1850</v>
      </c>
      <c r="C408" s="6" t="s">
        <v>43</v>
      </c>
      <c r="D408" s="6" t="s">
        <v>52</v>
      </c>
      <c r="E408" s="6" t="s">
        <v>1824</v>
      </c>
      <c r="F408" s="6" t="s">
        <v>46</v>
      </c>
      <c r="G408" s="6" t="s">
        <v>1825</v>
      </c>
      <c r="H408" s="18">
        <v>6.5</v>
      </c>
      <c r="I408" s="19" t="s">
        <v>63</v>
      </c>
      <c r="J408" s="19" t="s">
        <v>1826</v>
      </c>
      <c r="K408" s="5" t="s">
        <v>1851</v>
      </c>
      <c r="L408" s="5" t="s">
        <v>1852</v>
      </c>
      <c r="M408" s="5" t="s">
        <v>1853</v>
      </c>
      <c r="N408" s="5" t="s">
        <v>1854</v>
      </c>
      <c r="O408" s="5" t="s">
        <v>1855</v>
      </c>
      <c r="P408" s="5" t="s">
        <v>1856</v>
      </c>
      <c r="Q408" s="5" t="s">
        <v>1857</v>
      </c>
      <c r="R408" s="25" t="s">
        <v>1858</v>
      </c>
      <c r="AE408" s="5" t="s">
        <v>1835</v>
      </c>
      <c r="AG408" s="14" t="s">
        <v>55</v>
      </c>
      <c r="AH408" s="14" t="s">
        <v>87</v>
      </c>
      <c r="AI408" s="14" t="s">
        <v>1836</v>
      </c>
      <c r="AJ408" s="5" t="s">
        <v>1837</v>
      </c>
    </row>
    <row r="409" spans="1:37">
      <c r="A409" s="5" t="s">
        <v>1859</v>
      </c>
      <c r="B409" s="5" t="s">
        <v>1860</v>
      </c>
      <c r="C409" s="6" t="s">
        <v>43</v>
      </c>
      <c r="D409" s="6" t="s">
        <v>52</v>
      </c>
      <c r="E409" s="6" t="s">
        <v>1824</v>
      </c>
      <c r="F409" s="6" t="s">
        <v>46</v>
      </c>
      <c r="G409" s="6" t="s">
        <v>1825</v>
      </c>
      <c r="H409" s="18">
        <v>6.5</v>
      </c>
      <c r="I409" s="19" t="s">
        <v>63</v>
      </c>
      <c r="J409" s="19" t="s">
        <v>1826</v>
      </c>
      <c r="K409" s="5" t="s">
        <v>1861</v>
      </c>
      <c r="L409" s="5" t="s">
        <v>1862</v>
      </c>
      <c r="M409" s="5" t="s">
        <v>1863</v>
      </c>
      <c r="N409" s="5" t="s">
        <v>1864</v>
      </c>
      <c r="O409" s="5" t="s">
        <v>1865</v>
      </c>
      <c r="P409" s="5" t="s">
        <v>1866</v>
      </c>
      <c r="Q409" s="5" t="s">
        <v>1867</v>
      </c>
      <c r="R409" s="25" t="s">
        <v>1868</v>
      </c>
      <c r="AE409" s="5" t="s">
        <v>1848</v>
      </c>
      <c r="AG409" s="14" t="s">
        <v>55</v>
      </c>
      <c r="AH409" s="14" t="s">
        <v>87</v>
      </c>
      <c r="AI409" s="14" t="s">
        <v>1836</v>
      </c>
      <c r="AJ409" s="5" t="s">
        <v>1837</v>
      </c>
    </row>
    <row r="410" spans="1:37">
      <c r="A410" s="6" t="s">
        <v>1869</v>
      </c>
      <c r="B410" s="6" t="s">
        <v>1870</v>
      </c>
      <c r="C410" s="6" t="s">
        <v>1871</v>
      </c>
      <c r="D410" s="6" t="s">
        <v>52</v>
      </c>
      <c r="E410" s="6" t="s">
        <v>53</v>
      </c>
      <c r="F410" s="6" t="s">
        <v>46</v>
      </c>
      <c r="G410" s="6" t="s">
        <v>1872</v>
      </c>
      <c r="I410" s="5" t="s">
        <v>48</v>
      </c>
      <c r="J410" s="5" t="s">
        <v>48</v>
      </c>
      <c r="K410" s="6"/>
      <c r="L410" s="6"/>
      <c r="M410" s="6"/>
      <c r="N410" s="6"/>
      <c r="O410" s="6"/>
      <c r="P410" s="6"/>
      <c r="Q410" s="6"/>
      <c r="R410" s="6"/>
      <c r="S410" s="6"/>
      <c r="T410" s="6"/>
      <c r="U410" s="6"/>
      <c r="V410" s="6"/>
      <c r="W410" s="6"/>
      <c r="X410" s="6"/>
      <c r="Y410" s="6"/>
      <c r="Z410" s="6"/>
      <c r="AA410" s="6"/>
      <c r="AB410" s="6"/>
      <c r="AC410" s="6"/>
      <c r="AD410" s="6"/>
      <c r="AE410" s="6"/>
      <c r="AF410" s="6"/>
      <c r="AG410" s="15" t="s">
        <v>55</v>
      </c>
      <c r="AH410" s="15"/>
      <c r="AI410" s="15"/>
      <c r="AJ410" s="6"/>
      <c r="AK410" s="6"/>
    </row>
    <row r="411" spans="1:37" s="6" customFormat="1">
      <c r="A411" s="6" t="s">
        <v>1873</v>
      </c>
      <c r="B411" s="6" t="s">
        <v>1874</v>
      </c>
      <c r="C411" s="6" t="s">
        <v>43</v>
      </c>
      <c r="D411" s="6" t="s">
        <v>1875</v>
      </c>
      <c r="E411" s="6" t="s">
        <v>53</v>
      </c>
      <c r="F411" s="6" t="s">
        <v>46</v>
      </c>
      <c r="G411" s="6" t="s">
        <v>43</v>
      </c>
      <c r="H411" s="7"/>
      <c r="I411" s="5" t="s">
        <v>48</v>
      </c>
      <c r="J411" s="5" t="s">
        <v>48</v>
      </c>
      <c r="AG411" s="15" t="s">
        <v>55</v>
      </c>
      <c r="AH411" s="15"/>
      <c r="AI411" s="15"/>
    </row>
    <row r="412" spans="1:37" s="6" customFormat="1">
      <c r="A412" s="6" t="s">
        <v>1876</v>
      </c>
      <c r="B412" s="6" t="s">
        <v>1877</v>
      </c>
      <c r="C412" s="6" t="s">
        <v>43</v>
      </c>
      <c r="D412" s="6" t="s">
        <v>1040</v>
      </c>
      <c r="E412" s="6" t="s">
        <v>1391</v>
      </c>
      <c r="F412" s="6" t="s">
        <v>46</v>
      </c>
      <c r="G412" s="6" t="s">
        <v>1878</v>
      </c>
      <c r="H412" s="7"/>
      <c r="I412" s="5" t="s">
        <v>48</v>
      </c>
      <c r="J412" s="5" t="s">
        <v>48</v>
      </c>
      <c r="AG412" s="15" t="s">
        <v>55</v>
      </c>
      <c r="AH412" s="15"/>
      <c r="AI412" s="15"/>
    </row>
    <row r="413" spans="1:37" s="6" customFormat="1">
      <c r="A413" s="5" t="s">
        <v>1879</v>
      </c>
      <c r="B413" s="5" t="s">
        <v>1880</v>
      </c>
      <c r="C413" s="6" t="s">
        <v>43</v>
      </c>
      <c r="D413" s="6" t="s">
        <v>909</v>
      </c>
      <c r="E413" s="6" t="s">
        <v>218</v>
      </c>
      <c r="F413" s="6" t="s">
        <v>46</v>
      </c>
      <c r="G413" s="6" t="s">
        <v>1881</v>
      </c>
      <c r="H413" s="18">
        <v>999</v>
      </c>
      <c r="I413" s="19" t="s">
        <v>1882</v>
      </c>
      <c r="J413" s="19" t="s">
        <v>1883</v>
      </c>
      <c r="K413" s="5"/>
      <c r="L413" s="5"/>
      <c r="M413" s="5"/>
      <c r="N413" s="5"/>
      <c r="O413" s="5"/>
      <c r="P413" s="5"/>
      <c r="Q413" s="5"/>
      <c r="R413" s="5"/>
      <c r="S413" s="5"/>
      <c r="T413" s="5"/>
      <c r="U413" s="5"/>
      <c r="V413" s="5"/>
      <c r="W413" s="5"/>
      <c r="X413" s="5"/>
      <c r="Y413" s="5"/>
      <c r="Z413" s="5"/>
      <c r="AA413" s="5"/>
      <c r="AB413" s="5"/>
      <c r="AC413" s="5"/>
      <c r="AD413" s="5"/>
      <c r="AE413" s="5"/>
      <c r="AF413" s="5"/>
      <c r="AG413" s="14" t="s">
        <v>49</v>
      </c>
      <c r="AH413" s="14" t="s">
        <v>49</v>
      </c>
      <c r="AI413" s="14" t="s">
        <v>49</v>
      </c>
      <c r="AJ413" s="5" t="s">
        <v>1884</v>
      </c>
      <c r="AK413" s="5"/>
    </row>
    <row r="414" spans="1:37">
      <c r="A414" s="5" t="s">
        <v>1885</v>
      </c>
      <c r="B414" s="5" t="s">
        <v>1886</v>
      </c>
      <c r="C414" s="6" t="s">
        <v>43</v>
      </c>
      <c r="D414" s="6" t="s">
        <v>1040</v>
      </c>
      <c r="E414" s="6" t="s">
        <v>218</v>
      </c>
      <c r="F414" s="6" t="s">
        <v>46</v>
      </c>
      <c r="G414" s="6" t="s">
        <v>1887</v>
      </c>
      <c r="H414" s="7">
        <v>29.5</v>
      </c>
      <c r="I414" s="19" t="s">
        <v>1888</v>
      </c>
      <c r="J414" s="19" t="s">
        <v>1889</v>
      </c>
      <c r="K414" s="5" t="s">
        <v>1890</v>
      </c>
      <c r="L414" s="5" t="s">
        <v>1891</v>
      </c>
      <c r="M414" s="5" t="s">
        <v>1892</v>
      </c>
      <c r="N414" s="5" t="s">
        <v>1893</v>
      </c>
      <c r="O414" s="5" t="s">
        <v>1894</v>
      </c>
      <c r="P414" s="6" t="s">
        <v>1895</v>
      </c>
      <c r="Q414" s="6" t="s">
        <v>1896</v>
      </c>
      <c r="R414" s="5" t="s">
        <v>1897</v>
      </c>
      <c r="U414" s="5" t="s">
        <v>1898</v>
      </c>
      <c r="AG414" s="14" t="s">
        <v>49</v>
      </c>
      <c r="AH414" s="14" t="s">
        <v>49</v>
      </c>
      <c r="AI414" s="14" t="s">
        <v>1408</v>
      </c>
      <c r="AJ414" s="5" t="s">
        <v>1899</v>
      </c>
    </row>
    <row r="415" spans="1:37">
      <c r="A415" s="5" t="s">
        <v>1900</v>
      </c>
      <c r="B415" s="5" t="s">
        <v>1901</v>
      </c>
      <c r="C415" s="6" t="s">
        <v>43</v>
      </c>
      <c r="D415" s="6" t="s">
        <v>1040</v>
      </c>
      <c r="E415" s="6" t="s">
        <v>218</v>
      </c>
      <c r="F415" s="6" t="s">
        <v>46</v>
      </c>
      <c r="G415" s="6" t="s">
        <v>1902</v>
      </c>
      <c r="H415" s="7">
        <v>35</v>
      </c>
      <c r="I415" s="19" t="s">
        <v>1888</v>
      </c>
      <c r="J415" s="19" t="s">
        <v>1889</v>
      </c>
      <c r="K415" s="5" t="s">
        <v>1903</v>
      </c>
      <c r="L415" s="5" t="s">
        <v>1904</v>
      </c>
      <c r="M415" s="5" t="s">
        <v>1905</v>
      </c>
      <c r="N415" s="5" t="s">
        <v>1906</v>
      </c>
      <c r="O415" s="6" t="s">
        <v>1907</v>
      </c>
      <c r="P415" s="6" t="s">
        <v>1908</v>
      </c>
      <c r="Q415" s="6" t="s">
        <v>1909</v>
      </c>
      <c r="R415" s="5" t="s">
        <v>1910</v>
      </c>
      <c r="U415" s="6" t="s">
        <v>1898</v>
      </c>
      <c r="AG415" s="14" t="s">
        <v>49</v>
      </c>
      <c r="AH415" s="14" t="s">
        <v>49</v>
      </c>
      <c r="AI415" s="14" t="s">
        <v>1408</v>
      </c>
      <c r="AJ415" s="5" t="s">
        <v>1899</v>
      </c>
    </row>
    <row r="416" spans="1:37">
      <c r="A416" s="5" t="s">
        <v>1911</v>
      </c>
      <c r="B416" s="5" t="s">
        <v>1912</v>
      </c>
      <c r="C416" s="6" t="s">
        <v>43</v>
      </c>
      <c r="D416" s="6" t="s">
        <v>1040</v>
      </c>
      <c r="E416" s="6" t="s">
        <v>218</v>
      </c>
      <c r="F416" s="6" t="s">
        <v>46</v>
      </c>
      <c r="G416" s="6" t="s">
        <v>1913</v>
      </c>
      <c r="H416" s="7">
        <v>43.5</v>
      </c>
      <c r="I416" s="19" t="s">
        <v>1888</v>
      </c>
      <c r="J416" s="19" t="s">
        <v>1889</v>
      </c>
      <c r="K416" s="5" t="s">
        <v>1914</v>
      </c>
      <c r="L416" s="5" t="s">
        <v>1915</v>
      </c>
      <c r="M416" s="5" t="s">
        <v>1916</v>
      </c>
      <c r="N416" s="5" t="s">
        <v>1917</v>
      </c>
      <c r="O416" s="6" t="s">
        <v>1918</v>
      </c>
      <c r="P416" s="6" t="s">
        <v>1919</v>
      </c>
      <c r="Q416" s="6" t="s">
        <v>1920</v>
      </c>
      <c r="R416" s="5" t="s">
        <v>1921</v>
      </c>
      <c r="U416" s="6" t="s">
        <v>1898</v>
      </c>
      <c r="AG416" s="14" t="s">
        <v>49</v>
      </c>
      <c r="AH416" s="14" t="s">
        <v>49</v>
      </c>
      <c r="AI416" s="14" t="s">
        <v>1408</v>
      </c>
      <c r="AJ416" s="5" t="s">
        <v>1899</v>
      </c>
    </row>
    <row r="417" spans="1:37">
      <c r="A417" s="5" t="s">
        <v>1922</v>
      </c>
      <c r="B417" s="5" t="s">
        <v>1923</v>
      </c>
      <c r="C417" s="6" t="s">
        <v>43</v>
      </c>
      <c r="D417" s="6" t="s">
        <v>1040</v>
      </c>
      <c r="E417" s="6" t="s">
        <v>218</v>
      </c>
      <c r="F417" s="6" t="s">
        <v>46</v>
      </c>
      <c r="G417" s="6" t="s">
        <v>1924</v>
      </c>
      <c r="H417" s="7">
        <v>58.5</v>
      </c>
      <c r="I417" s="19" t="s">
        <v>1888</v>
      </c>
      <c r="J417" s="19" t="s">
        <v>1889</v>
      </c>
      <c r="K417" s="5" t="s">
        <v>1925</v>
      </c>
      <c r="L417" s="5" t="s">
        <v>1926</v>
      </c>
      <c r="M417" s="5" t="s">
        <v>1927</v>
      </c>
      <c r="N417" s="5" t="s">
        <v>1928</v>
      </c>
      <c r="O417" s="6" t="s">
        <v>1929</v>
      </c>
      <c r="P417" s="6" t="s">
        <v>1930</v>
      </c>
      <c r="Q417" s="6" t="s">
        <v>1931</v>
      </c>
      <c r="R417" s="5" t="s">
        <v>1932</v>
      </c>
      <c r="U417" s="6" t="s">
        <v>1898</v>
      </c>
      <c r="AG417" s="14" t="s">
        <v>49</v>
      </c>
      <c r="AH417" s="14" t="s">
        <v>49</v>
      </c>
      <c r="AI417" s="14" t="s">
        <v>1408</v>
      </c>
      <c r="AJ417" s="5" t="s">
        <v>1899</v>
      </c>
    </row>
    <row r="418" spans="1:37">
      <c r="A418" s="6" t="s">
        <v>1933</v>
      </c>
      <c r="B418" s="6" t="s">
        <v>1934</v>
      </c>
      <c r="C418" s="6" t="s">
        <v>43</v>
      </c>
      <c r="D418" s="6" t="s">
        <v>1040</v>
      </c>
      <c r="E418" s="6" t="s">
        <v>45</v>
      </c>
      <c r="F418" s="6" t="s">
        <v>46</v>
      </c>
      <c r="G418" s="6" t="s">
        <v>1935</v>
      </c>
      <c r="I418" s="5" t="s">
        <v>48</v>
      </c>
      <c r="J418" s="5" t="s">
        <v>48</v>
      </c>
      <c r="K418" s="6"/>
      <c r="L418" s="6"/>
      <c r="M418" s="6"/>
      <c r="N418" s="6"/>
      <c r="O418" s="6"/>
      <c r="P418" s="6"/>
      <c r="Q418" s="6"/>
      <c r="R418" s="6"/>
      <c r="S418" s="6"/>
      <c r="T418" s="6"/>
      <c r="U418" s="6"/>
      <c r="V418" s="6"/>
      <c r="W418" s="6"/>
      <c r="X418" s="6"/>
      <c r="Y418" s="6"/>
      <c r="Z418" s="6"/>
      <c r="AA418" s="6"/>
      <c r="AB418" s="6"/>
      <c r="AC418" s="6"/>
      <c r="AD418" s="6"/>
      <c r="AE418" s="6"/>
      <c r="AF418" s="6"/>
      <c r="AG418" s="15" t="s">
        <v>49</v>
      </c>
      <c r="AH418" s="15"/>
      <c r="AI418" s="15"/>
      <c r="AJ418" s="6"/>
      <c r="AK418" s="6"/>
    </row>
    <row r="419" spans="1:37" s="6" customFormat="1">
      <c r="A419" s="6" t="s">
        <v>1936</v>
      </c>
      <c r="B419" s="6" t="s">
        <v>1937</v>
      </c>
      <c r="C419" s="6" t="s">
        <v>43</v>
      </c>
      <c r="D419" s="6" t="s">
        <v>1040</v>
      </c>
      <c r="E419" s="6" t="s">
        <v>45</v>
      </c>
      <c r="F419" s="6" t="s">
        <v>46</v>
      </c>
      <c r="G419" s="6" t="s">
        <v>1938</v>
      </c>
      <c r="H419" s="7"/>
      <c r="I419" s="5" t="s">
        <v>48</v>
      </c>
      <c r="J419" s="5" t="s">
        <v>48</v>
      </c>
      <c r="AG419" s="15" t="s">
        <v>49</v>
      </c>
      <c r="AH419" s="15"/>
      <c r="AI419" s="15"/>
    </row>
    <row r="420" spans="1:37" s="6" customFormat="1">
      <c r="A420" s="6" t="s">
        <v>1939</v>
      </c>
      <c r="B420" s="6" t="s">
        <v>1940</v>
      </c>
      <c r="C420" s="6" t="s">
        <v>43</v>
      </c>
      <c r="D420" s="6" t="s">
        <v>1040</v>
      </c>
      <c r="E420" s="6" t="s">
        <v>45</v>
      </c>
      <c r="F420" s="6" t="s">
        <v>46</v>
      </c>
      <c r="G420" s="6" t="s">
        <v>1941</v>
      </c>
      <c r="H420" s="7"/>
      <c r="I420" s="5" t="s">
        <v>48</v>
      </c>
      <c r="J420" s="5" t="s">
        <v>48</v>
      </c>
      <c r="AG420" s="15" t="s">
        <v>49</v>
      </c>
      <c r="AH420" s="15"/>
      <c r="AI420" s="15"/>
    </row>
    <row r="421" spans="1:37" s="6" customFormat="1">
      <c r="A421" s="6" t="s">
        <v>1942</v>
      </c>
      <c r="B421" s="6" t="s">
        <v>1943</v>
      </c>
      <c r="C421" s="6" t="s">
        <v>43</v>
      </c>
      <c r="D421" s="6" t="s">
        <v>1040</v>
      </c>
      <c r="E421" s="6" t="s">
        <v>45</v>
      </c>
      <c r="F421" s="6" t="s">
        <v>46</v>
      </c>
      <c r="G421" s="6" t="s">
        <v>1944</v>
      </c>
      <c r="H421" s="7"/>
      <c r="I421" s="5" t="s">
        <v>48</v>
      </c>
      <c r="J421" s="5" t="s">
        <v>48</v>
      </c>
      <c r="AG421" s="15" t="s">
        <v>49</v>
      </c>
      <c r="AH421" s="15"/>
      <c r="AI421" s="15"/>
    </row>
    <row r="422" spans="1:37" s="6" customFormat="1">
      <c r="A422" s="6" t="s">
        <v>1945</v>
      </c>
      <c r="B422" s="6" t="s">
        <v>1946</v>
      </c>
      <c r="C422" s="6" t="s">
        <v>43</v>
      </c>
      <c r="D422" s="6" t="s">
        <v>1040</v>
      </c>
      <c r="E422" s="6" t="s">
        <v>45</v>
      </c>
      <c r="F422" s="6" t="s">
        <v>46</v>
      </c>
      <c r="G422" s="6" t="s">
        <v>1947</v>
      </c>
      <c r="H422" s="7"/>
      <c r="I422" s="5" t="s">
        <v>48</v>
      </c>
      <c r="J422" s="5" t="s">
        <v>48</v>
      </c>
      <c r="AG422" s="15" t="s">
        <v>49</v>
      </c>
      <c r="AH422" s="15"/>
      <c r="AI422" s="15"/>
    </row>
    <row r="423" spans="1:37" s="6" customFormat="1">
      <c r="A423" s="6" t="s">
        <v>1948</v>
      </c>
      <c r="B423" s="6" t="s">
        <v>1949</v>
      </c>
      <c r="C423" s="6" t="s">
        <v>43</v>
      </c>
      <c r="D423" s="6" t="s">
        <v>1040</v>
      </c>
      <c r="E423" s="6" t="s">
        <v>45</v>
      </c>
      <c r="F423" s="6" t="s">
        <v>46</v>
      </c>
      <c r="G423" s="6" t="s">
        <v>246</v>
      </c>
      <c r="H423" s="7"/>
      <c r="I423" s="5" t="s">
        <v>48</v>
      </c>
      <c r="J423" s="5" t="s">
        <v>48</v>
      </c>
      <c r="AG423" s="15" t="s">
        <v>49</v>
      </c>
      <c r="AH423" s="15"/>
      <c r="AI423" s="15"/>
    </row>
    <row r="424" spans="1:37" s="6" customFormat="1">
      <c r="A424" s="6" t="s">
        <v>1950</v>
      </c>
      <c r="B424" s="6" t="s">
        <v>1951</v>
      </c>
      <c r="C424" s="6" t="s">
        <v>43</v>
      </c>
      <c r="D424" s="6" t="s">
        <v>1040</v>
      </c>
      <c r="E424" s="6" t="s">
        <v>45</v>
      </c>
      <c r="F424" s="6" t="s">
        <v>46</v>
      </c>
      <c r="G424" s="6" t="s">
        <v>1938</v>
      </c>
      <c r="H424" s="7"/>
      <c r="I424" s="5" t="s">
        <v>48</v>
      </c>
      <c r="J424" s="5" t="s">
        <v>48</v>
      </c>
      <c r="AG424" s="15" t="s">
        <v>49</v>
      </c>
      <c r="AH424" s="15"/>
      <c r="AI424" s="15"/>
    </row>
    <row r="425" spans="1:37" s="6" customFormat="1">
      <c r="A425" s="6" t="s">
        <v>1952</v>
      </c>
      <c r="B425" s="6" t="s">
        <v>1953</v>
      </c>
      <c r="C425" s="6" t="s">
        <v>43</v>
      </c>
      <c r="D425" s="6" t="s">
        <v>1040</v>
      </c>
      <c r="E425" s="6" t="s">
        <v>45</v>
      </c>
      <c r="F425" s="6" t="s">
        <v>46</v>
      </c>
      <c r="G425" s="6" t="s">
        <v>1954</v>
      </c>
      <c r="H425" s="7"/>
      <c r="I425" s="5" t="s">
        <v>48</v>
      </c>
      <c r="J425" s="5" t="s">
        <v>48</v>
      </c>
      <c r="AG425" s="15" t="s">
        <v>49</v>
      </c>
      <c r="AH425" s="15"/>
      <c r="AI425" s="15"/>
    </row>
    <row r="426" spans="1:37" s="6" customFormat="1">
      <c r="A426" s="6" t="s">
        <v>1955</v>
      </c>
      <c r="B426" s="6" t="s">
        <v>1956</v>
      </c>
      <c r="C426" s="6" t="s">
        <v>43</v>
      </c>
      <c r="D426" s="6" t="s">
        <v>1040</v>
      </c>
      <c r="E426" s="6" t="s">
        <v>45</v>
      </c>
      <c r="F426" s="6" t="s">
        <v>46</v>
      </c>
      <c r="G426" s="6" t="s">
        <v>1957</v>
      </c>
      <c r="H426" s="7"/>
      <c r="I426" s="5" t="s">
        <v>48</v>
      </c>
      <c r="J426" s="5" t="s">
        <v>48</v>
      </c>
      <c r="AG426" s="15" t="s">
        <v>49</v>
      </c>
      <c r="AH426" s="15"/>
      <c r="AI426" s="15"/>
    </row>
    <row r="427" spans="1:37" s="6" customFormat="1">
      <c r="A427" s="6" t="s">
        <v>1958</v>
      </c>
      <c r="B427" s="6" t="s">
        <v>1959</v>
      </c>
      <c r="C427" s="6" t="s">
        <v>43</v>
      </c>
      <c r="D427" s="6" t="s">
        <v>1040</v>
      </c>
      <c r="E427" s="6" t="s">
        <v>45</v>
      </c>
      <c r="F427" s="6" t="s">
        <v>46</v>
      </c>
      <c r="G427" s="6" t="s">
        <v>1960</v>
      </c>
      <c r="H427" s="7"/>
      <c r="I427" s="5" t="s">
        <v>48</v>
      </c>
      <c r="J427" s="5" t="s">
        <v>48</v>
      </c>
      <c r="AG427" s="15" t="s">
        <v>49</v>
      </c>
      <c r="AH427" s="15"/>
      <c r="AI427" s="15"/>
    </row>
    <row r="428" spans="1:37" s="6" customFormat="1">
      <c r="A428" s="6" t="s">
        <v>1961</v>
      </c>
      <c r="B428" s="6" t="s">
        <v>1962</v>
      </c>
      <c r="C428" s="6" t="s">
        <v>43</v>
      </c>
      <c r="D428" s="6" t="s">
        <v>1040</v>
      </c>
      <c r="E428" s="6" t="s">
        <v>45</v>
      </c>
      <c r="F428" s="6" t="s">
        <v>46</v>
      </c>
      <c r="G428" s="6" t="s">
        <v>1963</v>
      </c>
      <c r="H428" s="7"/>
      <c r="I428" s="5" t="s">
        <v>48</v>
      </c>
      <c r="J428" s="5" t="s">
        <v>48</v>
      </c>
      <c r="AG428" s="15" t="s">
        <v>49</v>
      </c>
      <c r="AH428" s="15"/>
      <c r="AI428" s="15"/>
    </row>
    <row r="429" spans="1:37" s="6" customFormat="1">
      <c r="A429" s="6" t="s">
        <v>1964</v>
      </c>
      <c r="B429" s="6" t="s">
        <v>1965</v>
      </c>
      <c r="C429" s="6" t="s">
        <v>43</v>
      </c>
      <c r="D429" s="6" t="s">
        <v>1040</v>
      </c>
      <c r="E429" s="6" t="s">
        <v>45</v>
      </c>
      <c r="F429" s="6" t="s">
        <v>46</v>
      </c>
      <c r="G429" s="6" t="s">
        <v>1966</v>
      </c>
      <c r="H429" s="7"/>
      <c r="I429" s="5" t="s">
        <v>48</v>
      </c>
      <c r="J429" s="5" t="s">
        <v>48</v>
      </c>
      <c r="AG429" s="15" t="s">
        <v>49</v>
      </c>
      <c r="AH429" s="15"/>
      <c r="AI429" s="15"/>
    </row>
    <row r="430" spans="1:37" s="6" customFormat="1">
      <c r="A430" s="6" t="s">
        <v>1967</v>
      </c>
      <c r="B430" s="6" t="s">
        <v>1968</v>
      </c>
      <c r="C430" s="6" t="s">
        <v>43</v>
      </c>
      <c r="D430" s="6" t="s">
        <v>1040</v>
      </c>
      <c r="E430" s="6" t="s">
        <v>45</v>
      </c>
      <c r="F430" s="6" t="s">
        <v>46</v>
      </c>
      <c r="G430" s="6" t="s">
        <v>1969</v>
      </c>
      <c r="H430" s="7"/>
      <c r="I430" s="5" t="s">
        <v>48</v>
      </c>
      <c r="J430" s="5" t="s">
        <v>48</v>
      </c>
      <c r="AG430" s="15" t="s">
        <v>49</v>
      </c>
      <c r="AH430" s="15"/>
      <c r="AI430" s="15"/>
    </row>
    <row r="431" spans="1:37" s="6" customFormat="1">
      <c r="A431" s="6" t="s">
        <v>1970</v>
      </c>
      <c r="B431" s="6" t="s">
        <v>1971</v>
      </c>
      <c r="C431" s="6" t="s">
        <v>43</v>
      </c>
      <c r="D431" s="6" t="s">
        <v>1040</v>
      </c>
      <c r="E431" s="6" t="s">
        <v>45</v>
      </c>
      <c r="F431" s="6" t="s">
        <v>46</v>
      </c>
      <c r="G431" s="6" t="s">
        <v>1972</v>
      </c>
      <c r="H431" s="7"/>
      <c r="I431" s="5" t="s">
        <v>48</v>
      </c>
      <c r="J431" s="5" t="s">
        <v>48</v>
      </c>
      <c r="AG431" s="15" t="s">
        <v>49</v>
      </c>
      <c r="AH431" s="15"/>
      <c r="AI431" s="15"/>
    </row>
    <row r="432" spans="1:37" s="6" customFormat="1">
      <c r="A432" s="6" t="s">
        <v>1973</v>
      </c>
      <c r="B432" s="6" t="s">
        <v>1974</v>
      </c>
      <c r="C432" s="6" t="s">
        <v>43</v>
      </c>
      <c r="D432" s="6" t="s">
        <v>1040</v>
      </c>
      <c r="E432" s="6" t="s">
        <v>45</v>
      </c>
      <c r="F432" s="6" t="s">
        <v>46</v>
      </c>
      <c r="G432" s="6" t="s">
        <v>1963</v>
      </c>
      <c r="H432" s="7"/>
      <c r="I432" s="5" t="s">
        <v>48</v>
      </c>
      <c r="J432" s="5" t="s">
        <v>48</v>
      </c>
      <c r="AG432" s="15" t="s">
        <v>49</v>
      </c>
      <c r="AH432" s="15"/>
      <c r="AI432" s="15"/>
    </row>
    <row r="433" spans="1:37" s="6" customFormat="1">
      <c r="A433" s="6" t="s">
        <v>1975</v>
      </c>
      <c r="B433" s="6" t="s">
        <v>1976</v>
      </c>
      <c r="C433" s="6" t="s">
        <v>43</v>
      </c>
      <c r="D433" s="6" t="s">
        <v>1977</v>
      </c>
      <c r="E433" s="6" t="s">
        <v>1386</v>
      </c>
      <c r="F433" s="6" t="s">
        <v>46</v>
      </c>
      <c r="G433" s="6" t="s">
        <v>1978</v>
      </c>
      <c r="H433" s="7"/>
      <c r="I433" s="5" t="s">
        <v>48</v>
      </c>
      <c r="J433" s="5" t="s">
        <v>48</v>
      </c>
      <c r="AG433" s="15" t="s">
        <v>55</v>
      </c>
      <c r="AH433" s="15"/>
      <c r="AI433" s="15"/>
    </row>
    <row r="434" spans="1:37" s="6" customFormat="1">
      <c r="A434" s="5" t="s">
        <v>1979</v>
      </c>
      <c r="B434" s="5" t="s">
        <v>1980</v>
      </c>
      <c r="C434" s="6" t="s">
        <v>43</v>
      </c>
      <c r="D434" s="6" t="s">
        <v>1504</v>
      </c>
      <c r="E434" s="6" t="s">
        <v>1981</v>
      </c>
      <c r="F434" s="6" t="s">
        <v>46</v>
      </c>
      <c r="G434" s="6" t="s">
        <v>1982</v>
      </c>
      <c r="H434" s="18">
        <v>51</v>
      </c>
      <c r="I434" s="19" t="s">
        <v>1983</v>
      </c>
      <c r="J434" s="19" t="s">
        <v>1984</v>
      </c>
      <c r="K434" s="5"/>
      <c r="L434" s="5"/>
      <c r="M434" s="5"/>
      <c r="N434" s="5"/>
      <c r="O434" s="5"/>
      <c r="P434" s="5"/>
      <c r="Q434" s="5"/>
      <c r="R434" s="5"/>
      <c r="S434" s="5"/>
      <c r="T434" s="5"/>
      <c r="U434" s="5"/>
      <c r="V434" s="5"/>
      <c r="W434" s="5"/>
      <c r="X434" s="5"/>
      <c r="Y434" s="5"/>
      <c r="Z434" s="5"/>
      <c r="AA434" s="5"/>
      <c r="AB434" s="5"/>
      <c r="AC434" s="5"/>
      <c r="AD434" s="5"/>
      <c r="AE434" s="5"/>
      <c r="AF434" s="5"/>
      <c r="AG434" s="14" t="s">
        <v>55</v>
      </c>
      <c r="AH434" s="14" t="s">
        <v>49</v>
      </c>
      <c r="AI434" s="14" t="s">
        <v>1985</v>
      </c>
      <c r="AJ434" s="5" t="s">
        <v>1986</v>
      </c>
      <c r="AK434" s="5"/>
    </row>
    <row r="435" spans="1:37">
      <c r="A435" s="6" t="s">
        <v>1987</v>
      </c>
      <c r="B435" s="6" t="s">
        <v>1988</v>
      </c>
      <c r="C435" s="6" t="s">
        <v>43</v>
      </c>
      <c r="D435" s="6" t="s">
        <v>1989</v>
      </c>
      <c r="E435" s="6" t="s">
        <v>53</v>
      </c>
      <c r="F435" s="6" t="s">
        <v>46</v>
      </c>
      <c r="G435" s="6" t="s">
        <v>43</v>
      </c>
      <c r="I435" s="5" t="s">
        <v>48</v>
      </c>
      <c r="J435" s="5" t="s">
        <v>48</v>
      </c>
      <c r="K435" s="6"/>
      <c r="L435" s="6"/>
      <c r="M435" s="6"/>
      <c r="N435" s="6"/>
      <c r="O435" s="6"/>
      <c r="P435" s="6"/>
      <c r="Q435" s="6"/>
      <c r="R435" s="6"/>
      <c r="S435" s="6"/>
      <c r="T435" s="6"/>
      <c r="U435" s="6"/>
      <c r="V435" s="6"/>
      <c r="W435" s="6"/>
      <c r="X435" s="6"/>
      <c r="Y435" s="6"/>
      <c r="Z435" s="6"/>
      <c r="AA435" s="6"/>
      <c r="AB435" s="6"/>
      <c r="AC435" s="6"/>
      <c r="AD435" s="6"/>
      <c r="AE435" s="6"/>
      <c r="AF435" s="6"/>
      <c r="AG435" s="15"/>
      <c r="AH435" s="15"/>
      <c r="AI435" s="15"/>
      <c r="AJ435" s="6"/>
      <c r="AK435" s="6"/>
    </row>
    <row r="436" spans="1:37" s="6" customFormat="1">
      <c r="A436" s="6" t="s">
        <v>1990</v>
      </c>
      <c r="B436" s="6" t="s">
        <v>1991</v>
      </c>
      <c r="C436" s="6" t="s">
        <v>43</v>
      </c>
      <c r="D436" s="6" t="s">
        <v>1989</v>
      </c>
      <c r="E436" s="6" t="s">
        <v>1671</v>
      </c>
      <c r="F436" s="6" t="s">
        <v>46</v>
      </c>
      <c r="G436" s="6" t="s">
        <v>43</v>
      </c>
      <c r="H436" s="7"/>
      <c r="I436" s="5" t="s">
        <v>48</v>
      </c>
      <c r="J436" s="5" t="s">
        <v>48</v>
      </c>
      <c r="AG436" s="15" t="s">
        <v>55</v>
      </c>
      <c r="AH436" s="15"/>
      <c r="AI436" s="15"/>
    </row>
    <row r="437" spans="1:37" s="6" customFormat="1">
      <c r="A437" s="6" t="s">
        <v>1992</v>
      </c>
      <c r="B437" s="6" t="s">
        <v>1993</v>
      </c>
      <c r="C437" s="6" t="s">
        <v>1994</v>
      </c>
      <c r="D437" s="6" t="s">
        <v>52</v>
      </c>
      <c r="E437" s="6" t="s">
        <v>1995</v>
      </c>
      <c r="F437" s="6" t="s">
        <v>46</v>
      </c>
      <c r="G437" s="6" t="s">
        <v>1996</v>
      </c>
      <c r="H437" s="7"/>
      <c r="I437" s="5" t="s">
        <v>48</v>
      </c>
      <c r="J437" s="5" t="s">
        <v>48</v>
      </c>
      <c r="AG437" s="15" t="s">
        <v>55</v>
      </c>
      <c r="AH437" s="15"/>
      <c r="AI437" s="15"/>
    </row>
    <row r="438" spans="1:37" s="6" customFormat="1">
      <c r="A438" s="5" t="s">
        <v>1997</v>
      </c>
      <c r="B438" s="5" t="s">
        <v>1998</v>
      </c>
      <c r="C438" s="6" t="s">
        <v>1999</v>
      </c>
      <c r="D438" s="6" t="s">
        <v>1977</v>
      </c>
      <c r="E438" s="6" t="s">
        <v>1386</v>
      </c>
      <c r="F438" s="6" t="s">
        <v>46</v>
      </c>
      <c r="G438" s="6" t="s">
        <v>2000</v>
      </c>
      <c r="H438" s="7">
        <v>29.15</v>
      </c>
      <c r="I438" s="19" t="s">
        <v>1589</v>
      </c>
      <c r="J438" s="19" t="s">
        <v>2001</v>
      </c>
      <c r="K438" s="5" t="s">
        <v>2002</v>
      </c>
      <c r="L438" s="5" t="s">
        <v>2003</v>
      </c>
      <c r="M438" s="5" t="s">
        <v>2004</v>
      </c>
      <c r="N438" s="5" t="s">
        <v>2005</v>
      </c>
      <c r="O438" s="5" t="s">
        <v>2006</v>
      </c>
      <c r="P438" s="5" t="s">
        <v>2007</v>
      </c>
      <c r="Q438" s="5" t="s">
        <v>2008</v>
      </c>
      <c r="R438" s="5" t="s">
        <v>2009</v>
      </c>
      <c r="S438" s="5"/>
      <c r="T438" s="5"/>
      <c r="U438" s="5"/>
      <c r="V438" s="5"/>
      <c r="W438" s="5" t="s">
        <v>2010</v>
      </c>
      <c r="X438" s="5" t="s">
        <v>2011</v>
      </c>
      <c r="Y438" s="5" t="s">
        <v>2012</v>
      </c>
      <c r="Z438" s="5" t="s">
        <v>2013</v>
      </c>
      <c r="AA438" s="5"/>
      <c r="AB438" s="5"/>
      <c r="AC438" s="5"/>
      <c r="AD438" s="5"/>
      <c r="AE438" s="5"/>
      <c r="AF438" s="5"/>
      <c r="AG438" s="14" t="s">
        <v>55</v>
      </c>
      <c r="AH438" s="14" t="s">
        <v>1603</v>
      </c>
      <c r="AI438" s="14" t="s">
        <v>124</v>
      </c>
      <c r="AJ438" s="5"/>
      <c r="AK438" s="5"/>
    </row>
    <row r="439" spans="1:37">
      <c r="A439" s="5" t="s">
        <v>2014</v>
      </c>
      <c r="B439" s="5" t="s">
        <v>1998</v>
      </c>
      <c r="C439" s="6" t="s">
        <v>1999</v>
      </c>
      <c r="D439" s="6" t="s">
        <v>1977</v>
      </c>
      <c r="E439" s="6" t="s">
        <v>2015</v>
      </c>
      <c r="F439" s="6" t="s">
        <v>46</v>
      </c>
      <c r="G439" s="6" t="s">
        <v>2016</v>
      </c>
      <c r="H439" s="7">
        <v>29.15</v>
      </c>
      <c r="I439" s="19" t="s">
        <v>1589</v>
      </c>
      <c r="J439" s="19" t="s">
        <v>2001</v>
      </c>
      <c r="K439" s="5" t="s">
        <v>2002</v>
      </c>
      <c r="L439" s="5" t="s">
        <v>2003</v>
      </c>
      <c r="M439" s="5" t="s">
        <v>2004</v>
      </c>
      <c r="N439" s="5" t="s">
        <v>2005</v>
      </c>
      <c r="O439" s="5" t="s">
        <v>2006</v>
      </c>
      <c r="P439" s="5" t="s">
        <v>2017</v>
      </c>
      <c r="Q439" s="5" t="s">
        <v>2008</v>
      </c>
      <c r="R439" s="5" t="s">
        <v>2009</v>
      </c>
      <c r="W439" s="5" t="s">
        <v>2010</v>
      </c>
      <c r="X439" s="5" t="s">
        <v>2011</v>
      </c>
      <c r="Y439" s="5" t="s">
        <v>2012</v>
      </c>
      <c r="Z439" s="5" t="s">
        <v>2013</v>
      </c>
      <c r="AG439" s="14" t="s">
        <v>55</v>
      </c>
      <c r="AH439" s="14" t="s">
        <v>1603</v>
      </c>
      <c r="AI439" s="14" t="s">
        <v>124</v>
      </c>
    </row>
    <row r="440" spans="1:37">
      <c r="A440" s="5" t="s">
        <v>2018</v>
      </c>
      <c r="B440" s="5" t="s">
        <v>1998</v>
      </c>
      <c r="C440" s="6" t="s">
        <v>1999</v>
      </c>
      <c r="D440" s="6" t="s">
        <v>1977</v>
      </c>
      <c r="E440" s="6" t="s">
        <v>503</v>
      </c>
      <c r="F440" s="6" t="s">
        <v>46</v>
      </c>
      <c r="G440" s="6" t="s">
        <v>2019</v>
      </c>
      <c r="H440" s="7">
        <v>29.15</v>
      </c>
      <c r="I440" s="19" t="s">
        <v>1589</v>
      </c>
      <c r="J440" s="19" t="s">
        <v>2001</v>
      </c>
      <c r="K440" s="5" t="s">
        <v>2002</v>
      </c>
      <c r="L440" s="5" t="s">
        <v>2003</v>
      </c>
      <c r="M440" s="5" t="s">
        <v>2004</v>
      </c>
      <c r="N440" s="5" t="s">
        <v>2005</v>
      </c>
      <c r="O440" s="5" t="s">
        <v>2006</v>
      </c>
      <c r="P440" s="5" t="s">
        <v>2017</v>
      </c>
      <c r="Q440" s="5" t="s">
        <v>2008</v>
      </c>
      <c r="R440" s="5" t="s">
        <v>2009</v>
      </c>
      <c r="W440" s="5" t="s">
        <v>2010</v>
      </c>
      <c r="X440" s="5" t="s">
        <v>2011</v>
      </c>
      <c r="Y440" s="5" t="s">
        <v>2012</v>
      </c>
      <c r="Z440" s="5" t="s">
        <v>2013</v>
      </c>
      <c r="AG440" s="14" t="s">
        <v>55</v>
      </c>
      <c r="AH440" s="14" t="s">
        <v>1603</v>
      </c>
      <c r="AI440" s="14" t="s">
        <v>124</v>
      </c>
    </row>
    <row r="441" spans="1:37">
      <c r="A441" s="5" t="s">
        <v>2020</v>
      </c>
      <c r="B441" s="5" t="s">
        <v>2021</v>
      </c>
      <c r="C441" s="6" t="s">
        <v>43</v>
      </c>
      <c r="D441" s="6" t="s">
        <v>1977</v>
      </c>
      <c r="E441" s="6" t="s">
        <v>1386</v>
      </c>
      <c r="F441" s="6" t="s">
        <v>46</v>
      </c>
      <c r="G441" s="6" t="s">
        <v>2022</v>
      </c>
      <c r="H441" s="7">
        <v>36.75</v>
      </c>
      <c r="I441" s="19" t="s">
        <v>1589</v>
      </c>
      <c r="J441" s="19" t="s">
        <v>2001</v>
      </c>
      <c r="K441" s="20" t="s">
        <v>2023</v>
      </c>
      <c r="L441" s="20" t="s">
        <v>2024</v>
      </c>
      <c r="M441" s="20" t="s">
        <v>2025</v>
      </c>
      <c r="N441" s="20" t="s">
        <v>2026</v>
      </c>
      <c r="O441" s="20" t="s">
        <v>2027</v>
      </c>
      <c r="P441" s="20" t="s">
        <v>2028</v>
      </c>
      <c r="Q441" s="20" t="s">
        <v>2029</v>
      </c>
      <c r="R441" s="5" t="s">
        <v>2030</v>
      </c>
      <c r="W441" s="20" t="s">
        <v>2010</v>
      </c>
      <c r="X441" s="20" t="s">
        <v>2011</v>
      </c>
      <c r="Y441" s="20" t="s">
        <v>2012</v>
      </c>
      <c r="Z441" s="20" t="s">
        <v>2013</v>
      </c>
      <c r="AG441" s="14" t="s">
        <v>55</v>
      </c>
      <c r="AH441" s="14" t="s">
        <v>1603</v>
      </c>
      <c r="AI441" s="14" t="s">
        <v>124</v>
      </c>
    </row>
    <row r="442" spans="1:37">
      <c r="A442" s="5" t="s">
        <v>2031</v>
      </c>
      <c r="B442" s="5" t="s">
        <v>2021</v>
      </c>
      <c r="C442" s="6" t="s">
        <v>43</v>
      </c>
      <c r="D442" s="6" t="s">
        <v>1977</v>
      </c>
      <c r="E442" s="6" t="s">
        <v>2015</v>
      </c>
      <c r="F442" s="6" t="s">
        <v>46</v>
      </c>
      <c r="G442" s="6" t="s">
        <v>2032</v>
      </c>
      <c r="H442" s="7">
        <v>36.75</v>
      </c>
      <c r="I442" s="19" t="s">
        <v>1589</v>
      </c>
      <c r="J442" s="19" t="s">
        <v>2001</v>
      </c>
      <c r="K442" s="20" t="s">
        <v>2023</v>
      </c>
      <c r="L442" s="20" t="s">
        <v>2024</v>
      </c>
      <c r="M442" s="20" t="s">
        <v>2025</v>
      </c>
      <c r="N442" s="20" t="s">
        <v>2026</v>
      </c>
      <c r="O442" s="20" t="s">
        <v>2027</v>
      </c>
      <c r="P442" s="20" t="s">
        <v>2028</v>
      </c>
      <c r="Q442" s="20" t="s">
        <v>2029</v>
      </c>
      <c r="R442" s="5" t="s">
        <v>2030</v>
      </c>
      <c r="W442" s="20" t="s">
        <v>2010</v>
      </c>
      <c r="X442" s="20" t="s">
        <v>2011</v>
      </c>
      <c r="Y442" s="20" t="s">
        <v>2012</v>
      </c>
      <c r="Z442" s="20" t="s">
        <v>2013</v>
      </c>
      <c r="AG442" s="14" t="s">
        <v>55</v>
      </c>
      <c r="AH442" s="14" t="s">
        <v>1603</v>
      </c>
      <c r="AI442" s="14" t="s">
        <v>124</v>
      </c>
    </row>
    <row r="443" spans="1:37">
      <c r="A443" s="5" t="s">
        <v>2033</v>
      </c>
      <c r="B443" s="5" t="s">
        <v>2034</v>
      </c>
      <c r="C443" s="6" t="s">
        <v>43</v>
      </c>
      <c r="D443" s="6" t="s">
        <v>1977</v>
      </c>
      <c r="E443" s="6" t="s">
        <v>1386</v>
      </c>
      <c r="F443" s="6" t="s">
        <v>46</v>
      </c>
      <c r="G443" s="6" t="s">
        <v>2035</v>
      </c>
      <c r="H443" s="7">
        <v>38.72</v>
      </c>
      <c r="I443" s="19" t="s">
        <v>1589</v>
      </c>
      <c r="J443" s="19" t="s">
        <v>2001</v>
      </c>
      <c r="K443" s="20" t="s">
        <v>2036</v>
      </c>
      <c r="L443" s="20" t="s">
        <v>2037</v>
      </c>
      <c r="M443" s="20" t="s">
        <v>2038</v>
      </c>
      <c r="N443" s="20" t="s">
        <v>2039</v>
      </c>
      <c r="O443" s="20" t="s">
        <v>2040</v>
      </c>
      <c r="P443" s="20" t="s">
        <v>2041</v>
      </c>
      <c r="Q443" s="20" t="s">
        <v>2042</v>
      </c>
      <c r="R443" s="5" t="s">
        <v>2043</v>
      </c>
      <c r="W443" s="20" t="s">
        <v>2010</v>
      </c>
      <c r="X443" s="20" t="s">
        <v>2011</v>
      </c>
      <c r="Y443" s="20" t="s">
        <v>2012</v>
      </c>
      <c r="Z443" s="20" t="s">
        <v>2013</v>
      </c>
      <c r="AG443" s="14" t="s">
        <v>55</v>
      </c>
      <c r="AH443" s="14" t="s">
        <v>1603</v>
      </c>
      <c r="AI443" s="14" t="s">
        <v>124</v>
      </c>
    </row>
    <row r="444" spans="1:37">
      <c r="A444" s="5" t="s">
        <v>2044</v>
      </c>
      <c r="B444" s="5" t="s">
        <v>2034</v>
      </c>
      <c r="C444" s="6" t="s">
        <v>43</v>
      </c>
      <c r="D444" s="6" t="s">
        <v>1977</v>
      </c>
      <c r="E444" s="6" t="s">
        <v>2015</v>
      </c>
      <c r="F444" s="6" t="s">
        <v>46</v>
      </c>
      <c r="G444" s="6" t="s">
        <v>2045</v>
      </c>
      <c r="H444" s="7">
        <v>38.72</v>
      </c>
      <c r="I444" s="19" t="s">
        <v>1589</v>
      </c>
      <c r="J444" s="19" t="s">
        <v>2001</v>
      </c>
      <c r="K444" s="20" t="s">
        <v>2036</v>
      </c>
      <c r="L444" s="20" t="s">
        <v>2037</v>
      </c>
      <c r="M444" s="20" t="s">
        <v>2038</v>
      </c>
      <c r="N444" s="20" t="s">
        <v>2039</v>
      </c>
      <c r="O444" s="20" t="s">
        <v>2040</v>
      </c>
      <c r="P444" s="20" t="s">
        <v>2041</v>
      </c>
      <c r="Q444" s="20" t="s">
        <v>2042</v>
      </c>
      <c r="R444" s="5" t="s">
        <v>2043</v>
      </c>
      <c r="W444" s="20" t="s">
        <v>2010</v>
      </c>
      <c r="X444" s="20" t="s">
        <v>2011</v>
      </c>
      <c r="Y444" s="20" t="s">
        <v>2012</v>
      </c>
      <c r="Z444" s="20" t="s">
        <v>2013</v>
      </c>
      <c r="AG444" s="14" t="s">
        <v>55</v>
      </c>
      <c r="AH444" s="14" t="s">
        <v>1603</v>
      </c>
      <c r="AI444" s="14" t="s">
        <v>124</v>
      </c>
    </row>
    <row r="445" spans="1:37">
      <c r="A445" s="5" t="s">
        <v>2046</v>
      </c>
      <c r="B445" s="5" t="s">
        <v>2034</v>
      </c>
      <c r="C445" s="6" t="s">
        <v>43</v>
      </c>
      <c r="D445" s="6" t="s">
        <v>1977</v>
      </c>
      <c r="E445" s="6" t="s">
        <v>2047</v>
      </c>
      <c r="F445" s="6" t="s">
        <v>46</v>
      </c>
      <c r="G445" s="6" t="s">
        <v>2048</v>
      </c>
      <c r="H445" s="7">
        <v>38.72</v>
      </c>
      <c r="I445" s="19" t="s">
        <v>1589</v>
      </c>
      <c r="J445" s="19" t="s">
        <v>2001</v>
      </c>
      <c r="K445" s="20" t="s">
        <v>2036</v>
      </c>
      <c r="L445" s="20" t="s">
        <v>2037</v>
      </c>
      <c r="M445" s="20" t="s">
        <v>2038</v>
      </c>
      <c r="N445" s="20" t="s">
        <v>2039</v>
      </c>
      <c r="O445" s="20" t="s">
        <v>2040</v>
      </c>
      <c r="P445" s="20" t="s">
        <v>2041</v>
      </c>
      <c r="Q445" s="20" t="s">
        <v>2049</v>
      </c>
      <c r="R445" s="5" t="s">
        <v>2050</v>
      </c>
      <c r="W445" s="20" t="s">
        <v>2010</v>
      </c>
      <c r="X445" s="20" t="s">
        <v>2011</v>
      </c>
      <c r="Y445" s="20" t="s">
        <v>2012</v>
      </c>
      <c r="Z445" s="20" t="s">
        <v>2013</v>
      </c>
      <c r="AG445" s="14" t="s">
        <v>55</v>
      </c>
      <c r="AH445" s="14" t="s">
        <v>1603</v>
      </c>
      <c r="AI445" s="14" t="s">
        <v>124</v>
      </c>
    </row>
    <row r="446" spans="1:37">
      <c r="A446" s="5" t="s">
        <v>2051</v>
      </c>
      <c r="B446" s="5" t="s">
        <v>2052</v>
      </c>
      <c r="C446" s="6" t="s">
        <v>43</v>
      </c>
      <c r="D446" s="6" t="s">
        <v>1977</v>
      </c>
      <c r="E446" s="6" t="s">
        <v>1386</v>
      </c>
      <c r="F446" s="6" t="s">
        <v>46</v>
      </c>
      <c r="G446" s="6" t="s">
        <v>2053</v>
      </c>
      <c r="H446" s="7">
        <v>66.88</v>
      </c>
      <c r="I446" s="19" t="s">
        <v>1589</v>
      </c>
      <c r="J446" s="19" t="s">
        <v>2001</v>
      </c>
      <c r="K446" s="20" t="s">
        <v>2054</v>
      </c>
      <c r="L446" s="20" t="s">
        <v>2055</v>
      </c>
      <c r="M446" s="20" t="s">
        <v>2056</v>
      </c>
      <c r="N446" s="20" t="s">
        <v>2057</v>
      </c>
      <c r="O446" s="20" t="s">
        <v>2058</v>
      </c>
      <c r="P446" s="20" t="s">
        <v>2059</v>
      </c>
      <c r="Q446" s="20" t="s">
        <v>2060</v>
      </c>
      <c r="R446" s="5" t="s">
        <v>2061</v>
      </c>
      <c r="W446" s="20" t="s">
        <v>2010</v>
      </c>
      <c r="X446" s="20" t="s">
        <v>2011</v>
      </c>
      <c r="Y446" s="20" t="s">
        <v>2012</v>
      </c>
      <c r="Z446" s="20" t="s">
        <v>2013</v>
      </c>
      <c r="AG446" s="14" t="s">
        <v>55</v>
      </c>
      <c r="AH446" s="14" t="s">
        <v>1603</v>
      </c>
      <c r="AI446" s="14" t="s">
        <v>124</v>
      </c>
    </row>
    <row r="447" spans="1:37">
      <c r="A447" s="5" t="s">
        <v>2062</v>
      </c>
      <c r="B447" s="5" t="s">
        <v>2052</v>
      </c>
      <c r="C447" s="6" t="s">
        <v>43</v>
      </c>
      <c r="D447" s="6" t="s">
        <v>1977</v>
      </c>
      <c r="E447" s="6" t="s">
        <v>2015</v>
      </c>
      <c r="F447" s="6" t="s">
        <v>46</v>
      </c>
      <c r="G447" s="6" t="s">
        <v>2063</v>
      </c>
      <c r="H447" s="7">
        <v>66.88</v>
      </c>
      <c r="I447" s="19" t="s">
        <v>1589</v>
      </c>
      <c r="J447" s="19" t="s">
        <v>2001</v>
      </c>
      <c r="K447" s="20" t="s">
        <v>2054</v>
      </c>
      <c r="L447" s="20" t="s">
        <v>2055</v>
      </c>
      <c r="M447" s="20" t="s">
        <v>2056</v>
      </c>
      <c r="N447" s="20" t="s">
        <v>2057</v>
      </c>
      <c r="O447" s="20" t="s">
        <v>2058</v>
      </c>
      <c r="P447" s="20" t="s">
        <v>2059</v>
      </c>
      <c r="Q447" s="20" t="s">
        <v>2060</v>
      </c>
      <c r="R447" s="5" t="s">
        <v>2061</v>
      </c>
      <c r="W447" s="20" t="s">
        <v>2010</v>
      </c>
      <c r="X447" s="20" t="s">
        <v>2011</v>
      </c>
      <c r="Y447" s="20" t="s">
        <v>2012</v>
      </c>
      <c r="Z447" s="20" t="s">
        <v>2013</v>
      </c>
      <c r="AG447" s="14" t="s">
        <v>55</v>
      </c>
      <c r="AH447" s="14" t="s">
        <v>1603</v>
      </c>
      <c r="AI447" s="14" t="s">
        <v>124</v>
      </c>
    </row>
    <row r="448" spans="1:37">
      <c r="A448" s="5" t="s">
        <v>2064</v>
      </c>
      <c r="B448" s="5" t="s">
        <v>2052</v>
      </c>
      <c r="C448" s="6" t="s">
        <v>43</v>
      </c>
      <c r="D448" s="6" t="s">
        <v>1977</v>
      </c>
      <c r="E448" s="6" t="s">
        <v>2065</v>
      </c>
      <c r="F448" s="6" t="s">
        <v>46</v>
      </c>
      <c r="G448" s="6" t="s">
        <v>2066</v>
      </c>
      <c r="H448" s="7">
        <v>66.88</v>
      </c>
      <c r="I448" s="19" t="s">
        <v>1589</v>
      </c>
      <c r="J448" s="19" t="s">
        <v>2001</v>
      </c>
      <c r="K448" s="20" t="s">
        <v>2054</v>
      </c>
      <c r="L448" s="20" t="s">
        <v>2055</v>
      </c>
      <c r="M448" s="20" t="s">
        <v>2056</v>
      </c>
      <c r="N448" s="20" t="s">
        <v>2057</v>
      </c>
      <c r="O448" s="20" t="s">
        <v>2058</v>
      </c>
      <c r="P448" s="20" t="s">
        <v>2059</v>
      </c>
      <c r="Q448" s="20" t="s">
        <v>2060</v>
      </c>
      <c r="R448" s="5" t="s">
        <v>2061</v>
      </c>
      <c r="W448" s="20" t="s">
        <v>2010</v>
      </c>
      <c r="X448" s="20" t="s">
        <v>2011</v>
      </c>
      <c r="Y448" s="20" t="s">
        <v>2012</v>
      </c>
      <c r="Z448" s="20" t="s">
        <v>2013</v>
      </c>
      <c r="AG448" s="14" t="s">
        <v>55</v>
      </c>
      <c r="AH448" s="14" t="s">
        <v>1603</v>
      </c>
      <c r="AI448" s="14" t="s">
        <v>124</v>
      </c>
    </row>
    <row r="449" spans="1:37">
      <c r="A449" s="6" t="s">
        <v>2067</v>
      </c>
      <c r="B449" s="6" t="s">
        <v>2068</v>
      </c>
      <c r="C449" s="6" t="s">
        <v>43</v>
      </c>
      <c r="D449" s="6" t="s">
        <v>2069</v>
      </c>
      <c r="E449" s="6" t="s">
        <v>2070</v>
      </c>
      <c r="F449" s="6" t="s">
        <v>46</v>
      </c>
      <c r="G449" s="6" t="s">
        <v>2071</v>
      </c>
      <c r="I449" s="5" t="s">
        <v>48</v>
      </c>
      <c r="J449" s="5" t="s">
        <v>48</v>
      </c>
      <c r="K449" s="6"/>
      <c r="L449" s="6"/>
      <c r="M449" s="6"/>
      <c r="N449" s="6"/>
      <c r="O449" s="6"/>
      <c r="P449" s="6"/>
      <c r="Q449" s="6"/>
      <c r="R449" s="6"/>
      <c r="S449" s="6"/>
      <c r="T449" s="6"/>
      <c r="U449" s="6"/>
      <c r="V449" s="6"/>
      <c r="W449" s="6"/>
      <c r="X449" s="6"/>
      <c r="Y449" s="6"/>
      <c r="Z449" s="6"/>
      <c r="AA449" s="6"/>
      <c r="AB449" s="6"/>
      <c r="AC449" s="6"/>
      <c r="AD449" s="6"/>
      <c r="AE449" s="6"/>
      <c r="AF449" s="6"/>
      <c r="AG449" s="15" t="s">
        <v>55</v>
      </c>
      <c r="AH449" s="15"/>
      <c r="AI449" s="15"/>
      <c r="AJ449" s="6"/>
      <c r="AK449" s="6"/>
    </row>
    <row r="450" spans="1:37" s="6" customFormat="1">
      <c r="A450" s="6" t="s">
        <v>2072</v>
      </c>
      <c r="B450" s="6" t="s">
        <v>2073</v>
      </c>
      <c r="C450" s="6" t="s">
        <v>43</v>
      </c>
      <c r="D450" s="6" t="s">
        <v>2069</v>
      </c>
      <c r="E450" s="6" t="s">
        <v>1540</v>
      </c>
      <c r="F450" s="6" t="s">
        <v>46</v>
      </c>
      <c r="G450" s="6" t="s">
        <v>2074</v>
      </c>
      <c r="H450" s="7"/>
      <c r="I450" s="5" t="s">
        <v>48</v>
      </c>
      <c r="J450" s="5" t="s">
        <v>48</v>
      </c>
      <c r="AG450" s="15" t="s">
        <v>55</v>
      </c>
      <c r="AH450" s="15"/>
      <c r="AI450" s="15"/>
    </row>
    <row r="451" spans="1:37" s="6" customFormat="1">
      <c r="A451" s="5" t="s">
        <v>2075</v>
      </c>
      <c r="B451" s="5" t="s">
        <v>2076</v>
      </c>
      <c r="C451" s="6" t="s">
        <v>43</v>
      </c>
      <c r="D451" s="6" t="s">
        <v>2069</v>
      </c>
      <c r="E451" s="6" t="s">
        <v>2070</v>
      </c>
      <c r="F451" s="6" t="s">
        <v>46</v>
      </c>
      <c r="G451" s="6" t="s">
        <v>2077</v>
      </c>
      <c r="H451" s="7">
        <v>59.57</v>
      </c>
      <c r="I451" s="19" t="s">
        <v>1589</v>
      </c>
      <c r="J451" s="19" t="s">
        <v>2078</v>
      </c>
      <c r="K451" s="5" t="s">
        <v>2079</v>
      </c>
      <c r="L451" s="5" t="s">
        <v>2080</v>
      </c>
      <c r="M451" s="5" t="s">
        <v>2081</v>
      </c>
      <c r="N451" s="5" t="s">
        <v>2082</v>
      </c>
      <c r="O451" s="5" t="s">
        <v>2083</v>
      </c>
      <c r="P451" s="5" t="s">
        <v>2084</v>
      </c>
      <c r="Q451" s="5" t="s">
        <v>2085</v>
      </c>
      <c r="R451" s="5"/>
      <c r="S451" s="5"/>
      <c r="T451" s="5"/>
      <c r="U451" s="5"/>
      <c r="V451" s="5"/>
      <c r="W451" s="5"/>
      <c r="X451" s="5"/>
      <c r="Y451" s="5" t="s">
        <v>2086</v>
      </c>
      <c r="Z451" s="5"/>
      <c r="AA451" s="5"/>
      <c r="AB451" s="5"/>
      <c r="AC451" s="5"/>
      <c r="AD451" s="5"/>
      <c r="AE451" s="5"/>
      <c r="AF451" s="5"/>
      <c r="AG451" s="14" t="s">
        <v>55</v>
      </c>
      <c r="AH451" s="14" t="s">
        <v>1603</v>
      </c>
      <c r="AI451" s="14" t="s">
        <v>2087</v>
      </c>
      <c r="AJ451" s="5"/>
      <c r="AK451" s="5"/>
    </row>
    <row r="452" spans="1:37">
      <c r="A452" s="5" t="s">
        <v>2088</v>
      </c>
      <c r="B452" s="5" t="s">
        <v>2076</v>
      </c>
      <c r="C452" s="6" t="s">
        <v>43</v>
      </c>
      <c r="D452" s="6" t="s">
        <v>2069</v>
      </c>
      <c r="E452" s="6" t="s">
        <v>1540</v>
      </c>
      <c r="F452" s="6" t="s">
        <v>46</v>
      </c>
      <c r="G452" s="6" t="s">
        <v>2089</v>
      </c>
      <c r="H452" s="7">
        <v>59.57</v>
      </c>
      <c r="I452" s="19" t="s">
        <v>1589</v>
      </c>
      <c r="J452" s="19" t="s">
        <v>2078</v>
      </c>
      <c r="K452" s="5" t="s">
        <v>2079</v>
      </c>
      <c r="L452" s="5" t="s">
        <v>2080</v>
      </c>
      <c r="M452" s="5" t="s">
        <v>2081</v>
      </c>
      <c r="N452" s="5" t="s">
        <v>2082</v>
      </c>
      <c r="O452" s="5" t="s">
        <v>2083</v>
      </c>
      <c r="P452" s="5" t="s">
        <v>2090</v>
      </c>
      <c r="Q452" s="5" t="s">
        <v>2085</v>
      </c>
      <c r="R452" s="5"/>
      <c r="Y452" s="5" t="s">
        <v>2086</v>
      </c>
      <c r="AG452" s="14" t="s">
        <v>55</v>
      </c>
      <c r="AH452" s="14" t="s">
        <v>1603</v>
      </c>
      <c r="AI452" s="14" t="s">
        <v>2087</v>
      </c>
    </row>
    <row r="453" spans="1:37">
      <c r="A453" s="5" t="s">
        <v>2091</v>
      </c>
      <c r="B453" s="5" t="s">
        <v>2076</v>
      </c>
      <c r="C453" s="6" t="s">
        <v>43</v>
      </c>
      <c r="D453" s="6" t="s">
        <v>2069</v>
      </c>
      <c r="E453" s="6" t="s">
        <v>2092</v>
      </c>
      <c r="F453" s="6" t="s">
        <v>46</v>
      </c>
      <c r="G453" s="6" t="s">
        <v>2093</v>
      </c>
      <c r="H453" s="7">
        <v>59.57</v>
      </c>
      <c r="I453" s="19" t="s">
        <v>1589</v>
      </c>
      <c r="J453" s="19" t="s">
        <v>2078</v>
      </c>
      <c r="K453" s="5" t="s">
        <v>2079</v>
      </c>
      <c r="L453" s="5" t="s">
        <v>2080</v>
      </c>
      <c r="M453" s="5" t="s">
        <v>2081</v>
      </c>
      <c r="N453" s="5" t="s">
        <v>2082</v>
      </c>
      <c r="O453" s="5" t="s">
        <v>2083</v>
      </c>
      <c r="P453" s="5" t="s">
        <v>2090</v>
      </c>
      <c r="Q453" s="5" t="s">
        <v>2085</v>
      </c>
      <c r="R453" s="5"/>
      <c r="Y453" s="5" t="s">
        <v>2086</v>
      </c>
      <c r="AG453" s="14" t="s">
        <v>55</v>
      </c>
      <c r="AH453" s="14" t="s">
        <v>1603</v>
      </c>
      <c r="AI453" s="14" t="s">
        <v>2087</v>
      </c>
    </row>
    <row r="454" spans="1:37">
      <c r="A454" s="5" t="s">
        <v>2094</v>
      </c>
      <c r="B454" s="5" t="s">
        <v>2095</v>
      </c>
      <c r="C454" s="6" t="s">
        <v>43</v>
      </c>
      <c r="D454" s="6" t="s">
        <v>2069</v>
      </c>
      <c r="E454" s="6" t="s">
        <v>2070</v>
      </c>
      <c r="F454" s="6" t="s">
        <v>46</v>
      </c>
      <c r="G454" s="6" t="s">
        <v>2096</v>
      </c>
      <c r="H454" s="7">
        <v>89.05</v>
      </c>
      <c r="I454" s="19" t="s">
        <v>1589</v>
      </c>
      <c r="J454" s="19" t="s">
        <v>2078</v>
      </c>
      <c r="K454" s="5" t="s">
        <v>2097</v>
      </c>
      <c r="L454" s="5" t="s">
        <v>2098</v>
      </c>
      <c r="M454" s="5" t="s">
        <v>2099</v>
      </c>
      <c r="N454" s="5" t="s">
        <v>2100</v>
      </c>
      <c r="O454" s="5" t="s">
        <v>2101</v>
      </c>
      <c r="P454" s="5" t="s">
        <v>2102</v>
      </c>
      <c r="Q454" s="5" t="s">
        <v>2103</v>
      </c>
      <c r="R454" s="5"/>
      <c r="Y454" s="5" t="s">
        <v>2086</v>
      </c>
      <c r="AG454" s="14" t="s">
        <v>55</v>
      </c>
      <c r="AH454" s="14" t="s">
        <v>1603</v>
      </c>
      <c r="AI454" s="14" t="s">
        <v>2087</v>
      </c>
    </row>
    <row r="455" spans="1:37">
      <c r="A455" s="5" t="s">
        <v>2104</v>
      </c>
      <c r="B455" s="5" t="s">
        <v>2095</v>
      </c>
      <c r="C455" s="6" t="s">
        <v>43</v>
      </c>
      <c r="D455" s="6" t="s">
        <v>2069</v>
      </c>
      <c r="E455" s="6" t="s">
        <v>1540</v>
      </c>
      <c r="F455" s="6" t="s">
        <v>46</v>
      </c>
      <c r="G455" s="6" t="s">
        <v>2105</v>
      </c>
      <c r="H455" s="7">
        <v>89.05</v>
      </c>
      <c r="I455" s="19" t="s">
        <v>1589</v>
      </c>
      <c r="J455" s="19" t="s">
        <v>2078</v>
      </c>
      <c r="K455" s="5" t="s">
        <v>2097</v>
      </c>
      <c r="L455" s="5" t="s">
        <v>2098</v>
      </c>
      <c r="M455" s="5" t="s">
        <v>2099</v>
      </c>
      <c r="N455" s="5" t="s">
        <v>2100</v>
      </c>
      <c r="O455" s="5" t="s">
        <v>2101</v>
      </c>
      <c r="P455" s="5" t="s">
        <v>2102</v>
      </c>
      <c r="Q455" s="5" t="s">
        <v>2103</v>
      </c>
      <c r="R455" s="5"/>
      <c r="Y455" s="5" t="s">
        <v>2086</v>
      </c>
      <c r="AG455" s="14" t="s">
        <v>55</v>
      </c>
      <c r="AH455" s="14" t="s">
        <v>1603</v>
      </c>
      <c r="AI455" s="14" t="s">
        <v>2087</v>
      </c>
    </row>
    <row r="456" spans="1:37">
      <c r="A456" s="6" t="s">
        <v>2106</v>
      </c>
      <c r="B456" s="6" t="s">
        <v>2107</v>
      </c>
      <c r="C456" s="6" t="s">
        <v>43</v>
      </c>
      <c r="D456" s="6" t="s">
        <v>2069</v>
      </c>
      <c r="E456" s="6" t="s">
        <v>1540</v>
      </c>
      <c r="F456" s="6" t="s">
        <v>46</v>
      </c>
      <c r="G456" s="6" t="s">
        <v>2108</v>
      </c>
      <c r="I456" s="5" t="s">
        <v>48</v>
      </c>
      <c r="J456" s="5" t="s">
        <v>48</v>
      </c>
      <c r="K456" s="6"/>
      <c r="L456" s="6"/>
      <c r="M456" s="6"/>
      <c r="N456" s="6"/>
      <c r="O456" s="6"/>
      <c r="P456" s="6"/>
      <c r="Q456" s="6"/>
      <c r="R456" s="6"/>
      <c r="S456" s="6"/>
      <c r="T456" s="6"/>
      <c r="U456" s="6"/>
      <c r="V456" s="6"/>
      <c r="W456" s="6"/>
      <c r="X456" s="6"/>
      <c r="Y456" s="6"/>
      <c r="Z456" s="6"/>
      <c r="AA456" s="6"/>
      <c r="AB456" s="6"/>
      <c r="AC456" s="6"/>
      <c r="AD456" s="6"/>
      <c r="AE456" s="6"/>
      <c r="AF456" s="6"/>
      <c r="AG456" s="15" t="s">
        <v>55</v>
      </c>
      <c r="AH456" s="15"/>
      <c r="AI456" s="15"/>
      <c r="AJ456" s="6"/>
      <c r="AK456" s="6"/>
    </row>
    <row r="457" spans="1:37" s="6" customFormat="1">
      <c r="A457" s="6" t="s">
        <v>2109</v>
      </c>
      <c r="B457" s="6" t="s">
        <v>2110</v>
      </c>
      <c r="C457" s="6" t="s">
        <v>43</v>
      </c>
      <c r="D457" s="6" t="s">
        <v>2069</v>
      </c>
      <c r="E457" s="6" t="s">
        <v>1540</v>
      </c>
      <c r="F457" s="6" t="s">
        <v>46</v>
      </c>
      <c r="G457" s="6" t="s">
        <v>2111</v>
      </c>
      <c r="H457" s="7"/>
      <c r="I457" s="5" t="s">
        <v>48</v>
      </c>
      <c r="J457" s="5" t="s">
        <v>48</v>
      </c>
      <c r="AG457" s="15" t="s">
        <v>55</v>
      </c>
      <c r="AH457" s="15"/>
      <c r="AI457" s="15"/>
    </row>
    <row r="458" spans="1:37" s="6" customFormat="1">
      <c r="A458" s="5" t="s">
        <v>2112</v>
      </c>
      <c r="B458" s="5" t="s">
        <v>2113</v>
      </c>
      <c r="C458" s="6" t="s">
        <v>43</v>
      </c>
      <c r="D458" s="6" t="s">
        <v>2114</v>
      </c>
      <c r="E458" s="6" t="s">
        <v>1386</v>
      </c>
      <c r="F458" s="6" t="s">
        <v>46</v>
      </c>
      <c r="G458" s="6" t="s">
        <v>2115</v>
      </c>
      <c r="H458" s="7">
        <v>33.28</v>
      </c>
      <c r="I458" s="19" t="s">
        <v>1589</v>
      </c>
      <c r="J458" s="19" t="s">
        <v>2001</v>
      </c>
      <c r="K458" s="5" t="s">
        <v>2116</v>
      </c>
      <c r="L458" s="5" t="s">
        <v>2117</v>
      </c>
      <c r="M458" s="5" t="s">
        <v>2118</v>
      </c>
      <c r="N458" s="5" t="s">
        <v>2119</v>
      </c>
      <c r="O458" s="5" t="s">
        <v>2120</v>
      </c>
      <c r="P458" s="5" t="s">
        <v>2121</v>
      </c>
      <c r="Q458" s="5" t="s">
        <v>2122</v>
      </c>
      <c r="R458" s="5"/>
      <c r="S458" s="5"/>
      <c r="T458" s="5"/>
      <c r="U458" s="5"/>
      <c r="V458" s="5"/>
      <c r="W458" s="5" t="s">
        <v>2123</v>
      </c>
      <c r="X458" s="5" t="s">
        <v>2011</v>
      </c>
      <c r="Y458" s="5" t="s">
        <v>2012</v>
      </c>
      <c r="Z458" s="5" t="s">
        <v>2013</v>
      </c>
      <c r="AA458" s="5"/>
      <c r="AB458" s="5"/>
      <c r="AC458" s="5"/>
      <c r="AD458" s="5"/>
      <c r="AE458" s="5"/>
      <c r="AF458" s="5"/>
      <c r="AG458" s="14" t="s">
        <v>55</v>
      </c>
      <c r="AH458" s="14" t="s">
        <v>1603</v>
      </c>
      <c r="AI458" s="14" t="s">
        <v>124</v>
      </c>
      <c r="AJ458" s="5"/>
      <c r="AK458" s="5"/>
    </row>
    <row r="459" spans="1:37">
      <c r="A459" s="5" t="s">
        <v>2124</v>
      </c>
      <c r="B459" s="5" t="s">
        <v>2113</v>
      </c>
      <c r="C459" s="6" t="s">
        <v>43</v>
      </c>
      <c r="D459" s="6" t="s">
        <v>2114</v>
      </c>
      <c r="E459" s="6" t="s">
        <v>2015</v>
      </c>
      <c r="F459" s="6" t="s">
        <v>46</v>
      </c>
      <c r="G459" s="6" t="s">
        <v>2125</v>
      </c>
      <c r="H459" s="7">
        <v>33.28</v>
      </c>
      <c r="I459" s="19" t="s">
        <v>1589</v>
      </c>
      <c r="J459" s="19" t="s">
        <v>2001</v>
      </c>
      <c r="K459" s="5" t="s">
        <v>2116</v>
      </c>
      <c r="L459" s="5" t="s">
        <v>2117</v>
      </c>
      <c r="M459" s="5" t="s">
        <v>2118</v>
      </c>
      <c r="N459" s="5" t="s">
        <v>2119</v>
      </c>
      <c r="O459" s="5" t="s">
        <v>2120</v>
      </c>
      <c r="P459" s="5" t="s">
        <v>2126</v>
      </c>
      <c r="Q459" s="5" t="s">
        <v>2122</v>
      </c>
      <c r="R459" s="5"/>
      <c r="W459" s="5" t="s">
        <v>2123</v>
      </c>
      <c r="X459" s="5" t="s">
        <v>2011</v>
      </c>
      <c r="Y459" s="5" t="s">
        <v>2012</v>
      </c>
      <c r="Z459" s="5" t="s">
        <v>2013</v>
      </c>
      <c r="AG459" s="14" t="s">
        <v>55</v>
      </c>
      <c r="AH459" s="14" t="s">
        <v>1603</v>
      </c>
      <c r="AI459" s="14" t="s">
        <v>124</v>
      </c>
    </row>
    <row r="460" spans="1:37">
      <c r="A460" s="5" t="s">
        <v>2127</v>
      </c>
      <c r="B460" s="5" t="s">
        <v>2128</v>
      </c>
      <c r="C460" s="6" t="s">
        <v>43</v>
      </c>
      <c r="D460" s="6" t="s">
        <v>2114</v>
      </c>
      <c r="E460" s="6" t="s">
        <v>2129</v>
      </c>
      <c r="F460" s="6" t="s">
        <v>46</v>
      </c>
      <c r="G460" s="6" t="s">
        <v>2130</v>
      </c>
      <c r="H460" s="7">
        <v>43.34</v>
      </c>
      <c r="I460" s="19" t="s">
        <v>1589</v>
      </c>
      <c r="J460" s="19" t="s">
        <v>2001</v>
      </c>
      <c r="K460" s="5" t="s">
        <v>2131</v>
      </c>
      <c r="L460" s="5" t="s">
        <v>2132</v>
      </c>
      <c r="M460" s="5" t="s">
        <v>2133</v>
      </c>
      <c r="N460" s="5" t="s">
        <v>2134</v>
      </c>
      <c r="O460" s="5" t="s">
        <v>2135</v>
      </c>
      <c r="P460" s="5" t="s">
        <v>2136</v>
      </c>
      <c r="Q460" s="5" t="s">
        <v>2137</v>
      </c>
      <c r="R460" s="5"/>
      <c r="W460" s="5" t="s">
        <v>2123</v>
      </c>
      <c r="X460" s="5" t="s">
        <v>2011</v>
      </c>
      <c r="Y460" s="5" t="s">
        <v>2012</v>
      </c>
      <c r="Z460" s="5" t="s">
        <v>2013</v>
      </c>
      <c r="AG460" s="14" t="s">
        <v>55</v>
      </c>
      <c r="AH460" s="14" t="s">
        <v>1603</v>
      </c>
      <c r="AI460" s="14" t="s">
        <v>124</v>
      </c>
    </row>
    <row r="461" spans="1:37">
      <c r="A461" s="5" t="s">
        <v>2138</v>
      </c>
      <c r="B461" s="5" t="s">
        <v>2128</v>
      </c>
      <c r="C461" s="6" t="s">
        <v>43</v>
      </c>
      <c r="D461" s="6" t="s">
        <v>2114</v>
      </c>
      <c r="E461" s="6" t="s">
        <v>2139</v>
      </c>
      <c r="F461" s="6" t="s">
        <v>46</v>
      </c>
      <c r="G461" s="6" t="s">
        <v>2140</v>
      </c>
      <c r="H461" s="7">
        <v>43.34</v>
      </c>
      <c r="I461" s="19" t="s">
        <v>1589</v>
      </c>
      <c r="J461" s="19" t="s">
        <v>2001</v>
      </c>
      <c r="K461" s="5" t="s">
        <v>2131</v>
      </c>
      <c r="L461" s="5" t="s">
        <v>2132</v>
      </c>
      <c r="M461" s="5" t="s">
        <v>2133</v>
      </c>
      <c r="N461" s="5" t="s">
        <v>2134</v>
      </c>
      <c r="O461" s="5" t="s">
        <v>2135</v>
      </c>
      <c r="P461" s="5" t="s">
        <v>2136</v>
      </c>
      <c r="Q461" s="5" t="s">
        <v>2137</v>
      </c>
      <c r="R461" s="5"/>
      <c r="W461" s="5" t="s">
        <v>2123</v>
      </c>
      <c r="X461" s="5" t="s">
        <v>2011</v>
      </c>
      <c r="Y461" s="5" t="s">
        <v>2012</v>
      </c>
      <c r="Z461" s="5" t="s">
        <v>2013</v>
      </c>
      <c r="AG461" s="14" t="s">
        <v>55</v>
      </c>
      <c r="AH461" s="14" t="s">
        <v>1603</v>
      </c>
      <c r="AI461" s="14" t="s">
        <v>124</v>
      </c>
    </row>
    <row r="462" spans="1:37">
      <c r="A462" s="5" t="s">
        <v>2141</v>
      </c>
      <c r="B462" s="5" t="s">
        <v>2128</v>
      </c>
      <c r="C462" s="6" t="s">
        <v>43</v>
      </c>
      <c r="D462" s="6" t="s">
        <v>2114</v>
      </c>
      <c r="E462" s="6" t="s">
        <v>1386</v>
      </c>
      <c r="F462" s="6" t="s">
        <v>46</v>
      </c>
      <c r="G462" s="6" t="s">
        <v>2142</v>
      </c>
      <c r="H462" s="7">
        <v>43.34</v>
      </c>
      <c r="I462" s="19" t="s">
        <v>1589</v>
      </c>
      <c r="J462" s="19" t="s">
        <v>2001</v>
      </c>
      <c r="K462" s="5" t="s">
        <v>2131</v>
      </c>
      <c r="L462" s="5" t="s">
        <v>2132</v>
      </c>
      <c r="M462" s="5" t="s">
        <v>2133</v>
      </c>
      <c r="N462" s="5" t="s">
        <v>2134</v>
      </c>
      <c r="O462" s="5" t="s">
        <v>2135</v>
      </c>
      <c r="P462" s="5" t="s">
        <v>2136</v>
      </c>
      <c r="Q462" s="5" t="s">
        <v>2137</v>
      </c>
      <c r="R462" s="5"/>
      <c r="W462" s="5" t="s">
        <v>2123</v>
      </c>
      <c r="X462" s="5" t="s">
        <v>2011</v>
      </c>
      <c r="Y462" s="5" t="s">
        <v>2012</v>
      </c>
      <c r="Z462" s="5" t="s">
        <v>2013</v>
      </c>
      <c r="AG462" s="14" t="s">
        <v>55</v>
      </c>
      <c r="AH462" s="14" t="s">
        <v>1603</v>
      </c>
      <c r="AI462" s="14" t="s">
        <v>124</v>
      </c>
    </row>
    <row r="463" spans="1:37">
      <c r="A463" s="5" t="s">
        <v>2143</v>
      </c>
      <c r="B463" s="5" t="s">
        <v>2128</v>
      </c>
      <c r="C463" s="6" t="s">
        <v>43</v>
      </c>
      <c r="D463" s="6" t="s">
        <v>2114</v>
      </c>
      <c r="E463" s="6" t="s">
        <v>2015</v>
      </c>
      <c r="F463" s="6" t="s">
        <v>46</v>
      </c>
      <c r="G463" s="6" t="s">
        <v>2144</v>
      </c>
      <c r="H463" s="7">
        <v>43.34</v>
      </c>
      <c r="I463" s="19" t="s">
        <v>1589</v>
      </c>
      <c r="J463" s="19" t="s">
        <v>2001</v>
      </c>
      <c r="K463" s="5" t="s">
        <v>2131</v>
      </c>
      <c r="L463" s="5" t="s">
        <v>2132</v>
      </c>
      <c r="M463" s="5" t="s">
        <v>2133</v>
      </c>
      <c r="N463" s="5" t="s">
        <v>2134</v>
      </c>
      <c r="O463" s="5" t="s">
        <v>2135</v>
      </c>
      <c r="P463" s="5" t="s">
        <v>2136</v>
      </c>
      <c r="Q463" s="5" t="s">
        <v>2137</v>
      </c>
      <c r="R463" s="5"/>
      <c r="W463" s="5" t="s">
        <v>2123</v>
      </c>
      <c r="X463" s="5" t="s">
        <v>2011</v>
      </c>
      <c r="Y463" s="5" t="s">
        <v>2012</v>
      </c>
      <c r="Z463" s="5" t="s">
        <v>2013</v>
      </c>
      <c r="AG463" s="14" t="s">
        <v>55</v>
      </c>
      <c r="AH463" s="14" t="s">
        <v>1603</v>
      </c>
      <c r="AI463" s="14" t="s">
        <v>124</v>
      </c>
    </row>
    <row r="464" spans="1:37">
      <c r="A464" s="5" t="s">
        <v>2145</v>
      </c>
      <c r="B464" s="5" t="s">
        <v>2146</v>
      </c>
      <c r="C464" s="6" t="s">
        <v>43</v>
      </c>
      <c r="D464" s="6" t="s">
        <v>2114</v>
      </c>
      <c r="E464" s="6" t="s">
        <v>2139</v>
      </c>
      <c r="F464" s="6" t="s">
        <v>46</v>
      </c>
      <c r="G464" s="6" t="s">
        <v>2147</v>
      </c>
      <c r="H464" s="7">
        <v>45.76</v>
      </c>
      <c r="I464" s="19" t="s">
        <v>1589</v>
      </c>
      <c r="J464" s="19" t="s">
        <v>2001</v>
      </c>
      <c r="K464" s="6" t="s">
        <v>2148</v>
      </c>
      <c r="L464" s="6" t="s">
        <v>2149</v>
      </c>
      <c r="M464" s="6" t="s">
        <v>2150</v>
      </c>
      <c r="N464" s="6" t="s">
        <v>2151</v>
      </c>
      <c r="O464" s="6" t="s">
        <v>2152</v>
      </c>
      <c r="P464" s="6" t="s">
        <v>2153</v>
      </c>
      <c r="Q464" s="6" t="s">
        <v>2154</v>
      </c>
      <c r="R464" s="6"/>
      <c r="S464" s="6"/>
      <c r="T464" s="6"/>
      <c r="U464" s="6"/>
      <c r="W464" s="20" t="s">
        <v>2010</v>
      </c>
      <c r="X464" s="20" t="s">
        <v>2011</v>
      </c>
      <c r="Y464" s="20" t="s">
        <v>2012</v>
      </c>
      <c r="Z464" s="20" t="s">
        <v>2013</v>
      </c>
      <c r="AG464" s="14" t="s">
        <v>55</v>
      </c>
      <c r="AH464" s="14" t="s">
        <v>1603</v>
      </c>
      <c r="AI464" s="14" t="s">
        <v>124</v>
      </c>
    </row>
    <row r="465" spans="1:37">
      <c r="A465" s="5" t="s">
        <v>2155</v>
      </c>
      <c r="B465" s="5" t="s">
        <v>2146</v>
      </c>
      <c r="C465" s="6" t="s">
        <v>43</v>
      </c>
      <c r="D465" s="6" t="s">
        <v>2114</v>
      </c>
      <c r="E465" s="6" t="s">
        <v>1386</v>
      </c>
      <c r="F465" s="6" t="s">
        <v>46</v>
      </c>
      <c r="G465" s="6" t="s">
        <v>2156</v>
      </c>
      <c r="H465" s="7">
        <v>45.76</v>
      </c>
      <c r="I465" s="19" t="s">
        <v>1589</v>
      </c>
      <c r="J465" s="19" t="s">
        <v>2001</v>
      </c>
      <c r="K465" s="6" t="s">
        <v>2148</v>
      </c>
      <c r="L465" s="6" t="s">
        <v>2149</v>
      </c>
      <c r="M465" s="6" t="s">
        <v>2150</v>
      </c>
      <c r="N465" s="6" t="s">
        <v>2151</v>
      </c>
      <c r="O465" s="6" t="s">
        <v>2152</v>
      </c>
      <c r="P465" s="6" t="s">
        <v>2153</v>
      </c>
      <c r="Q465" s="6" t="s">
        <v>2154</v>
      </c>
      <c r="R465" s="5"/>
      <c r="W465" s="20" t="s">
        <v>2010</v>
      </c>
      <c r="X465" s="20" t="s">
        <v>2011</v>
      </c>
      <c r="Y465" s="20" t="s">
        <v>2012</v>
      </c>
      <c r="Z465" s="20" t="s">
        <v>2013</v>
      </c>
      <c r="AG465" s="14" t="s">
        <v>55</v>
      </c>
      <c r="AH465" s="14" t="s">
        <v>1603</v>
      </c>
      <c r="AI465" s="14" t="s">
        <v>124</v>
      </c>
    </row>
    <row r="466" spans="1:37">
      <c r="A466" s="5" t="s">
        <v>2157</v>
      </c>
      <c r="B466" s="5" t="s">
        <v>2146</v>
      </c>
      <c r="C466" s="6" t="s">
        <v>43</v>
      </c>
      <c r="D466" s="6" t="s">
        <v>2114</v>
      </c>
      <c r="E466" s="6" t="s">
        <v>2015</v>
      </c>
      <c r="F466" s="6" t="s">
        <v>46</v>
      </c>
      <c r="G466" s="6" t="s">
        <v>2158</v>
      </c>
      <c r="H466" s="7">
        <v>45.76</v>
      </c>
      <c r="I466" s="19" t="s">
        <v>1589</v>
      </c>
      <c r="J466" s="19" t="s">
        <v>2001</v>
      </c>
      <c r="K466" s="6" t="s">
        <v>2148</v>
      </c>
      <c r="L466" s="6" t="s">
        <v>2149</v>
      </c>
      <c r="M466" s="6" t="s">
        <v>2150</v>
      </c>
      <c r="N466" s="6" t="s">
        <v>2151</v>
      </c>
      <c r="O466" s="6" t="s">
        <v>2152</v>
      </c>
      <c r="P466" s="6" t="s">
        <v>2153</v>
      </c>
      <c r="Q466" s="6" t="s">
        <v>2154</v>
      </c>
      <c r="R466" s="5"/>
      <c r="W466" s="20" t="s">
        <v>2010</v>
      </c>
      <c r="X466" s="20" t="s">
        <v>2011</v>
      </c>
      <c r="Y466" s="20" t="s">
        <v>2012</v>
      </c>
      <c r="Z466" s="20" t="s">
        <v>2013</v>
      </c>
      <c r="AG466" s="14" t="s">
        <v>55</v>
      </c>
      <c r="AH466" s="14" t="s">
        <v>1603</v>
      </c>
      <c r="AI466" s="14" t="s">
        <v>124</v>
      </c>
    </row>
    <row r="467" spans="1:37">
      <c r="A467" s="5" t="s">
        <v>2159</v>
      </c>
      <c r="B467" s="5" t="s">
        <v>2160</v>
      </c>
      <c r="C467" s="6" t="s">
        <v>43</v>
      </c>
      <c r="D467" s="6" t="s">
        <v>2114</v>
      </c>
      <c r="E467" s="6" t="s">
        <v>1386</v>
      </c>
      <c r="F467" s="6" t="s">
        <v>46</v>
      </c>
      <c r="G467" s="6" t="s">
        <v>2161</v>
      </c>
      <c r="H467" s="7">
        <v>54.45</v>
      </c>
      <c r="I467" s="19" t="s">
        <v>1589</v>
      </c>
      <c r="J467" s="19" t="s">
        <v>2162</v>
      </c>
      <c r="K467" s="5" t="s">
        <v>2163</v>
      </c>
      <c r="L467" s="5" t="s">
        <v>2164</v>
      </c>
      <c r="M467" s="5" t="s">
        <v>2165</v>
      </c>
      <c r="N467" s="5" t="s">
        <v>2166</v>
      </c>
      <c r="O467" s="5" t="s">
        <v>2167</v>
      </c>
      <c r="P467" s="5" t="s">
        <v>2168</v>
      </c>
      <c r="Q467" s="5" t="s">
        <v>2169</v>
      </c>
      <c r="R467" s="5"/>
      <c r="W467" s="5" t="s">
        <v>2170</v>
      </c>
      <c r="X467" s="5" t="s">
        <v>2171</v>
      </c>
      <c r="Y467" s="5" t="s">
        <v>2172</v>
      </c>
      <c r="Z467" s="5" t="s">
        <v>2173</v>
      </c>
      <c r="AG467" s="14" t="s">
        <v>55</v>
      </c>
      <c r="AH467" s="14" t="s">
        <v>1603</v>
      </c>
      <c r="AI467" s="14" t="s">
        <v>124</v>
      </c>
    </row>
    <row r="468" spans="1:37">
      <c r="A468" s="5" t="s">
        <v>2174</v>
      </c>
      <c r="B468" s="5" t="s">
        <v>2175</v>
      </c>
      <c r="C468" s="6" t="s">
        <v>43</v>
      </c>
      <c r="D468" s="6" t="s">
        <v>2114</v>
      </c>
      <c r="E468" s="6" t="s">
        <v>1386</v>
      </c>
      <c r="F468" s="6" t="s">
        <v>46</v>
      </c>
      <c r="G468" s="6" t="s">
        <v>2176</v>
      </c>
      <c r="H468" s="7">
        <v>65.34</v>
      </c>
      <c r="I468" s="19" t="s">
        <v>1589</v>
      </c>
      <c r="J468" s="19" t="s">
        <v>2001</v>
      </c>
      <c r="K468" s="6" t="s">
        <v>2177</v>
      </c>
      <c r="L468" s="6" t="s">
        <v>2178</v>
      </c>
      <c r="M468" s="6" t="s">
        <v>2179</v>
      </c>
      <c r="N468" s="6" t="s">
        <v>2180</v>
      </c>
      <c r="O468" s="6" t="s">
        <v>2181</v>
      </c>
      <c r="P468" s="6" t="s">
        <v>2182</v>
      </c>
      <c r="Q468" s="6" t="s">
        <v>2183</v>
      </c>
      <c r="R468" s="5"/>
      <c r="S468" s="6"/>
      <c r="T468" s="6"/>
      <c r="U468" s="6"/>
      <c r="W468" s="20" t="s">
        <v>2010</v>
      </c>
      <c r="X468" s="20" t="s">
        <v>2011</v>
      </c>
      <c r="Y468" s="20" t="s">
        <v>2012</v>
      </c>
      <c r="Z468" s="20" t="s">
        <v>2013</v>
      </c>
      <c r="AG468" s="14" t="s">
        <v>55</v>
      </c>
      <c r="AH468" s="14" t="s">
        <v>1603</v>
      </c>
      <c r="AI468" s="14" t="s">
        <v>124</v>
      </c>
    </row>
    <row r="469" spans="1:37">
      <c r="A469" s="6" t="s">
        <v>2184</v>
      </c>
      <c r="B469" s="6" t="s">
        <v>2185</v>
      </c>
      <c r="C469" s="6" t="s">
        <v>43</v>
      </c>
      <c r="D469" s="6" t="s">
        <v>239</v>
      </c>
      <c r="E469" s="6" t="s">
        <v>1540</v>
      </c>
      <c r="F469" s="6" t="s">
        <v>46</v>
      </c>
      <c r="G469" s="6" t="s">
        <v>2186</v>
      </c>
      <c r="I469" s="5" t="s">
        <v>48</v>
      </c>
      <c r="J469" s="5" t="s">
        <v>48</v>
      </c>
      <c r="K469" s="6"/>
      <c r="L469" s="6"/>
      <c r="M469" s="6"/>
      <c r="N469" s="6"/>
      <c r="O469" s="6"/>
      <c r="P469" s="6"/>
      <c r="Q469" s="6"/>
      <c r="R469" s="6"/>
      <c r="S469" s="6"/>
      <c r="T469" s="6"/>
      <c r="U469" s="6"/>
      <c r="V469" s="6"/>
      <c r="W469" s="6"/>
      <c r="X469" s="6"/>
      <c r="Y469" s="6"/>
      <c r="Z469" s="6"/>
      <c r="AA469" s="6"/>
      <c r="AB469" s="6"/>
      <c r="AC469" s="6"/>
      <c r="AD469" s="6"/>
      <c r="AE469" s="6"/>
      <c r="AF469" s="6"/>
      <c r="AG469" s="15" t="s">
        <v>55</v>
      </c>
      <c r="AH469" s="15"/>
      <c r="AI469" s="15"/>
      <c r="AJ469" s="6"/>
      <c r="AK469" s="6"/>
    </row>
    <row r="470" spans="1:37" s="6" customFormat="1">
      <c r="A470" s="5" t="s">
        <v>2187</v>
      </c>
      <c r="B470" s="5" t="s">
        <v>2188</v>
      </c>
      <c r="C470" s="6" t="s">
        <v>43</v>
      </c>
      <c r="D470" s="6" t="s">
        <v>2189</v>
      </c>
      <c r="E470" s="6" t="s">
        <v>1587</v>
      </c>
      <c r="F470" s="6" t="s">
        <v>46</v>
      </c>
      <c r="G470" s="6" t="s">
        <v>2190</v>
      </c>
      <c r="H470" s="7">
        <v>42.63</v>
      </c>
      <c r="I470" s="19" t="s">
        <v>1589</v>
      </c>
      <c r="J470" s="19" t="s">
        <v>2191</v>
      </c>
      <c r="K470" s="5" t="s">
        <v>2192</v>
      </c>
      <c r="L470" s="5" t="s">
        <v>2193</v>
      </c>
      <c r="M470" s="5" t="s">
        <v>2194</v>
      </c>
      <c r="N470" s="5" t="s">
        <v>2195</v>
      </c>
      <c r="O470" s="5" t="s">
        <v>2196</v>
      </c>
      <c r="P470" s="5" t="s">
        <v>2197</v>
      </c>
      <c r="Q470" s="5" t="s">
        <v>2198</v>
      </c>
      <c r="R470" s="5"/>
      <c r="S470" s="5"/>
      <c r="T470" s="5"/>
      <c r="U470" s="5"/>
      <c r="V470" s="5"/>
      <c r="W470" s="5"/>
      <c r="X470" s="5"/>
      <c r="Y470" s="5" t="s">
        <v>2086</v>
      </c>
      <c r="Z470" s="5"/>
      <c r="AA470" s="5"/>
      <c r="AB470" s="5"/>
      <c r="AC470" s="5"/>
      <c r="AD470" s="5"/>
      <c r="AE470" s="5"/>
      <c r="AF470" s="5"/>
      <c r="AG470" s="14" t="s">
        <v>55</v>
      </c>
      <c r="AH470" s="14" t="s">
        <v>1603</v>
      </c>
      <c r="AI470" s="14" t="s">
        <v>2087</v>
      </c>
      <c r="AJ470" s="5"/>
      <c r="AK470" s="5"/>
    </row>
    <row r="471" spans="1:37">
      <c r="A471" s="5" t="s">
        <v>2199</v>
      </c>
      <c r="B471" s="5" t="s">
        <v>2200</v>
      </c>
      <c r="C471" s="6" t="s">
        <v>43</v>
      </c>
      <c r="D471" s="6" t="s">
        <v>2189</v>
      </c>
      <c r="E471" s="6" t="s">
        <v>2139</v>
      </c>
      <c r="F471" s="6" t="s">
        <v>46</v>
      </c>
      <c r="G471" s="6" t="s">
        <v>2201</v>
      </c>
      <c r="H471" s="7">
        <v>42.63</v>
      </c>
      <c r="I471" s="19" t="s">
        <v>1589</v>
      </c>
      <c r="J471" s="19" t="s">
        <v>2191</v>
      </c>
      <c r="K471" s="5" t="s">
        <v>2192</v>
      </c>
      <c r="L471" s="5" t="s">
        <v>2193</v>
      </c>
      <c r="M471" s="5" t="s">
        <v>2194</v>
      </c>
      <c r="N471" s="5" t="s">
        <v>2195</v>
      </c>
      <c r="O471" s="5" t="s">
        <v>2196</v>
      </c>
      <c r="P471" s="5" t="s">
        <v>2197</v>
      </c>
      <c r="Q471" s="5" t="s">
        <v>2198</v>
      </c>
      <c r="R471" s="5"/>
      <c r="Y471" s="5" t="s">
        <v>2086</v>
      </c>
      <c r="AG471" s="14" t="s">
        <v>55</v>
      </c>
      <c r="AH471" s="14" t="s">
        <v>1603</v>
      </c>
      <c r="AI471" s="14" t="s">
        <v>2087</v>
      </c>
    </row>
    <row r="472" spans="1:37">
      <c r="A472" s="5" t="s">
        <v>2202</v>
      </c>
      <c r="B472" s="5" t="s">
        <v>2188</v>
      </c>
      <c r="C472" s="6" t="s">
        <v>43</v>
      </c>
      <c r="D472" s="6" t="s">
        <v>2189</v>
      </c>
      <c r="E472" s="6" t="s">
        <v>1386</v>
      </c>
      <c r="F472" s="6" t="s">
        <v>46</v>
      </c>
      <c r="G472" s="6" t="s">
        <v>2203</v>
      </c>
      <c r="H472" s="7">
        <v>42.63</v>
      </c>
      <c r="I472" s="19" t="s">
        <v>1589</v>
      </c>
      <c r="J472" s="19" t="s">
        <v>2191</v>
      </c>
      <c r="K472" s="5" t="s">
        <v>2192</v>
      </c>
      <c r="L472" s="5" t="s">
        <v>2193</v>
      </c>
      <c r="M472" s="5" t="s">
        <v>2194</v>
      </c>
      <c r="N472" s="5" t="s">
        <v>2195</v>
      </c>
      <c r="O472" s="5" t="s">
        <v>2196</v>
      </c>
      <c r="P472" s="5" t="s">
        <v>2197</v>
      </c>
      <c r="Q472" s="5" t="s">
        <v>2198</v>
      </c>
      <c r="R472" s="5"/>
      <c r="Y472" s="5" t="s">
        <v>2086</v>
      </c>
      <c r="AG472" s="14" t="s">
        <v>55</v>
      </c>
      <c r="AH472" s="14" t="s">
        <v>1603</v>
      </c>
      <c r="AI472" s="14" t="s">
        <v>2087</v>
      </c>
    </row>
    <row r="473" spans="1:37">
      <c r="A473" s="5" t="s">
        <v>2204</v>
      </c>
      <c r="B473" s="5" t="s">
        <v>2188</v>
      </c>
      <c r="C473" s="6" t="s">
        <v>43</v>
      </c>
      <c r="D473" s="6" t="s">
        <v>2189</v>
      </c>
      <c r="E473" s="6" t="s">
        <v>2015</v>
      </c>
      <c r="F473" s="6" t="s">
        <v>46</v>
      </c>
      <c r="G473" s="6" t="s">
        <v>2205</v>
      </c>
      <c r="H473" s="7">
        <v>42.63</v>
      </c>
      <c r="I473" s="19" t="s">
        <v>1589</v>
      </c>
      <c r="J473" s="19" t="s">
        <v>2191</v>
      </c>
      <c r="K473" s="5" t="s">
        <v>2192</v>
      </c>
      <c r="L473" s="5" t="s">
        <v>2193</v>
      </c>
      <c r="M473" s="5" t="s">
        <v>2194</v>
      </c>
      <c r="N473" s="5" t="s">
        <v>2195</v>
      </c>
      <c r="O473" s="5" t="s">
        <v>2196</v>
      </c>
      <c r="P473" s="5" t="s">
        <v>2197</v>
      </c>
      <c r="Q473" s="5" t="s">
        <v>2198</v>
      </c>
      <c r="R473" s="5"/>
      <c r="Y473" s="5" t="s">
        <v>2086</v>
      </c>
      <c r="AG473" s="14" t="s">
        <v>55</v>
      </c>
      <c r="AH473" s="14" t="s">
        <v>1603</v>
      </c>
      <c r="AI473" s="14" t="s">
        <v>2087</v>
      </c>
    </row>
    <row r="474" spans="1:37">
      <c r="A474" s="6" t="s">
        <v>2206</v>
      </c>
      <c r="B474" s="6" t="s">
        <v>2207</v>
      </c>
      <c r="C474" s="6" t="s">
        <v>2208</v>
      </c>
      <c r="D474" s="6" t="s">
        <v>2189</v>
      </c>
      <c r="E474" s="6" t="s">
        <v>2209</v>
      </c>
      <c r="F474" s="6" t="s">
        <v>46</v>
      </c>
      <c r="G474" s="6" t="s">
        <v>1938</v>
      </c>
      <c r="I474" s="19" t="s">
        <v>48</v>
      </c>
      <c r="J474" s="19" t="s">
        <v>48</v>
      </c>
      <c r="K474" s="6"/>
      <c r="L474" s="6"/>
      <c r="M474" s="6"/>
      <c r="N474" s="6"/>
      <c r="O474" s="6"/>
      <c r="P474" s="6"/>
      <c r="Q474" s="6"/>
      <c r="R474" s="6"/>
      <c r="S474" s="6"/>
      <c r="T474" s="6"/>
      <c r="U474" s="6"/>
      <c r="V474" s="6"/>
      <c r="W474" s="6"/>
      <c r="X474" s="6"/>
      <c r="Y474" s="6"/>
      <c r="Z474" s="6"/>
      <c r="AA474" s="6"/>
      <c r="AB474" s="6"/>
      <c r="AC474" s="6"/>
      <c r="AD474" s="6"/>
      <c r="AE474" s="6"/>
      <c r="AF474" s="6"/>
      <c r="AG474" s="15" t="s">
        <v>55</v>
      </c>
      <c r="AH474" s="15"/>
      <c r="AI474" s="15"/>
      <c r="AJ474" s="6"/>
      <c r="AK474" s="6"/>
    </row>
    <row r="475" spans="1:37" s="6" customFormat="1">
      <c r="A475" s="5" t="s">
        <v>2210</v>
      </c>
      <c r="B475" s="5" t="s">
        <v>2188</v>
      </c>
      <c r="C475" s="6" t="s">
        <v>43</v>
      </c>
      <c r="D475" s="6" t="s">
        <v>2189</v>
      </c>
      <c r="E475" s="6" t="s">
        <v>2065</v>
      </c>
      <c r="F475" s="6" t="s">
        <v>46</v>
      </c>
      <c r="G475" s="6" t="s">
        <v>2211</v>
      </c>
      <c r="H475" s="7">
        <v>42.63</v>
      </c>
      <c r="I475" s="19" t="s">
        <v>1589</v>
      </c>
      <c r="J475" s="19" t="s">
        <v>2191</v>
      </c>
      <c r="K475" s="5" t="s">
        <v>2192</v>
      </c>
      <c r="L475" s="5" t="s">
        <v>2193</v>
      </c>
      <c r="M475" s="5" t="s">
        <v>2194</v>
      </c>
      <c r="N475" s="5" t="s">
        <v>2195</v>
      </c>
      <c r="O475" s="5" t="s">
        <v>2196</v>
      </c>
      <c r="P475" s="5" t="s">
        <v>2197</v>
      </c>
      <c r="Q475" s="5" t="s">
        <v>2198</v>
      </c>
      <c r="R475" s="5"/>
      <c r="S475" s="5"/>
      <c r="T475" s="5"/>
      <c r="U475" s="5"/>
      <c r="V475" s="5"/>
      <c r="W475" s="5"/>
      <c r="X475" s="5"/>
      <c r="Y475" s="5" t="s">
        <v>2086</v>
      </c>
      <c r="Z475" s="5"/>
      <c r="AA475" s="5"/>
      <c r="AB475" s="5"/>
      <c r="AC475" s="5"/>
      <c r="AD475" s="5"/>
      <c r="AE475" s="5"/>
      <c r="AF475" s="5"/>
      <c r="AG475" s="14" t="s">
        <v>55</v>
      </c>
      <c r="AH475" s="14" t="s">
        <v>1603</v>
      </c>
      <c r="AI475" s="14" t="s">
        <v>2087</v>
      </c>
      <c r="AJ475" s="5"/>
      <c r="AK475" s="5"/>
    </row>
    <row r="476" spans="1:37">
      <c r="A476" s="6" t="s">
        <v>2212</v>
      </c>
      <c r="B476" s="6" t="s">
        <v>2213</v>
      </c>
      <c r="C476" s="6" t="s">
        <v>43</v>
      </c>
      <c r="D476" s="6" t="s">
        <v>2189</v>
      </c>
      <c r="E476" s="6" t="s">
        <v>2015</v>
      </c>
      <c r="F476" s="6" t="s">
        <v>46</v>
      </c>
      <c r="G476" s="6" t="s">
        <v>2214</v>
      </c>
      <c r="I476" s="19" t="s">
        <v>48</v>
      </c>
      <c r="J476" s="19" t="s">
        <v>48</v>
      </c>
      <c r="K476" s="6"/>
      <c r="L476" s="6"/>
      <c r="M476" s="6"/>
      <c r="N476" s="6"/>
      <c r="O476" s="6"/>
      <c r="P476" s="6"/>
      <c r="Q476" s="6"/>
      <c r="R476" s="6"/>
      <c r="S476" s="6"/>
      <c r="T476" s="6"/>
      <c r="U476" s="6"/>
      <c r="V476" s="6"/>
      <c r="W476" s="6"/>
      <c r="X476" s="6"/>
      <c r="Y476" s="6"/>
      <c r="Z476" s="6"/>
      <c r="AA476" s="6"/>
      <c r="AB476" s="6"/>
      <c r="AC476" s="6"/>
      <c r="AD476" s="6"/>
      <c r="AE476" s="6"/>
      <c r="AF476" s="6"/>
      <c r="AG476" s="15" t="s">
        <v>55</v>
      </c>
      <c r="AH476" s="15"/>
      <c r="AI476" s="15"/>
      <c r="AJ476" s="6"/>
      <c r="AK476" s="6"/>
    </row>
    <row r="477" spans="1:37" s="6" customFormat="1">
      <c r="A477" s="5" t="s">
        <v>2215</v>
      </c>
      <c r="B477" s="5" t="s">
        <v>2216</v>
      </c>
      <c r="C477" s="6" t="s">
        <v>43</v>
      </c>
      <c r="D477" s="6" t="s">
        <v>2189</v>
      </c>
      <c r="E477" s="6" t="s">
        <v>2129</v>
      </c>
      <c r="F477" s="6" t="s">
        <v>46</v>
      </c>
      <c r="G477" s="6" t="s">
        <v>2217</v>
      </c>
      <c r="H477" s="7">
        <v>50.38</v>
      </c>
      <c r="I477" s="19" t="s">
        <v>1589</v>
      </c>
      <c r="J477" s="19" t="s">
        <v>2191</v>
      </c>
      <c r="K477" s="5" t="s">
        <v>2218</v>
      </c>
      <c r="L477" s="5" t="s">
        <v>2219</v>
      </c>
      <c r="M477" s="5" t="s">
        <v>2220</v>
      </c>
      <c r="N477" s="5" t="s">
        <v>2221</v>
      </c>
      <c r="O477" s="5" t="s">
        <v>2222</v>
      </c>
      <c r="P477" s="5" t="s">
        <v>2223</v>
      </c>
      <c r="Q477" s="5" t="s">
        <v>2224</v>
      </c>
      <c r="R477" s="5"/>
      <c r="S477" s="5"/>
      <c r="T477" s="5"/>
      <c r="U477" s="5"/>
      <c r="V477" s="5"/>
      <c r="W477" s="5"/>
      <c r="X477" s="5"/>
      <c r="Y477" s="5" t="s">
        <v>2086</v>
      </c>
      <c r="Z477" s="5"/>
      <c r="AA477" s="5"/>
      <c r="AB477" s="5"/>
      <c r="AC477" s="5"/>
      <c r="AD477" s="5"/>
      <c r="AE477" s="5"/>
      <c r="AF477" s="5"/>
      <c r="AG477" s="14" t="s">
        <v>55</v>
      </c>
      <c r="AH477" s="14" t="s">
        <v>1603</v>
      </c>
      <c r="AI477" s="14" t="s">
        <v>2087</v>
      </c>
      <c r="AJ477" s="5"/>
      <c r="AK477" s="5"/>
    </row>
    <row r="478" spans="1:37">
      <c r="A478" s="5" t="s">
        <v>2225</v>
      </c>
      <c r="B478" s="5" t="s">
        <v>2216</v>
      </c>
      <c r="C478" s="6" t="s">
        <v>43</v>
      </c>
      <c r="D478" s="6" t="s">
        <v>2189</v>
      </c>
      <c r="E478" s="6" t="s">
        <v>2070</v>
      </c>
      <c r="F478" s="6" t="s">
        <v>46</v>
      </c>
      <c r="G478" s="6" t="s">
        <v>2226</v>
      </c>
      <c r="H478" s="7">
        <v>50.38</v>
      </c>
      <c r="I478" s="19" t="s">
        <v>1589</v>
      </c>
      <c r="J478" s="19" t="s">
        <v>2191</v>
      </c>
      <c r="K478" s="5" t="s">
        <v>2218</v>
      </c>
      <c r="L478" s="5" t="s">
        <v>2219</v>
      </c>
      <c r="M478" s="5" t="s">
        <v>2220</v>
      </c>
      <c r="N478" s="5" t="s">
        <v>2221</v>
      </c>
      <c r="O478" s="5" t="s">
        <v>2222</v>
      </c>
      <c r="P478" s="5" t="s">
        <v>2223</v>
      </c>
      <c r="Q478" s="5" t="s">
        <v>2224</v>
      </c>
      <c r="R478" s="5"/>
      <c r="AG478" s="14" t="s">
        <v>55</v>
      </c>
      <c r="AH478" s="14" t="s">
        <v>1603</v>
      </c>
      <c r="AI478" s="14" t="s">
        <v>2087</v>
      </c>
    </row>
    <row r="479" spans="1:37">
      <c r="A479" s="5" t="s">
        <v>2227</v>
      </c>
      <c r="B479" s="5" t="s">
        <v>2216</v>
      </c>
      <c r="C479" s="6" t="s">
        <v>43</v>
      </c>
      <c r="D479" s="6" t="s">
        <v>2189</v>
      </c>
      <c r="E479" s="6" t="s">
        <v>1693</v>
      </c>
      <c r="F479" s="6" t="s">
        <v>46</v>
      </c>
      <c r="G479" s="6" t="s">
        <v>2228</v>
      </c>
      <c r="H479" s="7">
        <v>50.38</v>
      </c>
      <c r="I479" s="19" t="s">
        <v>1589</v>
      </c>
      <c r="J479" s="19" t="s">
        <v>2191</v>
      </c>
      <c r="K479" s="5" t="s">
        <v>2218</v>
      </c>
      <c r="L479" s="5" t="s">
        <v>2219</v>
      </c>
      <c r="M479" s="5" t="s">
        <v>2220</v>
      </c>
      <c r="N479" s="5" t="s">
        <v>2221</v>
      </c>
      <c r="O479" s="5" t="s">
        <v>2222</v>
      </c>
      <c r="P479" s="5" t="s">
        <v>2223</v>
      </c>
      <c r="Q479" s="5" t="s">
        <v>2224</v>
      </c>
      <c r="R479" s="5"/>
      <c r="AG479" s="14" t="s">
        <v>55</v>
      </c>
      <c r="AH479" s="14" t="s">
        <v>1603</v>
      </c>
      <c r="AI479" s="14" t="s">
        <v>2087</v>
      </c>
    </row>
    <row r="480" spans="1:37">
      <c r="A480" s="5" t="s">
        <v>2229</v>
      </c>
      <c r="B480" s="5" t="s">
        <v>2216</v>
      </c>
      <c r="C480" s="6" t="s">
        <v>43</v>
      </c>
      <c r="D480" s="6" t="s">
        <v>2189</v>
      </c>
      <c r="E480" s="6" t="s">
        <v>1540</v>
      </c>
      <c r="F480" s="6" t="s">
        <v>46</v>
      </c>
      <c r="G480" s="6" t="s">
        <v>2230</v>
      </c>
      <c r="H480" s="7">
        <v>50.38</v>
      </c>
      <c r="I480" s="19" t="s">
        <v>1589</v>
      </c>
      <c r="J480" s="19" t="s">
        <v>2191</v>
      </c>
      <c r="K480" s="5" t="s">
        <v>2218</v>
      </c>
      <c r="L480" s="5" t="s">
        <v>2219</v>
      </c>
      <c r="M480" s="5" t="s">
        <v>2220</v>
      </c>
      <c r="N480" s="5" t="s">
        <v>2221</v>
      </c>
      <c r="O480" s="5" t="s">
        <v>2222</v>
      </c>
      <c r="P480" s="5" t="s">
        <v>2223</v>
      </c>
      <c r="Q480" s="5" t="s">
        <v>2224</v>
      </c>
      <c r="R480" s="5"/>
      <c r="AG480" s="14" t="s">
        <v>55</v>
      </c>
      <c r="AH480" s="14" t="s">
        <v>1603</v>
      </c>
      <c r="AI480" s="14" t="s">
        <v>2087</v>
      </c>
    </row>
    <row r="481" spans="1:37">
      <c r="A481" s="5" t="s">
        <v>2231</v>
      </c>
      <c r="B481" s="5" t="s">
        <v>2216</v>
      </c>
      <c r="C481" s="6" t="s">
        <v>43</v>
      </c>
      <c r="D481" s="6" t="s">
        <v>2189</v>
      </c>
      <c r="E481" s="6" t="s">
        <v>2065</v>
      </c>
      <c r="F481" s="6" t="s">
        <v>46</v>
      </c>
      <c r="G481" s="6" t="s">
        <v>2232</v>
      </c>
      <c r="H481" s="7">
        <v>50.38</v>
      </c>
      <c r="I481" s="19" t="s">
        <v>1589</v>
      </c>
      <c r="J481" s="19" t="s">
        <v>2191</v>
      </c>
      <c r="K481" s="5" t="s">
        <v>2218</v>
      </c>
      <c r="L481" s="5" t="s">
        <v>2219</v>
      </c>
      <c r="M481" s="5" t="s">
        <v>2220</v>
      </c>
      <c r="N481" s="5" t="s">
        <v>2221</v>
      </c>
      <c r="O481" s="5" t="s">
        <v>2222</v>
      </c>
      <c r="P481" s="5" t="s">
        <v>2223</v>
      </c>
      <c r="Q481" s="5" t="s">
        <v>2224</v>
      </c>
      <c r="R481" s="5"/>
      <c r="AG481" s="14" t="s">
        <v>55</v>
      </c>
      <c r="AH481" s="14" t="s">
        <v>1603</v>
      </c>
      <c r="AI481" s="14" t="s">
        <v>2087</v>
      </c>
    </row>
    <row r="482" spans="1:37">
      <c r="A482" s="5" t="s">
        <v>2233</v>
      </c>
      <c r="B482" s="5" t="s">
        <v>2216</v>
      </c>
      <c r="C482" s="6" t="s">
        <v>43</v>
      </c>
      <c r="D482" s="6" t="s">
        <v>2189</v>
      </c>
      <c r="E482" s="6" t="s">
        <v>2092</v>
      </c>
      <c r="F482" s="6" t="s">
        <v>46</v>
      </c>
      <c r="G482" s="6" t="s">
        <v>2234</v>
      </c>
      <c r="H482" s="7">
        <v>50.38</v>
      </c>
      <c r="I482" s="19" t="s">
        <v>1589</v>
      </c>
      <c r="J482" s="19" t="s">
        <v>2191</v>
      </c>
      <c r="K482" s="5" t="s">
        <v>2218</v>
      </c>
      <c r="L482" s="5" t="s">
        <v>2219</v>
      </c>
      <c r="M482" s="5" t="s">
        <v>2220</v>
      </c>
      <c r="N482" s="5" t="s">
        <v>2221</v>
      </c>
      <c r="O482" s="5" t="s">
        <v>2222</v>
      </c>
      <c r="P482" s="5" t="s">
        <v>2223</v>
      </c>
      <c r="Q482" s="5" t="s">
        <v>2224</v>
      </c>
      <c r="R482" s="5"/>
      <c r="AG482" s="14" t="s">
        <v>55</v>
      </c>
      <c r="AH482" s="14" t="s">
        <v>1603</v>
      </c>
      <c r="AI482" s="14" t="s">
        <v>2087</v>
      </c>
    </row>
    <row r="483" spans="1:37">
      <c r="A483" s="6" t="s">
        <v>2235</v>
      </c>
      <c r="B483" s="6" t="s">
        <v>2236</v>
      </c>
      <c r="C483" s="6" t="s">
        <v>43</v>
      </c>
      <c r="D483" s="6" t="s">
        <v>2189</v>
      </c>
      <c r="E483" s="6" t="s">
        <v>2065</v>
      </c>
      <c r="F483" s="6" t="s">
        <v>46</v>
      </c>
      <c r="G483" s="6" t="s">
        <v>2237</v>
      </c>
      <c r="I483" s="19" t="s">
        <v>48</v>
      </c>
      <c r="J483" s="19" t="s">
        <v>48</v>
      </c>
      <c r="K483" s="6"/>
      <c r="L483" s="6"/>
      <c r="M483" s="6"/>
      <c r="N483" s="6"/>
      <c r="O483" s="6"/>
      <c r="P483" s="6"/>
      <c r="Q483" s="6"/>
      <c r="R483" s="6"/>
      <c r="S483" s="6"/>
      <c r="T483" s="6"/>
      <c r="U483" s="6"/>
      <c r="V483" s="6"/>
      <c r="W483" s="6"/>
      <c r="X483" s="6"/>
      <c r="Y483" s="6"/>
      <c r="Z483" s="6"/>
      <c r="AA483" s="6"/>
      <c r="AB483" s="6"/>
      <c r="AC483" s="6"/>
      <c r="AD483" s="6"/>
      <c r="AE483" s="6"/>
      <c r="AF483" s="6"/>
      <c r="AG483" s="15" t="s">
        <v>55</v>
      </c>
      <c r="AH483" s="15"/>
      <c r="AI483" s="15"/>
      <c r="AJ483" s="6"/>
      <c r="AK483" s="6"/>
    </row>
    <row r="484" spans="1:37" s="6" customFormat="1">
      <c r="A484" s="5" t="s">
        <v>2238</v>
      </c>
      <c r="B484" s="5" t="s">
        <v>2239</v>
      </c>
      <c r="C484" s="6" t="s">
        <v>2240</v>
      </c>
      <c r="D484" s="6" t="s">
        <v>2189</v>
      </c>
      <c r="E484" s="6" t="s">
        <v>2070</v>
      </c>
      <c r="F484" s="6" t="s">
        <v>46</v>
      </c>
      <c r="G484" s="6" t="s">
        <v>2241</v>
      </c>
      <c r="H484" s="7">
        <v>66.72</v>
      </c>
      <c r="I484" s="19" t="s">
        <v>1589</v>
      </c>
      <c r="J484" s="19" t="s">
        <v>2191</v>
      </c>
      <c r="K484" s="5" t="s">
        <v>2242</v>
      </c>
      <c r="L484" s="5" t="s">
        <v>2243</v>
      </c>
      <c r="M484" s="5" t="s">
        <v>2244</v>
      </c>
      <c r="N484" s="5" t="s">
        <v>2245</v>
      </c>
      <c r="O484" s="5" t="s">
        <v>2246</v>
      </c>
      <c r="P484" s="5" t="s">
        <v>2247</v>
      </c>
      <c r="Q484" s="5" t="s">
        <v>2248</v>
      </c>
      <c r="R484" s="5"/>
      <c r="S484" s="5"/>
      <c r="T484" s="5"/>
      <c r="U484" s="5"/>
      <c r="V484" s="5"/>
      <c r="W484" s="5"/>
      <c r="X484" s="5"/>
      <c r="Y484" s="5" t="s">
        <v>2086</v>
      </c>
      <c r="Z484" s="5"/>
      <c r="AA484" s="5"/>
      <c r="AB484" s="5"/>
      <c r="AC484" s="5"/>
      <c r="AD484" s="5"/>
      <c r="AE484" s="5"/>
      <c r="AF484" s="5"/>
      <c r="AG484" s="14" t="s">
        <v>55</v>
      </c>
      <c r="AH484" s="14" t="s">
        <v>1603</v>
      </c>
      <c r="AI484" s="14" t="s">
        <v>2087</v>
      </c>
      <c r="AJ484" s="5"/>
      <c r="AK484" s="5"/>
    </row>
    <row r="485" spans="1:37">
      <c r="A485" s="5" t="s">
        <v>2249</v>
      </c>
      <c r="B485" s="5" t="s">
        <v>2239</v>
      </c>
      <c r="C485" s="6" t="s">
        <v>2240</v>
      </c>
      <c r="D485" s="6" t="s">
        <v>2189</v>
      </c>
      <c r="E485" s="6" t="s">
        <v>1540</v>
      </c>
      <c r="F485" s="6" t="s">
        <v>46</v>
      </c>
      <c r="G485" s="6" t="s">
        <v>2250</v>
      </c>
      <c r="H485" s="7">
        <v>66.72</v>
      </c>
      <c r="I485" s="19" t="s">
        <v>1589</v>
      </c>
      <c r="J485" s="19" t="s">
        <v>2191</v>
      </c>
      <c r="K485" s="5" t="s">
        <v>2242</v>
      </c>
      <c r="L485" s="5" t="s">
        <v>2243</v>
      </c>
      <c r="M485" s="5" t="s">
        <v>2244</v>
      </c>
      <c r="N485" s="5" t="s">
        <v>2245</v>
      </c>
      <c r="O485" s="5" t="s">
        <v>2246</v>
      </c>
      <c r="P485" s="5" t="s">
        <v>2247</v>
      </c>
      <c r="Q485" s="5" t="s">
        <v>2248</v>
      </c>
      <c r="R485" s="5"/>
      <c r="Y485" s="5" t="s">
        <v>2086</v>
      </c>
      <c r="AG485" s="14" t="s">
        <v>55</v>
      </c>
      <c r="AH485" s="14" t="s">
        <v>1603</v>
      </c>
      <c r="AI485" s="14" t="s">
        <v>2087</v>
      </c>
    </row>
    <row r="486" spans="1:37">
      <c r="A486" s="5" t="s">
        <v>2251</v>
      </c>
      <c r="B486" s="5" t="s">
        <v>2252</v>
      </c>
      <c r="C486" s="6" t="s">
        <v>43</v>
      </c>
      <c r="D486" s="6" t="s">
        <v>239</v>
      </c>
      <c r="E486" s="6" t="s">
        <v>1540</v>
      </c>
      <c r="F486" s="6" t="s">
        <v>46</v>
      </c>
      <c r="G486" s="6" t="s">
        <v>2253</v>
      </c>
      <c r="H486" s="7">
        <v>60.72</v>
      </c>
      <c r="I486" s="19" t="s">
        <v>1589</v>
      </c>
      <c r="J486" s="19" t="s">
        <v>2254</v>
      </c>
      <c r="K486" s="5" t="s">
        <v>2255</v>
      </c>
      <c r="L486" s="5" t="s">
        <v>2256</v>
      </c>
      <c r="M486" s="5" t="s">
        <v>2257</v>
      </c>
      <c r="N486" s="5" t="s">
        <v>2258</v>
      </c>
      <c r="O486" s="5" t="s">
        <v>2259</v>
      </c>
      <c r="P486" s="5" t="s">
        <v>2260</v>
      </c>
      <c r="Q486" s="5" t="s">
        <v>2261</v>
      </c>
      <c r="R486" s="5" t="s">
        <v>2262</v>
      </c>
      <c r="Y486" s="5" t="s">
        <v>2263</v>
      </c>
      <c r="AG486" s="14" t="s">
        <v>55</v>
      </c>
      <c r="AH486" s="14" t="s">
        <v>1603</v>
      </c>
      <c r="AI486" s="14" t="s">
        <v>2264</v>
      </c>
    </row>
    <row r="487" spans="1:37">
      <c r="A487" s="6" t="s">
        <v>2265</v>
      </c>
      <c r="B487" s="6" t="s">
        <v>2266</v>
      </c>
      <c r="C487" s="6" t="s">
        <v>43</v>
      </c>
      <c r="D487" s="6" t="s">
        <v>2189</v>
      </c>
      <c r="E487" s="6" t="s">
        <v>2129</v>
      </c>
      <c r="F487" s="6" t="s">
        <v>46</v>
      </c>
      <c r="G487" s="6" t="s">
        <v>2267</v>
      </c>
      <c r="I487" s="5" t="s">
        <v>48</v>
      </c>
      <c r="J487" s="5" t="s">
        <v>48</v>
      </c>
      <c r="K487" s="6"/>
      <c r="L487" s="6"/>
      <c r="M487" s="6"/>
      <c r="N487" s="6"/>
      <c r="O487" s="6"/>
      <c r="P487" s="6"/>
      <c r="Q487" s="6"/>
      <c r="R487" s="6"/>
      <c r="S487" s="6"/>
      <c r="T487" s="6"/>
      <c r="U487" s="6"/>
      <c r="V487" s="6"/>
      <c r="W487" s="6"/>
      <c r="X487" s="6"/>
      <c r="Y487" s="6"/>
      <c r="Z487" s="6"/>
      <c r="AA487" s="6"/>
      <c r="AB487" s="6"/>
      <c r="AC487" s="6"/>
      <c r="AD487" s="6"/>
      <c r="AE487" s="6"/>
      <c r="AF487" s="6"/>
      <c r="AG487" s="15" t="s">
        <v>55</v>
      </c>
      <c r="AH487" s="15"/>
      <c r="AI487" s="15"/>
      <c r="AJ487" s="6"/>
      <c r="AK487" s="6"/>
    </row>
    <row r="488" spans="1:37" s="6" customFormat="1">
      <c r="A488" s="5" t="s">
        <v>2268</v>
      </c>
      <c r="B488" s="5" t="s">
        <v>2269</v>
      </c>
      <c r="C488" s="6" t="s">
        <v>43</v>
      </c>
      <c r="D488" s="6" t="s">
        <v>239</v>
      </c>
      <c r="E488" s="6" t="s">
        <v>1540</v>
      </c>
      <c r="F488" s="6" t="s">
        <v>46</v>
      </c>
      <c r="G488" s="6" t="s">
        <v>2270</v>
      </c>
      <c r="H488" s="7">
        <v>63.39</v>
      </c>
      <c r="I488" s="19" t="s">
        <v>1589</v>
      </c>
      <c r="J488" s="19" t="s">
        <v>2254</v>
      </c>
      <c r="K488" s="5" t="s">
        <v>2271</v>
      </c>
      <c r="L488" s="5" t="s">
        <v>2272</v>
      </c>
      <c r="M488" s="5" t="s">
        <v>2273</v>
      </c>
      <c r="N488" s="5" t="s">
        <v>2274</v>
      </c>
      <c r="O488" s="5" t="s">
        <v>2275</v>
      </c>
      <c r="P488" s="5" t="s">
        <v>2276</v>
      </c>
      <c r="Q488" s="5" t="s">
        <v>2277</v>
      </c>
      <c r="R488" s="5" t="s">
        <v>2278</v>
      </c>
      <c r="S488" s="5"/>
      <c r="T488" s="5"/>
      <c r="U488" s="5"/>
      <c r="V488" s="5"/>
      <c r="W488" s="5"/>
      <c r="X488" s="5"/>
      <c r="Y488" s="5" t="s">
        <v>2263</v>
      </c>
      <c r="Z488" s="5"/>
      <c r="AA488" s="5"/>
      <c r="AB488" s="5"/>
      <c r="AC488" s="5"/>
      <c r="AD488" s="5"/>
      <c r="AE488" s="5"/>
      <c r="AF488" s="5"/>
      <c r="AG488" s="14" t="s">
        <v>55</v>
      </c>
      <c r="AH488" s="14" t="s">
        <v>1603</v>
      </c>
      <c r="AI488" s="14" t="s">
        <v>2264</v>
      </c>
      <c r="AJ488" s="5"/>
      <c r="AK488" s="5"/>
    </row>
    <row r="489" spans="1:37">
      <c r="A489" s="5" t="s">
        <v>2279</v>
      </c>
      <c r="B489" s="5" t="s">
        <v>2280</v>
      </c>
      <c r="C489" s="6" t="s">
        <v>2281</v>
      </c>
      <c r="D489" s="6" t="s">
        <v>1645</v>
      </c>
      <c r="E489" s="6" t="s">
        <v>1386</v>
      </c>
      <c r="F489" s="6" t="s">
        <v>46</v>
      </c>
      <c r="G489" s="6" t="s">
        <v>2282</v>
      </c>
      <c r="H489" s="7">
        <v>69.14</v>
      </c>
      <c r="I489" s="19" t="s">
        <v>2283</v>
      </c>
      <c r="J489" s="19" t="s">
        <v>2284</v>
      </c>
      <c r="K489" s="6" t="s">
        <v>2285</v>
      </c>
      <c r="L489" s="6" t="s">
        <v>2286</v>
      </c>
      <c r="M489" s="6" t="s">
        <v>2287</v>
      </c>
      <c r="N489" s="6" t="s">
        <v>2288</v>
      </c>
      <c r="O489" s="6" t="s">
        <v>2289</v>
      </c>
      <c r="P489" s="6" t="s">
        <v>2290</v>
      </c>
      <c r="Q489" s="6" t="s">
        <v>2291</v>
      </c>
      <c r="R489" s="6" t="s">
        <v>2292</v>
      </c>
      <c r="AG489" s="14" t="s">
        <v>55</v>
      </c>
      <c r="AH489" s="14" t="s">
        <v>1603</v>
      </c>
      <c r="AI489" s="14" t="s">
        <v>1603</v>
      </c>
    </row>
    <row r="490" spans="1:37">
      <c r="A490" s="5" t="s">
        <v>2293</v>
      </c>
      <c r="B490" s="5" t="s">
        <v>2294</v>
      </c>
      <c r="C490" s="6" t="s">
        <v>2295</v>
      </c>
      <c r="D490" s="6" t="s">
        <v>1645</v>
      </c>
      <c r="E490" s="6" t="s">
        <v>1386</v>
      </c>
      <c r="F490" s="6" t="s">
        <v>46</v>
      </c>
      <c r="G490" s="6" t="s">
        <v>2296</v>
      </c>
      <c r="H490" s="7">
        <v>105.38</v>
      </c>
      <c r="I490" s="19" t="s">
        <v>2283</v>
      </c>
      <c r="J490" s="19" t="s">
        <v>2284</v>
      </c>
      <c r="K490" s="6" t="s">
        <v>2297</v>
      </c>
      <c r="L490" s="6" t="s">
        <v>2298</v>
      </c>
      <c r="M490" s="6" t="s">
        <v>2299</v>
      </c>
      <c r="N490" s="6" t="s">
        <v>2300</v>
      </c>
      <c r="O490" s="6" t="s">
        <v>2301</v>
      </c>
      <c r="P490" s="6" t="s">
        <v>2302</v>
      </c>
      <c r="Q490" s="6" t="s">
        <v>2303</v>
      </c>
      <c r="R490" s="6" t="s">
        <v>2304</v>
      </c>
      <c r="AG490" s="14" t="s">
        <v>55</v>
      </c>
      <c r="AH490" s="14" t="s">
        <v>1603</v>
      </c>
      <c r="AI490" s="14" t="s">
        <v>1603</v>
      </c>
    </row>
    <row r="491" spans="1:37">
      <c r="A491" s="5" t="s">
        <v>2305</v>
      </c>
      <c r="B491" s="5" t="s">
        <v>2306</v>
      </c>
      <c r="C491" s="6" t="s">
        <v>43</v>
      </c>
      <c r="D491" s="6" t="s">
        <v>1645</v>
      </c>
      <c r="E491" s="6" t="s">
        <v>1386</v>
      </c>
      <c r="F491" s="6" t="s">
        <v>46</v>
      </c>
      <c r="G491" s="6" t="s">
        <v>2307</v>
      </c>
      <c r="H491" s="7">
        <v>94.16</v>
      </c>
      <c r="I491" s="19" t="s">
        <v>2283</v>
      </c>
      <c r="J491" s="19" t="s">
        <v>2284</v>
      </c>
      <c r="K491" s="6" t="s">
        <v>2308</v>
      </c>
      <c r="L491" s="6" t="s">
        <v>2309</v>
      </c>
      <c r="M491" s="6" t="s">
        <v>2310</v>
      </c>
      <c r="N491" s="6" t="s">
        <v>2311</v>
      </c>
      <c r="O491" s="6" t="s">
        <v>2312</v>
      </c>
      <c r="P491" s="6" t="s">
        <v>2313</v>
      </c>
      <c r="Q491" s="6" t="s">
        <v>2314</v>
      </c>
      <c r="R491" s="6" t="s">
        <v>2315</v>
      </c>
      <c r="AG491" s="14" t="s">
        <v>55</v>
      </c>
      <c r="AH491" s="14" t="s">
        <v>1603</v>
      </c>
      <c r="AI491" s="14" t="s">
        <v>1603</v>
      </c>
    </row>
    <row r="492" spans="1:37">
      <c r="A492" s="5" t="s">
        <v>2316</v>
      </c>
      <c r="B492" s="5" t="s">
        <v>2317</v>
      </c>
      <c r="C492" s="6" t="s">
        <v>2318</v>
      </c>
      <c r="D492" s="6" t="s">
        <v>1645</v>
      </c>
      <c r="E492" s="6" t="s">
        <v>2319</v>
      </c>
      <c r="F492" s="6" t="s">
        <v>46</v>
      </c>
      <c r="G492" s="6" t="s">
        <v>2320</v>
      </c>
      <c r="H492" s="7">
        <v>111.65</v>
      </c>
      <c r="I492" s="19" t="s">
        <v>2283</v>
      </c>
      <c r="J492" s="19" t="s">
        <v>2284</v>
      </c>
      <c r="K492" s="6" t="s">
        <v>2321</v>
      </c>
      <c r="L492" s="6" t="s">
        <v>2322</v>
      </c>
      <c r="M492" s="6" t="s">
        <v>2323</v>
      </c>
      <c r="N492" s="6" t="s">
        <v>2324</v>
      </c>
      <c r="O492" s="6" t="s">
        <v>2325</v>
      </c>
      <c r="P492" s="6" t="s">
        <v>2326</v>
      </c>
      <c r="Q492" s="6" t="s">
        <v>2327</v>
      </c>
      <c r="R492" s="6" t="s">
        <v>2328</v>
      </c>
      <c r="AG492" s="14" t="s">
        <v>55</v>
      </c>
      <c r="AH492" s="14" t="s">
        <v>1603</v>
      </c>
      <c r="AI492" s="14" t="s">
        <v>1603</v>
      </c>
    </row>
    <row r="493" spans="1:37">
      <c r="A493" s="5" t="s">
        <v>2329</v>
      </c>
      <c r="B493" s="5" t="s">
        <v>2317</v>
      </c>
      <c r="C493" s="6" t="s">
        <v>2318</v>
      </c>
      <c r="D493" s="6" t="s">
        <v>1645</v>
      </c>
      <c r="E493" s="6" t="s">
        <v>1386</v>
      </c>
      <c r="F493" s="6" t="s">
        <v>46</v>
      </c>
      <c r="G493" s="6" t="s">
        <v>2320</v>
      </c>
      <c r="H493" s="7">
        <v>111.65</v>
      </c>
      <c r="I493" s="19" t="s">
        <v>2283</v>
      </c>
      <c r="J493" s="19" t="s">
        <v>2284</v>
      </c>
      <c r="K493" s="6" t="s">
        <v>2321</v>
      </c>
      <c r="L493" s="6" t="s">
        <v>2322</v>
      </c>
      <c r="M493" s="6" t="s">
        <v>2323</v>
      </c>
      <c r="N493" s="6" t="s">
        <v>2324</v>
      </c>
      <c r="O493" s="6" t="s">
        <v>2325</v>
      </c>
      <c r="P493" s="6" t="s">
        <v>2326</v>
      </c>
      <c r="Q493" s="6" t="s">
        <v>2327</v>
      </c>
      <c r="R493" s="6" t="s">
        <v>2328</v>
      </c>
      <c r="AG493" s="14" t="s">
        <v>55</v>
      </c>
      <c r="AH493" s="14" t="s">
        <v>1603</v>
      </c>
      <c r="AI493" s="14" t="s">
        <v>1603</v>
      </c>
    </row>
    <row r="494" spans="1:37">
      <c r="A494" s="5" t="s">
        <v>2330</v>
      </c>
      <c r="B494" s="5" t="s">
        <v>2331</v>
      </c>
      <c r="C494" s="6" t="s">
        <v>2318</v>
      </c>
      <c r="D494" s="6" t="s">
        <v>1645</v>
      </c>
      <c r="E494" s="6" t="s">
        <v>1386</v>
      </c>
      <c r="F494" s="6" t="s">
        <v>46</v>
      </c>
      <c r="G494" s="6" t="s">
        <v>2332</v>
      </c>
      <c r="H494" s="7">
        <v>111.65</v>
      </c>
      <c r="I494" s="19" t="s">
        <v>2283</v>
      </c>
      <c r="J494" s="19" t="s">
        <v>2284</v>
      </c>
      <c r="K494" s="6" t="s">
        <v>2333</v>
      </c>
      <c r="L494" s="6" t="s">
        <v>2334</v>
      </c>
      <c r="M494" s="6" t="s">
        <v>2335</v>
      </c>
      <c r="N494" s="6" t="s">
        <v>2336</v>
      </c>
      <c r="O494" s="6" t="s">
        <v>2337</v>
      </c>
      <c r="P494" s="6" t="s">
        <v>2338</v>
      </c>
      <c r="Q494" s="6" t="s">
        <v>2339</v>
      </c>
      <c r="R494" s="6" t="s">
        <v>2340</v>
      </c>
      <c r="S494" s="6"/>
      <c r="T494" s="6"/>
      <c r="U494" s="6"/>
      <c r="AG494" s="14" t="s">
        <v>55</v>
      </c>
      <c r="AH494" s="14" t="s">
        <v>1603</v>
      </c>
      <c r="AI494" s="14" t="s">
        <v>1603</v>
      </c>
    </row>
    <row r="495" spans="1:37">
      <c r="A495" s="5" t="s">
        <v>2341</v>
      </c>
      <c r="B495" s="5" t="s">
        <v>2342</v>
      </c>
      <c r="C495" s="6" t="s">
        <v>43</v>
      </c>
      <c r="D495" s="6" t="s">
        <v>1645</v>
      </c>
      <c r="E495" s="6" t="s">
        <v>1386</v>
      </c>
      <c r="F495" s="6" t="s">
        <v>46</v>
      </c>
      <c r="G495" s="6" t="s">
        <v>2343</v>
      </c>
      <c r="H495" s="7">
        <v>94.99</v>
      </c>
      <c r="I495" s="19" t="s">
        <v>2283</v>
      </c>
      <c r="J495" s="19" t="s">
        <v>2284</v>
      </c>
      <c r="K495" s="6" t="s">
        <v>2344</v>
      </c>
      <c r="L495" s="6" t="s">
        <v>2345</v>
      </c>
      <c r="M495" s="6" t="s">
        <v>2346</v>
      </c>
      <c r="N495" s="6" t="s">
        <v>2347</v>
      </c>
      <c r="O495" s="6" t="s">
        <v>2348</v>
      </c>
      <c r="P495" s="6" t="s">
        <v>2349</v>
      </c>
      <c r="Q495" s="6" t="s">
        <v>2350</v>
      </c>
      <c r="R495" s="6" t="s">
        <v>2351</v>
      </c>
      <c r="AG495" s="14" t="s">
        <v>55</v>
      </c>
      <c r="AH495" s="14" t="s">
        <v>1603</v>
      </c>
      <c r="AI495" s="14" t="s">
        <v>1603</v>
      </c>
    </row>
    <row r="496" spans="1:37">
      <c r="A496" s="5" t="s">
        <v>2352</v>
      </c>
      <c r="B496" s="5" t="s">
        <v>2353</v>
      </c>
      <c r="C496" s="6" t="s">
        <v>43</v>
      </c>
      <c r="D496" s="6" t="s">
        <v>1645</v>
      </c>
      <c r="E496" s="6" t="s">
        <v>1386</v>
      </c>
      <c r="F496" s="6" t="s">
        <v>46</v>
      </c>
      <c r="G496" s="6" t="s">
        <v>2354</v>
      </c>
      <c r="H496" s="7">
        <v>114.07</v>
      </c>
      <c r="I496" s="19" t="s">
        <v>2283</v>
      </c>
      <c r="J496" s="19" t="s">
        <v>2284</v>
      </c>
      <c r="K496" s="6" t="s">
        <v>2355</v>
      </c>
      <c r="L496" s="6" t="s">
        <v>2356</v>
      </c>
      <c r="M496" s="6" t="s">
        <v>2357</v>
      </c>
      <c r="N496" s="6" t="s">
        <v>2358</v>
      </c>
      <c r="O496" s="6" t="s">
        <v>2359</v>
      </c>
      <c r="P496" s="6" t="s">
        <v>2360</v>
      </c>
      <c r="Q496" s="6" t="s">
        <v>2361</v>
      </c>
      <c r="R496" s="6" t="s">
        <v>2362</v>
      </c>
      <c r="AG496" s="14" t="s">
        <v>55</v>
      </c>
      <c r="AH496" s="14" t="s">
        <v>1603</v>
      </c>
      <c r="AI496" s="14" t="s">
        <v>1603</v>
      </c>
    </row>
    <row r="497" spans="1:50">
      <c r="A497" s="5" t="s">
        <v>2363</v>
      </c>
      <c r="B497" s="5" t="s">
        <v>2364</v>
      </c>
      <c r="C497" s="6" t="s">
        <v>2281</v>
      </c>
      <c r="D497" s="6" t="s">
        <v>1645</v>
      </c>
      <c r="E497" s="6" t="s">
        <v>1386</v>
      </c>
      <c r="F497" s="6" t="s">
        <v>46</v>
      </c>
      <c r="G497" s="6" t="s">
        <v>2365</v>
      </c>
      <c r="H497" s="7">
        <v>82.23</v>
      </c>
      <c r="I497" s="19" t="s">
        <v>2283</v>
      </c>
      <c r="J497" s="19" t="s">
        <v>2284</v>
      </c>
      <c r="K497" s="5" t="s">
        <v>2366</v>
      </c>
      <c r="L497" s="5" t="s">
        <v>2367</v>
      </c>
      <c r="M497" s="5" t="s">
        <v>2368</v>
      </c>
      <c r="N497" s="5" t="s">
        <v>2369</v>
      </c>
      <c r="O497" s="5" t="s">
        <v>2370</v>
      </c>
      <c r="P497" s="5" t="s">
        <v>2371</v>
      </c>
      <c r="Q497" s="5" t="s">
        <v>2372</v>
      </c>
      <c r="R497" s="5" t="s">
        <v>2373</v>
      </c>
      <c r="Y497" s="5" t="s">
        <v>2086</v>
      </c>
      <c r="AG497" s="14" t="s">
        <v>55</v>
      </c>
      <c r="AH497" s="14" t="s">
        <v>1603</v>
      </c>
      <c r="AI497" s="14" t="s">
        <v>1603</v>
      </c>
    </row>
    <row r="498" spans="1:50">
      <c r="A498" s="5" t="s">
        <v>2374</v>
      </c>
      <c r="B498" s="5" t="s">
        <v>2364</v>
      </c>
      <c r="C498" s="6" t="s">
        <v>2281</v>
      </c>
      <c r="D498" s="6" t="s">
        <v>1645</v>
      </c>
      <c r="E498" s="6" t="s">
        <v>2065</v>
      </c>
      <c r="F498" s="6" t="s">
        <v>46</v>
      </c>
      <c r="G498" s="6" t="s">
        <v>2375</v>
      </c>
      <c r="H498" s="7">
        <v>82.23</v>
      </c>
      <c r="I498" s="19" t="s">
        <v>2283</v>
      </c>
      <c r="J498" s="19" t="s">
        <v>2284</v>
      </c>
      <c r="K498" s="6" t="s">
        <v>2366</v>
      </c>
      <c r="L498" s="6" t="s">
        <v>2367</v>
      </c>
      <c r="M498" s="6" t="s">
        <v>2368</v>
      </c>
      <c r="N498" s="6" t="s">
        <v>2369</v>
      </c>
      <c r="O498" s="6" t="s">
        <v>2370</v>
      </c>
      <c r="P498" s="6" t="s">
        <v>2371</v>
      </c>
      <c r="Q498" s="6" t="s">
        <v>2372</v>
      </c>
      <c r="R498" s="6" t="s">
        <v>2373</v>
      </c>
      <c r="AG498" s="14" t="s">
        <v>55</v>
      </c>
      <c r="AH498" s="14" t="s">
        <v>1603</v>
      </c>
      <c r="AI498" s="14" t="s">
        <v>1603</v>
      </c>
    </row>
    <row r="499" spans="1:50">
      <c r="A499" s="5" t="s">
        <v>2376</v>
      </c>
      <c r="B499" s="5" t="s">
        <v>2377</v>
      </c>
      <c r="C499" s="6" t="s">
        <v>2378</v>
      </c>
      <c r="D499" s="6" t="s">
        <v>1645</v>
      </c>
      <c r="E499" s="6" t="s">
        <v>1386</v>
      </c>
      <c r="F499" s="6" t="s">
        <v>46</v>
      </c>
      <c r="G499" s="6" t="s">
        <v>2379</v>
      </c>
      <c r="H499" s="7">
        <v>76.73</v>
      </c>
      <c r="I499" s="19" t="s">
        <v>2283</v>
      </c>
      <c r="J499" s="19" t="s">
        <v>2380</v>
      </c>
      <c r="K499" s="5" t="s">
        <v>2381</v>
      </c>
      <c r="L499" s="5" t="s">
        <v>2382</v>
      </c>
      <c r="M499" s="5" t="s">
        <v>2383</v>
      </c>
      <c r="N499" s="5" t="s">
        <v>2384</v>
      </c>
      <c r="O499" s="5" t="s">
        <v>2385</v>
      </c>
      <c r="P499" s="5" t="s">
        <v>2386</v>
      </c>
      <c r="Q499" s="5" t="s">
        <v>2387</v>
      </c>
      <c r="R499" s="5" t="s">
        <v>2388</v>
      </c>
      <c r="AG499" s="14" t="s">
        <v>55</v>
      </c>
      <c r="AH499" s="14" t="s">
        <v>1603</v>
      </c>
      <c r="AI499" s="14" t="s">
        <v>1603</v>
      </c>
    </row>
    <row r="500" spans="1:50">
      <c r="A500" s="5" t="s">
        <v>2389</v>
      </c>
      <c r="B500" s="5" t="s">
        <v>2377</v>
      </c>
      <c r="C500" s="6" t="s">
        <v>2378</v>
      </c>
      <c r="D500" s="6" t="s">
        <v>1645</v>
      </c>
      <c r="E500" s="6" t="s">
        <v>2015</v>
      </c>
      <c r="F500" s="6" t="s">
        <v>46</v>
      </c>
      <c r="G500" s="6" t="s">
        <v>2390</v>
      </c>
      <c r="H500" s="7">
        <v>76.73</v>
      </c>
      <c r="I500" s="19" t="s">
        <v>2283</v>
      </c>
      <c r="J500" s="19" t="s">
        <v>2380</v>
      </c>
      <c r="K500" s="23" t="s">
        <v>2381</v>
      </c>
      <c r="L500" s="23" t="s">
        <v>2382</v>
      </c>
      <c r="M500" s="23" t="s">
        <v>2383</v>
      </c>
      <c r="N500" s="23" t="s">
        <v>2384</v>
      </c>
      <c r="O500" s="23" t="s">
        <v>2385</v>
      </c>
      <c r="P500" s="23" t="s">
        <v>2386</v>
      </c>
      <c r="Q500" s="23" t="s">
        <v>2387</v>
      </c>
      <c r="R500" s="23" t="s">
        <v>2388</v>
      </c>
      <c r="S500" s="23"/>
      <c r="T500" s="23"/>
      <c r="U500" s="23"/>
      <c r="V500" s="23"/>
      <c r="W500" s="23"/>
      <c r="X500" s="23"/>
      <c r="Y500" s="23"/>
      <c r="Z500" s="23"/>
      <c r="AA500" s="23"/>
      <c r="AB500" s="23"/>
      <c r="AC500" s="23"/>
      <c r="AD500" s="23"/>
      <c r="AE500" s="23"/>
      <c r="AF500" s="23"/>
      <c r="AG500" s="14" t="s">
        <v>55</v>
      </c>
      <c r="AH500" s="14" t="s">
        <v>1603</v>
      </c>
      <c r="AI500" s="14" t="s">
        <v>1603</v>
      </c>
      <c r="AJ500" s="23"/>
      <c r="AK500" s="23"/>
    </row>
    <row r="501" spans="1:50">
      <c r="A501" s="5" t="s">
        <v>2391</v>
      </c>
      <c r="B501" s="5" t="s">
        <v>2392</v>
      </c>
      <c r="C501" s="6" t="s">
        <v>2318</v>
      </c>
      <c r="D501" s="6" t="s">
        <v>1645</v>
      </c>
      <c r="E501" s="6" t="s">
        <v>1386</v>
      </c>
      <c r="F501" s="6" t="s">
        <v>46</v>
      </c>
      <c r="G501" s="6" t="s">
        <v>2379</v>
      </c>
      <c r="H501" s="7">
        <v>76.73</v>
      </c>
      <c r="I501" s="19" t="s">
        <v>2283</v>
      </c>
      <c r="J501" s="19" t="s">
        <v>2380</v>
      </c>
      <c r="K501" s="23" t="s">
        <v>2393</v>
      </c>
      <c r="L501" s="23" t="s">
        <v>2394</v>
      </c>
      <c r="M501" s="23" t="s">
        <v>2395</v>
      </c>
      <c r="N501" s="23" t="s">
        <v>2396</v>
      </c>
      <c r="O501" s="23" t="s">
        <v>2397</v>
      </c>
      <c r="P501" s="23" t="s">
        <v>2398</v>
      </c>
      <c r="Q501" s="23" t="s">
        <v>2399</v>
      </c>
      <c r="R501" s="23" t="s">
        <v>2400</v>
      </c>
      <c r="S501" s="23"/>
      <c r="T501" s="23"/>
      <c r="U501" s="23"/>
      <c r="V501" s="23"/>
      <c r="W501" s="23"/>
      <c r="X501" s="23"/>
      <c r="Y501" s="23"/>
      <c r="Z501" s="23"/>
      <c r="AA501" s="23"/>
      <c r="AB501" s="23"/>
      <c r="AC501" s="23"/>
      <c r="AD501" s="23"/>
      <c r="AE501" s="23"/>
      <c r="AF501" s="23"/>
      <c r="AG501" s="14" t="s">
        <v>55</v>
      </c>
      <c r="AH501" s="14" t="s">
        <v>1603</v>
      </c>
      <c r="AI501" s="14" t="s">
        <v>1603</v>
      </c>
      <c r="AJ501" s="23"/>
      <c r="AK501" s="23"/>
      <c r="AL501" s="23"/>
      <c r="AM501" s="23"/>
      <c r="AN501" s="23"/>
      <c r="AO501" s="23"/>
      <c r="AP501" s="23"/>
      <c r="AQ501" s="23"/>
      <c r="AR501" s="23"/>
      <c r="AS501" s="23"/>
      <c r="AT501" s="23"/>
      <c r="AU501" s="23"/>
      <c r="AV501" s="23"/>
      <c r="AW501" s="23"/>
      <c r="AX501" s="23"/>
    </row>
    <row r="502" spans="1:50">
      <c r="A502" s="5" t="s">
        <v>2401</v>
      </c>
      <c r="B502" s="5" t="s">
        <v>2392</v>
      </c>
      <c r="C502" s="6" t="s">
        <v>2318</v>
      </c>
      <c r="D502" s="6" t="s">
        <v>1645</v>
      </c>
      <c r="E502" s="6" t="s">
        <v>2015</v>
      </c>
      <c r="F502" s="6" t="s">
        <v>46</v>
      </c>
      <c r="G502" s="6" t="s">
        <v>2402</v>
      </c>
      <c r="H502" s="7">
        <v>76.73</v>
      </c>
      <c r="I502" s="19" t="s">
        <v>2283</v>
      </c>
      <c r="J502" s="19" t="s">
        <v>2380</v>
      </c>
      <c r="K502" s="23" t="s">
        <v>2393</v>
      </c>
      <c r="L502" s="23" t="s">
        <v>2394</v>
      </c>
      <c r="M502" s="23" t="s">
        <v>2395</v>
      </c>
      <c r="N502" s="23" t="s">
        <v>2396</v>
      </c>
      <c r="O502" s="23" t="s">
        <v>2397</v>
      </c>
      <c r="P502" s="23" t="s">
        <v>2398</v>
      </c>
      <c r="Q502" s="23" t="s">
        <v>2399</v>
      </c>
      <c r="R502" s="23" t="s">
        <v>2400</v>
      </c>
      <c r="S502" s="23"/>
      <c r="T502" s="23"/>
      <c r="U502" s="23"/>
      <c r="V502" s="23"/>
      <c r="W502" s="23"/>
      <c r="X502" s="23"/>
      <c r="Y502" s="23"/>
      <c r="Z502" s="23"/>
      <c r="AA502" s="23"/>
      <c r="AB502" s="23"/>
      <c r="AC502" s="23"/>
      <c r="AD502" s="23"/>
      <c r="AE502" s="23"/>
      <c r="AF502" s="23"/>
      <c r="AG502" s="14" t="s">
        <v>55</v>
      </c>
      <c r="AH502" s="14" t="s">
        <v>1603</v>
      </c>
      <c r="AI502" s="14" t="s">
        <v>1603</v>
      </c>
      <c r="AJ502" s="23"/>
      <c r="AK502" s="23"/>
      <c r="AL502" s="23"/>
      <c r="AM502" s="23"/>
      <c r="AN502" s="23"/>
      <c r="AO502" s="23"/>
      <c r="AP502" s="23"/>
      <c r="AQ502" s="23"/>
      <c r="AR502" s="23"/>
      <c r="AS502" s="23"/>
      <c r="AT502" s="23"/>
      <c r="AU502" s="23"/>
      <c r="AV502" s="23"/>
      <c r="AW502" s="23"/>
      <c r="AX502" s="23"/>
    </row>
    <row r="503" spans="1:50">
      <c r="A503" s="5" t="s">
        <v>2403</v>
      </c>
      <c r="B503" s="5" t="s">
        <v>2404</v>
      </c>
      <c r="C503" s="6" t="s">
        <v>43</v>
      </c>
      <c r="D503" s="6" t="s">
        <v>1645</v>
      </c>
      <c r="E503" s="6" t="s">
        <v>1386</v>
      </c>
      <c r="F503" s="6" t="s">
        <v>46</v>
      </c>
      <c r="G503" s="6" t="s">
        <v>2405</v>
      </c>
      <c r="H503" s="7">
        <v>109.67</v>
      </c>
      <c r="I503" s="19" t="s">
        <v>2283</v>
      </c>
      <c r="J503" s="19" t="s">
        <v>2380</v>
      </c>
      <c r="K503" s="23" t="s">
        <v>2406</v>
      </c>
      <c r="L503" s="23" t="s">
        <v>2407</v>
      </c>
      <c r="M503" s="23" t="s">
        <v>2408</v>
      </c>
      <c r="N503" s="23" t="s">
        <v>2409</v>
      </c>
      <c r="O503" s="23" t="s">
        <v>2410</v>
      </c>
      <c r="P503" s="23" t="s">
        <v>2411</v>
      </c>
      <c r="Q503" s="23" t="s">
        <v>2412</v>
      </c>
      <c r="R503" s="23" t="s">
        <v>2413</v>
      </c>
      <c r="S503" s="23"/>
      <c r="T503" s="23"/>
      <c r="U503" s="23"/>
      <c r="V503" s="23"/>
      <c r="W503" s="23"/>
      <c r="X503" s="23"/>
      <c r="Y503" s="23"/>
      <c r="Z503" s="23"/>
      <c r="AA503" s="23"/>
      <c r="AB503" s="23"/>
      <c r="AC503" s="23"/>
      <c r="AD503" s="23"/>
      <c r="AE503" s="23"/>
      <c r="AF503" s="23"/>
      <c r="AG503" s="14" t="s">
        <v>55</v>
      </c>
      <c r="AH503" s="14" t="s">
        <v>1603</v>
      </c>
      <c r="AI503" s="14" t="s">
        <v>1603</v>
      </c>
      <c r="AJ503" s="23"/>
      <c r="AK503" s="23"/>
      <c r="AL503" s="23"/>
      <c r="AM503" s="23"/>
      <c r="AN503" s="23"/>
      <c r="AO503" s="23"/>
      <c r="AP503" s="23"/>
      <c r="AQ503" s="23"/>
      <c r="AR503" s="23"/>
      <c r="AS503" s="23"/>
      <c r="AT503" s="23"/>
      <c r="AU503" s="23"/>
      <c r="AV503" s="23"/>
      <c r="AW503" s="23"/>
      <c r="AX503" s="23"/>
    </row>
    <row r="504" spans="1:50">
      <c r="A504" s="5" t="s">
        <v>2414</v>
      </c>
      <c r="B504" s="5" t="s">
        <v>2404</v>
      </c>
      <c r="C504" s="6" t="s">
        <v>43</v>
      </c>
      <c r="D504" s="6" t="s">
        <v>1645</v>
      </c>
      <c r="E504" s="6" t="s">
        <v>2015</v>
      </c>
      <c r="F504" s="6" t="s">
        <v>46</v>
      </c>
      <c r="G504" s="6" t="s">
        <v>2415</v>
      </c>
      <c r="H504" s="7">
        <v>109.67</v>
      </c>
      <c r="I504" s="19" t="s">
        <v>2283</v>
      </c>
      <c r="J504" s="19" t="s">
        <v>2380</v>
      </c>
      <c r="K504" s="23" t="s">
        <v>2406</v>
      </c>
      <c r="L504" s="23" t="s">
        <v>2407</v>
      </c>
      <c r="M504" s="23" t="s">
        <v>2408</v>
      </c>
      <c r="N504" s="23" t="s">
        <v>2409</v>
      </c>
      <c r="O504" s="23" t="s">
        <v>2416</v>
      </c>
      <c r="P504" s="23" t="s">
        <v>2417</v>
      </c>
      <c r="Q504" s="23" t="s">
        <v>2418</v>
      </c>
      <c r="R504" s="23" t="s">
        <v>2419</v>
      </c>
      <c r="S504" s="23"/>
      <c r="T504" s="23"/>
      <c r="U504" s="23"/>
      <c r="V504" s="23"/>
      <c r="W504" s="23"/>
      <c r="X504" s="23"/>
      <c r="Y504" s="23"/>
      <c r="Z504" s="23"/>
      <c r="AA504" s="23"/>
      <c r="AB504" s="23"/>
      <c r="AC504" s="23"/>
      <c r="AD504" s="23"/>
      <c r="AE504" s="23"/>
      <c r="AF504" s="23"/>
      <c r="AG504" s="14" t="s">
        <v>55</v>
      </c>
      <c r="AH504" s="14" t="s">
        <v>1603</v>
      </c>
      <c r="AI504" s="14" t="s">
        <v>1603</v>
      </c>
      <c r="AJ504" s="23"/>
      <c r="AK504" s="23"/>
      <c r="AL504" s="23"/>
      <c r="AM504" s="23"/>
      <c r="AN504" s="23"/>
      <c r="AO504" s="23"/>
      <c r="AP504" s="23"/>
      <c r="AQ504" s="23"/>
      <c r="AR504" s="23"/>
      <c r="AS504" s="23"/>
      <c r="AT504" s="23"/>
      <c r="AU504" s="23"/>
      <c r="AV504" s="23"/>
      <c r="AW504" s="23"/>
      <c r="AX504" s="23"/>
    </row>
    <row r="505" spans="1:50">
      <c r="A505" s="5" t="s">
        <v>2420</v>
      </c>
      <c r="B505" s="5" t="s">
        <v>2421</v>
      </c>
      <c r="C505" s="6" t="s">
        <v>2422</v>
      </c>
      <c r="D505" s="6" t="s">
        <v>1645</v>
      </c>
      <c r="E505" s="6" t="s">
        <v>1386</v>
      </c>
      <c r="F505" s="6" t="s">
        <v>46</v>
      </c>
      <c r="G505" s="6" t="s">
        <v>2423</v>
      </c>
      <c r="H505" s="7">
        <v>109.67</v>
      </c>
      <c r="I505" s="19" t="s">
        <v>2283</v>
      </c>
      <c r="J505" s="19" t="s">
        <v>2380</v>
      </c>
      <c r="K505" s="23" t="s">
        <v>2424</v>
      </c>
      <c r="L505" s="23" t="s">
        <v>2425</v>
      </c>
      <c r="M505" s="23" t="s">
        <v>2426</v>
      </c>
      <c r="N505" s="23" t="s">
        <v>2427</v>
      </c>
      <c r="O505" s="23" t="s">
        <v>2428</v>
      </c>
      <c r="P505" s="23" t="s">
        <v>2429</v>
      </c>
      <c r="Q505" s="23" t="s">
        <v>2430</v>
      </c>
      <c r="R505" s="23" t="s">
        <v>2431</v>
      </c>
      <c r="S505" s="23"/>
      <c r="T505" s="23"/>
      <c r="U505" s="23"/>
      <c r="V505" s="23"/>
      <c r="W505" s="23"/>
      <c r="X505" s="23"/>
      <c r="Y505" s="23"/>
      <c r="Z505" s="23"/>
      <c r="AA505" s="23"/>
      <c r="AB505" s="23"/>
      <c r="AC505" s="23"/>
      <c r="AD505" s="23"/>
      <c r="AE505" s="23"/>
      <c r="AF505" s="23"/>
      <c r="AG505" s="14" t="s">
        <v>55</v>
      </c>
      <c r="AH505" s="14" t="s">
        <v>1603</v>
      </c>
      <c r="AI505" s="14" t="s">
        <v>1603</v>
      </c>
      <c r="AJ505" s="23"/>
      <c r="AK505" s="23"/>
      <c r="AL505" s="23"/>
      <c r="AM505" s="23"/>
      <c r="AN505" s="23"/>
      <c r="AO505" s="23"/>
      <c r="AP505" s="23"/>
      <c r="AQ505" s="23"/>
      <c r="AR505" s="23"/>
      <c r="AS505" s="23"/>
      <c r="AT505" s="23"/>
      <c r="AU505" s="23"/>
      <c r="AV505" s="23"/>
      <c r="AW505" s="23"/>
      <c r="AX505" s="23"/>
    </row>
    <row r="506" spans="1:50">
      <c r="A506" s="5" t="s">
        <v>2432</v>
      </c>
      <c r="B506" s="5" t="s">
        <v>2421</v>
      </c>
      <c r="C506" s="6" t="s">
        <v>2422</v>
      </c>
      <c r="D506" s="6" t="s">
        <v>1645</v>
      </c>
      <c r="E506" s="6" t="s">
        <v>2015</v>
      </c>
      <c r="F506" s="6" t="s">
        <v>46</v>
      </c>
      <c r="G506" s="6" t="s">
        <v>2390</v>
      </c>
      <c r="H506" s="7">
        <v>109.67</v>
      </c>
      <c r="I506" s="19" t="s">
        <v>2283</v>
      </c>
      <c r="J506" s="19" t="s">
        <v>2380</v>
      </c>
      <c r="K506" s="23" t="s">
        <v>2424</v>
      </c>
      <c r="L506" s="23" t="s">
        <v>2425</v>
      </c>
      <c r="M506" s="23" t="s">
        <v>2426</v>
      </c>
      <c r="N506" s="23" t="s">
        <v>2427</v>
      </c>
      <c r="O506" s="23" t="s">
        <v>2428</v>
      </c>
      <c r="P506" s="23" t="s">
        <v>2429</v>
      </c>
      <c r="Q506" s="23" t="s">
        <v>2430</v>
      </c>
      <c r="R506" s="23" t="s">
        <v>2431</v>
      </c>
      <c r="S506" s="23"/>
      <c r="T506" s="23"/>
      <c r="U506" s="23"/>
      <c r="V506" s="23"/>
      <c r="W506" s="23"/>
      <c r="X506" s="23"/>
      <c r="Y506" s="23"/>
      <c r="Z506" s="23"/>
      <c r="AA506" s="23"/>
      <c r="AB506" s="23"/>
      <c r="AC506" s="23"/>
      <c r="AD506" s="23"/>
      <c r="AE506" s="23"/>
      <c r="AF506" s="23"/>
      <c r="AG506" s="14" t="s">
        <v>55</v>
      </c>
      <c r="AH506" s="14" t="s">
        <v>1603</v>
      </c>
      <c r="AI506" s="14" t="s">
        <v>1603</v>
      </c>
      <c r="AJ506" s="23"/>
      <c r="AK506" s="23"/>
      <c r="AL506" s="23"/>
      <c r="AM506" s="23"/>
      <c r="AN506" s="23"/>
      <c r="AO506" s="23"/>
      <c r="AP506" s="23"/>
      <c r="AQ506" s="23"/>
      <c r="AR506" s="23"/>
      <c r="AS506" s="23"/>
      <c r="AT506" s="23"/>
      <c r="AU506" s="23"/>
      <c r="AV506" s="23"/>
      <c r="AW506" s="23"/>
      <c r="AX506" s="23"/>
    </row>
    <row r="507" spans="1:50">
      <c r="A507" s="6" t="s">
        <v>2433</v>
      </c>
      <c r="B507" s="6" t="s">
        <v>2434</v>
      </c>
      <c r="C507" s="6" t="s">
        <v>2208</v>
      </c>
      <c r="D507" s="6" t="s">
        <v>2189</v>
      </c>
      <c r="E507" s="6" t="s">
        <v>1671</v>
      </c>
      <c r="F507" s="6" t="s">
        <v>46</v>
      </c>
      <c r="G507" s="6" t="s">
        <v>2435</v>
      </c>
      <c r="I507" s="19" t="s">
        <v>48</v>
      </c>
      <c r="J507" s="19" t="s">
        <v>48</v>
      </c>
      <c r="K507" s="6"/>
      <c r="L507" s="6"/>
      <c r="M507" s="6"/>
      <c r="N507" s="6"/>
      <c r="O507" s="6"/>
      <c r="P507" s="6"/>
      <c r="Q507" s="6"/>
      <c r="R507" s="6"/>
      <c r="S507" s="6"/>
      <c r="T507" s="6"/>
      <c r="U507" s="6"/>
      <c r="V507" s="6"/>
      <c r="W507" s="6"/>
      <c r="X507" s="6"/>
      <c r="Y507" s="6"/>
      <c r="Z507" s="6"/>
      <c r="AA507" s="6"/>
      <c r="AB507" s="6"/>
      <c r="AC507" s="6"/>
      <c r="AD507" s="6"/>
      <c r="AE507" s="6"/>
      <c r="AF507" s="6"/>
      <c r="AG507" s="15" t="s">
        <v>55</v>
      </c>
      <c r="AH507" s="15"/>
      <c r="AI507" s="15"/>
      <c r="AJ507" s="6"/>
      <c r="AK507" s="6"/>
      <c r="AL507" s="23"/>
      <c r="AM507" s="23"/>
      <c r="AN507" s="23"/>
      <c r="AO507" s="23"/>
      <c r="AP507" s="23"/>
      <c r="AQ507" s="23"/>
      <c r="AR507" s="23"/>
      <c r="AS507" s="23"/>
      <c r="AT507" s="23"/>
      <c r="AU507" s="23"/>
      <c r="AV507" s="23"/>
      <c r="AW507" s="23"/>
      <c r="AX507" s="23"/>
    </row>
    <row r="508" spans="1:50" s="6" customFormat="1">
      <c r="A508" s="5" t="s">
        <v>2436</v>
      </c>
      <c r="B508" s="5" t="s">
        <v>2437</v>
      </c>
      <c r="C508" s="6" t="s">
        <v>43</v>
      </c>
      <c r="D508" s="6" t="s">
        <v>1645</v>
      </c>
      <c r="E508" s="6" t="s">
        <v>1386</v>
      </c>
      <c r="F508" s="6" t="s">
        <v>46</v>
      </c>
      <c r="G508" s="6" t="s">
        <v>2438</v>
      </c>
      <c r="H508" s="7">
        <v>109.78</v>
      </c>
      <c r="I508" s="19" t="s">
        <v>2283</v>
      </c>
      <c r="J508" s="19" t="s">
        <v>2380</v>
      </c>
      <c r="K508" s="23" t="s">
        <v>2439</v>
      </c>
      <c r="L508" s="23" t="s">
        <v>2440</v>
      </c>
      <c r="M508" s="23" t="s">
        <v>2441</v>
      </c>
      <c r="N508" s="23" t="s">
        <v>2442</v>
      </c>
      <c r="O508" s="23" t="s">
        <v>2443</v>
      </c>
      <c r="P508" s="23" t="s">
        <v>2444</v>
      </c>
      <c r="Q508" s="23" t="s">
        <v>2445</v>
      </c>
      <c r="R508" s="23" t="s">
        <v>2446</v>
      </c>
      <c r="S508" s="23"/>
      <c r="T508" s="23"/>
      <c r="U508" s="23"/>
      <c r="V508" s="23"/>
      <c r="W508" s="23"/>
      <c r="X508" s="23"/>
      <c r="Y508" s="23"/>
      <c r="Z508" s="23"/>
      <c r="AA508" s="23"/>
      <c r="AB508" s="23"/>
      <c r="AC508" s="23"/>
      <c r="AD508" s="23"/>
      <c r="AE508" s="23"/>
      <c r="AF508" s="23"/>
      <c r="AG508" s="14" t="s">
        <v>55</v>
      </c>
      <c r="AH508" s="14" t="s">
        <v>1603</v>
      </c>
      <c r="AI508" s="14" t="s">
        <v>1603</v>
      </c>
      <c r="AJ508" s="23"/>
      <c r="AK508" s="23"/>
    </row>
    <row r="509" spans="1:50">
      <c r="A509" s="5" t="s">
        <v>2447</v>
      </c>
      <c r="B509" s="5" t="s">
        <v>2448</v>
      </c>
      <c r="C509" s="6" t="s">
        <v>2449</v>
      </c>
      <c r="D509" s="6" t="s">
        <v>1645</v>
      </c>
      <c r="E509" s="6" t="s">
        <v>1386</v>
      </c>
      <c r="F509" s="6" t="s">
        <v>46</v>
      </c>
      <c r="G509" s="6" t="s">
        <v>2450</v>
      </c>
      <c r="H509" s="7">
        <v>114.51</v>
      </c>
      <c r="I509" s="19" t="s">
        <v>2283</v>
      </c>
      <c r="J509" s="19" t="s">
        <v>2380</v>
      </c>
      <c r="K509" s="23" t="s">
        <v>2451</v>
      </c>
      <c r="L509" s="23" t="s">
        <v>2452</v>
      </c>
      <c r="M509" s="23" t="s">
        <v>2453</v>
      </c>
      <c r="N509" s="23" t="s">
        <v>2454</v>
      </c>
      <c r="O509" s="23" t="s">
        <v>2455</v>
      </c>
      <c r="P509" s="23" t="s">
        <v>2456</v>
      </c>
      <c r="Q509" s="23" t="s">
        <v>2457</v>
      </c>
      <c r="R509" s="23" t="s">
        <v>2458</v>
      </c>
      <c r="S509" s="23"/>
      <c r="T509" s="23"/>
      <c r="U509" s="23"/>
      <c r="V509" s="23"/>
      <c r="W509" s="23"/>
      <c r="X509" s="23"/>
      <c r="Y509" s="23"/>
      <c r="Z509" s="23"/>
      <c r="AA509" s="23"/>
      <c r="AB509" s="23"/>
      <c r="AC509" s="23"/>
      <c r="AD509" s="23"/>
      <c r="AE509" s="23"/>
      <c r="AF509" s="23"/>
      <c r="AG509" s="14" t="s">
        <v>55</v>
      </c>
      <c r="AH509" s="14" t="s">
        <v>1603</v>
      </c>
      <c r="AI509" s="14" t="s">
        <v>1603</v>
      </c>
      <c r="AJ509" s="23"/>
      <c r="AK509" s="23"/>
      <c r="AL509" s="23"/>
      <c r="AM509" s="23"/>
      <c r="AN509" s="23"/>
      <c r="AO509" s="23"/>
      <c r="AP509" s="23"/>
      <c r="AQ509" s="23"/>
      <c r="AR509" s="23"/>
      <c r="AS509" s="23"/>
      <c r="AT509" s="23"/>
      <c r="AU509" s="23"/>
      <c r="AV509" s="23"/>
      <c r="AW509" s="23"/>
      <c r="AX509" s="23"/>
    </row>
    <row r="510" spans="1:50">
      <c r="A510" s="5" t="s">
        <v>2459</v>
      </c>
      <c r="B510" s="5" t="s">
        <v>2448</v>
      </c>
      <c r="C510" s="6" t="s">
        <v>2449</v>
      </c>
      <c r="D510" s="6" t="s">
        <v>1645</v>
      </c>
      <c r="E510" s="6" t="s">
        <v>2015</v>
      </c>
      <c r="F510" s="6" t="s">
        <v>46</v>
      </c>
      <c r="G510" s="6" t="s">
        <v>2450</v>
      </c>
      <c r="H510" s="7">
        <v>114.51</v>
      </c>
      <c r="I510" s="19" t="s">
        <v>2283</v>
      </c>
      <c r="J510" s="19" t="s">
        <v>2380</v>
      </c>
      <c r="K510" s="23" t="s">
        <v>2451</v>
      </c>
      <c r="L510" s="23" t="s">
        <v>2452</v>
      </c>
      <c r="M510" s="23" t="s">
        <v>2453</v>
      </c>
      <c r="N510" s="23" t="s">
        <v>2454</v>
      </c>
      <c r="O510" s="23" t="s">
        <v>2455</v>
      </c>
      <c r="P510" s="23" t="s">
        <v>2456</v>
      </c>
      <c r="Q510" s="23" t="s">
        <v>2457</v>
      </c>
      <c r="R510" s="23" t="s">
        <v>2458</v>
      </c>
      <c r="S510" s="23"/>
      <c r="T510" s="23"/>
      <c r="U510" s="23"/>
      <c r="V510" s="23"/>
      <c r="W510" s="23"/>
      <c r="X510" s="23"/>
      <c r="Y510" s="23"/>
      <c r="Z510" s="23"/>
      <c r="AA510" s="23"/>
      <c r="AB510" s="23"/>
      <c r="AC510" s="23"/>
      <c r="AD510" s="23"/>
      <c r="AE510" s="23"/>
      <c r="AF510" s="23"/>
      <c r="AG510" s="14" t="s">
        <v>55</v>
      </c>
      <c r="AH510" s="14" t="s">
        <v>1603</v>
      </c>
      <c r="AI510" s="14" t="s">
        <v>1603</v>
      </c>
      <c r="AJ510" s="23"/>
      <c r="AK510" s="23"/>
      <c r="AL510" s="23"/>
      <c r="AM510" s="23"/>
      <c r="AN510" s="23"/>
      <c r="AO510" s="23"/>
      <c r="AP510" s="23"/>
      <c r="AQ510" s="23"/>
      <c r="AR510" s="23"/>
      <c r="AS510" s="23"/>
      <c r="AT510" s="23"/>
      <c r="AU510" s="23"/>
      <c r="AV510" s="23"/>
      <c r="AW510" s="23"/>
      <c r="AX510" s="23"/>
    </row>
    <row r="511" spans="1:50">
      <c r="A511" s="5" t="s">
        <v>2460</v>
      </c>
      <c r="B511" s="5" t="s">
        <v>2448</v>
      </c>
      <c r="C511" s="6" t="s">
        <v>2449</v>
      </c>
      <c r="D511" s="6" t="s">
        <v>1645</v>
      </c>
      <c r="E511" s="6" t="s">
        <v>2461</v>
      </c>
      <c r="F511" s="6" t="s">
        <v>46</v>
      </c>
      <c r="G511" s="6" t="s">
        <v>2462</v>
      </c>
      <c r="H511" s="7">
        <v>114.51</v>
      </c>
      <c r="I511" s="19" t="s">
        <v>2283</v>
      </c>
      <c r="J511" s="19" t="s">
        <v>2380</v>
      </c>
      <c r="K511" s="23" t="s">
        <v>2451</v>
      </c>
      <c r="L511" s="23" t="s">
        <v>2452</v>
      </c>
      <c r="M511" s="23" t="s">
        <v>2453</v>
      </c>
      <c r="N511" s="23" t="s">
        <v>2454</v>
      </c>
      <c r="O511" s="23" t="s">
        <v>2455</v>
      </c>
      <c r="P511" s="23" t="s">
        <v>2456</v>
      </c>
      <c r="Q511" s="23" t="s">
        <v>2457</v>
      </c>
      <c r="R511" s="23" t="s">
        <v>2458</v>
      </c>
      <c r="S511" s="23"/>
      <c r="T511" s="23"/>
      <c r="U511" s="23"/>
      <c r="V511" s="23"/>
      <c r="W511" s="23"/>
      <c r="X511" s="23"/>
      <c r="Y511" s="23"/>
      <c r="Z511" s="23"/>
      <c r="AA511" s="23"/>
      <c r="AB511" s="23"/>
      <c r="AC511" s="23"/>
      <c r="AD511" s="23"/>
      <c r="AE511" s="23"/>
      <c r="AF511" s="23"/>
      <c r="AG511" s="14" t="s">
        <v>55</v>
      </c>
      <c r="AH511" s="14" t="s">
        <v>1603</v>
      </c>
      <c r="AI511" s="14" t="s">
        <v>1603</v>
      </c>
      <c r="AJ511" s="23"/>
      <c r="AK511" s="23"/>
      <c r="AL511" s="23"/>
      <c r="AM511" s="23"/>
      <c r="AN511" s="23"/>
      <c r="AO511" s="23"/>
      <c r="AP511" s="23"/>
      <c r="AQ511" s="23"/>
      <c r="AR511" s="23"/>
      <c r="AS511" s="23"/>
      <c r="AT511" s="23"/>
      <c r="AU511" s="23"/>
      <c r="AV511" s="23"/>
      <c r="AW511" s="23"/>
      <c r="AX511" s="23"/>
    </row>
    <row r="512" spans="1:50">
      <c r="A512" s="5" t="s">
        <v>2463</v>
      </c>
      <c r="B512" s="5" t="s">
        <v>2464</v>
      </c>
      <c r="C512" s="6" t="s">
        <v>43</v>
      </c>
      <c r="D512" s="6" t="s">
        <v>1645</v>
      </c>
      <c r="E512" s="6" t="s">
        <v>1386</v>
      </c>
      <c r="F512" s="6" t="s">
        <v>46</v>
      </c>
      <c r="G512" s="6" t="s">
        <v>2465</v>
      </c>
      <c r="H512" s="7">
        <v>48.84</v>
      </c>
      <c r="I512" s="19" t="s">
        <v>2283</v>
      </c>
      <c r="J512" s="19" t="s">
        <v>2466</v>
      </c>
      <c r="K512" s="5" t="s">
        <v>2467</v>
      </c>
      <c r="L512" s="5" t="s">
        <v>2468</v>
      </c>
      <c r="M512" s="5" t="s">
        <v>2469</v>
      </c>
      <c r="N512" s="5" t="s">
        <v>2470</v>
      </c>
      <c r="O512" s="5" t="s">
        <v>2471</v>
      </c>
      <c r="P512" s="5" t="s">
        <v>2472</v>
      </c>
      <c r="Q512" s="5" t="s">
        <v>2473</v>
      </c>
      <c r="R512" s="5" t="s">
        <v>2474</v>
      </c>
      <c r="AG512" s="14" t="s">
        <v>55</v>
      </c>
      <c r="AH512" s="14" t="s">
        <v>1603</v>
      </c>
      <c r="AI512" s="14" t="s">
        <v>1603</v>
      </c>
      <c r="AL512" s="23"/>
      <c r="AM512" s="23"/>
      <c r="AN512" s="23"/>
      <c r="AO512" s="23"/>
      <c r="AP512" s="23"/>
      <c r="AQ512" s="23"/>
      <c r="AR512" s="23"/>
      <c r="AS512" s="23"/>
      <c r="AT512" s="23"/>
      <c r="AU512" s="23"/>
      <c r="AV512" s="23"/>
      <c r="AW512" s="23"/>
      <c r="AX512" s="23"/>
    </row>
    <row r="513" spans="1:37">
      <c r="A513" s="5" t="s">
        <v>2475</v>
      </c>
      <c r="B513" s="5" t="s">
        <v>2464</v>
      </c>
      <c r="C513" s="6" t="s">
        <v>43</v>
      </c>
      <c r="D513" s="6" t="s">
        <v>1645</v>
      </c>
      <c r="E513" s="6" t="s">
        <v>2015</v>
      </c>
      <c r="F513" s="6" t="s">
        <v>46</v>
      </c>
      <c r="G513" s="6" t="s">
        <v>2476</v>
      </c>
      <c r="H513" s="7">
        <v>48.84</v>
      </c>
      <c r="I513" s="19" t="s">
        <v>2283</v>
      </c>
      <c r="J513" s="19" t="s">
        <v>2466</v>
      </c>
      <c r="K513" s="5" t="s">
        <v>2467</v>
      </c>
      <c r="L513" s="5" t="s">
        <v>2468</v>
      </c>
      <c r="M513" s="5" t="s">
        <v>2469</v>
      </c>
      <c r="N513" s="5" t="s">
        <v>2470</v>
      </c>
      <c r="O513" s="5" t="s">
        <v>2471</v>
      </c>
      <c r="P513" s="5" t="s">
        <v>2472</v>
      </c>
      <c r="Q513" s="5" t="s">
        <v>2473</v>
      </c>
      <c r="R513" s="5" t="s">
        <v>2474</v>
      </c>
      <c r="AG513" s="14" t="s">
        <v>55</v>
      </c>
      <c r="AH513" s="14" t="s">
        <v>1603</v>
      </c>
      <c r="AI513" s="14" t="s">
        <v>1603</v>
      </c>
    </row>
    <row r="514" spans="1:37">
      <c r="A514" s="5" t="s">
        <v>2477</v>
      </c>
      <c r="B514" s="5" t="s">
        <v>2478</v>
      </c>
      <c r="C514" s="6" t="s">
        <v>2479</v>
      </c>
      <c r="D514" s="6" t="s">
        <v>1645</v>
      </c>
      <c r="E514" s="6" t="s">
        <v>1386</v>
      </c>
      <c r="F514" s="6" t="s">
        <v>46</v>
      </c>
      <c r="G514" s="6" t="s">
        <v>2480</v>
      </c>
      <c r="H514" s="7">
        <v>54.45</v>
      </c>
      <c r="I514" s="19" t="s">
        <v>2283</v>
      </c>
      <c r="J514" s="19" t="s">
        <v>2481</v>
      </c>
      <c r="K514" s="5" t="s">
        <v>2482</v>
      </c>
      <c r="L514" s="5" t="s">
        <v>2483</v>
      </c>
      <c r="M514" s="5" t="s">
        <v>2484</v>
      </c>
      <c r="N514" s="5" t="s">
        <v>2485</v>
      </c>
      <c r="O514" s="5" t="s">
        <v>2486</v>
      </c>
      <c r="P514" s="5" t="s">
        <v>2487</v>
      </c>
      <c r="Q514" s="5" t="s">
        <v>2488</v>
      </c>
      <c r="R514" s="5" t="s">
        <v>2489</v>
      </c>
      <c r="AG514" s="14" t="s">
        <v>55</v>
      </c>
      <c r="AH514" s="14" t="s">
        <v>1603</v>
      </c>
      <c r="AI514" s="14" t="s">
        <v>1603</v>
      </c>
    </row>
    <row r="515" spans="1:37">
      <c r="A515" s="5" t="s">
        <v>2490</v>
      </c>
      <c r="B515" s="5" t="s">
        <v>2491</v>
      </c>
      <c r="C515" s="6" t="s">
        <v>2492</v>
      </c>
      <c r="D515" s="6" t="s">
        <v>1645</v>
      </c>
      <c r="E515" s="6" t="s">
        <v>2015</v>
      </c>
      <c r="F515" s="6" t="s">
        <v>46</v>
      </c>
      <c r="G515" s="6" t="s">
        <v>2493</v>
      </c>
      <c r="H515" s="7">
        <v>54.45</v>
      </c>
      <c r="I515" s="19" t="s">
        <v>2283</v>
      </c>
      <c r="J515" s="19" t="s">
        <v>2481</v>
      </c>
      <c r="K515" s="23" t="s">
        <v>2482</v>
      </c>
      <c r="L515" s="23" t="s">
        <v>2483</v>
      </c>
      <c r="M515" s="23" t="s">
        <v>2484</v>
      </c>
      <c r="N515" s="23" t="s">
        <v>2485</v>
      </c>
      <c r="O515" s="23" t="s">
        <v>2486</v>
      </c>
      <c r="P515" s="23" t="s">
        <v>2487</v>
      </c>
      <c r="Q515" s="23" t="s">
        <v>2488</v>
      </c>
      <c r="R515" s="23" t="s">
        <v>2489</v>
      </c>
      <c r="S515" s="23"/>
      <c r="T515" s="23"/>
      <c r="U515" s="23"/>
      <c r="V515" s="23"/>
      <c r="W515" s="23"/>
      <c r="X515" s="23"/>
      <c r="Y515" s="23"/>
      <c r="Z515" s="23"/>
      <c r="AA515" s="23"/>
      <c r="AB515" s="23"/>
      <c r="AC515" s="23"/>
      <c r="AD515" s="23"/>
      <c r="AE515" s="23"/>
      <c r="AF515" s="23"/>
      <c r="AG515" s="14" t="s">
        <v>55</v>
      </c>
      <c r="AH515" s="14" t="s">
        <v>1603</v>
      </c>
      <c r="AI515" s="14" t="s">
        <v>1603</v>
      </c>
      <c r="AJ515" s="23"/>
      <c r="AK515" s="23"/>
    </row>
    <row r="516" spans="1:37">
      <c r="A516" s="5" t="s">
        <v>2494</v>
      </c>
      <c r="B516" s="5" t="s">
        <v>2495</v>
      </c>
      <c r="C516" s="6" t="s">
        <v>2492</v>
      </c>
      <c r="D516" s="6" t="s">
        <v>1645</v>
      </c>
      <c r="E516" s="6" t="s">
        <v>1386</v>
      </c>
      <c r="F516" s="6" t="s">
        <v>46</v>
      </c>
      <c r="G516" s="6" t="s">
        <v>2480</v>
      </c>
      <c r="H516" s="7">
        <v>54.45</v>
      </c>
      <c r="I516" s="19" t="s">
        <v>2283</v>
      </c>
      <c r="J516" s="19" t="s">
        <v>2481</v>
      </c>
      <c r="K516" s="23" t="s">
        <v>2496</v>
      </c>
      <c r="L516" s="23" t="s">
        <v>2497</v>
      </c>
      <c r="M516" s="23" t="s">
        <v>2498</v>
      </c>
      <c r="N516" s="23" t="s">
        <v>2499</v>
      </c>
      <c r="O516" s="23" t="s">
        <v>2500</v>
      </c>
      <c r="P516" s="23" t="s">
        <v>2501</v>
      </c>
      <c r="Q516" s="23" t="s">
        <v>2502</v>
      </c>
      <c r="R516" s="23" t="s">
        <v>2503</v>
      </c>
      <c r="S516" s="23"/>
      <c r="T516" s="23"/>
      <c r="U516" s="23"/>
      <c r="V516" s="23"/>
      <c r="W516" s="23"/>
      <c r="X516" s="23"/>
      <c r="Y516" s="23"/>
      <c r="Z516" s="23"/>
      <c r="AA516" s="23"/>
      <c r="AB516" s="23"/>
      <c r="AC516" s="23"/>
      <c r="AD516" s="23"/>
      <c r="AE516" s="23"/>
      <c r="AF516" s="23"/>
      <c r="AG516" s="14" t="s">
        <v>55</v>
      </c>
      <c r="AH516" s="14" t="s">
        <v>1603</v>
      </c>
      <c r="AI516" s="14" t="s">
        <v>1603</v>
      </c>
      <c r="AJ516" s="23"/>
      <c r="AK516" s="23"/>
    </row>
    <row r="517" spans="1:37">
      <c r="A517" s="5" t="s">
        <v>2504</v>
      </c>
      <c r="B517" s="5" t="s">
        <v>2495</v>
      </c>
      <c r="C517" s="6" t="s">
        <v>2492</v>
      </c>
      <c r="D517" s="6" t="s">
        <v>1645</v>
      </c>
      <c r="E517" s="6" t="s">
        <v>2015</v>
      </c>
      <c r="F517" s="6" t="s">
        <v>46</v>
      </c>
      <c r="G517" s="6" t="s">
        <v>2505</v>
      </c>
      <c r="H517" s="7">
        <v>54.45</v>
      </c>
      <c r="I517" s="19" t="s">
        <v>2283</v>
      </c>
      <c r="J517" s="19" t="s">
        <v>2481</v>
      </c>
      <c r="K517" s="23" t="s">
        <v>2496</v>
      </c>
      <c r="L517" s="23" t="s">
        <v>2497</v>
      </c>
      <c r="M517" s="23" t="s">
        <v>2498</v>
      </c>
      <c r="N517" s="23" t="s">
        <v>2499</v>
      </c>
      <c r="O517" s="23" t="s">
        <v>2500</v>
      </c>
      <c r="P517" s="23" t="s">
        <v>2501</v>
      </c>
      <c r="Q517" s="23" t="s">
        <v>2502</v>
      </c>
      <c r="R517" s="23" t="s">
        <v>2503</v>
      </c>
      <c r="S517" s="23"/>
      <c r="T517" s="23"/>
      <c r="U517" s="23"/>
      <c r="V517" s="23"/>
      <c r="W517" s="23"/>
      <c r="X517" s="23"/>
      <c r="Y517" s="23"/>
      <c r="Z517" s="23"/>
      <c r="AA517" s="23"/>
      <c r="AB517" s="23"/>
      <c r="AC517" s="23"/>
      <c r="AD517" s="23"/>
      <c r="AE517" s="23"/>
      <c r="AF517" s="23"/>
      <c r="AG517" s="14" t="s">
        <v>55</v>
      </c>
      <c r="AH517" s="14" t="s">
        <v>1603</v>
      </c>
      <c r="AI517" s="14" t="s">
        <v>1603</v>
      </c>
      <c r="AJ517" s="23"/>
      <c r="AK517" s="23"/>
    </row>
    <row r="518" spans="1:37">
      <c r="A518" s="5" t="s">
        <v>2506</v>
      </c>
      <c r="B518" s="5" t="s">
        <v>2507</v>
      </c>
      <c r="C518" s="6" t="s">
        <v>43</v>
      </c>
      <c r="D518" s="6" t="s">
        <v>1645</v>
      </c>
      <c r="E518" s="6" t="s">
        <v>1540</v>
      </c>
      <c r="F518" s="6" t="s">
        <v>46</v>
      </c>
      <c r="G518" s="6" t="s">
        <v>2508</v>
      </c>
      <c r="H518" s="7">
        <v>54.45</v>
      </c>
      <c r="I518" s="19" t="s">
        <v>2283</v>
      </c>
      <c r="J518" s="19" t="s">
        <v>2481</v>
      </c>
      <c r="K518" s="23" t="s">
        <v>2496</v>
      </c>
      <c r="L518" s="23" t="s">
        <v>2497</v>
      </c>
      <c r="M518" s="23" t="s">
        <v>2498</v>
      </c>
      <c r="N518" s="23" t="s">
        <v>2499</v>
      </c>
      <c r="O518" s="23" t="s">
        <v>2500</v>
      </c>
      <c r="P518" s="23" t="s">
        <v>2501</v>
      </c>
      <c r="Q518" s="23" t="s">
        <v>2502</v>
      </c>
      <c r="R518" s="23" t="s">
        <v>2503</v>
      </c>
      <c r="S518" s="23"/>
      <c r="T518" s="23"/>
      <c r="U518" s="23"/>
      <c r="V518" s="23"/>
      <c r="W518" s="23"/>
      <c r="X518" s="23"/>
      <c r="Y518" s="23"/>
      <c r="Z518" s="23"/>
      <c r="AA518" s="23"/>
      <c r="AB518" s="23"/>
      <c r="AC518" s="23"/>
      <c r="AD518" s="23"/>
      <c r="AE518" s="23"/>
      <c r="AF518" s="23"/>
      <c r="AG518" s="14" t="s">
        <v>55</v>
      </c>
      <c r="AH518" s="14" t="s">
        <v>1603</v>
      </c>
      <c r="AI518" s="14" t="s">
        <v>1603</v>
      </c>
      <c r="AJ518" s="23"/>
      <c r="AK518" s="23"/>
    </row>
    <row r="519" spans="1:37">
      <c r="A519" s="5" t="s">
        <v>2509</v>
      </c>
      <c r="B519" s="5" t="s">
        <v>2510</v>
      </c>
      <c r="C519" s="6" t="s">
        <v>2281</v>
      </c>
      <c r="D519" s="6" t="s">
        <v>1645</v>
      </c>
      <c r="E519" s="6" t="s">
        <v>1386</v>
      </c>
      <c r="F519" s="6" t="s">
        <v>46</v>
      </c>
      <c r="G519" s="6" t="s">
        <v>2511</v>
      </c>
      <c r="H519" s="7">
        <v>60.06</v>
      </c>
      <c r="I519" s="19" t="s">
        <v>2283</v>
      </c>
      <c r="J519" s="19" t="s">
        <v>2512</v>
      </c>
      <c r="K519" s="6" t="s">
        <v>2513</v>
      </c>
      <c r="L519" s="6" t="s">
        <v>2514</v>
      </c>
      <c r="M519" s="6" t="s">
        <v>2515</v>
      </c>
      <c r="N519" s="6" t="s">
        <v>2516</v>
      </c>
      <c r="O519" s="6" t="s">
        <v>2517</v>
      </c>
      <c r="P519" s="6" t="s">
        <v>2518</v>
      </c>
      <c r="Q519" s="6" t="s">
        <v>2519</v>
      </c>
      <c r="R519" s="6" t="s">
        <v>2520</v>
      </c>
      <c r="AG519" s="14" t="s">
        <v>55</v>
      </c>
      <c r="AH519" s="14" t="s">
        <v>1603</v>
      </c>
      <c r="AI519" s="14" t="s">
        <v>1603</v>
      </c>
    </row>
    <row r="520" spans="1:37">
      <c r="A520" s="5" t="s">
        <v>2521</v>
      </c>
      <c r="B520" s="5" t="s">
        <v>2510</v>
      </c>
      <c r="C520" s="6" t="s">
        <v>2281</v>
      </c>
      <c r="D520" s="6" t="s">
        <v>1645</v>
      </c>
      <c r="E520" s="6" t="s">
        <v>2065</v>
      </c>
      <c r="F520" s="6" t="s">
        <v>46</v>
      </c>
      <c r="G520" s="6" t="s">
        <v>2522</v>
      </c>
      <c r="H520" s="7">
        <v>60.06</v>
      </c>
      <c r="I520" s="19" t="s">
        <v>2283</v>
      </c>
      <c r="J520" s="19" t="s">
        <v>2512</v>
      </c>
      <c r="K520" s="6" t="s">
        <v>2513</v>
      </c>
      <c r="L520" s="6" t="s">
        <v>2514</v>
      </c>
      <c r="M520" s="6" t="s">
        <v>2515</v>
      </c>
      <c r="N520" s="6" t="s">
        <v>2516</v>
      </c>
      <c r="O520" s="6" t="s">
        <v>2517</v>
      </c>
      <c r="P520" s="6" t="s">
        <v>2518</v>
      </c>
      <c r="Q520" s="6" t="s">
        <v>2519</v>
      </c>
      <c r="R520" s="6" t="s">
        <v>2520</v>
      </c>
      <c r="AG520" s="14" t="s">
        <v>55</v>
      </c>
      <c r="AH520" s="14" t="s">
        <v>1603</v>
      </c>
      <c r="AI520" s="14" t="s">
        <v>1603</v>
      </c>
    </row>
    <row r="521" spans="1:37">
      <c r="A521" s="6" t="s">
        <v>2523</v>
      </c>
      <c r="B521" s="6" t="s">
        <v>2524</v>
      </c>
      <c r="C521" s="6" t="s">
        <v>2525</v>
      </c>
      <c r="D521" s="6" t="s">
        <v>1645</v>
      </c>
      <c r="E521" s="6" t="s">
        <v>2526</v>
      </c>
      <c r="F521" s="6" t="s">
        <v>46</v>
      </c>
      <c r="G521" s="6" t="s">
        <v>2527</v>
      </c>
      <c r="I521" s="19" t="s">
        <v>48</v>
      </c>
      <c r="J521" s="5" t="s">
        <v>48</v>
      </c>
      <c r="K521" s="6"/>
      <c r="L521" s="6"/>
      <c r="M521" s="6"/>
      <c r="N521" s="6"/>
      <c r="O521" s="6"/>
      <c r="P521" s="6"/>
      <c r="Q521" s="6"/>
      <c r="R521" s="6"/>
      <c r="S521" s="6"/>
      <c r="T521" s="6"/>
      <c r="U521" s="6"/>
      <c r="V521" s="6"/>
      <c r="W521" s="6"/>
      <c r="X521" s="6"/>
      <c r="Y521" s="6"/>
      <c r="Z521" s="6"/>
      <c r="AA521" s="6"/>
      <c r="AB521" s="6"/>
      <c r="AC521" s="6"/>
      <c r="AD521" s="6"/>
      <c r="AE521" s="6"/>
      <c r="AF521" s="6"/>
      <c r="AG521" s="15" t="s">
        <v>55</v>
      </c>
      <c r="AH521" s="15"/>
      <c r="AI521" s="15"/>
      <c r="AJ521" s="6"/>
      <c r="AK521" s="6"/>
    </row>
    <row r="522" spans="1:37" s="6" customFormat="1">
      <c r="A522" s="5" t="s">
        <v>2528</v>
      </c>
      <c r="B522" s="5" t="s">
        <v>2529</v>
      </c>
      <c r="C522" s="6" t="s">
        <v>43</v>
      </c>
      <c r="D522" s="6" t="s">
        <v>1645</v>
      </c>
      <c r="E522" s="6" t="s">
        <v>2139</v>
      </c>
      <c r="F522" s="6" t="s">
        <v>46</v>
      </c>
      <c r="G522" s="6" t="s">
        <v>2530</v>
      </c>
      <c r="H522" s="7">
        <v>54.45</v>
      </c>
      <c r="I522" s="19" t="s">
        <v>2283</v>
      </c>
      <c r="J522" s="19" t="s">
        <v>2466</v>
      </c>
      <c r="K522" s="5" t="s">
        <v>2531</v>
      </c>
      <c r="L522" s="5" t="s">
        <v>2532</v>
      </c>
      <c r="M522" s="5" t="s">
        <v>2533</v>
      </c>
      <c r="N522" s="5" t="s">
        <v>2534</v>
      </c>
      <c r="O522" s="5" t="s">
        <v>2535</v>
      </c>
      <c r="P522" s="5" t="s">
        <v>2536</v>
      </c>
      <c r="Q522" s="5" t="s">
        <v>2537</v>
      </c>
      <c r="R522" s="5" t="s">
        <v>2538</v>
      </c>
      <c r="S522" s="5"/>
      <c r="T522" s="5"/>
      <c r="U522" s="5"/>
      <c r="V522" s="5"/>
      <c r="W522" s="5"/>
      <c r="X522" s="5"/>
      <c r="Y522" s="5"/>
      <c r="Z522" s="5"/>
      <c r="AA522" s="5"/>
      <c r="AB522" s="5"/>
      <c r="AC522" s="5"/>
      <c r="AD522" s="5"/>
      <c r="AE522" s="5"/>
      <c r="AF522" s="5"/>
      <c r="AG522" s="14" t="s">
        <v>55</v>
      </c>
      <c r="AH522" s="14" t="s">
        <v>1603</v>
      </c>
      <c r="AI522" s="14" t="s">
        <v>1603</v>
      </c>
      <c r="AJ522" s="5"/>
      <c r="AK522" s="5"/>
    </row>
    <row r="523" spans="1:37">
      <c r="A523" s="5" t="s">
        <v>2539</v>
      </c>
      <c r="B523" s="5" t="s">
        <v>2529</v>
      </c>
      <c r="C523" s="6" t="s">
        <v>43</v>
      </c>
      <c r="D523" s="6" t="s">
        <v>1645</v>
      </c>
      <c r="E523" s="6" t="s">
        <v>1386</v>
      </c>
      <c r="F523" s="6" t="s">
        <v>46</v>
      </c>
      <c r="G523" s="6" t="s">
        <v>2540</v>
      </c>
      <c r="H523" s="7">
        <v>54.45</v>
      </c>
      <c r="I523" s="19" t="s">
        <v>2283</v>
      </c>
      <c r="J523" s="19" t="s">
        <v>2466</v>
      </c>
      <c r="K523" s="5" t="s">
        <v>2541</v>
      </c>
      <c r="L523" s="5" t="s">
        <v>2542</v>
      </c>
      <c r="M523" s="5" t="s">
        <v>2543</v>
      </c>
      <c r="N523" s="5" t="s">
        <v>2544</v>
      </c>
      <c r="O523" s="5" t="s">
        <v>2545</v>
      </c>
      <c r="P523" s="5" t="s">
        <v>2546</v>
      </c>
      <c r="Q523" s="5" t="s">
        <v>2547</v>
      </c>
      <c r="R523" s="5" t="s">
        <v>2548</v>
      </c>
      <c r="AG523" s="14" t="s">
        <v>55</v>
      </c>
      <c r="AH523" s="14" t="s">
        <v>1603</v>
      </c>
      <c r="AI523" s="14" t="s">
        <v>1603</v>
      </c>
    </row>
    <row r="524" spans="1:37">
      <c r="A524" s="5" t="s">
        <v>2549</v>
      </c>
      <c r="B524" s="5" t="s">
        <v>2529</v>
      </c>
      <c r="C524" s="6" t="s">
        <v>43</v>
      </c>
      <c r="D524" s="6" t="s">
        <v>1645</v>
      </c>
      <c r="E524" s="6" t="s">
        <v>2015</v>
      </c>
      <c r="F524" s="6" t="s">
        <v>46</v>
      </c>
      <c r="G524" s="6" t="s">
        <v>2550</v>
      </c>
      <c r="H524" s="7">
        <v>54.45</v>
      </c>
      <c r="I524" s="19" t="s">
        <v>2283</v>
      </c>
      <c r="J524" s="19" t="s">
        <v>2466</v>
      </c>
      <c r="K524" s="5" t="s">
        <v>2541</v>
      </c>
      <c r="L524" s="5" t="s">
        <v>2542</v>
      </c>
      <c r="M524" s="5" t="s">
        <v>2543</v>
      </c>
      <c r="N524" s="5" t="s">
        <v>2544</v>
      </c>
      <c r="O524" s="5" t="s">
        <v>2545</v>
      </c>
      <c r="P524" s="5" t="s">
        <v>2546</v>
      </c>
      <c r="Q524" s="5" t="s">
        <v>2547</v>
      </c>
      <c r="R524" s="5" t="s">
        <v>2548</v>
      </c>
      <c r="AG524" s="14" t="s">
        <v>55</v>
      </c>
      <c r="AH524" s="14" t="s">
        <v>1603</v>
      </c>
      <c r="AI524" s="14" t="s">
        <v>1603</v>
      </c>
    </row>
    <row r="525" spans="1:37">
      <c r="A525" s="5" t="s">
        <v>2551</v>
      </c>
      <c r="B525" s="5" t="s">
        <v>2529</v>
      </c>
      <c r="C525" s="6" t="s">
        <v>43</v>
      </c>
      <c r="D525" s="6" t="s">
        <v>1645</v>
      </c>
      <c r="E525" s="6" t="s">
        <v>2065</v>
      </c>
      <c r="F525" s="6" t="s">
        <v>46</v>
      </c>
      <c r="G525" s="6" t="s">
        <v>2552</v>
      </c>
      <c r="H525" s="7">
        <v>54.45</v>
      </c>
      <c r="I525" s="19" t="s">
        <v>2283</v>
      </c>
      <c r="J525" s="19" t="s">
        <v>2466</v>
      </c>
      <c r="K525" s="5" t="s">
        <v>2541</v>
      </c>
      <c r="L525" s="5" t="s">
        <v>2542</v>
      </c>
      <c r="M525" s="5" t="s">
        <v>2543</v>
      </c>
      <c r="N525" s="5" t="s">
        <v>2544</v>
      </c>
      <c r="O525" s="5" t="s">
        <v>2545</v>
      </c>
      <c r="P525" s="5" t="s">
        <v>2546</v>
      </c>
      <c r="Q525" s="5" t="s">
        <v>2547</v>
      </c>
      <c r="R525" s="5" t="s">
        <v>2548</v>
      </c>
      <c r="AG525" s="14" t="s">
        <v>55</v>
      </c>
      <c r="AH525" s="14" t="s">
        <v>1603</v>
      </c>
      <c r="AI525" s="14" t="s">
        <v>1603</v>
      </c>
    </row>
    <row r="526" spans="1:37">
      <c r="A526" s="5" t="s">
        <v>2553</v>
      </c>
      <c r="B526" s="5" t="s">
        <v>2554</v>
      </c>
      <c r="C526" s="6" t="s">
        <v>2555</v>
      </c>
      <c r="D526" s="6" t="s">
        <v>1645</v>
      </c>
      <c r="E526" s="6" t="s">
        <v>2139</v>
      </c>
      <c r="F526" s="6" t="s">
        <v>46</v>
      </c>
      <c r="G526" s="6" t="s">
        <v>2556</v>
      </c>
      <c r="H526" s="7">
        <v>54.45</v>
      </c>
      <c r="I526" s="19" t="s">
        <v>2283</v>
      </c>
      <c r="J526" s="19" t="s">
        <v>2466</v>
      </c>
      <c r="K526" s="5" t="s">
        <v>2557</v>
      </c>
      <c r="L526" s="5" t="s">
        <v>2558</v>
      </c>
      <c r="M526" s="5" t="s">
        <v>2559</v>
      </c>
      <c r="N526" s="5" t="s">
        <v>2560</v>
      </c>
      <c r="O526" s="5" t="s">
        <v>2561</v>
      </c>
      <c r="P526" s="5" t="s">
        <v>2562</v>
      </c>
      <c r="Q526" s="5" t="s">
        <v>2563</v>
      </c>
      <c r="R526" s="5" t="s">
        <v>2564</v>
      </c>
      <c r="AG526" s="14" t="s">
        <v>55</v>
      </c>
      <c r="AH526" s="14" t="s">
        <v>1603</v>
      </c>
      <c r="AI526" s="14" t="s">
        <v>1603</v>
      </c>
    </row>
    <row r="527" spans="1:37">
      <c r="A527" s="5" t="s">
        <v>2565</v>
      </c>
      <c r="B527" s="5" t="s">
        <v>2554</v>
      </c>
      <c r="C527" s="6" t="s">
        <v>2555</v>
      </c>
      <c r="D527" s="6" t="s">
        <v>1645</v>
      </c>
      <c r="E527" s="6" t="s">
        <v>1386</v>
      </c>
      <c r="F527" s="6" t="s">
        <v>46</v>
      </c>
      <c r="G527" s="6" t="s">
        <v>2540</v>
      </c>
      <c r="H527" s="7">
        <v>54.45</v>
      </c>
      <c r="I527" s="19" t="s">
        <v>2283</v>
      </c>
      <c r="J527" s="19" t="s">
        <v>2466</v>
      </c>
      <c r="K527" s="5" t="s">
        <v>2557</v>
      </c>
      <c r="L527" s="5" t="s">
        <v>2558</v>
      </c>
      <c r="M527" s="5" t="s">
        <v>2559</v>
      </c>
      <c r="N527" s="5" t="s">
        <v>2560</v>
      </c>
      <c r="O527" s="5" t="s">
        <v>2561</v>
      </c>
      <c r="P527" s="5" t="s">
        <v>2562</v>
      </c>
      <c r="Q527" s="5" t="s">
        <v>2563</v>
      </c>
      <c r="R527" s="5" t="s">
        <v>2564</v>
      </c>
      <c r="AG527" s="14" t="s">
        <v>55</v>
      </c>
      <c r="AH527" s="14" t="s">
        <v>1603</v>
      </c>
      <c r="AI527" s="14" t="s">
        <v>1603</v>
      </c>
    </row>
    <row r="528" spans="1:37">
      <c r="A528" s="5" t="s">
        <v>2566</v>
      </c>
      <c r="B528" s="5" t="s">
        <v>2554</v>
      </c>
      <c r="C528" s="6" t="s">
        <v>2555</v>
      </c>
      <c r="D528" s="6" t="s">
        <v>1645</v>
      </c>
      <c r="E528" s="6" t="s">
        <v>2015</v>
      </c>
      <c r="F528" s="6" t="s">
        <v>46</v>
      </c>
      <c r="G528" s="6" t="s">
        <v>2567</v>
      </c>
      <c r="H528" s="7">
        <v>54.45</v>
      </c>
      <c r="I528" s="19" t="s">
        <v>2283</v>
      </c>
      <c r="J528" s="19" t="s">
        <v>2466</v>
      </c>
      <c r="K528" s="5" t="s">
        <v>2557</v>
      </c>
      <c r="L528" s="5" t="s">
        <v>2558</v>
      </c>
      <c r="M528" s="5" t="s">
        <v>2559</v>
      </c>
      <c r="N528" s="5" t="s">
        <v>2560</v>
      </c>
      <c r="O528" s="5" t="s">
        <v>2561</v>
      </c>
      <c r="P528" s="5" t="s">
        <v>2562</v>
      </c>
      <c r="Q528" s="5" t="s">
        <v>2563</v>
      </c>
      <c r="R528" s="5" t="s">
        <v>2564</v>
      </c>
      <c r="AG528" s="14" t="s">
        <v>55</v>
      </c>
      <c r="AH528" s="14" t="s">
        <v>1603</v>
      </c>
      <c r="AI528" s="14" t="s">
        <v>1603</v>
      </c>
    </row>
    <row r="529" spans="1:37">
      <c r="A529" s="5" t="s">
        <v>2568</v>
      </c>
      <c r="B529" s="5" t="s">
        <v>2554</v>
      </c>
      <c r="C529" s="6" t="s">
        <v>2555</v>
      </c>
      <c r="D529" s="6" t="s">
        <v>1645</v>
      </c>
      <c r="E529" s="6" t="s">
        <v>2047</v>
      </c>
      <c r="F529" s="6" t="s">
        <v>46</v>
      </c>
      <c r="G529" s="6" t="s">
        <v>2569</v>
      </c>
      <c r="H529" s="7">
        <v>54.45</v>
      </c>
      <c r="I529" s="19" t="s">
        <v>2283</v>
      </c>
      <c r="J529" s="19" t="s">
        <v>2466</v>
      </c>
      <c r="K529" s="5" t="s">
        <v>2557</v>
      </c>
      <c r="L529" s="5" t="s">
        <v>2558</v>
      </c>
      <c r="M529" s="5" t="s">
        <v>2559</v>
      </c>
      <c r="N529" s="5" t="s">
        <v>2560</v>
      </c>
      <c r="O529" s="5" t="s">
        <v>2561</v>
      </c>
      <c r="P529" s="5" t="s">
        <v>2562</v>
      </c>
      <c r="Q529" s="5" t="s">
        <v>2563</v>
      </c>
      <c r="R529" s="5" t="s">
        <v>2564</v>
      </c>
      <c r="AG529" s="14" t="s">
        <v>55</v>
      </c>
      <c r="AH529" s="14" t="s">
        <v>1603</v>
      </c>
      <c r="AI529" s="14" t="s">
        <v>1603</v>
      </c>
    </row>
    <row r="530" spans="1:37">
      <c r="A530" s="5" t="s">
        <v>2570</v>
      </c>
      <c r="B530" s="5" t="s">
        <v>2571</v>
      </c>
      <c r="C530" s="6" t="s">
        <v>43</v>
      </c>
      <c r="D530" s="6" t="s">
        <v>1645</v>
      </c>
      <c r="E530" s="6" t="s">
        <v>2139</v>
      </c>
      <c r="F530" s="6" t="s">
        <v>46</v>
      </c>
      <c r="G530" s="6" t="s">
        <v>2572</v>
      </c>
      <c r="H530" s="7">
        <v>61.05</v>
      </c>
      <c r="I530" s="19" t="s">
        <v>2283</v>
      </c>
      <c r="J530" s="19" t="s">
        <v>2481</v>
      </c>
      <c r="K530" s="23" t="s">
        <v>2573</v>
      </c>
      <c r="L530" s="23" t="s">
        <v>2574</v>
      </c>
      <c r="M530" s="23" t="s">
        <v>2575</v>
      </c>
      <c r="N530" s="23" t="s">
        <v>2576</v>
      </c>
      <c r="O530" s="23" t="s">
        <v>2577</v>
      </c>
      <c r="P530" s="23" t="s">
        <v>2578</v>
      </c>
      <c r="Q530" s="23" t="s">
        <v>2579</v>
      </c>
      <c r="R530" s="23" t="s">
        <v>2580</v>
      </c>
      <c r="S530" s="23"/>
      <c r="T530" s="23"/>
      <c r="U530" s="23"/>
      <c r="V530" s="23"/>
      <c r="W530" s="23"/>
      <c r="X530" s="23"/>
      <c r="Y530" s="23"/>
      <c r="Z530" s="23"/>
      <c r="AA530" s="23"/>
      <c r="AB530" s="23"/>
      <c r="AC530" s="23"/>
      <c r="AD530" s="23"/>
      <c r="AE530" s="23"/>
      <c r="AF530" s="23"/>
      <c r="AG530" s="14" t="s">
        <v>55</v>
      </c>
      <c r="AH530" s="14" t="s">
        <v>1603</v>
      </c>
      <c r="AI530" s="14" t="s">
        <v>1603</v>
      </c>
      <c r="AJ530" s="23"/>
      <c r="AK530" s="23"/>
    </row>
    <row r="531" spans="1:37">
      <c r="A531" s="5" t="s">
        <v>2581</v>
      </c>
      <c r="B531" s="5" t="s">
        <v>2571</v>
      </c>
      <c r="C531" s="6" t="s">
        <v>43</v>
      </c>
      <c r="D531" s="6" t="s">
        <v>1645</v>
      </c>
      <c r="E531" s="6" t="s">
        <v>1386</v>
      </c>
      <c r="F531" s="6" t="s">
        <v>46</v>
      </c>
      <c r="G531" s="6" t="s">
        <v>2582</v>
      </c>
      <c r="H531" s="7">
        <v>61.05</v>
      </c>
      <c r="I531" s="19" t="s">
        <v>2283</v>
      </c>
      <c r="J531" s="19" t="s">
        <v>2481</v>
      </c>
      <c r="K531" s="23" t="s">
        <v>2573</v>
      </c>
      <c r="L531" s="23" t="s">
        <v>2574</v>
      </c>
      <c r="M531" s="23" t="s">
        <v>2575</v>
      </c>
      <c r="N531" s="23" t="s">
        <v>2576</v>
      </c>
      <c r="O531" s="23" t="s">
        <v>2577</v>
      </c>
      <c r="P531" s="23" t="s">
        <v>2578</v>
      </c>
      <c r="Q531" s="23" t="s">
        <v>2579</v>
      </c>
      <c r="R531" s="23" t="s">
        <v>2580</v>
      </c>
      <c r="S531" s="23"/>
      <c r="T531" s="23"/>
      <c r="U531" s="23"/>
      <c r="V531" s="23"/>
      <c r="W531" s="23"/>
      <c r="X531" s="23"/>
      <c r="Y531" s="23"/>
      <c r="Z531" s="23"/>
      <c r="AA531" s="23"/>
      <c r="AB531" s="23"/>
      <c r="AC531" s="23"/>
      <c r="AD531" s="23"/>
      <c r="AE531" s="23"/>
      <c r="AF531" s="23"/>
      <c r="AG531" s="14" t="s">
        <v>55</v>
      </c>
      <c r="AH531" s="14" t="s">
        <v>1603</v>
      </c>
      <c r="AI531" s="14" t="s">
        <v>1603</v>
      </c>
      <c r="AJ531" s="23"/>
      <c r="AK531" s="23"/>
    </row>
    <row r="532" spans="1:37">
      <c r="A532" s="5" t="s">
        <v>2583</v>
      </c>
      <c r="B532" s="5" t="s">
        <v>2571</v>
      </c>
      <c r="C532" s="6" t="s">
        <v>43</v>
      </c>
      <c r="D532" s="6" t="s">
        <v>1645</v>
      </c>
      <c r="E532" s="6" t="s">
        <v>2015</v>
      </c>
      <c r="F532" s="6" t="s">
        <v>46</v>
      </c>
      <c r="G532" s="6" t="s">
        <v>2584</v>
      </c>
      <c r="H532" s="7">
        <v>61.05</v>
      </c>
      <c r="I532" s="19" t="s">
        <v>2283</v>
      </c>
      <c r="J532" s="19" t="s">
        <v>2481</v>
      </c>
      <c r="K532" s="23" t="s">
        <v>2573</v>
      </c>
      <c r="L532" s="23" t="s">
        <v>2574</v>
      </c>
      <c r="M532" s="23" t="s">
        <v>2575</v>
      </c>
      <c r="N532" s="23" t="s">
        <v>2576</v>
      </c>
      <c r="O532" s="23" t="s">
        <v>2577</v>
      </c>
      <c r="P532" s="23" t="s">
        <v>2578</v>
      </c>
      <c r="Q532" s="23" t="s">
        <v>2579</v>
      </c>
      <c r="R532" s="23" t="s">
        <v>2580</v>
      </c>
      <c r="S532" s="23"/>
      <c r="T532" s="23"/>
      <c r="U532" s="23"/>
      <c r="V532" s="23"/>
      <c r="W532" s="23"/>
      <c r="X532" s="23"/>
      <c r="Y532" s="23"/>
      <c r="Z532" s="23"/>
      <c r="AA532" s="23"/>
      <c r="AB532" s="23"/>
      <c r="AC532" s="23"/>
      <c r="AD532" s="23"/>
      <c r="AE532" s="23"/>
      <c r="AF532" s="23"/>
      <c r="AG532" s="14" t="s">
        <v>55</v>
      </c>
      <c r="AH532" s="14" t="s">
        <v>1603</v>
      </c>
      <c r="AI532" s="14" t="s">
        <v>1603</v>
      </c>
      <c r="AJ532" s="23"/>
      <c r="AK532" s="23"/>
    </row>
    <row r="533" spans="1:37">
      <c r="A533" s="5" t="s">
        <v>2585</v>
      </c>
      <c r="B533" s="5" t="s">
        <v>2586</v>
      </c>
      <c r="C533" s="6" t="s">
        <v>2587</v>
      </c>
      <c r="D533" s="6" t="s">
        <v>1645</v>
      </c>
      <c r="E533" s="6" t="s">
        <v>2319</v>
      </c>
      <c r="F533" s="6" t="s">
        <v>46</v>
      </c>
      <c r="G533" s="6" t="s">
        <v>2588</v>
      </c>
      <c r="H533" s="7">
        <v>61.05</v>
      </c>
      <c r="I533" s="19" t="s">
        <v>2283</v>
      </c>
      <c r="J533" s="19" t="s">
        <v>2481</v>
      </c>
      <c r="K533" s="23" t="s">
        <v>2589</v>
      </c>
      <c r="L533" s="23" t="s">
        <v>2590</v>
      </c>
      <c r="M533" s="23" t="s">
        <v>2591</v>
      </c>
      <c r="N533" s="23" t="s">
        <v>2592</v>
      </c>
      <c r="O533" s="23" t="s">
        <v>2593</v>
      </c>
      <c r="P533" s="23" t="s">
        <v>2594</v>
      </c>
      <c r="Q533" s="23" t="s">
        <v>2595</v>
      </c>
      <c r="R533" s="23" t="s">
        <v>2596</v>
      </c>
      <c r="S533" s="23"/>
      <c r="T533" s="23"/>
      <c r="U533" s="23"/>
      <c r="V533" s="23"/>
      <c r="W533" s="23"/>
      <c r="X533" s="23"/>
      <c r="Y533" s="23"/>
      <c r="Z533" s="23"/>
      <c r="AA533" s="23"/>
      <c r="AB533" s="23"/>
      <c r="AC533" s="23"/>
      <c r="AD533" s="23"/>
      <c r="AE533" s="23"/>
      <c r="AF533" s="23"/>
      <c r="AG533" s="14" t="s">
        <v>55</v>
      </c>
      <c r="AH533" s="14" t="s">
        <v>1603</v>
      </c>
      <c r="AI533" s="14" t="s">
        <v>1603</v>
      </c>
      <c r="AJ533" s="23"/>
      <c r="AK533" s="23"/>
    </row>
    <row r="534" spans="1:37">
      <c r="A534" s="5" t="s">
        <v>2597</v>
      </c>
      <c r="B534" s="5" t="s">
        <v>2586</v>
      </c>
      <c r="C534" s="6" t="s">
        <v>2587</v>
      </c>
      <c r="D534" s="6" t="s">
        <v>1645</v>
      </c>
      <c r="E534" s="6" t="s">
        <v>1386</v>
      </c>
      <c r="F534" s="6" t="s">
        <v>46</v>
      </c>
      <c r="G534" s="6" t="s">
        <v>2598</v>
      </c>
      <c r="H534" s="7">
        <v>61.05</v>
      </c>
      <c r="I534" s="19" t="s">
        <v>2283</v>
      </c>
      <c r="J534" s="19" t="s">
        <v>2481</v>
      </c>
      <c r="K534" s="23" t="s">
        <v>2589</v>
      </c>
      <c r="L534" s="23" t="s">
        <v>2590</v>
      </c>
      <c r="M534" s="23" t="s">
        <v>2591</v>
      </c>
      <c r="N534" s="23" t="s">
        <v>2592</v>
      </c>
      <c r="O534" s="23" t="s">
        <v>2593</v>
      </c>
      <c r="P534" s="23" t="s">
        <v>2594</v>
      </c>
      <c r="Q534" s="23" t="s">
        <v>2595</v>
      </c>
      <c r="R534" s="23" t="s">
        <v>2596</v>
      </c>
      <c r="S534" s="23"/>
      <c r="T534" s="23"/>
      <c r="U534" s="23"/>
      <c r="V534" s="23"/>
      <c r="W534" s="23"/>
      <c r="X534" s="23"/>
      <c r="Y534" s="23"/>
      <c r="Z534" s="23"/>
      <c r="AA534" s="23"/>
      <c r="AB534" s="23"/>
      <c r="AC534" s="23"/>
      <c r="AD534" s="23"/>
      <c r="AE534" s="23"/>
      <c r="AF534" s="23"/>
      <c r="AG534" s="14" t="s">
        <v>55</v>
      </c>
      <c r="AH534" s="14" t="s">
        <v>1603</v>
      </c>
      <c r="AI534" s="14" t="s">
        <v>1603</v>
      </c>
      <c r="AJ534" s="23"/>
      <c r="AK534" s="23"/>
    </row>
    <row r="535" spans="1:37">
      <c r="A535" s="5" t="s">
        <v>2599</v>
      </c>
      <c r="B535" s="5" t="s">
        <v>2586</v>
      </c>
      <c r="C535" s="6" t="s">
        <v>2587</v>
      </c>
      <c r="D535" s="6" t="s">
        <v>1645</v>
      </c>
      <c r="E535" s="6" t="s">
        <v>2015</v>
      </c>
      <c r="F535" s="6" t="s">
        <v>46</v>
      </c>
      <c r="G535" s="6" t="s">
        <v>2600</v>
      </c>
      <c r="H535" s="7">
        <v>61.05</v>
      </c>
      <c r="I535" s="19" t="s">
        <v>2283</v>
      </c>
      <c r="J535" s="19" t="s">
        <v>2481</v>
      </c>
      <c r="K535" s="23" t="s">
        <v>2589</v>
      </c>
      <c r="L535" s="23" t="s">
        <v>2590</v>
      </c>
      <c r="M535" s="23" t="s">
        <v>2591</v>
      </c>
      <c r="N535" s="23" t="s">
        <v>2592</v>
      </c>
      <c r="O535" s="23" t="s">
        <v>2593</v>
      </c>
      <c r="P535" s="23" t="s">
        <v>2594</v>
      </c>
      <c r="Q535" s="23" t="s">
        <v>2595</v>
      </c>
      <c r="R535" s="23" t="s">
        <v>2596</v>
      </c>
      <c r="S535" s="23"/>
      <c r="T535" s="23"/>
      <c r="U535" s="23"/>
      <c r="V535" s="23"/>
      <c r="W535" s="23"/>
      <c r="X535" s="23"/>
      <c r="Y535" s="23"/>
      <c r="Z535" s="23"/>
      <c r="AA535" s="23"/>
      <c r="AB535" s="23"/>
      <c r="AC535" s="23"/>
      <c r="AD535" s="23"/>
      <c r="AE535" s="23"/>
      <c r="AF535" s="23"/>
      <c r="AG535" s="14" t="s">
        <v>55</v>
      </c>
      <c r="AH535" s="14" t="s">
        <v>1603</v>
      </c>
      <c r="AI535" s="14" t="s">
        <v>1603</v>
      </c>
      <c r="AJ535" s="23"/>
      <c r="AK535" s="23"/>
    </row>
    <row r="536" spans="1:37">
      <c r="A536" s="5" t="s">
        <v>2601</v>
      </c>
      <c r="B536" s="5" t="s">
        <v>2602</v>
      </c>
      <c r="C536" s="6" t="s">
        <v>2492</v>
      </c>
      <c r="D536" s="6" t="s">
        <v>1645</v>
      </c>
      <c r="E536" s="6" t="s">
        <v>1386</v>
      </c>
      <c r="F536" s="6" t="s">
        <v>46</v>
      </c>
      <c r="G536" s="6" t="s">
        <v>2598</v>
      </c>
      <c r="H536" s="7">
        <v>61.05</v>
      </c>
      <c r="I536" s="19" t="s">
        <v>2283</v>
      </c>
      <c r="J536" s="19" t="s">
        <v>2481</v>
      </c>
      <c r="K536" s="23" t="s">
        <v>2603</v>
      </c>
      <c r="L536" s="23" t="s">
        <v>2604</v>
      </c>
      <c r="M536" s="23" t="s">
        <v>2605</v>
      </c>
      <c r="N536" s="23" t="s">
        <v>2606</v>
      </c>
      <c r="O536" s="23" t="s">
        <v>2607</v>
      </c>
      <c r="P536" s="23" t="s">
        <v>2608</v>
      </c>
      <c r="Q536" s="23" t="s">
        <v>2609</v>
      </c>
      <c r="R536" s="23" t="s">
        <v>2610</v>
      </c>
      <c r="S536" s="23"/>
      <c r="T536" s="23"/>
      <c r="U536" s="23"/>
      <c r="V536" s="23"/>
      <c r="W536" s="23"/>
      <c r="X536" s="23"/>
      <c r="Y536" s="23"/>
      <c r="Z536" s="23"/>
      <c r="AA536" s="23"/>
      <c r="AB536" s="23"/>
      <c r="AC536" s="23"/>
      <c r="AD536" s="23"/>
      <c r="AE536" s="23"/>
      <c r="AF536" s="23"/>
      <c r="AG536" s="14" t="s">
        <v>55</v>
      </c>
      <c r="AH536" s="14" t="s">
        <v>1603</v>
      </c>
      <c r="AI536" s="14" t="s">
        <v>1603</v>
      </c>
      <c r="AJ536" s="23"/>
      <c r="AK536" s="23"/>
    </row>
    <row r="537" spans="1:37">
      <c r="A537" s="5" t="s">
        <v>2611</v>
      </c>
      <c r="B537" s="5" t="s">
        <v>2602</v>
      </c>
      <c r="C537" s="6" t="s">
        <v>2492</v>
      </c>
      <c r="D537" s="6" t="s">
        <v>1645</v>
      </c>
      <c r="E537" s="6" t="s">
        <v>2015</v>
      </c>
      <c r="F537" s="6" t="s">
        <v>46</v>
      </c>
      <c r="G537" s="6" t="s">
        <v>2612</v>
      </c>
      <c r="H537" s="7">
        <v>61.05</v>
      </c>
      <c r="I537" s="19" t="s">
        <v>2283</v>
      </c>
      <c r="J537" s="19" t="s">
        <v>2481</v>
      </c>
      <c r="K537" s="23" t="s">
        <v>2603</v>
      </c>
      <c r="L537" s="23" t="s">
        <v>2604</v>
      </c>
      <c r="M537" s="23" t="s">
        <v>2605</v>
      </c>
      <c r="N537" s="23" t="s">
        <v>2606</v>
      </c>
      <c r="O537" s="23" t="s">
        <v>2607</v>
      </c>
      <c r="P537" s="23" t="s">
        <v>2608</v>
      </c>
      <c r="Q537" s="23" t="s">
        <v>2609</v>
      </c>
      <c r="R537" s="23" t="s">
        <v>2610</v>
      </c>
      <c r="S537" s="23"/>
      <c r="T537" s="23"/>
      <c r="U537" s="23"/>
      <c r="V537" s="23"/>
      <c r="W537" s="23"/>
      <c r="X537" s="23"/>
      <c r="Y537" s="23"/>
      <c r="Z537" s="23"/>
      <c r="AA537" s="23"/>
      <c r="AB537" s="23"/>
      <c r="AC537" s="23"/>
      <c r="AD537" s="23"/>
      <c r="AE537" s="23"/>
      <c r="AF537" s="23"/>
      <c r="AG537" s="14" t="s">
        <v>55</v>
      </c>
      <c r="AH537" s="14" t="s">
        <v>1603</v>
      </c>
      <c r="AI537" s="14" t="s">
        <v>1603</v>
      </c>
      <c r="AJ537" s="23"/>
      <c r="AK537" s="23"/>
    </row>
    <row r="538" spans="1:37">
      <c r="A538" s="5" t="s">
        <v>2613</v>
      </c>
      <c r="B538" s="5" t="s">
        <v>2614</v>
      </c>
      <c r="C538" s="6" t="s">
        <v>2281</v>
      </c>
      <c r="D538" s="6" t="s">
        <v>1645</v>
      </c>
      <c r="E538" s="6" t="s">
        <v>1386</v>
      </c>
      <c r="F538" s="6" t="s">
        <v>46</v>
      </c>
      <c r="G538" s="6" t="s">
        <v>2615</v>
      </c>
      <c r="H538" s="7">
        <v>72.16</v>
      </c>
      <c r="I538" s="19" t="s">
        <v>2283</v>
      </c>
      <c r="J538" s="19" t="s">
        <v>2512</v>
      </c>
      <c r="K538" s="6" t="s">
        <v>2616</v>
      </c>
      <c r="L538" s="6" t="s">
        <v>2617</v>
      </c>
      <c r="M538" s="6" t="s">
        <v>2618</v>
      </c>
      <c r="N538" s="6" t="s">
        <v>2619</v>
      </c>
      <c r="O538" s="6" t="s">
        <v>2620</v>
      </c>
      <c r="P538" s="6" t="s">
        <v>2621</v>
      </c>
      <c r="Q538" s="6" t="s">
        <v>2622</v>
      </c>
      <c r="R538" s="6" t="s">
        <v>2623</v>
      </c>
      <c r="AG538" s="14" t="s">
        <v>55</v>
      </c>
      <c r="AH538" s="14" t="s">
        <v>1603</v>
      </c>
      <c r="AI538" s="14" t="s">
        <v>1603</v>
      </c>
    </row>
    <row r="539" spans="1:37">
      <c r="A539" s="5" t="s">
        <v>2624</v>
      </c>
      <c r="B539" s="5" t="s">
        <v>2614</v>
      </c>
      <c r="C539" s="6" t="s">
        <v>2281</v>
      </c>
      <c r="D539" s="6" t="s">
        <v>1645</v>
      </c>
      <c r="E539" s="6" t="s">
        <v>2065</v>
      </c>
      <c r="F539" s="6" t="s">
        <v>46</v>
      </c>
      <c r="G539" s="6" t="s">
        <v>2625</v>
      </c>
      <c r="H539" s="7">
        <v>72.16</v>
      </c>
      <c r="I539" s="19" t="s">
        <v>2283</v>
      </c>
      <c r="J539" s="19" t="s">
        <v>2512</v>
      </c>
      <c r="K539" s="6" t="s">
        <v>2616</v>
      </c>
      <c r="L539" s="6" t="s">
        <v>2617</v>
      </c>
      <c r="M539" s="6" t="s">
        <v>2618</v>
      </c>
      <c r="N539" s="6" t="s">
        <v>2619</v>
      </c>
      <c r="O539" s="6" t="s">
        <v>2626</v>
      </c>
      <c r="P539" s="6" t="s">
        <v>2627</v>
      </c>
      <c r="Q539" s="6" t="s">
        <v>2628</v>
      </c>
      <c r="R539" s="6" t="s">
        <v>2629</v>
      </c>
      <c r="AG539" s="14" t="s">
        <v>55</v>
      </c>
      <c r="AH539" s="14" t="s">
        <v>1603</v>
      </c>
      <c r="AI539" s="14" t="s">
        <v>1603</v>
      </c>
    </row>
    <row r="540" spans="1:37">
      <c r="A540" s="6" t="s">
        <v>2630</v>
      </c>
      <c r="B540" s="6" t="s">
        <v>2631</v>
      </c>
      <c r="C540" s="6" t="s">
        <v>2555</v>
      </c>
      <c r="D540" s="6" t="s">
        <v>1645</v>
      </c>
      <c r="E540" s="6" t="s">
        <v>2015</v>
      </c>
      <c r="F540" s="6" t="s">
        <v>46</v>
      </c>
      <c r="G540" s="6" t="s">
        <v>2632</v>
      </c>
      <c r="I540" s="19" t="s">
        <v>48</v>
      </c>
      <c r="J540" s="19" t="s">
        <v>48</v>
      </c>
      <c r="K540" s="6"/>
      <c r="L540" s="6"/>
      <c r="M540" s="6"/>
      <c r="N540" s="6"/>
      <c r="O540" s="6"/>
      <c r="P540" s="6"/>
      <c r="Q540" s="6"/>
      <c r="R540" s="6"/>
      <c r="S540" s="6"/>
      <c r="T540" s="6"/>
      <c r="U540" s="6"/>
      <c r="V540" s="6"/>
      <c r="W540" s="6"/>
      <c r="X540" s="6"/>
      <c r="Y540" s="6"/>
      <c r="Z540" s="6"/>
      <c r="AA540" s="6"/>
      <c r="AB540" s="6"/>
      <c r="AC540" s="6"/>
      <c r="AD540" s="6"/>
      <c r="AE540" s="6"/>
      <c r="AF540" s="6"/>
      <c r="AG540" s="15" t="s">
        <v>55</v>
      </c>
      <c r="AH540" s="15"/>
      <c r="AI540" s="15"/>
      <c r="AJ540" s="6"/>
      <c r="AK540" s="6"/>
    </row>
    <row r="541" spans="1:37" s="6" customFormat="1">
      <c r="A541" s="5" t="s">
        <v>2633</v>
      </c>
      <c r="B541" s="5" t="s">
        <v>2634</v>
      </c>
      <c r="C541" s="6" t="s">
        <v>2295</v>
      </c>
      <c r="D541" s="6" t="s">
        <v>1645</v>
      </c>
      <c r="E541" s="6" t="s">
        <v>1386</v>
      </c>
      <c r="F541" s="6" t="s">
        <v>46</v>
      </c>
      <c r="G541" s="6" t="s">
        <v>2635</v>
      </c>
      <c r="H541" s="7">
        <v>74.58</v>
      </c>
      <c r="I541" s="19" t="s">
        <v>2283</v>
      </c>
      <c r="J541" s="19" t="s">
        <v>2636</v>
      </c>
      <c r="K541" s="5" t="s">
        <v>2637</v>
      </c>
      <c r="L541" s="5" t="s">
        <v>2638</v>
      </c>
      <c r="M541" s="5" t="s">
        <v>2639</v>
      </c>
      <c r="N541" s="5" t="s">
        <v>2640</v>
      </c>
      <c r="O541" s="5" t="s">
        <v>2641</v>
      </c>
      <c r="P541" s="5" t="s">
        <v>2642</v>
      </c>
      <c r="Q541" s="5" t="s">
        <v>2643</v>
      </c>
      <c r="R541" s="5" t="s">
        <v>2644</v>
      </c>
      <c r="S541" s="5"/>
      <c r="T541" s="5"/>
      <c r="U541" s="5"/>
      <c r="V541" s="5"/>
      <c r="W541" s="5"/>
      <c r="X541" s="5"/>
      <c r="Y541" s="5"/>
      <c r="Z541" s="5"/>
      <c r="AA541" s="5"/>
      <c r="AB541" s="5"/>
      <c r="AC541" s="5"/>
      <c r="AD541" s="5"/>
      <c r="AE541" s="5"/>
      <c r="AF541" s="5"/>
      <c r="AG541" s="14" t="s">
        <v>55</v>
      </c>
      <c r="AH541" s="14" t="s">
        <v>1603</v>
      </c>
      <c r="AI541" s="14" t="s">
        <v>1603</v>
      </c>
      <c r="AJ541" s="5"/>
      <c r="AK541" s="5"/>
    </row>
    <row r="542" spans="1:37">
      <c r="A542" s="5" t="s">
        <v>2645</v>
      </c>
      <c r="B542" s="5" t="s">
        <v>2634</v>
      </c>
      <c r="C542" s="6" t="s">
        <v>2295</v>
      </c>
      <c r="D542" s="6" t="s">
        <v>1645</v>
      </c>
      <c r="E542" s="6" t="s">
        <v>2015</v>
      </c>
      <c r="F542" s="6" t="s">
        <v>46</v>
      </c>
      <c r="G542" s="6" t="s">
        <v>2646</v>
      </c>
      <c r="H542" s="7">
        <v>74.58</v>
      </c>
      <c r="I542" s="19" t="s">
        <v>2283</v>
      </c>
      <c r="J542" s="19" t="s">
        <v>2636</v>
      </c>
      <c r="K542" s="5" t="s">
        <v>2637</v>
      </c>
      <c r="L542" s="5" t="s">
        <v>2638</v>
      </c>
      <c r="M542" s="5" t="s">
        <v>2639</v>
      </c>
      <c r="N542" s="5" t="s">
        <v>2640</v>
      </c>
      <c r="O542" s="5" t="s">
        <v>2641</v>
      </c>
      <c r="P542" s="5" t="s">
        <v>2642</v>
      </c>
      <c r="Q542" s="5" t="s">
        <v>2643</v>
      </c>
      <c r="R542" s="5" t="s">
        <v>2644</v>
      </c>
      <c r="AG542" s="14" t="s">
        <v>55</v>
      </c>
      <c r="AH542" s="14" t="s">
        <v>1603</v>
      </c>
      <c r="AI542" s="14" t="s">
        <v>1603</v>
      </c>
    </row>
    <row r="543" spans="1:37">
      <c r="A543" s="5" t="s">
        <v>2647</v>
      </c>
      <c r="B543" s="5" t="s">
        <v>2648</v>
      </c>
      <c r="C543" s="6" t="s">
        <v>43</v>
      </c>
      <c r="D543" s="6" t="s">
        <v>1390</v>
      </c>
      <c r="E543" s="6" t="s">
        <v>1386</v>
      </c>
      <c r="F543" s="6" t="s">
        <v>46</v>
      </c>
      <c r="G543" s="6" t="s">
        <v>2649</v>
      </c>
      <c r="H543" s="7">
        <v>32.950000000000003</v>
      </c>
      <c r="I543" s="19" t="s">
        <v>1589</v>
      </c>
      <c r="J543" s="19" t="s">
        <v>2650</v>
      </c>
      <c r="K543" s="20" t="s">
        <v>2651</v>
      </c>
      <c r="L543" s="20" t="s">
        <v>2652</v>
      </c>
      <c r="M543" s="20" t="s">
        <v>2653</v>
      </c>
      <c r="N543" s="20" t="s">
        <v>2654</v>
      </c>
      <c r="O543" s="20" t="s">
        <v>2655</v>
      </c>
      <c r="P543" s="20" t="s">
        <v>2656</v>
      </c>
      <c r="Q543" s="20" t="s">
        <v>2657</v>
      </c>
      <c r="R543" s="5" t="s">
        <v>2658</v>
      </c>
      <c r="W543" s="20" t="s">
        <v>2010</v>
      </c>
      <c r="X543" s="20" t="s">
        <v>2011</v>
      </c>
      <c r="Y543" s="20" t="s">
        <v>2012</v>
      </c>
      <c r="Z543" s="20" t="s">
        <v>2013</v>
      </c>
      <c r="AG543" s="14" t="s">
        <v>55</v>
      </c>
      <c r="AH543" s="14" t="s">
        <v>1603</v>
      </c>
      <c r="AI543" s="14" t="s">
        <v>124</v>
      </c>
    </row>
    <row r="544" spans="1:37">
      <c r="A544" s="5" t="s">
        <v>2659</v>
      </c>
      <c r="B544" s="5" t="s">
        <v>2660</v>
      </c>
      <c r="C544" s="6" t="s">
        <v>43</v>
      </c>
      <c r="D544" s="6" t="s">
        <v>1390</v>
      </c>
      <c r="E544" s="6" t="s">
        <v>1386</v>
      </c>
      <c r="F544" s="6" t="s">
        <v>46</v>
      </c>
      <c r="G544" s="6" t="s">
        <v>2661</v>
      </c>
      <c r="H544" s="7">
        <v>43.18</v>
      </c>
      <c r="I544" s="19" t="s">
        <v>1589</v>
      </c>
      <c r="J544" s="19" t="s">
        <v>2650</v>
      </c>
      <c r="K544" s="20" t="s">
        <v>2662</v>
      </c>
      <c r="L544" s="20" t="s">
        <v>2663</v>
      </c>
      <c r="M544" s="20" t="s">
        <v>2664</v>
      </c>
      <c r="N544" s="20" t="s">
        <v>2665</v>
      </c>
      <c r="O544" s="20" t="s">
        <v>2666</v>
      </c>
      <c r="P544" s="20" t="s">
        <v>2667</v>
      </c>
      <c r="Q544" s="20" t="s">
        <v>2668</v>
      </c>
      <c r="R544" s="5" t="s">
        <v>2669</v>
      </c>
      <c r="W544" s="20" t="s">
        <v>2010</v>
      </c>
      <c r="X544" s="20" t="s">
        <v>2011</v>
      </c>
      <c r="Y544" s="20" t="s">
        <v>2012</v>
      </c>
      <c r="Z544" s="20" t="s">
        <v>2013</v>
      </c>
      <c r="AG544" s="14" t="s">
        <v>55</v>
      </c>
      <c r="AH544" s="14" t="s">
        <v>1603</v>
      </c>
      <c r="AI544" s="14" t="s">
        <v>124</v>
      </c>
    </row>
    <row r="545" spans="1:37">
      <c r="A545" s="5" t="s">
        <v>2670</v>
      </c>
      <c r="B545" s="5" t="s">
        <v>2671</v>
      </c>
      <c r="C545" s="6" t="s">
        <v>2672</v>
      </c>
      <c r="D545" s="6" t="s">
        <v>1390</v>
      </c>
      <c r="E545" s="6" t="s">
        <v>1386</v>
      </c>
      <c r="F545" s="6" t="s">
        <v>46</v>
      </c>
      <c r="G545" s="6" t="s">
        <v>2673</v>
      </c>
      <c r="H545" s="7">
        <v>41.47</v>
      </c>
      <c r="I545" s="19" t="s">
        <v>1589</v>
      </c>
      <c r="J545" s="19" t="s">
        <v>2650</v>
      </c>
      <c r="K545" s="5" t="s">
        <v>2674</v>
      </c>
      <c r="L545" s="5" t="s">
        <v>2675</v>
      </c>
      <c r="M545" s="5" t="s">
        <v>2676</v>
      </c>
      <c r="N545" s="5" t="s">
        <v>2677</v>
      </c>
      <c r="O545" s="5" t="s">
        <v>2678</v>
      </c>
      <c r="P545" s="5" t="s">
        <v>2679</v>
      </c>
      <c r="Q545" s="5" t="s">
        <v>2680</v>
      </c>
      <c r="R545" s="5" t="s">
        <v>2681</v>
      </c>
      <c r="AG545" s="14" t="s">
        <v>55</v>
      </c>
      <c r="AH545" s="14" t="s">
        <v>1603</v>
      </c>
      <c r="AI545" s="14" t="s">
        <v>2087</v>
      </c>
    </row>
    <row r="546" spans="1:37">
      <c r="A546" s="5" t="s">
        <v>2682</v>
      </c>
      <c r="B546" s="5" t="s">
        <v>2683</v>
      </c>
      <c r="C546" s="6" t="s">
        <v>43</v>
      </c>
      <c r="D546" s="6" t="s">
        <v>1390</v>
      </c>
      <c r="E546" s="6" t="s">
        <v>1386</v>
      </c>
      <c r="F546" s="6" t="s">
        <v>46</v>
      </c>
      <c r="G546" s="6" t="s">
        <v>2684</v>
      </c>
      <c r="H546" s="7">
        <v>50.44</v>
      </c>
      <c r="I546" s="19" t="s">
        <v>1589</v>
      </c>
      <c r="J546" s="19" t="s">
        <v>2650</v>
      </c>
      <c r="K546" s="5" t="s">
        <v>2685</v>
      </c>
      <c r="L546" s="5" t="s">
        <v>2686</v>
      </c>
      <c r="M546" s="5" t="s">
        <v>2687</v>
      </c>
      <c r="N546" s="5" t="s">
        <v>2688</v>
      </c>
      <c r="O546" s="5" t="s">
        <v>2689</v>
      </c>
      <c r="P546" s="5" t="s">
        <v>2690</v>
      </c>
      <c r="Q546" s="5" t="s">
        <v>2691</v>
      </c>
      <c r="R546" s="5" t="s">
        <v>2692</v>
      </c>
      <c r="AG546" s="14" t="s">
        <v>55</v>
      </c>
      <c r="AH546" s="14" t="s">
        <v>1603</v>
      </c>
      <c r="AI546" s="14" t="s">
        <v>2087</v>
      </c>
    </row>
    <row r="547" spans="1:37">
      <c r="A547" s="5" t="s">
        <v>2693</v>
      </c>
      <c r="B547" s="5" t="s">
        <v>2694</v>
      </c>
      <c r="C547" s="6" t="s">
        <v>43</v>
      </c>
      <c r="D547" s="6" t="s">
        <v>239</v>
      </c>
      <c r="E547" s="6" t="s">
        <v>1386</v>
      </c>
      <c r="F547" s="6" t="s">
        <v>46</v>
      </c>
      <c r="G547" s="6" t="s">
        <v>2695</v>
      </c>
      <c r="H547" s="7">
        <v>22.55</v>
      </c>
      <c r="I547" s="19" t="s">
        <v>1589</v>
      </c>
      <c r="J547" s="19" t="s">
        <v>2696</v>
      </c>
      <c r="K547" s="5" t="s">
        <v>2697</v>
      </c>
      <c r="L547" s="5" t="s">
        <v>2698</v>
      </c>
      <c r="M547" s="5" t="s">
        <v>2699</v>
      </c>
      <c r="N547" s="5" t="s">
        <v>2700</v>
      </c>
      <c r="O547" s="5" t="s">
        <v>2701</v>
      </c>
      <c r="P547" s="5" t="s">
        <v>2702</v>
      </c>
      <c r="Q547" s="5" t="s">
        <v>2703</v>
      </c>
      <c r="R547" s="5" t="s">
        <v>2704</v>
      </c>
      <c r="AG547" s="14" t="s">
        <v>55</v>
      </c>
      <c r="AH547" s="14" t="s">
        <v>1603</v>
      </c>
      <c r="AI547" s="14" t="s">
        <v>1604</v>
      </c>
    </row>
    <row r="548" spans="1:37">
      <c r="A548" s="6" t="s">
        <v>2705</v>
      </c>
      <c r="B548" s="6" t="s">
        <v>2706</v>
      </c>
      <c r="C548" s="6" t="s">
        <v>43</v>
      </c>
      <c r="D548" s="6" t="s">
        <v>239</v>
      </c>
      <c r="E548" s="6" t="s">
        <v>2047</v>
      </c>
      <c r="F548" s="6" t="s">
        <v>46</v>
      </c>
      <c r="G548" s="6" t="s">
        <v>2707</v>
      </c>
      <c r="I548" s="19" t="s">
        <v>48</v>
      </c>
      <c r="J548" s="5" t="s">
        <v>48</v>
      </c>
      <c r="K548" s="6"/>
      <c r="L548" s="6"/>
      <c r="M548" s="6"/>
      <c r="N548" s="6"/>
      <c r="O548" s="6"/>
      <c r="P548" s="6"/>
      <c r="Q548" s="6"/>
      <c r="R548" s="6"/>
      <c r="S548" s="6"/>
      <c r="T548" s="6"/>
      <c r="U548" s="6"/>
      <c r="V548" s="6"/>
      <c r="W548" s="6"/>
      <c r="X548" s="6"/>
      <c r="Y548" s="6"/>
      <c r="Z548" s="6"/>
      <c r="AA548" s="6"/>
      <c r="AB548" s="6"/>
      <c r="AC548" s="6"/>
      <c r="AD548" s="6"/>
      <c r="AE548" s="6"/>
      <c r="AF548" s="6"/>
      <c r="AG548" s="15" t="s">
        <v>55</v>
      </c>
      <c r="AH548" s="15"/>
      <c r="AI548" s="15"/>
      <c r="AJ548" s="6"/>
      <c r="AK548" s="6"/>
    </row>
    <row r="549" spans="1:37" s="6" customFormat="1">
      <c r="A549" s="6" t="s">
        <v>2708</v>
      </c>
      <c r="B549" s="6" t="s">
        <v>2709</v>
      </c>
      <c r="C549" s="6" t="s">
        <v>43</v>
      </c>
      <c r="D549" s="6" t="s">
        <v>239</v>
      </c>
      <c r="E549" s="6" t="s">
        <v>2047</v>
      </c>
      <c r="F549" s="6" t="s">
        <v>46</v>
      </c>
      <c r="G549" s="6" t="s">
        <v>2710</v>
      </c>
      <c r="H549" s="7"/>
      <c r="I549" s="19" t="s">
        <v>48</v>
      </c>
      <c r="J549" s="5" t="s">
        <v>48</v>
      </c>
      <c r="AG549" s="15" t="s">
        <v>55</v>
      </c>
      <c r="AH549" s="15"/>
      <c r="AI549" s="15"/>
    </row>
    <row r="550" spans="1:37" s="6" customFormat="1">
      <c r="A550" s="6" t="s">
        <v>2711</v>
      </c>
      <c r="B550" s="6" t="s">
        <v>2712</v>
      </c>
      <c r="C550" s="6" t="s">
        <v>43</v>
      </c>
      <c r="D550" s="6" t="s">
        <v>239</v>
      </c>
      <c r="E550" s="6" t="s">
        <v>2047</v>
      </c>
      <c r="F550" s="6" t="s">
        <v>46</v>
      </c>
      <c r="G550" s="6" t="s">
        <v>2713</v>
      </c>
      <c r="H550" s="7"/>
      <c r="I550" s="19" t="s">
        <v>48</v>
      </c>
      <c r="J550" s="5" t="s">
        <v>48</v>
      </c>
      <c r="AG550" s="15" t="s">
        <v>55</v>
      </c>
      <c r="AH550" s="15"/>
      <c r="AI550" s="15"/>
    </row>
    <row r="551" spans="1:37" s="6" customFormat="1">
      <c r="A551" s="5" t="s">
        <v>2714</v>
      </c>
      <c r="B551" s="5" t="s">
        <v>2715</v>
      </c>
      <c r="C551" s="6" t="s">
        <v>43</v>
      </c>
      <c r="D551" s="6" t="s">
        <v>239</v>
      </c>
      <c r="E551" s="6" t="s">
        <v>2139</v>
      </c>
      <c r="F551" s="6" t="s">
        <v>46</v>
      </c>
      <c r="G551" s="6" t="s">
        <v>2716</v>
      </c>
      <c r="H551" s="7">
        <v>78.87</v>
      </c>
      <c r="I551" s="19" t="s">
        <v>1589</v>
      </c>
      <c r="J551" s="19" t="s">
        <v>2696</v>
      </c>
      <c r="K551" s="5" t="s">
        <v>2717</v>
      </c>
      <c r="L551" s="5" t="s">
        <v>2718</v>
      </c>
      <c r="M551" s="5" t="s">
        <v>2719</v>
      </c>
      <c r="N551" s="5" t="s">
        <v>2720</v>
      </c>
      <c r="O551" s="5" t="s">
        <v>2721</v>
      </c>
      <c r="P551" s="5" t="s">
        <v>2722</v>
      </c>
      <c r="Q551" s="5" t="s">
        <v>2723</v>
      </c>
      <c r="R551" s="5" t="s">
        <v>2724</v>
      </c>
      <c r="S551" s="5"/>
      <c r="T551" s="5"/>
      <c r="U551" s="5"/>
      <c r="V551" s="5"/>
      <c r="W551" s="5"/>
      <c r="X551" s="5"/>
      <c r="Y551" s="5"/>
      <c r="Z551" s="5"/>
      <c r="AA551" s="5"/>
      <c r="AB551" s="5"/>
      <c r="AC551" s="5"/>
      <c r="AD551" s="5"/>
      <c r="AE551" s="5"/>
      <c r="AF551" s="5"/>
      <c r="AG551" s="14" t="s">
        <v>55</v>
      </c>
      <c r="AH551" s="14" t="s">
        <v>1603</v>
      </c>
      <c r="AI551" s="14" t="s">
        <v>1604</v>
      </c>
      <c r="AJ551" s="5"/>
      <c r="AK551" s="5"/>
    </row>
    <row r="552" spans="1:37">
      <c r="A552" s="5" t="s">
        <v>2725</v>
      </c>
      <c r="B552" s="5" t="s">
        <v>2715</v>
      </c>
      <c r="C552" s="6" t="s">
        <v>43</v>
      </c>
      <c r="D552" s="6" t="s">
        <v>239</v>
      </c>
      <c r="E552" s="6" t="s">
        <v>2065</v>
      </c>
      <c r="F552" s="6" t="s">
        <v>46</v>
      </c>
      <c r="G552" s="6" t="s">
        <v>2415</v>
      </c>
      <c r="H552" s="7">
        <v>78.87</v>
      </c>
      <c r="I552" s="19" t="s">
        <v>1589</v>
      </c>
      <c r="J552" s="19" t="s">
        <v>2696</v>
      </c>
      <c r="K552" s="5" t="s">
        <v>2717</v>
      </c>
      <c r="L552" s="5" t="s">
        <v>2718</v>
      </c>
      <c r="M552" s="5" t="s">
        <v>2719</v>
      </c>
      <c r="N552" s="5" t="s">
        <v>2720</v>
      </c>
      <c r="O552" s="5" t="s">
        <v>2721</v>
      </c>
      <c r="P552" s="5" t="s">
        <v>2722</v>
      </c>
      <c r="Q552" s="5" t="s">
        <v>2723</v>
      </c>
      <c r="R552" s="5" t="s">
        <v>2724</v>
      </c>
      <c r="AG552" s="14" t="s">
        <v>55</v>
      </c>
      <c r="AH552" s="14" t="s">
        <v>1603</v>
      </c>
      <c r="AI552" s="14" t="s">
        <v>1604</v>
      </c>
    </row>
    <row r="553" spans="1:37">
      <c r="A553" s="6" t="s">
        <v>2726</v>
      </c>
      <c r="B553" s="6" t="s">
        <v>2727</v>
      </c>
      <c r="C553" s="6" t="s">
        <v>43</v>
      </c>
      <c r="D553" s="6" t="s">
        <v>239</v>
      </c>
      <c r="E553" s="6" t="s">
        <v>2047</v>
      </c>
      <c r="F553" s="6" t="s">
        <v>46</v>
      </c>
      <c r="G553" s="6" t="s">
        <v>2728</v>
      </c>
      <c r="I553" s="19" t="s">
        <v>48</v>
      </c>
      <c r="J553" s="5" t="s">
        <v>48</v>
      </c>
      <c r="K553" s="6"/>
      <c r="L553" s="6"/>
      <c r="M553" s="6"/>
      <c r="N553" s="6"/>
      <c r="O553" s="6"/>
      <c r="P553" s="6"/>
      <c r="Q553" s="6"/>
      <c r="R553" s="6"/>
      <c r="S553" s="6"/>
      <c r="T553" s="6"/>
      <c r="U553" s="6"/>
      <c r="V553" s="6"/>
      <c r="W553" s="6"/>
      <c r="X553" s="6"/>
      <c r="Y553" s="6"/>
      <c r="Z553" s="6"/>
      <c r="AA553" s="6"/>
      <c r="AB553" s="6"/>
      <c r="AC553" s="6"/>
      <c r="AD553" s="6"/>
      <c r="AE553" s="6"/>
      <c r="AF553" s="6"/>
      <c r="AG553" s="15" t="s">
        <v>55</v>
      </c>
      <c r="AH553" s="15"/>
      <c r="AI553" s="15"/>
      <c r="AJ553" s="6"/>
      <c r="AK553" s="6"/>
    </row>
    <row r="554" spans="1:37" s="6" customFormat="1">
      <c r="A554" s="5" t="s">
        <v>2729</v>
      </c>
      <c r="B554" s="5" t="s">
        <v>2730</v>
      </c>
      <c r="C554" s="6" t="s">
        <v>2731</v>
      </c>
      <c r="D554" s="6" t="s">
        <v>239</v>
      </c>
      <c r="E554" s="6" t="s">
        <v>1386</v>
      </c>
      <c r="F554" s="6" t="s">
        <v>46</v>
      </c>
      <c r="G554" s="6" t="s">
        <v>2732</v>
      </c>
      <c r="H554" s="7">
        <v>25.69</v>
      </c>
      <c r="I554" s="19" t="s">
        <v>1589</v>
      </c>
      <c r="J554" s="19" t="s">
        <v>2696</v>
      </c>
      <c r="K554" s="5" t="s">
        <v>2733</v>
      </c>
      <c r="L554" s="5" t="s">
        <v>2734</v>
      </c>
      <c r="M554" s="5" t="s">
        <v>2735</v>
      </c>
      <c r="N554" s="5" t="s">
        <v>2736</v>
      </c>
      <c r="O554" s="5" t="s">
        <v>2737</v>
      </c>
      <c r="P554" s="5" t="s">
        <v>2738</v>
      </c>
      <c r="Q554" s="5" t="s">
        <v>2739</v>
      </c>
      <c r="R554" s="5" t="s">
        <v>2740</v>
      </c>
      <c r="S554" s="5"/>
      <c r="T554" s="5"/>
      <c r="U554" s="5"/>
      <c r="V554" s="5"/>
      <c r="W554" s="5"/>
      <c r="X554" s="5"/>
      <c r="Y554" s="5"/>
      <c r="Z554" s="5"/>
      <c r="AA554" s="5"/>
      <c r="AB554" s="5"/>
      <c r="AC554" s="5"/>
      <c r="AD554" s="5"/>
      <c r="AE554" s="5"/>
      <c r="AF554" s="5"/>
      <c r="AG554" s="14" t="s">
        <v>55</v>
      </c>
      <c r="AH554" s="14" t="s">
        <v>1603</v>
      </c>
      <c r="AI554" s="14" t="s">
        <v>1604</v>
      </c>
      <c r="AJ554" s="5"/>
      <c r="AK554" s="5"/>
    </row>
    <row r="555" spans="1:37">
      <c r="A555" s="5" t="s">
        <v>2741</v>
      </c>
      <c r="B555" s="5" t="s">
        <v>2730</v>
      </c>
      <c r="C555" s="6" t="s">
        <v>2731</v>
      </c>
      <c r="D555" s="6" t="s">
        <v>239</v>
      </c>
      <c r="E555" s="6" t="s">
        <v>2047</v>
      </c>
      <c r="F555" s="6" t="s">
        <v>46</v>
      </c>
      <c r="G555" s="6" t="s">
        <v>2742</v>
      </c>
      <c r="H555" s="7">
        <v>25.69</v>
      </c>
      <c r="I555" s="19" t="s">
        <v>1589</v>
      </c>
      <c r="J555" s="19" t="s">
        <v>2696</v>
      </c>
      <c r="K555" s="5" t="s">
        <v>2733</v>
      </c>
      <c r="L555" s="5" t="s">
        <v>2734</v>
      </c>
      <c r="M555" s="5" t="s">
        <v>2735</v>
      </c>
      <c r="N555" s="5" t="s">
        <v>2736</v>
      </c>
      <c r="O555" s="5" t="s">
        <v>2737</v>
      </c>
      <c r="P555" s="5" t="s">
        <v>2738</v>
      </c>
      <c r="Q555" s="5" t="s">
        <v>2739</v>
      </c>
      <c r="R555" s="5" t="s">
        <v>2740</v>
      </c>
      <c r="AG555" s="14" t="s">
        <v>55</v>
      </c>
      <c r="AH555" s="14" t="s">
        <v>1603</v>
      </c>
      <c r="AI555" s="14" t="s">
        <v>1604</v>
      </c>
    </row>
    <row r="556" spans="1:37">
      <c r="A556" s="6" t="s">
        <v>2743</v>
      </c>
      <c r="B556" s="6" t="s">
        <v>2744</v>
      </c>
      <c r="C556" s="6" t="s">
        <v>43</v>
      </c>
      <c r="D556" s="6" t="s">
        <v>239</v>
      </c>
      <c r="E556" s="6" t="s">
        <v>2065</v>
      </c>
      <c r="F556" s="6" t="s">
        <v>46</v>
      </c>
      <c r="G556" s="6" t="s">
        <v>2745</v>
      </c>
      <c r="I556" s="19" t="s">
        <v>48</v>
      </c>
      <c r="J556" s="19" t="s">
        <v>48</v>
      </c>
      <c r="K556" s="6"/>
      <c r="L556" s="6"/>
      <c r="M556" s="6"/>
      <c r="N556" s="6"/>
      <c r="O556" s="6"/>
      <c r="P556" s="6"/>
      <c r="Q556" s="6"/>
      <c r="R556" s="6"/>
      <c r="S556" s="6"/>
      <c r="T556" s="6"/>
      <c r="U556" s="6"/>
      <c r="V556" s="6"/>
      <c r="W556" s="6"/>
      <c r="X556" s="6"/>
      <c r="Y556" s="6"/>
      <c r="Z556" s="6"/>
      <c r="AA556" s="6"/>
      <c r="AB556" s="6"/>
      <c r="AC556" s="6"/>
      <c r="AD556" s="6"/>
      <c r="AE556" s="6"/>
      <c r="AF556" s="6"/>
      <c r="AG556" s="15" t="s">
        <v>55</v>
      </c>
      <c r="AH556" s="15"/>
      <c r="AI556" s="15"/>
      <c r="AJ556" s="6"/>
      <c r="AK556" s="6"/>
    </row>
    <row r="557" spans="1:37" s="6" customFormat="1">
      <c r="A557" s="5" t="s">
        <v>2746</v>
      </c>
      <c r="B557" s="5" t="s">
        <v>2747</v>
      </c>
      <c r="C557" s="6" t="s">
        <v>43</v>
      </c>
      <c r="D557" s="6" t="s">
        <v>239</v>
      </c>
      <c r="E557" s="6" t="s">
        <v>2047</v>
      </c>
      <c r="F557" s="6" t="s">
        <v>46</v>
      </c>
      <c r="G557" s="6" t="s">
        <v>2032</v>
      </c>
      <c r="H557" s="7">
        <v>29.65</v>
      </c>
      <c r="I557" s="19" t="s">
        <v>1589</v>
      </c>
      <c r="J557" s="19" t="s">
        <v>2696</v>
      </c>
      <c r="K557" s="5" t="s">
        <v>2733</v>
      </c>
      <c r="L557" s="5" t="s">
        <v>2734</v>
      </c>
      <c r="M557" s="5" t="s">
        <v>2735</v>
      </c>
      <c r="N557" s="5" t="s">
        <v>2736</v>
      </c>
      <c r="O557" s="5" t="s">
        <v>2737</v>
      </c>
      <c r="P557" s="5" t="s">
        <v>2738</v>
      </c>
      <c r="Q557" s="5" t="s">
        <v>2739</v>
      </c>
      <c r="R557" s="5" t="s">
        <v>2740</v>
      </c>
      <c r="S557" s="5"/>
      <c r="T557" s="5"/>
      <c r="U557" s="5"/>
      <c r="V557" s="5"/>
      <c r="W557" s="5"/>
      <c r="X557" s="5"/>
      <c r="Y557" s="5"/>
      <c r="Z557" s="5"/>
      <c r="AA557" s="5"/>
      <c r="AB557" s="5"/>
      <c r="AC557" s="5"/>
      <c r="AD557" s="5"/>
      <c r="AE557" s="5"/>
      <c r="AF557" s="5"/>
      <c r="AG557" s="14" t="s">
        <v>55</v>
      </c>
      <c r="AH557" s="14" t="s">
        <v>1603</v>
      </c>
      <c r="AI557" s="14" t="s">
        <v>1604</v>
      </c>
      <c r="AJ557" s="5"/>
      <c r="AK557" s="5"/>
    </row>
    <row r="558" spans="1:37">
      <c r="A558" s="5" t="s">
        <v>2748</v>
      </c>
      <c r="B558" s="5" t="s">
        <v>2747</v>
      </c>
      <c r="C558" s="6" t="s">
        <v>43</v>
      </c>
      <c r="D558" s="6" t="s">
        <v>239</v>
      </c>
      <c r="E558" s="6" t="s">
        <v>2065</v>
      </c>
      <c r="F558" s="6" t="s">
        <v>46</v>
      </c>
      <c r="G558" s="6" t="s">
        <v>2749</v>
      </c>
      <c r="H558" s="7">
        <v>29.65</v>
      </c>
      <c r="I558" s="19" t="s">
        <v>1589</v>
      </c>
      <c r="J558" s="19" t="s">
        <v>2696</v>
      </c>
      <c r="K558" s="5" t="s">
        <v>2750</v>
      </c>
      <c r="L558" s="5" t="s">
        <v>2751</v>
      </c>
      <c r="M558" s="5" t="s">
        <v>2752</v>
      </c>
      <c r="N558" s="5" t="s">
        <v>2753</v>
      </c>
      <c r="O558" s="5" t="s">
        <v>2737</v>
      </c>
      <c r="P558" s="5" t="s">
        <v>2738</v>
      </c>
      <c r="Q558" s="5" t="s">
        <v>2739</v>
      </c>
      <c r="R558" s="5" t="s">
        <v>2740</v>
      </c>
      <c r="AG558" s="14" t="s">
        <v>55</v>
      </c>
      <c r="AH558" s="14" t="s">
        <v>1603</v>
      </c>
      <c r="AI558" s="14" t="s">
        <v>1604</v>
      </c>
    </row>
    <row r="559" spans="1:37">
      <c r="A559" s="5" t="s">
        <v>2754</v>
      </c>
      <c r="B559" s="5" t="s">
        <v>2755</v>
      </c>
      <c r="C559" s="6" t="s">
        <v>1935</v>
      </c>
      <c r="D559" s="6" t="s">
        <v>239</v>
      </c>
      <c r="E559" s="6" t="s">
        <v>1386</v>
      </c>
      <c r="F559" s="6" t="s">
        <v>46</v>
      </c>
      <c r="G559" s="6" t="s">
        <v>2756</v>
      </c>
      <c r="H559" s="7">
        <v>29.65</v>
      </c>
      <c r="I559" s="19" t="s">
        <v>1589</v>
      </c>
      <c r="J559" s="19" t="s">
        <v>2696</v>
      </c>
      <c r="K559" s="5" t="s">
        <v>2757</v>
      </c>
      <c r="L559" s="5" t="s">
        <v>2758</v>
      </c>
      <c r="M559" s="5" t="s">
        <v>2759</v>
      </c>
      <c r="N559" s="5" t="s">
        <v>2760</v>
      </c>
      <c r="O559" s="5" t="s">
        <v>2761</v>
      </c>
      <c r="P559" s="5" t="s">
        <v>2762</v>
      </c>
      <c r="Q559" s="5" t="s">
        <v>2763</v>
      </c>
      <c r="R559" s="5" t="s">
        <v>2764</v>
      </c>
      <c r="AG559" s="14" t="s">
        <v>55</v>
      </c>
      <c r="AH559" s="14" t="s">
        <v>1603</v>
      </c>
      <c r="AI559" s="14" t="s">
        <v>1604</v>
      </c>
    </row>
    <row r="560" spans="1:37">
      <c r="A560" s="5" t="s">
        <v>2765</v>
      </c>
      <c r="B560" s="5" t="s">
        <v>2755</v>
      </c>
      <c r="C560" s="6" t="s">
        <v>1935</v>
      </c>
      <c r="D560" s="6" t="s">
        <v>239</v>
      </c>
      <c r="E560" s="6" t="s">
        <v>2015</v>
      </c>
      <c r="F560" s="6" t="s">
        <v>46</v>
      </c>
      <c r="G560" s="6" t="s">
        <v>2071</v>
      </c>
      <c r="H560" s="7">
        <v>29.65</v>
      </c>
      <c r="I560" s="19" t="s">
        <v>1589</v>
      </c>
      <c r="J560" s="19" t="s">
        <v>2696</v>
      </c>
      <c r="K560" s="5" t="s">
        <v>2757</v>
      </c>
      <c r="L560" s="5" t="s">
        <v>2758</v>
      </c>
      <c r="M560" s="5" t="s">
        <v>2759</v>
      </c>
      <c r="N560" s="5" t="s">
        <v>2760</v>
      </c>
      <c r="O560" s="5" t="s">
        <v>2761</v>
      </c>
      <c r="P560" s="5" t="s">
        <v>2762</v>
      </c>
      <c r="Q560" s="5" t="s">
        <v>2763</v>
      </c>
      <c r="R560" s="5" t="s">
        <v>2764</v>
      </c>
      <c r="AG560" s="14" t="s">
        <v>55</v>
      </c>
      <c r="AH560" s="14" t="s">
        <v>1603</v>
      </c>
      <c r="AI560" s="14" t="s">
        <v>1604</v>
      </c>
    </row>
    <row r="561" spans="1:37">
      <c r="A561" s="5" t="s">
        <v>2766</v>
      </c>
      <c r="B561" s="5" t="s">
        <v>2755</v>
      </c>
      <c r="C561" s="6" t="s">
        <v>1935</v>
      </c>
      <c r="D561" s="6" t="s">
        <v>239</v>
      </c>
      <c r="E561" s="6" t="s">
        <v>2047</v>
      </c>
      <c r="F561" s="6" t="s">
        <v>46</v>
      </c>
      <c r="G561" s="6" t="s">
        <v>2767</v>
      </c>
      <c r="H561" s="7">
        <v>29.65</v>
      </c>
      <c r="I561" s="19" t="s">
        <v>1589</v>
      </c>
      <c r="J561" s="19" t="s">
        <v>2696</v>
      </c>
      <c r="K561" s="5" t="s">
        <v>2757</v>
      </c>
      <c r="L561" s="5" t="s">
        <v>2758</v>
      </c>
      <c r="M561" s="5" t="s">
        <v>2759</v>
      </c>
      <c r="N561" s="5" t="s">
        <v>2760</v>
      </c>
      <c r="O561" s="5" t="s">
        <v>2761</v>
      </c>
      <c r="P561" s="5" t="s">
        <v>2762</v>
      </c>
      <c r="Q561" s="5" t="s">
        <v>2763</v>
      </c>
      <c r="R561" s="5" t="s">
        <v>2764</v>
      </c>
      <c r="AG561" s="14" t="s">
        <v>55</v>
      </c>
      <c r="AH561" s="14" t="s">
        <v>1603</v>
      </c>
      <c r="AI561" s="14" t="s">
        <v>1604</v>
      </c>
    </row>
    <row r="562" spans="1:37">
      <c r="A562" s="5" t="s">
        <v>2768</v>
      </c>
      <c r="B562" s="5" t="s">
        <v>2755</v>
      </c>
      <c r="C562" s="6" t="s">
        <v>1935</v>
      </c>
      <c r="D562" s="6" t="s">
        <v>239</v>
      </c>
      <c r="E562" s="6" t="s">
        <v>2065</v>
      </c>
      <c r="F562" s="6" t="s">
        <v>46</v>
      </c>
      <c r="G562" s="6" t="s">
        <v>2769</v>
      </c>
      <c r="H562" s="7">
        <v>29.65</v>
      </c>
      <c r="I562" s="19" t="s">
        <v>1589</v>
      </c>
      <c r="J562" s="19" t="s">
        <v>2696</v>
      </c>
      <c r="K562" s="5" t="s">
        <v>2757</v>
      </c>
      <c r="L562" s="5" t="s">
        <v>2758</v>
      </c>
      <c r="M562" s="5" t="s">
        <v>2759</v>
      </c>
      <c r="N562" s="5" t="s">
        <v>2760</v>
      </c>
      <c r="O562" s="5" t="s">
        <v>2761</v>
      </c>
      <c r="P562" s="5" t="s">
        <v>2762</v>
      </c>
      <c r="Q562" s="5" t="s">
        <v>2763</v>
      </c>
      <c r="R562" s="5" t="s">
        <v>2764</v>
      </c>
      <c r="AG562" s="14" t="s">
        <v>55</v>
      </c>
      <c r="AH562" s="14" t="s">
        <v>1603</v>
      </c>
      <c r="AI562" s="14" t="s">
        <v>1604</v>
      </c>
    </row>
    <row r="563" spans="1:37">
      <c r="A563" s="5" t="s">
        <v>2770</v>
      </c>
      <c r="B563" s="5" t="s">
        <v>2771</v>
      </c>
      <c r="C563" s="6" t="s">
        <v>2772</v>
      </c>
      <c r="D563" s="6" t="s">
        <v>239</v>
      </c>
      <c r="E563" s="6" t="s">
        <v>2047</v>
      </c>
      <c r="F563" s="6" t="s">
        <v>46</v>
      </c>
      <c r="G563" s="6" t="s">
        <v>2773</v>
      </c>
      <c r="H563" s="7">
        <v>38.340000000000003</v>
      </c>
      <c r="I563" s="19" t="s">
        <v>1589</v>
      </c>
      <c r="J563" s="19" t="s">
        <v>2696</v>
      </c>
      <c r="K563" s="5" t="s">
        <v>2774</v>
      </c>
      <c r="L563" s="5" t="s">
        <v>2775</v>
      </c>
      <c r="M563" s="5" t="s">
        <v>2776</v>
      </c>
      <c r="N563" s="5" t="s">
        <v>2777</v>
      </c>
      <c r="O563" s="5" t="s">
        <v>2778</v>
      </c>
      <c r="P563" s="5" t="s">
        <v>2779</v>
      </c>
      <c r="Q563" s="5" t="s">
        <v>2780</v>
      </c>
      <c r="R563" s="5" t="s">
        <v>2781</v>
      </c>
      <c r="AG563" s="14" t="s">
        <v>55</v>
      </c>
      <c r="AH563" s="14" t="s">
        <v>1603</v>
      </c>
      <c r="AI563" s="14" t="s">
        <v>1604</v>
      </c>
    </row>
    <row r="564" spans="1:37">
      <c r="A564" s="5" t="s">
        <v>2782</v>
      </c>
      <c r="B564" s="5" t="s">
        <v>2771</v>
      </c>
      <c r="C564" s="6" t="s">
        <v>2772</v>
      </c>
      <c r="D564" s="6" t="s">
        <v>239</v>
      </c>
      <c r="E564" s="6" t="s">
        <v>2065</v>
      </c>
      <c r="F564" s="6" t="s">
        <v>46</v>
      </c>
      <c r="G564" s="6" t="s">
        <v>2783</v>
      </c>
      <c r="H564" s="7">
        <v>38.340000000000003</v>
      </c>
      <c r="I564" s="19" t="s">
        <v>1589</v>
      </c>
      <c r="J564" s="19" t="s">
        <v>2696</v>
      </c>
      <c r="K564" s="5" t="s">
        <v>2774</v>
      </c>
      <c r="L564" s="5" t="s">
        <v>2775</v>
      </c>
      <c r="M564" s="5" t="s">
        <v>2776</v>
      </c>
      <c r="N564" s="5" t="s">
        <v>2777</v>
      </c>
      <c r="O564" s="5" t="s">
        <v>2778</v>
      </c>
      <c r="P564" s="5" t="s">
        <v>2779</v>
      </c>
      <c r="Q564" s="5" t="s">
        <v>2780</v>
      </c>
      <c r="R564" s="5" t="s">
        <v>2781</v>
      </c>
      <c r="AG564" s="14" t="s">
        <v>55</v>
      </c>
      <c r="AH564" s="14" t="s">
        <v>1603</v>
      </c>
      <c r="AI564" s="14" t="s">
        <v>1604</v>
      </c>
    </row>
    <row r="565" spans="1:37">
      <c r="A565" s="6" t="s">
        <v>2784</v>
      </c>
      <c r="B565" s="6" t="s">
        <v>2785</v>
      </c>
      <c r="C565" s="6" t="s">
        <v>43</v>
      </c>
      <c r="D565" s="6" t="s">
        <v>239</v>
      </c>
      <c r="E565" s="6" t="s">
        <v>2047</v>
      </c>
      <c r="F565" s="6" t="s">
        <v>46</v>
      </c>
      <c r="G565" s="6" t="s">
        <v>2786</v>
      </c>
      <c r="I565" s="19" t="s">
        <v>48</v>
      </c>
      <c r="J565" s="19" t="s">
        <v>48</v>
      </c>
      <c r="K565" s="6"/>
      <c r="L565" s="6"/>
      <c r="M565" s="6"/>
      <c r="N565" s="6"/>
      <c r="O565" s="6"/>
      <c r="P565" s="6"/>
      <c r="Q565" s="6"/>
      <c r="R565" s="6"/>
      <c r="S565" s="6"/>
      <c r="T565" s="6"/>
      <c r="U565" s="6"/>
      <c r="V565" s="6"/>
      <c r="W565" s="6"/>
      <c r="X565" s="6"/>
      <c r="Y565" s="6"/>
      <c r="Z565" s="6"/>
      <c r="AA565" s="6"/>
      <c r="AB565" s="6"/>
      <c r="AC565" s="6"/>
      <c r="AD565" s="6"/>
      <c r="AE565" s="6"/>
      <c r="AF565" s="6"/>
      <c r="AG565" s="15" t="s">
        <v>55</v>
      </c>
      <c r="AH565" s="15"/>
      <c r="AI565" s="15"/>
      <c r="AJ565" s="6"/>
      <c r="AK565" s="6"/>
    </row>
    <row r="566" spans="1:37" s="6" customFormat="1">
      <c r="A566" s="5" t="s">
        <v>2787</v>
      </c>
      <c r="B566" s="5" t="s">
        <v>2788</v>
      </c>
      <c r="C566" s="6" t="s">
        <v>43</v>
      </c>
      <c r="D566" s="6" t="s">
        <v>239</v>
      </c>
      <c r="E566" s="6" t="s">
        <v>2047</v>
      </c>
      <c r="F566" s="6" t="s">
        <v>46</v>
      </c>
      <c r="G566" s="6" t="s">
        <v>2789</v>
      </c>
      <c r="H566" s="7">
        <v>39.159999999999997</v>
      </c>
      <c r="I566" s="19" t="s">
        <v>1589</v>
      </c>
      <c r="J566" s="19" t="s">
        <v>2696</v>
      </c>
      <c r="K566" s="5" t="s">
        <v>2790</v>
      </c>
      <c r="L566" s="5" t="s">
        <v>2791</v>
      </c>
      <c r="M566" s="5" t="s">
        <v>2792</v>
      </c>
      <c r="N566" s="5" t="s">
        <v>2793</v>
      </c>
      <c r="O566" s="5" t="s">
        <v>2794</v>
      </c>
      <c r="P566" s="5" t="s">
        <v>2795</v>
      </c>
      <c r="Q566" s="5" t="s">
        <v>2796</v>
      </c>
      <c r="R566" s="5" t="s">
        <v>2797</v>
      </c>
      <c r="S566" s="5"/>
      <c r="T566" s="5"/>
      <c r="U566" s="5"/>
      <c r="V566" s="5"/>
      <c r="W566" s="5"/>
      <c r="X566" s="5"/>
      <c r="Y566" s="5"/>
      <c r="Z566" s="5"/>
      <c r="AA566" s="5"/>
      <c r="AB566" s="5"/>
      <c r="AC566" s="5"/>
      <c r="AD566" s="5"/>
      <c r="AE566" s="5"/>
      <c r="AF566" s="5"/>
      <c r="AG566" s="14" t="s">
        <v>55</v>
      </c>
      <c r="AH566" s="14" t="s">
        <v>1603</v>
      </c>
      <c r="AI566" s="14" t="s">
        <v>1604</v>
      </c>
      <c r="AJ566" s="5"/>
      <c r="AK566" s="5"/>
    </row>
    <row r="567" spans="1:37">
      <c r="A567" s="5" t="s">
        <v>2798</v>
      </c>
      <c r="B567" s="5" t="s">
        <v>2788</v>
      </c>
      <c r="C567" s="6" t="s">
        <v>43</v>
      </c>
      <c r="D567" s="6" t="s">
        <v>239</v>
      </c>
      <c r="E567" s="6" t="s">
        <v>2065</v>
      </c>
      <c r="F567" s="6" t="s">
        <v>46</v>
      </c>
      <c r="G567" s="6" t="s">
        <v>2799</v>
      </c>
      <c r="H567" s="7">
        <v>39.159999999999997</v>
      </c>
      <c r="I567" s="19" t="s">
        <v>1589</v>
      </c>
      <c r="J567" s="19" t="s">
        <v>2696</v>
      </c>
      <c r="K567" s="5" t="s">
        <v>2790</v>
      </c>
      <c r="L567" s="5" t="s">
        <v>2791</v>
      </c>
      <c r="M567" s="5" t="s">
        <v>2792</v>
      </c>
      <c r="N567" s="5" t="s">
        <v>2793</v>
      </c>
      <c r="O567" s="5" t="s">
        <v>2794</v>
      </c>
      <c r="P567" s="5" t="s">
        <v>2795</v>
      </c>
      <c r="Q567" s="5" t="s">
        <v>2796</v>
      </c>
      <c r="R567" s="5" t="s">
        <v>2797</v>
      </c>
      <c r="AG567" s="14" t="s">
        <v>55</v>
      </c>
      <c r="AH567" s="14" t="s">
        <v>1603</v>
      </c>
      <c r="AI567" s="14" t="s">
        <v>1604</v>
      </c>
    </row>
    <row r="568" spans="1:37">
      <c r="A568" s="5" t="s">
        <v>2800</v>
      </c>
      <c r="B568" s="5" t="s">
        <v>2801</v>
      </c>
      <c r="C568" s="6" t="s">
        <v>43</v>
      </c>
      <c r="D568" s="6" t="s">
        <v>239</v>
      </c>
      <c r="E568" s="6" t="s">
        <v>1386</v>
      </c>
      <c r="F568" s="6" t="s">
        <v>46</v>
      </c>
      <c r="G568" s="6" t="s">
        <v>2802</v>
      </c>
      <c r="H568" s="7">
        <v>39.159999999999997</v>
      </c>
      <c r="I568" s="19" t="s">
        <v>1589</v>
      </c>
      <c r="J568" s="19" t="s">
        <v>2696</v>
      </c>
      <c r="K568" s="5" t="s">
        <v>2790</v>
      </c>
      <c r="L568" s="5" t="s">
        <v>2791</v>
      </c>
      <c r="M568" s="5" t="s">
        <v>2792</v>
      </c>
      <c r="N568" s="5" t="s">
        <v>2793</v>
      </c>
      <c r="O568" s="5" t="s">
        <v>2794</v>
      </c>
      <c r="P568" s="5" t="s">
        <v>2795</v>
      </c>
      <c r="Q568" s="5" t="s">
        <v>2796</v>
      </c>
      <c r="R568" s="5" t="s">
        <v>2797</v>
      </c>
      <c r="AG568" s="14" t="s">
        <v>55</v>
      </c>
      <c r="AH568" s="14" t="s">
        <v>1603</v>
      </c>
      <c r="AI568" s="14" t="s">
        <v>1604</v>
      </c>
    </row>
    <row r="569" spans="1:37">
      <c r="A569" s="6" t="s">
        <v>2803</v>
      </c>
      <c r="B569" s="6" t="s">
        <v>2804</v>
      </c>
      <c r="C569" s="6" t="s">
        <v>43</v>
      </c>
      <c r="D569" s="6" t="s">
        <v>239</v>
      </c>
      <c r="E569" s="6" t="s">
        <v>2065</v>
      </c>
      <c r="F569" s="6" t="s">
        <v>46</v>
      </c>
      <c r="G569" s="6" t="s">
        <v>2805</v>
      </c>
      <c r="I569" s="19" t="s">
        <v>48</v>
      </c>
      <c r="J569" s="19" t="s">
        <v>48</v>
      </c>
      <c r="K569" s="6"/>
      <c r="L569" s="6"/>
      <c r="M569" s="6"/>
      <c r="N569" s="6"/>
      <c r="O569" s="6"/>
      <c r="P569" s="6"/>
      <c r="Q569" s="6"/>
      <c r="R569" s="6"/>
      <c r="S569" s="6"/>
      <c r="T569" s="6"/>
      <c r="U569" s="6"/>
      <c r="V569" s="6"/>
      <c r="W569" s="6"/>
      <c r="X569" s="6"/>
      <c r="Y569" s="6"/>
      <c r="Z569" s="6"/>
      <c r="AA569" s="6"/>
      <c r="AB569" s="6"/>
      <c r="AC569" s="6"/>
      <c r="AD569" s="6"/>
      <c r="AE569" s="6"/>
      <c r="AF569" s="6"/>
      <c r="AG569" s="15" t="s">
        <v>55</v>
      </c>
      <c r="AH569" s="15"/>
      <c r="AI569" s="15"/>
      <c r="AJ569" s="6"/>
      <c r="AK569" s="6"/>
    </row>
    <row r="570" spans="1:37" s="6" customFormat="1">
      <c r="A570" s="5" t="s">
        <v>2806</v>
      </c>
      <c r="B570" s="5" t="s">
        <v>2807</v>
      </c>
      <c r="C570" s="6" t="s">
        <v>43</v>
      </c>
      <c r="D570" s="6" t="s">
        <v>239</v>
      </c>
      <c r="E570" s="6" t="s">
        <v>1587</v>
      </c>
      <c r="F570" s="6" t="s">
        <v>46</v>
      </c>
      <c r="G570" s="6" t="s">
        <v>2808</v>
      </c>
      <c r="H570" s="7">
        <v>40.369999999999997</v>
      </c>
      <c r="I570" s="19" t="s">
        <v>1589</v>
      </c>
      <c r="J570" s="19" t="s">
        <v>2696</v>
      </c>
      <c r="K570" s="5" t="s">
        <v>2809</v>
      </c>
      <c r="L570" s="5" t="s">
        <v>2810</v>
      </c>
      <c r="M570" s="5" t="s">
        <v>2811</v>
      </c>
      <c r="N570" s="5" t="s">
        <v>2812</v>
      </c>
      <c r="O570" s="5" t="s">
        <v>2813</v>
      </c>
      <c r="P570" s="5" t="s">
        <v>2814</v>
      </c>
      <c r="Q570" s="5" t="s">
        <v>2815</v>
      </c>
      <c r="R570" s="5" t="s">
        <v>2816</v>
      </c>
      <c r="S570" s="5"/>
      <c r="T570" s="5"/>
      <c r="U570" s="5"/>
      <c r="V570" s="5"/>
      <c r="W570" s="5"/>
      <c r="X570" s="5"/>
      <c r="Y570" s="5"/>
      <c r="Z570" s="5"/>
      <c r="AA570" s="5"/>
      <c r="AB570" s="5"/>
      <c r="AC570" s="5"/>
      <c r="AD570" s="5"/>
      <c r="AE570" s="5"/>
      <c r="AF570" s="5"/>
      <c r="AG570" s="14" t="s">
        <v>55</v>
      </c>
      <c r="AH570" s="14" t="s">
        <v>1603</v>
      </c>
      <c r="AI570" s="14" t="s">
        <v>1604</v>
      </c>
      <c r="AJ570" s="5"/>
      <c r="AK570" s="5"/>
    </row>
    <row r="571" spans="1:37">
      <c r="A571" s="6" t="s">
        <v>2817</v>
      </c>
      <c r="B571" s="6" t="s">
        <v>2818</v>
      </c>
      <c r="C571" s="6" t="s">
        <v>43</v>
      </c>
      <c r="D571" s="6" t="s">
        <v>239</v>
      </c>
      <c r="E571" s="6" t="s">
        <v>2065</v>
      </c>
      <c r="F571" s="6" t="s">
        <v>46</v>
      </c>
      <c r="G571" s="6" t="s">
        <v>2819</v>
      </c>
      <c r="I571" s="19" t="s">
        <v>48</v>
      </c>
      <c r="J571" s="19" t="s">
        <v>48</v>
      </c>
      <c r="K571" s="6"/>
      <c r="L571" s="6"/>
      <c r="M571" s="6"/>
      <c r="N571" s="6"/>
      <c r="O571" s="6"/>
      <c r="P571" s="6"/>
      <c r="Q571" s="6"/>
      <c r="R571" s="6"/>
      <c r="S571" s="6"/>
      <c r="T571" s="6"/>
      <c r="U571" s="6"/>
      <c r="V571" s="6"/>
      <c r="W571" s="6"/>
      <c r="X571" s="6"/>
      <c r="Y571" s="6"/>
      <c r="Z571" s="6"/>
      <c r="AA571" s="6"/>
      <c r="AB571" s="6"/>
      <c r="AC571" s="6"/>
      <c r="AD571" s="6"/>
      <c r="AE571" s="6"/>
      <c r="AF571" s="6"/>
      <c r="AG571" s="15" t="s">
        <v>55</v>
      </c>
      <c r="AH571" s="15"/>
      <c r="AI571" s="15"/>
      <c r="AJ571" s="6"/>
      <c r="AK571" s="6"/>
    </row>
    <row r="572" spans="1:37" s="6" customFormat="1">
      <c r="A572" s="6" t="s">
        <v>2820</v>
      </c>
      <c r="B572" s="6" t="s">
        <v>2821</v>
      </c>
      <c r="C572" s="6" t="s">
        <v>2822</v>
      </c>
      <c r="D572" s="6" t="s">
        <v>239</v>
      </c>
      <c r="E572" s="6" t="s">
        <v>2047</v>
      </c>
      <c r="F572" s="6" t="s">
        <v>46</v>
      </c>
      <c r="G572" s="6" t="s">
        <v>2823</v>
      </c>
      <c r="H572" s="7"/>
      <c r="I572" s="19" t="s">
        <v>48</v>
      </c>
      <c r="J572" s="19" t="s">
        <v>48</v>
      </c>
      <c r="AG572" s="15" t="s">
        <v>55</v>
      </c>
      <c r="AH572" s="15"/>
      <c r="AI572" s="15"/>
    </row>
    <row r="573" spans="1:37" s="6" customFormat="1">
      <c r="A573" s="5" t="s">
        <v>2824</v>
      </c>
      <c r="B573" s="5" t="s">
        <v>2807</v>
      </c>
      <c r="C573" s="6" t="s">
        <v>43</v>
      </c>
      <c r="D573" s="6" t="s">
        <v>239</v>
      </c>
      <c r="E573" s="6" t="s">
        <v>2139</v>
      </c>
      <c r="F573" s="6" t="s">
        <v>46</v>
      </c>
      <c r="G573" s="6" t="s">
        <v>2825</v>
      </c>
      <c r="H573" s="7">
        <v>40.369999999999997</v>
      </c>
      <c r="I573" s="19" t="s">
        <v>1589</v>
      </c>
      <c r="J573" s="19" t="s">
        <v>2696</v>
      </c>
      <c r="K573" s="5" t="s">
        <v>2809</v>
      </c>
      <c r="L573" s="5" t="s">
        <v>2810</v>
      </c>
      <c r="M573" s="5" t="s">
        <v>2811</v>
      </c>
      <c r="N573" s="5" t="s">
        <v>2812</v>
      </c>
      <c r="O573" s="5" t="s">
        <v>2813</v>
      </c>
      <c r="P573" s="5" t="s">
        <v>2814</v>
      </c>
      <c r="Q573" s="5" t="s">
        <v>2815</v>
      </c>
      <c r="R573" s="5" t="s">
        <v>2816</v>
      </c>
      <c r="S573" s="5"/>
      <c r="T573" s="5"/>
      <c r="U573" s="5"/>
      <c r="V573" s="5"/>
      <c r="W573" s="5"/>
      <c r="X573" s="5"/>
      <c r="Y573" s="5"/>
      <c r="Z573" s="5"/>
      <c r="AA573" s="5"/>
      <c r="AB573" s="5"/>
      <c r="AC573" s="5"/>
      <c r="AD573" s="5"/>
      <c r="AE573" s="5"/>
      <c r="AF573" s="5"/>
      <c r="AG573" s="14" t="s">
        <v>55</v>
      </c>
      <c r="AH573" s="14" t="s">
        <v>1603</v>
      </c>
      <c r="AI573" s="14" t="s">
        <v>1604</v>
      </c>
      <c r="AJ573" s="5"/>
      <c r="AK573" s="5"/>
    </row>
    <row r="574" spans="1:37">
      <c r="A574" s="5" t="s">
        <v>2826</v>
      </c>
      <c r="B574" s="5" t="s">
        <v>2807</v>
      </c>
      <c r="C574" s="6" t="s">
        <v>43</v>
      </c>
      <c r="D574" s="6" t="s">
        <v>239</v>
      </c>
      <c r="E574" s="6" t="s">
        <v>2827</v>
      </c>
      <c r="F574" s="6" t="s">
        <v>46</v>
      </c>
      <c r="G574" s="6" t="s">
        <v>2234</v>
      </c>
      <c r="H574" s="7">
        <v>40.369999999999997</v>
      </c>
      <c r="I574" s="19" t="s">
        <v>1589</v>
      </c>
      <c r="J574" s="19" t="s">
        <v>2696</v>
      </c>
      <c r="K574" s="5" t="s">
        <v>2809</v>
      </c>
      <c r="L574" s="5" t="s">
        <v>2810</v>
      </c>
      <c r="M574" s="5" t="s">
        <v>2811</v>
      </c>
      <c r="N574" s="5" t="s">
        <v>2812</v>
      </c>
      <c r="O574" s="5" t="s">
        <v>2813</v>
      </c>
      <c r="P574" s="5" t="s">
        <v>2814</v>
      </c>
      <c r="Q574" s="5" t="s">
        <v>2815</v>
      </c>
      <c r="R574" s="5" t="s">
        <v>2816</v>
      </c>
      <c r="AG574" s="14" t="s">
        <v>55</v>
      </c>
      <c r="AH574" s="14" t="s">
        <v>1603</v>
      </c>
      <c r="AI574" s="14" t="s">
        <v>1604</v>
      </c>
    </row>
    <row r="575" spans="1:37">
      <c r="A575" s="5" t="s">
        <v>2828</v>
      </c>
      <c r="B575" s="5" t="s">
        <v>2807</v>
      </c>
      <c r="C575" s="6" t="s">
        <v>43</v>
      </c>
      <c r="D575" s="6" t="s">
        <v>239</v>
      </c>
      <c r="E575" s="6" t="s">
        <v>1386</v>
      </c>
      <c r="F575" s="6" t="s">
        <v>46</v>
      </c>
      <c r="G575" s="6" t="s">
        <v>2829</v>
      </c>
      <c r="H575" s="7">
        <v>40.369999999999997</v>
      </c>
      <c r="I575" s="19" t="s">
        <v>1589</v>
      </c>
      <c r="J575" s="19" t="s">
        <v>2696</v>
      </c>
      <c r="K575" s="5" t="s">
        <v>2809</v>
      </c>
      <c r="L575" s="5" t="s">
        <v>2810</v>
      </c>
      <c r="M575" s="5" t="s">
        <v>2811</v>
      </c>
      <c r="N575" s="5" t="s">
        <v>2812</v>
      </c>
      <c r="O575" s="5" t="s">
        <v>2813</v>
      </c>
      <c r="P575" s="5" t="s">
        <v>2814</v>
      </c>
      <c r="Q575" s="5" t="s">
        <v>2815</v>
      </c>
      <c r="R575" s="5" t="s">
        <v>2816</v>
      </c>
      <c r="AG575" s="14" t="s">
        <v>55</v>
      </c>
      <c r="AH575" s="14" t="s">
        <v>1603</v>
      </c>
      <c r="AI575" s="14" t="s">
        <v>1604</v>
      </c>
    </row>
    <row r="576" spans="1:37">
      <c r="A576" s="5" t="s">
        <v>2830</v>
      </c>
      <c r="B576" s="5" t="s">
        <v>2807</v>
      </c>
      <c r="C576" s="6" t="s">
        <v>2831</v>
      </c>
      <c r="D576" s="6" t="s">
        <v>239</v>
      </c>
      <c r="E576" s="6" t="s">
        <v>2015</v>
      </c>
      <c r="F576" s="6" t="s">
        <v>46</v>
      </c>
      <c r="G576" s="6" t="s">
        <v>2832</v>
      </c>
      <c r="H576" s="7">
        <v>40.369999999999997</v>
      </c>
      <c r="I576" s="19" t="s">
        <v>1589</v>
      </c>
      <c r="J576" s="19" t="s">
        <v>2696</v>
      </c>
      <c r="K576" s="5" t="s">
        <v>2809</v>
      </c>
      <c r="L576" s="5" t="s">
        <v>2810</v>
      </c>
      <c r="M576" s="5" t="s">
        <v>2811</v>
      </c>
      <c r="N576" s="5" t="s">
        <v>2812</v>
      </c>
      <c r="O576" s="5" t="s">
        <v>2813</v>
      </c>
      <c r="P576" s="5" t="s">
        <v>2814</v>
      </c>
      <c r="Q576" s="5" t="s">
        <v>2815</v>
      </c>
      <c r="R576" s="5" t="s">
        <v>2816</v>
      </c>
      <c r="AG576" s="14" t="s">
        <v>55</v>
      </c>
      <c r="AH576" s="14" t="s">
        <v>1603</v>
      </c>
      <c r="AI576" s="14" t="s">
        <v>1604</v>
      </c>
    </row>
    <row r="577" spans="1:37">
      <c r="A577" s="5" t="s">
        <v>2833</v>
      </c>
      <c r="B577" s="5" t="s">
        <v>2807</v>
      </c>
      <c r="C577" s="6" t="s">
        <v>2228</v>
      </c>
      <c r="D577" s="6" t="s">
        <v>239</v>
      </c>
      <c r="E577" s="6" t="s">
        <v>2047</v>
      </c>
      <c r="F577" s="6" t="s">
        <v>46</v>
      </c>
      <c r="G577" s="6" t="s">
        <v>2834</v>
      </c>
      <c r="H577" s="7">
        <v>40.369999999999997</v>
      </c>
      <c r="I577" s="19" t="s">
        <v>1589</v>
      </c>
      <c r="J577" s="19" t="s">
        <v>2696</v>
      </c>
      <c r="K577" s="5" t="s">
        <v>2809</v>
      </c>
      <c r="L577" s="5" t="s">
        <v>2810</v>
      </c>
      <c r="M577" s="5" t="s">
        <v>2811</v>
      </c>
      <c r="N577" s="5" t="s">
        <v>2812</v>
      </c>
      <c r="O577" s="5" t="s">
        <v>2813</v>
      </c>
      <c r="P577" s="5" t="s">
        <v>2814</v>
      </c>
      <c r="Q577" s="5" t="s">
        <v>2815</v>
      </c>
      <c r="R577" s="5" t="s">
        <v>2816</v>
      </c>
      <c r="AG577" s="14" t="s">
        <v>55</v>
      </c>
      <c r="AH577" s="14" t="s">
        <v>1603</v>
      </c>
      <c r="AI577" s="14" t="s">
        <v>1604</v>
      </c>
    </row>
    <row r="578" spans="1:37">
      <c r="A578" s="5" t="s">
        <v>2835</v>
      </c>
      <c r="B578" s="5" t="s">
        <v>2807</v>
      </c>
      <c r="C578" s="6" t="s">
        <v>43</v>
      </c>
      <c r="D578" s="6" t="s">
        <v>239</v>
      </c>
      <c r="E578" s="6" t="s">
        <v>2836</v>
      </c>
      <c r="F578" s="6" t="s">
        <v>46</v>
      </c>
      <c r="G578" s="6" t="s">
        <v>2837</v>
      </c>
      <c r="H578" s="7">
        <v>40.369999999999997</v>
      </c>
      <c r="I578" s="19" t="s">
        <v>1589</v>
      </c>
      <c r="J578" s="19" t="s">
        <v>2696</v>
      </c>
      <c r="K578" s="5" t="s">
        <v>2809</v>
      </c>
      <c r="L578" s="5" t="s">
        <v>2810</v>
      </c>
      <c r="M578" s="5" t="s">
        <v>2811</v>
      </c>
      <c r="N578" s="5" t="s">
        <v>2812</v>
      </c>
      <c r="O578" s="5" t="s">
        <v>2813</v>
      </c>
      <c r="P578" s="5" t="s">
        <v>2814</v>
      </c>
      <c r="Q578" s="5" t="s">
        <v>2815</v>
      </c>
      <c r="R578" s="5" t="s">
        <v>2816</v>
      </c>
      <c r="AG578" s="14" t="s">
        <v>55</v>
      </c>
      <c r="AH578" s="14" t="s">
        <v>1603</v>
      </c>
      <c r="AI578" s="14" t="s">
        <v>1604</v>
      </c>
    </row>
    <row r="579" spans="1:37">
      <c r="A579" s="5" t="s">
        <v>2838</v>
      </c>
      <c r="B579" s="5" t="s">
        <v>2807</v>
      </c>
      <c r="C579" s="6" t="s">
        <v>2831</v>
      </c>
      <c r="D579" s="6" t="s">
        <v>239</v>
      </c>
      <c r="E579" s="6" t="s">
        <v>2839</v>
      </c>
      <c r="F579" s="6" t="s">
        <v>46</v>
      </c>
      <c r="G579" s="6" t="s">
        <v>2840</v>
      </c>
      <c r="H579" s="7">
        <v>40.369999999999997</v>
      </c>
      <c r="I579" s="19" t="s">
        <v>1589</v>
      </c>
      <c r="J579" s="19" t="s">
        <v>2696</v>
      </c>
      <c r="K579" s="5" t="s">
        <v>2809</v>
      </c>
      <c r="L579" s="5" t="s">
        <v>2810</v>
      </c>
      <c r="M579" s="5" t="s">
        <v>2811</v>
      </c>
      <c r="N579" s="5" t="s">
        <v>2812</v>
      </c>
      <c r="O579" s="5" t="s">
        <v>2813</v>
      </c>
      <c r="P579" s="5" t="s">
        <v>2814</v>
      </c>
      <c r="Q579" s="5" t="s">
        <v>2815</v>
      </c>
      <c r="R579" s="5" t="s">
        <v>2816</v>
      </c>
      <c r="AG579" s="14" t="s">
        <v>55</v>
      </c>
      <c r="AH579" s="14" t="s">
        <v>1603</v>
      </c>
      <c r="AI579" s="14" t="s">
        <v>1604</v>
      </c>
    </row>
    <row r="580" spans="1:37">
      <c r="A580" s="5" t="s">
        <v>2841</v>
      </c>
      <c r="B580" s="5" t="s">
        <v>2807</v>
      </c>
      <c r="C580" s="6" t="s">
        <v>43</v>
      </c>
      <c r="D580" s="6" t="s">
        <v>239</v>
      </c>
      <c r="E580" s="6" t="s">
        <v>1693</v>
      </c>
      <c r="F580" s="6" t="s">
        <v>46</v>
      </c>
      <c r="G580" s="6" t="s">
        <v>2842</v>
      </c>
      <c r="H580" s="7">
        <v>40.369999999999997</v>
      </c>
      <c r="I580" s="19" t="s">
        <v>1589</v>
      </c>
      <c r="J580" s="19" t="s">
        <v>2696</v>
      </c>
      <c r="K580" s="5" t="s">
        <v>2809</v>
      </c>
      <c r="L580" s="5" t="s">
        <v>2810</v>
      </c>
      <c r="M580" s="5" t="s">
        <v>2811</v>
      </c>
      <c r="N580" s="5" t="s">
        <v>2812</v>
      </c>
      <c r="O580" s="5" t="s">
        <v>2813</v>
      </c>
      <c r="P580" s="5" t="s">
        <v>2814</v>
      </c>
      <c r="Q580" s="5" t="s">
        <v>2815</v>
      </c>
      <c r="R580" s="5" t="s">
        <v>2816</v>
      </c>
      <c r="AG580" s="14" t="s">
        <v>55</v>
      </c>
      <c r="AH580" s="14" t="s">
        <v>1603</v>
      </c>
      <c r="AI580" s="14" t="s">
        <v>1604</v>
      </c>
    </row>
    <row r="581" spans="1:37">
      <c r="A581" s="5" t="s">
        <v>2843</v>
      </c>
      <c r="B581" s="5" t="s">
        <v>2807</v>
      </c>
      <c r="C581" s="6" t="s">
        <v>43</v>
      </c>
      <c r="D581" s="6" t="s">
        <v>239</v>
      </c>
      <c r="E581" s="6" t="s">
        <v>1540</v>
      </c>
      <c r="F581" s="6" t="s">
        <v>46</v>
      </c>
      <c r="G581" s="6" t="s">
        <v>2844</v>
      </c>
      <c r="H581" s="7">
        <v>40.369999999999997</v>
      </c>
      <c r="I581" s="19" t="s">
        <v>1589</v>
      </c>
      <c r="J581" s="19" t="s">
        <v>2696</v>
      </c>
      <c r="K581" s="5" t="s">
        <v>2809</v>
      </c>
      <c r="L581" s="5" t="s">
        <v>2810</v>
      </c>
      <c r="M581" s="5" t="s">
        <v>2811</v>
      </c>
      <c r="N581" s="5" t="s">
        <v>2812</v>
      </c>
      <c r="O581" s="5" t="s">
        <v>2813</v>
      </c>
      <c r="P581" s="5" t="s">
        <v>2814</v>
      </c>
      <c r="Q581" s="5" t="s">
        <v>2815</v>
      </c>
      <c r="R581" s="5" t="s">
        <v>2816</v>
      </c>
      <c r="AG581" s="14" t="s">
        <v>55</v>
      </c>
      <c r="AH581" s="14" t="s">
        <v>1603</v>
      </c>
      <c r="AI581" s="14" t="s">
        <v>1604</v>
      </c>
    </row>
    <row r="582" spans="1:37">
      <c r="A582" s="5" t="s">
        <v>2845</v>
      </c>
      <c r="B582" s="5" t="s">
        <v>2807</v>
      </c>
      <c r="C582" s="6" t="s">
        <v>43</v>
      </c>
      <c r="D582" s="6" t="s">
        <v>239</v>
      </c>
      <c r="E582" s="6" t="s">
        <v>2065</v>
      </c>
      <c r="F582" s="6" t="s">
        <v>46</v>
      </c>
      <c r="G582" s="6" t="s">
        <v>2846</v>
      </c>
      <c r="H582" s="7">
        <v>40.369999999999997</v>
      </c>
      <c r="I582" s="19" t="s">
        <v>1589</v>
      </c>
      <c r="J582" s="19" t="s">
        <v>2696</v>
      </c>
      <c r="K582" s="5" t="s">
        <v>2809</v>
      </c>
      <c r="L582" s="5" t="s">
        <v>2810</v>
      </c>
      <c r="M582" s="5" t="s">
        <v>2811</v>
      </c>
      <c r="N582" s="5" t="s">
        <v>2812</v>
      </c>
      <c r="O582" s="5" t="s">
        <v>2813</v>
      </c>
      <c r="P582" s="5" t="s">
        <v>2814</v>
      </c>
      <c r="Q582" s="5" t="s">
        <v>2815</v>
      </c>
      <c r="R582" s="5" t="s">
        <v>2816</v>
      </c>
      <c r="AG582" s="14" t="s">
        <v>55</v>
      </c>
      <c r="AH582" s="14" t="s">
        <v>1603</v>
      </c>
      <c r="AI582" s="14" t="s">
        <v>1604</v>
      </c>
    </row>
    <row r="583" spans="1:37">
      <c r="A583" s="6" t="s">
        <v>2847</v>
      </c>
      <c r="B583" s="6" t="s">
        <v>2848</v>
      </c>
      <c r="C583" s="6" t="s">
        <v>43</v>
      </c>
      <c r="D583" s="6" t="s">
        <v>239</v>
      </c>
      <c r="E583" s="6" t="s">
        <v>2849</v>
      </c>
      <c r="F583" s="6" t="s">
        <v>46</v>
      </c>
      <c r="G583" s="6" t="s">
        <v>2850</v>
      </c>
      <c r="I583" s="19" t="s">
        <v>48</v>
      </c>
      <c r="J583" s="5" t="s">
        <v>48</v>
      </c>
      <c r="K583" s="6"/>
      <c r="L583" s="6"/>
      <c r="M583" s="6"/>
      <c r="N583" s="6"/>
      <c r="O583" s="6"/>
      <c r="P583" s="6"/>
      <c r="Q583" s="6"/>
      <c r="R583" s="6"/>
      <c r="S583" s="6"/>
      <c r="T583" s="6"/>
      <c r="U583" s="6"/>
      <c r="V583" s="6"/>
      <c r="W583" s="6"/>
      <c r="X583" s="6"/>
      <c r="Y583" s="6"/>
      <c r="Z583" s="6"/>
      <c r="AA583" s="6"/>
      <c r="AB583" s="6"/>
      <c r="AC583" s="6"/>
      <c r="AD583" s="6"/>
      <c r="AE583" s="6"/>
      <c r="AF583" s="6"/>
      <c r="AG583" s="15" t="s">
        <v>55</v>
      </c>
      <c r="AH583" s="15"/>
      <c r="AI583" s="15"/>
      <c r="AJ583" s="6"/>
      <c r="AK583" s="6"/>
    </row>
    <row r="584" spans="1:37" s="6" customFormat="1">
      <c r="A584" s="6" t="s">
        <v>2851</v>
      </c>
      <c r="B584" s="6" t="s">
        <v>2852</v>
      </c>
      <c r="C584" s="6" t="s">
        <v>43</v>
      </c>
      <c r="D584" s="6" t="s">
        <v>239</v>
      </c>
      <c r="E584" s="6" t="s">
        <v>2065</v>
      </c>
      <c r="F584" s="6" t="s">
        <v>46</v>
      </c>
      <c r="G584" s="6" t="s">
        <v>2853</v>
      </c>
      <c r="H584" s="7"/>
      <c r="I584" s="19" t="s">
        <v>48</v>
      </c>
      <c r="J584" s="5" t="s">
        <v>48</v>
      </c>
      <c r="AG584" s="15" t="s">
        <v>55</v>
      </c>
      <c r="AH584" s="15"/>
      <c r="AI584" s="15"/>
    </row>
    <row r="585" spans="1:37" s="6" customFormat="1">
      <c r="A585" s="5" t="s">
        <v>2854</v>
      </c>
      <c r="B585" s="5" t="s">
        <v>2855</v>
      </c>
      <c r="C585" s="6" t="s">
        <v>43</v>
      </c>
      <c r="D585" s="6" t="s">
        <v>239</v>
      </c>
      <c r="E585" s="6" t="s">
        <v>2139</v>
      </c>
      <c r="F585" s="6" t="s">
        <v>46</v>
      </c>
      <c r="G585" s="6" t="s">
        <v>2856</v>
      </c>
      <c r="H585" s="7">
        <v>49.94</v>
      </c>
      <c r="I585" s="19" t="s">
        <v>1589</v>
      </c>
      <c r="J585" s="19" t="s">
        <v>2696</v>
      </c>
      <c r="K585" s="5" t="s">
        <v>2857</v>
      </c>
      <c r="L585" s="5" t="s">
        <v>2858</v>
      </c>
      <c r="M585" s="5" t="s">
        <v>2859</v>
      </c>
      <c r="N585" s="5" t="s">
        <v>2860</v>
      </c>
      <c r="O585" s="5" t="s">
        <v>2861</v>
      </c>
      <c r="P585" s="5" t="s">
        <v>2862</v>
      </c>
      <c r="Q585" s="5" t="s">
        <v>2863</v>
      </c>
      <c r="R585" s="5" t="s">
        <v>2864</v>
      </c>
      <c r="S585" s="5"/>
      <c r="T585" s="5"/>
      <c r="U585" s="5"/>
      <c r="V585" s="5"/>
      <c r="W585" s="5"/>
      <c r="X585" s="5"/>
      <c r="Y585" s="5"/>
      <c r="Z585" s="5"/>
      <c r="AA585" s="5"/>
      <c r="AB585" s="5"/>
      <c r="AC585" s="5"/>
      <c r="AD585" s="5"/>
      <c r="AE585" s="5"/>
      <c r="AF585" s="5"/>
      <c r="AG585" s="14" t="s">
        <v>55</v>
      </c>
      <c r="AH585" s="14" t="s">
        <v>1603</v>
      </c>
      <c r="AI585" s="14" t="s">
        <v>1604</v>
      </c>
      <c r="AJ585" s="5"/>
      <c r="AK585" s="5"/>
    </row>
    <row r="586" spans="1:37">
      <c r="A586" s="5" t="s">
        <v>2865</v>
      </c>
      <c r="B586" s="5" t="s">
        <v>2855</v>
      </c>
      <c r="C586" s="6" t="s">
        <v>43</v>
      </c>
      <c r="D586" s="6" t="s">
        <v>239</v>
      </c>
      <c r="E586" s="6" t="s">
        <v>1386</v>
      </c>
      <c r="F586" s="6" t="s">
        <v>46</v>
      </c>
      <c r="G586" s="6" t="s">
        <v>2866</v>
      </c>
      <c r="H586" s="7">
        <v>49.94</v>
      </c>
      <c r="I586" s="19" t="s">
        <v>1589</v>
      </c>
      <c r="J586" s="19" t="s">
        <v>2696</v>
      </c>
      <c r="K586" s="5" t="s">
        <v>2857</v>
      </c>
      <c r="L586" s="5" t="s">
        <v>2858</v>
      </c>
      <c r="M586" s="5" t="s">
        <v>2859</v>
      </c>
      <c r="N586" s="5" t="s">
        <v>2860</v>
      </c>
      <c r="O586" s="5" t="s">
        <v>2861</v>
      </c>
      <c r="P586" s="5" t="s">
        <v>2862</v>
      </c>
      <c r="Q586" s="5" t="s">
        <v>2863</v>
      </c>
      <c r="R586" s="5" t="s">
        <v>2864</v>
      </c>
      <c r="AG586" s="14" t="s">
        <v>55</v>
      </c>
      <c r="AH586" s="14" t="s">
        <v>1603</v>
      </c>
      <c r="AI586" s="14" t="s">
        <v>1604</v>
      </c>
    </row>
    <row r="587" spans="1:37">
      <c r="A587" s="5" t="s">
        <v>2867</v>
      </c>
      <c r="B587" s="5" t="s">
        <v>2855</v>
      </c>
      <c r="C587" s="6" t="s">
        <v>43</v>
      </c>
      <c r="D587" s="6" t="s">
        <v>239</v>
      </c>
      <c r="E587" s="6" t="s">
        <v>2047</v>
      </c>
      <c r="F587" s="6" t="s">
        <v>46</v>
      </c>
      <c r="G587" s="6" t="s">
        <v>2868</v>
      </c>
      <c r="H587" s="7">
        <v>49.94</v>
      </c>
      <c r="I587" s="19" t="s">
        <v>1589</v>
      </c>
      <c r="J587" s="19" t="s">
        <v>2696</v>
      </c>
      <c r="K587" s="5" t="s">
        <v>2857</v>
      </c>
      <c r="L587" s="5" t="s">
        <v>2858</v>
      </c>
      <c r="M587" s="5" t="s">
        <v>2859</v>
      </c>
      <c r="N587" s="5" t="s">
        <v>2860</v>
      </c>
      <c r="O587" s="5" t="s">
        <v>2861</v>
      </c>
      <c r="P587" s="5" t="s">
        <v>2862</v>
      </c>
      <c r="Q587" s="5" t="s">
        <v>2863</v>
      </c>
      <c r="R587" s="5" t="s">
        <v>2864</v>
      </c>
      <c r="AG587" s="14" t="s">
        <v>55</v>
      </c>
      <c r="AH587" s="14" t="s">
        <v>1603</v>
      </c>
      <c r="AI587" s="14" t="s">
        <v>1604</v>
      </c>
    </row>
    <row r="588" spans="1:37">
      <c r="A588" s="5" t="s">
        <v>2869</v>
      </c>
      <c r="B588" s="5" t="s">
        <v>2855</v>
      </c>
      <c r="C588" s="6" t="s">
        <v>43</v>
      </c>
      <c r="D588" s="6" t="s">
        <v>239</v>
      </c>
      <c r="E588" s="6" t="s">
        <v>2070</v>
      </c>
      <c r="F588" s="6" t="s">
        <v>46</v>
      </c>
      <c r="G588" s="6" t="s">
        <v>2870</v>
      </c>
      <c r="H588" s="7">
        <v>49.94</v>
      </c>
      <c r="I588" s="19" t="s">
        <v>1589</v>
      </c>
      <c r="J588" s="19" t="s">
        <v>2696</v>
      </c>
      <c r="K588" s="5" t="s">
        <v>2857</v>
      </c>
      <c r="L588" s="5" t="s">
        <v>2858</v>
      </c>
      <c r="M588" s="5" t="s">
        <v>2859</v>
      </c>
      <c r="N588" s="5" t="s">
        <v>2860</v>
      </c>
      <c r="O588" s="5" t="s">
        <v>2861</v>
      </c>
      <c r="P588" s="5" t="s">
        <v>2862</v>
      </c>
      <c r="Q588" s="5" t="s">
        <v>2863</v>
      </c>
      <c r="R588" s="5" t="s">
        <v>2864</v>
      </c>
      <c r="AG588" s="14" t="s">
        <v>55</v>
      </c>
      <c r="AH588" s="14" t="s">
        <v>1603</v>
      </c>
      <c r="AI588" s="14" t="s">
        <v>1604</v>
      </c>
    </row>
    <row r="589" spans="1:37">
      <c r="A589" s="5" t="s">
        <v>2871</v>
      </c>
      <c r="B589" s="5" t="s">
        <v>2855</v>
      </c>
      <c r="C589" s="6" t="s">
        <v>43</v>
      </c>
      <c r="D589" s="6" t="s">
        <v>239</v>
      </c>
      <c r="E589" s="6" t="s">
        <v>1540</v>
      </c>
      <c r="F589" s="6" t="s">
        <v>46</v>
      </c>
      <c r="G589" s="6" t="s">
        <v>2872</v>
      </c>
      <c r="H589" s="7">
        <v>49.94</v>
      </c>
      <c r="I589" s="19" t="s">
        <v>1589</v>
      </c>
      <c r="J589" s="19" t="s">
        <v>2696</v>
      </c>
      <c r="K589" s="5" t="s">
        <v>2857</v>
      </c>
      <c r="L589" s="5" t="s">
        <v>2858</v>
      </c>
      <c r="M589" s="5" t="s">
        <v>2859</v>
      </c>
      <c r="N589" s="5" t="s">
        <v>2860</v>
      </c>
      <c r="O589" s="5" t="s">
        <v>2861</v>
      </c>
      <c r="P589" s="5" t="s">
        <v>2862</v>
      </c>
      <c r="Q589" s="5" t="s">
        <v>2863</v>
      </c>
      <c r="R589" s="5" t="s">
        <v>2864</v>
      </c>
      <c r="AG589" s="14" t="s">
        <v>55</v>
      </c>
      <c r="AH589" s="14" t="s">
        <v>1603</v>
      </c>
      <c r="AI589" s="14" t="s">
        <v>1604</v>
      </c>
    </row>
    <row r="590" spans="1:37">
      <c r="A590" s="5" t="s">
        <v>2873</v>
      </c>
      <c r="B590" s="5" t="s">
        <v>2855</v>
      </c>
      <c r="C590" s="6" t="s">
        <v>43</v>
      </c>
      <c r="D590" s="6" t="s">
        <v>239</v>
      </c>
      <c r="E590" s="6" t="s">
        <v>2065</v>
      </c>
      <c r="F590" s="6" t="s">
        <v>46</v>
      </c>
      <c r="G590" s="6" t="s">
        <v>2874</v>
      </c>
      <c r="H590" s="7">
        <v>49.94</v>
      </c>
      <c r="I590" s="19" t="s">
        <v>1589</v>
      </c>
      <c r="J590" s="19" t="s">
        <v>2696</v>
      </c>
      <c r="K590" s="5" t="s">
        <v>2857</v>
      </c>
      <c r="L590" s="5" t="s">
        <v>2858</v>
      </c>
      <c r="M590" s="5" t="s">
        <v>2859</v>
      </c>
      <c r="N590" s="5" t="s">
        <v>2860</v>
      </c>
      <c r="O590" s="5" t="s">
        <v>2861</v>
      </c>
      <c r="P590" s="5" t="s">
        <v>2862</v>
      </c>
      <c r="Q590" s="5" t="s">
        <v>2863</v>
      </c>
      <c r="R590" s="5" t="s">
        <v>2864</v>
      </c>
      <c r="AG590" s="14" t="s">
        <v>55</v>
      </c>
      <c r="AH590" s="14" t="s">
        <v>1603</v>
      </c>
      <c r="AI590" s="14" t="s">
        <v>1604</v>
      </c>
    </row>
    <row r="591" spans="1:37">
      <c r="A591" s="5" t="s">
        <v>2875</v>
      </c>
      <c r="B591" s="5" t="s">
        <v>2876</v>
      </c>
      <c r="C591" s="6" t="s">
        <v>43</v>
      </c>
      <c r="D591" s="6" t="s">
        <v>239</v>
      </c>
      <c r="E591" s="6" t="s">
        <v>2047</v>
      </c>
      <c r="F591" s="6" t="s">
        <v>46</v>
      </c>
      <c r="G591" s="6" t="s">
        <v>2877</v>
      </c>
      <c r="H591" s="7">
        <v>50.82</v>
      </c>
      <c r="I591" s="19" t="s">
        <v>1589</v>
      </c>
      <c r="J591" s="19" t="s">
        <v>2696</v>
      </c>
      <c r="K591" s="5" t="s">
        <v>2878</v>
      </c>
      <c r="L591" s="5" t="s">
        <v>2879</v>
      </c>
      <c r="M591" s="5" t="s">
        <v>2880</v>
      </c>
      <c r="N591" s="5" t="s">
        <v>2881</v>
      </c>
      <c r="O591" s="5" t="s">
        <v>2882</v>
      </c>
      <c r="P591" s="5" t="s">
        <v>2883</v>
      </c>
      <c r="Q591" s="5" t="s">
        <v>2884</v>
      </c>
      <c r="R591" s="5" t="s">
        <v>2885</v>
      </c>
      <c r="AG591" s="14" t="s">
        <v>55</v>
      </c>
      <c r="AH591" s="14" t="s">
        <v>1603</v>
      </c>
      <c r="AI591" s="14" t="s">
        <v>1604</v>
      </c>
    </row>
    <row r="592" spans="1:37">
      <c r="A592" s="5" t="s">
        <v>2886</v>
      </c>
      <c r="B592" s="5" t="s">
        <v>2887</v>
      </c>
      <c r="C592" s="6" t="s">
        <v>43</v>
      </c>
      <c r="D592" s="6" t="s">
        <v>239</v>
      </c>
      <c r="E592" s="6" t="s">
        <v>2047</v>
      </c>
      <c r="F592" s="6" t="s">
        <v>46</v>
      </c>
      <c r="G592" s="6" t="s">
        <v>2888</v>
      </c>
      <c r="I592" s="19" t="s">
        <v>1589</v>
      </c>
      <c r="J592" s="19" t="s">
        <v>2696</v>
      </c>
      <c r="K592" s="5" t="s">
        <v>2889</v>
      </c>
      <c r="L592" s="5" t="s">
        <v>2890</v>
      </c>
      <c r="M592" s="5" t="s">
        <v>2891</v>
      </c>
      <c r="N592" s="5" t="s">
        <v>2892</v>
      </c>
      <c r="O592" s="5" t="s">
        <v>2893</v>
      </c>
      <c r="P592" s="5" t="s">
        <v>2894</v>
      </c>
      <c r="Q592" s="5" t="s">
        <v>2895</v>
      </c>
      <c r="R592" s="5" t="s">
        <v>2896</v>
      </c>
      <c r="AG592" s="14" t="s">
        <v>55</v>
      </c>
      <c r="AH592" s="14" t="s">
        <v>1603</v>
      </c>
      <c r="AI592" s="14" t="s">
        <v>1604</v>
      </c>
    </row>
    <row r="593" spans="1:37">
      <c r="A593" s="6" t="s">
        <v>2897</v>
      </c>
      <c r="B593" s="6" t="s">
        <v>2898</v>
      </c>
      <c r="C593" s="6" t="s">
        <v>43</v>
      </c>
      <c r="D593" s="6" t="s">
        <v>239</v>
      </c>
      <c r="E593" s="6" t="s">
        <v>2047</v>
      </c>
      <c r="F593" s="6" t="s">
        <v>46</v>
      </c>
      <c r="G593" s="6" t="s">
        <v>2899</v>
      </c>
      <c r="I593" s="19" t="s">
        <v>48</v>
      </c>
      <c r="J593" s="5" t="s">
        <v>48</v>
      </c>
      <c r="K593" s="6"/>
      <c r="L593" s="6"/>
      <c r="M593" s="6"/>
      <c r="N593" s="6"/>
      <c r="O593" s="6"/>
      <c r="P593" s="6"/>
      <c r="Q593" s="6"/>
      <c r="R593" s="6"/>
      <c r="S593" s="6"/>
      <c r="T593" s="6"/>
      <c r="U593" s="6"/>
      <c r="V593" s="6"/>
      <c r="W593" s="6"/>
      <c r="X593" s="6"/>
      <c r="Y593" s="6"/>
      <c r="Z593" s="6"/>
      <c r="AA593" s="6"/>
      <c r="AB593" s="6"/>
      <c r="AC593" s="6"/>
      <c r="AD593" s="6"/>
      <c r="AE593" s="6"/>
      <c r="AF593" s="6"/>
      <c r="AG593" s="15" t="s">
        <v>55</v>
      </c>
      <c r="AH593" s="15"/>
      <c r="AI593" s="15"/>
      <c r="AJ593" s="6"/>
      <c r="AK593" s="6"/>
    </row>
    <row r="594" spans="1:37" s="6" customFormat="1">
      <c r="A594" s="5" t="s">
        <v>2900</v>
      </c>
      <c r="B594" s="5" t="s">
        <v>2901</v>
      </c>
      <c r="C594" s="6" t="s">
        <v>43</v>
      </c>
      <c r="D594" s="6" t="s">
        <v>239</v>
      </c>
      <c r="E594" s="6" t="s">
        <v>2047</v>
      </c>
      <c r="F594" s="6" t="s">
        <v>46</v>
      </c>
      <c r="G594" s="6" t="s">
        <v>2902</v>
      </c>
      <c r="H594" s="7">
        <v>53.46</v>
      </c>
      <c r="I594" s="19" t="s">
        <v>1589</v>
      </c>
      <c r="J594" s="19" t="s">
        <v>2696</v>
      </c>
      <c r="K594" s="5" t="s">
        <v>2903</v>
      </c>
      <c r="L594" s="5" t="s">
        <v>2904</v>
      </c>
      <c r="M594" s="5" t="s">
        <v>2905</v>
      </c>
      <c r="N594" s="5" t="s">
        <v>2906</v>
      </c>
      <c r="O594" s="5" t="s">
        <v>2907</v>
      </c>
      <c r="P594" s="5" t="s">
        <v>2908</v>
      </c>
      <c r="Q594" s="5" t="s">
        <v>2909</v>
      </c>
      <c r="R594" s="5" t="s">
        <v>2910</v>
      </c>
      <c r="S594" s="5"/>
      <c r="T594" s="5"/>
      <c r="U594" s="5"/>
      <c r="V594" s="5"/>
      <c r="W594" s="5"/>
      <c r="X594" s="5"/>
      <c r="Y594" s="5"/>
      <c r="Z594" s="5"/>
      <c r="AA594" s="5"/>
      <c r="AB594" s="5"/>
      <c r="AC594" s="5"/>
      <c r="AD594" s="5"/>
      <c r="AE594" s="5"/>
      <c r="AF594" s="5"/>
      <c r="AG594" s="14" t="s">
        <v>55</v>
      </c>
      <c r="AH594" s="14" t="s">
        <v>1603</v>
      </c>
      <c r="AI594" s="14" t="s">
        <v>1604</v>
      </c>
      <c r="AJ594" s="5"/>
      <c r="AK594" s="5"/>
    </row>
    <row r="595" spans="1:37">
      <c r="A595" s="5" t="s">
        <v>2911</v>
      </c>
      <c r="B595" s="5" t="s">
        <v>2901</v>
      </c>
      <c r="C595" s="6" t="s">
        <v>43</v>
      </c>
      <c r="D595" s="6" t="s">
        <v>239</v>
      </c>
      <c r="E595" s="6" t="s">
        <v>2070</v>
      </c>
      <c r="F595" s="6" t="s">
        <v>46</v>
      </c>
      <c r="G595" s="6" t="s">
        <v>2912</v>
      </c>
      <c r="H595" s="7">
        <v>53.46</v>
      </c>
      <c r="I595" s="19" t="s">
        <v>1589</v>
      </c>
      <c r="J595" s="19" t="s">
        <v>2696</v>
      </c>
      <c r="K595" s="5" t="s">
        <v>2903</v>
      </c>
      <c r="L595" s="5" t="s">
        <v>2904</v>
      </c>
      <c r="M595" s="5" t="s">
        <v>2905</v>
      </c>
      <c r="N595" s="5" t="s">
        <v>2906</v>
      </c>
      <c r="O595" s="5" t="s">
        <v>2907</v>
      </c>
      <c r="P595" s="5" t="s">
        <v>2908</v>
      </c>
      <c r="Q595" s="5" t="s">
        <v>2909</v>
      </c>
      <c r="R595" s="5" t="s">
        <v>2910</v>
      </c>
      <c r="AG595" s="14" t="s">
        <v>55</v>
      </c>
      <c r="AH595" s="14" t="s">
        <v>1603</v>
      </c>
      <c r="AI595" s="14" t="s">
        <v>1604</v>
      </c>
    </row>
    <row r="596" spans="1:37">
      <c r="A596" s="5" t="s">
        <v>2913</v>
      </c>
      <c r="B596" s="5" t="s">
        <v>2901</v>
      </c>
      <c r="C596" s="6" t="s">
        <v>43</v>
      </c>
      <c r="D596" s="6" t="s">
        <v>239</v>
      </c>
      <c r="E596" s="6" t="s">
        <v>2839</v>
      </c>
      <c r="F596" s="6" t="s">
        <v>46</v>
      </c>
      <c r="G596" s="6" t="s">
        <v>2914</v>
      </c>
      <c r="H596" s="7">
        <v>53.46</v>
      </c>
      <c r="I596" s="19" t="s">
        <v>1589</v>
      </c>
      <c r="J596" s="19" t="s">
        <v>2696</v>
      </c>
      <c r="K596" s="5" t="s">
        <v>2903</v>
      </c>
      <c r="L596" s="5" t="s">
        <v>2904</v>
      </c>
      <c r="M596" s="5" t="s">
        <v>2905</v>
      </c>
      <c r="N596" s="5" t="s">
        <v>2906</v>
      </c>
      <c r="O596" s="5" t="s">
        <v>2907</v>
      </c>
      <c r="P596" s="5" t="s">
        <v>2908</v>
      </c>
      <c r="Q596" s="5" t="s">
        <v>2909</v>
      </c>
      <c r="R596" s="5" t="s">
        <v>2910</v>
      </c>
      <c r="AG596" s="14" t="s">
        <v>55</v>
      </c>
      <c r="AH596" s="14" t="s">
        <v>1603</v>
      </c>
      <c r="AI596" s="14" t="s">
        <v>1604</v>
      </c>
    </row>
    <row r="597" spans="1:37">
      <c r="A597" s="5" t="s">
        <v>2915</v>
      </c>
      <c r="B597" s="5" t="s">
        <v>2901</v>
      </c>
      <c r="C597" s="6" t="s">
        <v>43</v>
      </c>
      <c r="D597" s="6" t="s">
        <v>239</v>
      </c>
      <c r="E597" s="6" t="s">
        <v>2065</v>
      </c>
      <c r="F597" s="6" t="s">
        <v>46</v>
      </c>
      <c r="G597" s="6" t="s">
        <v>2914</v>
      </c>
      <c r="H597" s="7">
        <v>53.46</v>
      </c>
      <c r="I597" s="19" t="s">
        <v>1589</v>
      </c>
      <c r="J597" s="19" t="s">
        <v>2696</v>
      </c>
      <c r="K597" s="5" t="s">
        <v>2903</v>
      </c>
      <c r="L597" s="5" t="s">
        <v>2904</v>
      </c>
      <c r="M597" s="5" t="s">
        <v>2905</v>
      </c>
      <c r="N597" s="5" t="s">
        <v>2906</v>
      </c>
      <c r="O597" s="5" t="s">
        <v>2907</v>
      </c>
      <c r="P597" s="5" t="s">
        <v>2908</v>
      </c>
      <c r="Q597" s="5" t="s">
        <v>2909</v>
      </c>
      <c r="R597" s="5" t="s">
        <v>2910</v>
      </c>
      <c r="AG597" s="14" t="s">
        <v>55</v>
      </c>
      <c r="AH597" s="14" t="s">
        <v>1603</v>
      </c>
      <c r="AI597" s="14" t="s">
        <v>1604</v>
      </c>
    </row>
    <row r="598" spans="1:37">
      <c r="A598" s="6" t="s">
        <v>2916</v>
      </c>
      <c r="B598" s="6" t="s">
        <v>2917</v>
      </c>
      <c r="C598" s="6" t="s">
        <v>43</v>
      </c>
      <c r="D598" s="6" t="s">
        <v>239</v>
      </c>
      <c r="E598" s="6" t="s">
        <v>2047</v>
      </c>
      <c r="F598" s="6" t="s">
        <v>46</v>
      </c>
      <c r="G598" s="6" t="s">
        <v>2918</v>
      </c>
      <c r="I598" s="19" t="s">
        <v>48</v>
      </c>
      <c r="J598" s="19" t="s">
        <v>48</v>
      </c>
      <c r="K598" s="6"/>
      <c r="L598" s="6"/>
      <c r="M598" s="6"/>
      <c r="N598" s="6"/>
      <c r="O598" s="6"/>
      <c r="P598" s="6"/>
      <c r="Q598" s="6"/>
      <c r="R598" s="6"/>
      <c r="S598" s="6"/>
      <c r="T598" s="6"/>
      <c r="U598" s="6"/>
      <c r="V598" s="6"/>
      <c r="W598" s="6"/>
      <c r="X598" s="6"/>
      <c r="Y598" s="6"/>
      <c r="Z598" s="6"/>
      <c r="AA598" s="6"/>
      <c r="AB598" s="6"/>
      <c r="AC598" s="6"/>
      <c r="AD598" s="6"/>
      <c r="AE598" s="6"/>
      <c r="AF598" s="6"/>
      <c r="AG598" s="15" t="s">
        <v>55</v>
      </c>
      <c r="AH598" s="15"/>
      <c r="AI598" s="15"/>
      <c r="AJ598" s="6"/>
      <c r="AK598" s="6"/>
    </row>
    <row r="599" spans="1:37" s="6" customFormat="1">
      <c r="A599" s="5" t="s">
        <v>2919</v>
      </c>
      <c r="B599" s="5" t="s">
        <v>2920</v>
      </c>
      <c r="C599" s="6" t="s">
        <v>2921</v>
      </c>
      <c r="D599" s="6" t="s">
        <v>239</v>
      </c>
      <c r="E599" s="6" t="s">
        <v>2047</v>
      </c>
      <c r="F599" s="6" t="s">
        <v>46</v>
      </c>
      <c r="G599" s="6" t="s">
        <v>2922</v>
      </c>
      <c r="H599" s="7">
        <v>50.6</v>
      </c>
      <c r="I599" s="19" t="s">
        <v>1589</v>
      </c>
      <c r="J599" s="19" t="s">
        <v>2696</v>
      </c>
      <c r="K599" s="5" t="s">
        <v>2923</v>
      </c>
      <c r="L599" s="5" t="s">
        <v>2924</v>
      </c>
      <c r="M599" s="5" t="s">
        <v>2925</v>
      </c>
      <c r="N599" s="5" t="s">
        <v>2926</v>
      </c>
      <c r="O599" s="5" t="s">
        <v>2927</v>
      </c>
      <c r="P599" s="5" t="s">
        <v>2928</v>
      </c>
      <c r="Q599" s="5" t="s">
        <v>2929</v>
      </c>
      <c r="R599" s="5" t="s">
        <v>2930</v>
      </c>
      <c r="S599" s="5"/>
      <c r="T599" s="5"/>
      <c r="U599" s="5"/>
      <c r="V599" s="5"/>
      <c r="W599" s="5"/>
      <c r="X599" s="5"/>
      <c r="Y599" s="5"/>
      <c r="Z599" s="5"/>
      <c r="AA599" s="5"/>
      <c r="AB599" s="5"/>
      <c r="AC599" s="5"/>
      <c r="AD599" s="5"/>
      <c r="AE599" s="5"/>
      <c r="AF599" s="5"/>
      <c r="AG599" s="14" t="s">
        <v>55</v>
      </c>
      <c r="AH599" s="14" t="s">
        <v>1603</v>
      </c>
      <c r="AI599" s="14" t="s">
        <v>1604</v>
      </c>
      <c r="AJ599" s="5"/>
      <c r="AK599" s="5"/>
    </row>
    <row r="600" spans="1:37">
      <c r="A600" s="5" t="s">
        <v>2931</v>
      </c>
      <c r="B600" s="5" t="s">
        <v>2932</v>
      </c>
      <c r="C600" s="6" t="s">
        <v>43</v>
      </c>
      <c r="D600" s="6" t="s">
        <v>239</v>
      </c>
      <c r="E600" s="6" t="s">
        <v>2933</v>
      </c>
      <c r="F600" s="6" t="s">
        <v>46</v>
      </c>
      <c r="G600" s="6" t="s">
        <v>2934</v>
      </c>
      <c r="H600" s="7">
        <v>53.46</v>
      </c>
      <c r="I600" s="19" t="s">
        <v>1589</v>
      </c>
      <c r="J600" s="19" t="s">
        <v>2696</v>
      </c>
      <c r="K600" s="5" t="s">
        <v>2935</v>
      </c>
      <c r="L600" s="5" t="s">
        <v>2936</v>
      </c>
      <c r="M600" s="5" t="s">
        <v>2937</v>
      </c>
      <c r="N600" s="5" t="s">
        <v>2938</v>
      </c>
      <c r="O600" s="5" t="s">
        <v>2939</v>
      </c>
      <c r="P600" s="5" t="s">
        <v>2940</v>
      </c>
      <c r="Q600" s="5" t="s">
        <v>2941</v>
      </c>
      <c r="R600" s="5" t="s">
        <v>2942</v>
      </c>
      <c r="AG600" s="14" t="s">
        <v>55</v>
      </c>
      <c r="AH600" s="14" t="s">
        <v>1603</v>
      </c>
      <c r="AI600" s="14" t="s">
        <v>1604</v>
      </c>
    </row>
    <row r="601" spans="1:37">
      <c r="A601" s="5" t="s">
        <v>2943</v>
      </c>
      <c r="B601" s="5" t="s">
        <v>2932</v>
      </c>
      <c r="C601" s="6" t="s">
        <v>43</v>
      </c>
      <c r="D601" s="6" t="s">
        <v>239</v>
      </c>
      <c r="E601" s="6" t="s">
        <v>2139</v>
      </c>
      <c r="F601" s="6" t="s">
        <v>46</v>
      </c>
      <c r="G601" s="6" t="s">
        <v>2944</v>
      </c>
      <c r="H601" s="7">
        <v>53.46</v>
      </c>
      <c r="I601" s="19" t="s">
        <v>1589</v>
      </c>
      <c r="J601" s="19" t="s">
        <v>2696</v>
      </c>
      <c r="K601" s="5" t="s">
        <v>2935</v>
      </c>
      <c r="L601" s="5" t="s">
        <v>2936</v>
      </c>
      <c r="M601" s="5" t="s">
        <v>2937</v>
      </c>
      <c r="N601" s="5" t="s">
        <v>2938</v>
      </c>
      <c r="O601" s="5" t="s">
        <v>2939</v>
      </c>
      <c r="P601" s="5" t="s">
        <v>2940</v>
      </c>
      <c r="Q601" s="5" t="s">
        <v>2941</v>
      </c>
      <c r="R601" s="5" t="s">
        <v>2942</v>
      </c>
      <c r="AG601" s="14" t="s">
        <v>55</v>
      </c>
      <c r="AH601" s="14" t="s">
        <v>1603</v>
      </c>
      <c r="AI601" s="14" t="s">
        <v>1604</v>
      </c>
    </row>
    <row r="602" spans="1:37">
      <c r="A602" s="5" t="s">
        <v>2945</v>
      </c>
      <c r="B602" s="5" t="s">
        <v>2932</v>
      </c>
      <c r="C602" s="6" t="s">
        <v>43</v>
      </c>
      <c r="D602" s="6" t="s">
        <v>239</v>
      </c>
      <c r="E602" s="6" t="s">
        <v>2047</v>
      </c>
      <c r="F602" s="6" t="s">
        <v>46</v>
      </c>
      <c r="G602" s="6" t="s">
        <v>2946</v>
      </c>
      <c r="H602" s="7">
        <v>53.46</v>
      </c>
      <c r="I602" s="19" t="s">
        <v>1589</v>
      </c>
      <c r="J602" s="19" t="s">
        <v>2696</v>
      </c>
      <c r="K602" s="5" t="s">
        <v>2935</v>
      </c>
      <c r="L602" s="5" t="s">
        <v>2936</v>
      </c>
      <c r="M602" s="5" t="s">
        <v>2937</v>
      </c>
      <c r="N602" s="5" t="s">
        <v>2938</v>
      </c>
      <c r="O602" s="5" t="s">
        <v>2939</v>
      </c>
      <c r="P602" s="5" t="s">
        <v>2940</v>
      </c>
      <c r="Q602" s="5" t="s">
        <v>2941</v>
      </c>
      <c r="R602" s="5" t="s">
        <v>2942</v>
      </c>
      <c r="AG602" s="14" t="s">
        <v>55</v>
      </c>
      <c r="AH602" s="14" t="s">
        <v>1603</v>
      </c>
      <c r="AI602" s="14" t="s">
        <v>1604</v>
      </c>
    </row>
    <row r="603" spans="1:37">
      <c r="A603" s="5" t="s">
        <v>2947</v>
      </c>
      <c r="B603" s="5" t="s">
        <v>2932</v>
      </c>
      <c r="C603" s="6" t="s">
        <v>43</v>
      </c>
      <c r="D603" s="6" t="s">
        <v>239</v>
      </c>
      <c r="E603" s="6" t="s">
        <v>2065</v>
      </c>
      <c r="F603" s="6" t="s">
        <v>46</v>
      </c>
      <c r="G603" s="6" t="s">
        <v>2948</v>
      </c>
      <c r="H603" s="7">
        <v>53.46</v>
      </c>
      <c r="I603" s="19" t="s">
        <v>1589</v>
      </c>
      <c r="J603" s="19" t="s">
        <v>2696</v>
      </c>
      <c r="K603" s="5" t="s">
        <v>2935</v>
      </c>
      <c r="L603" s="5" t="s">
        <v>2936</v>
      </c>
      <c r="M603" s="5" t="s">
        <v>2937</v>
      </c>
      <c r="N603" s="5" t="s">
        <v>2938</v>
      </c>
      <c r="O603" s="5" t="s">
        <v>2939</v>
      </c>
      <c r="P603" s="5" t="s">
        <v>2940</v>
      </c>
      <c r="Q603" s="5" t="s">
        <v>2941</v>
      </c>
      <c r="R603" s="5" t="s">
        <v>2942</v>
      </c>
      <c r="AG603" s="14" t="s">
        <v>55</v>
      </c>
      <c r="AH603" s="14" t="s">
        <v>1603</v>
      </c>
      <c r="AI603" s="14" t="s">
        <v>1604</v>
      </c>
    </row>
    <row r="604" spans="1:37">
      <c r="A604" s="6" t="s">
        <v>2949</v>
      </c>
      <c r="B604" s="6" t="s">
        <v>2950</v>
      </c>
      <c r="C604" s="6" t="s">
        <v>2951</v>
      </c>
      <c r="D604" s="6" t="s">
        <v>239</v>
      </c>
      <c r="E604" s="6" t="s">
        <v>2139</v>
      </c>
      <c r="F604" s="6" t="s">
        <v>46</v>
      </c>
      <c r="G604" s="6" t="s">
        <v>2952</v>
      </c>
      <c r="I604" s="16" t="s">
        <v>48</v>
      </c>
      <c r="J604" s="16" t="s">
        <v>48</v>
      </c>
      <c r="K604" s="6"/>
      <c r="L604" s="6"/>
      <c r="M604" s="6"/>
      <c r="N604" s="6"/>
      <c r="O604" s="6"/>
      <c r="P604" s="6"/>
      <c r="Q604" s="6"/>
      <c r="R604" s="6"/>
      <c r="S604" s="6"/>
      <c r="T604" s="6"/>
      <c r="U604" s="6"/>
      <c r="V604" s="6"/>
      <c r="W604" s="6"/>
      <c r="X604" s="6"/>
      <c r="Y604" s="6"/>
      <c r="Z604" s="6"/>
      <c r="AA604" s="6"/>
      <c r="AB604" s="6"/>
      <c r="AC604" s="6"/>
      <c r="AD604" s="6"/>
      <c r="AE604" s="6"/>
      <c r="AF604" s="6"/>
      <c r="AG604" s="15" t="s">
        <v>55</v>
      </c>
      <c r="AH604" s="15"/>
      <c r="AI604" s="15"/>
      <c r="AJ604" s="6"/>
      <c r="AK604" s="6"/>
    </row>
    <row r="605" spans="1:37" s="6" customFormat="1">
      <c r="A605" s="6" t="s">
        <v>2953</v>
      </c>
      <c r="B605" s="6" t="s">
        <v>2950</v>
      </c>
      <c r="C605" s="6" t="s">
        <v>2951</v>
      </c>
      <c r="D605" s="6" t="s">
        <v>239</v>
      </c>
      <c r="E605" s="6" t="s">
        <v>2047</v>
      </c>
      <c r="F605" s="6" t="s">
        <v>46</v>
      </c>
      <c r="G605" s="6" t="s">
        <v>2954</v>
      </c>
      <c r="H605" s="7"/>
      <c r="I605" s="16" t="s">
        <v>48</v>
      </c>
      <c r="J605" s="16" t="s">
        <v>48</v>
      </c>
      <c r="AG605" s="15" t="s">
        <v>55</v>
      </c>
      <c r="AH605" s="15"/>
      <c r="AI605" s="15"/>
    </row>
    <row r="606" spans="1:37" s="6" customFormat="1">
      <c r="A606" s="6" t="s">
        <v>2955</v>
      </c>
      <c r="B606" s="6" t="s">
        <v>2950</v>
      </c>
      <c r="C606" s="6" t="s">
        <v>2951</v>
      </c>
      <c r="D606" s="6" t="s">
        <v>239</v>
      </c>
      <c r="E606" s="6" t="s">
        <v>2065</v>
      </c>
      <c r="F606" s="6" t="s">
        <v>46</v>
      </c>
      <c r="G606" s="6" t="s">
        <v>2956</v>
      </c>
      <c r="H606" s="7"/>
      <c r="I606" s="16" t="s">
        <v>48</v>
      </c>
      <c r="J606" s="16" t="s">
        <v>48</v>
      </c>
      <c r="AG606" s="15" t="s">
        <v>55</v>
      </c>
      <c r="AH606" s="15"/>
      <c r="AI606" s="15"/>
    </row>
    <row r="607" spans="1:37" s="6" customFormat="1">
      <c r="A607" s="5" t="s">
        <v>2957</v>
      </c>
      <c r="B607" s="5" t="s">
        <v>2958</v>
      </c>
      <c r="C607" s="6" t="s">
        <v>43</v>
      </c>
      <c r="D607" s="6" t="s">
        <v>239</v>
      </c>
      <c r="E607" s="6" t="s">
        <v>2139</v>
      </c>
      <c r="F607" s="6" t="s">
        <v>46</v>
      </c>
      <c r="G607" s="6" t="s">
        <v>2959</v>
      </c>
      <c r="H607" s="7">
        <v>54.45</v>
      </c>
      <c r="I607" s="19" t="s">
        <v>1589</v>
      </c>
      <c r="J607" s="19" t="s">
        <v>2696</v>
      </c>
      <c r="K607" s="5" t="s">
        <v>2960</v>
      </c>
      <c r="L607" s="5" t="s">
        <v>2961</v>
      </c>
      <c r="M607" s="5" t="s">
        <v>2962</v>
      </c>
      <c r="N607" s="5" t="s">
        <v>2963</v>
      </c>
      <c r="O607" s="5" t="s">
        <v>2964</v>
      </c>
      <c r="P607" s="5" t="s">
        <v>2965</v>
      </c>
      <c r="Q607" s="5" t="s">
        <v>2966</v>
      </c>
      <c r="R607" s="5" t="s">
        <v>2967</v>
      </c>
      <c r="S607" s="5"/>
      <c r="T607" s="5"/>
      <c r="U607" s="5"/>
      <c r="V607" s="5"/>
      <c r="W607" s="5"/>
      <c r="X607" s="5"/>
      <c r="Y607" s="5"/>
      <c r="Z607" s="5"/>
      <c r="AA607" s="5"/>
      <c r="AB607" s="5"/>
      <c r="AC607" s="5"/>
      <c r="AD607" s="5"/>
      <c r="AE607" s="5"/>
      <c r="AF607" s="5"/>
      <c r="AG607" s="14" t="s">
        <v>55</v>
      </c>
      <c r="AH607" s="14" t="s">
        <v>1603</v>
      </c>
      <c r="AI607" s="14" t="s">
        <v>1604</v>
      </c>
      <c r="AJ607" s="5"/>
      <c r="AK607" s="5"/>
    </row>
    <row r="608" spans="1:37">
      <c r="A608" s="5" t="s">
        <v>2968</v>
      </c>
      <c r="B608" s="5" t="s">
        <v>2958</v>
      </c>
      <c r="C608" s="6" t="s">
        <v>43</v>
      </c>
      <c r="D608" s="6" t="s">
        <v>239</v>
      </c>
      <c r="E608" s="6" t="s">
        <v>2047</v>
      </c>
      <c r="F608" s="6" t="s">
        <v>46</v>
      </c>
      <c r="G608" s="6" t="s">
        <v>2959</v>
      </c>
      <c r="H608" s="7">
        <v>54.45</v>
      </c>
      <c r="I608" s="19" t="s">
        <v>1589</v>
      </c>
      <c r="J608" s="19" t="s">
        <v>2696</v>
      </c>
      <c r="K608" s="5" t="s">
        <v>2960</v>
      </c>
      <c r="L608" s="5" t="s">
        <v>2961</v>
      </c>
      <c r="M608" s="5" t="s">
        <v>2962</v>
      </c>
      <c r="N608" s="5" t="s">
        <v>2963</v>
      </c>
      <c r="O608" s="5" t="s">
        <v>2964</v>
      </c>
      <c r="P608" s="5" t="s">
        <v>2965</v>
      </c>
      <c r="Q608" s="5" t="s">
        <v>2966</v>
      </c>
      <c r="R608" s="5" t="s">
        <v>2967</v>
      </c>
      <c r="AG608" s="14" t="s">
        <v>55</v>
      </c>
      <c r="AH608" s="14" t="s">
        <v>1603</v>
      </c>
      <c r="AI608" s="14" t="s">
        <v>1604</v>
      </c>
    </row>
    <row r="609" spans="1:37">
      <c r="A609" s="5" t="s">
        <v>2969</v>
      </c>
      <c r="B609" s="5" t="s">
        <v>2970</v>
      </c>
      <c r="C609" s="6" t="s">
        <v>43</v>
      </c>
      <c r="D609" s="6" t="s">
        <v>239</v>
      </c>
      <c r="E609" s="6" t="s">
        <v>1540</v>
      </c>
      <c r="F609" s="6" t="s">
        <v>46</v>
      </c>
      <c r="G609" s="6" t="s">
        <v>2971</v>
      </c>
      <c r="H609" s="7">
        <v>58.14</v>
      </c>
      <c r="I609" s="19" t="s">
        <v>1589</v>
      </c>
      <c r="J609" s="19" t="s">
        <v>2254</v>
      </c>
      <c r="K609" s="5" t="s">
        <v>2972</v>
      </c>
      <c r="L609" s="5" t="s">
        <v>2973</v>
      </c>
      <c r="M609" s="5" t="s">
        <v>2974</v>
      </c>
      <c r="N609" s="5" t="s">
        <v>2975</v>
      </c>
      <c r="O609" s="5" t="s">
        <v>2976</v>
      </c>
      <c r="P609" s="5" t="s">
        <v>2977</v>
      </c>
      <c r="Q609" s="5" t="s">
        <v>2978</v>
      </c>
      <c r="R609" s="5" t="s">
        <v>2979</v>
      </c>
      <c r="Y609" s="5" t="s">
        <v>2980</v>
      </c>
      <c r="AG609" s="14" t="s">
        <v>55</v>
      </c>
      <c r="AH609" s="14" t="s">
        <v>1603</v>
      </c>
      <c r="AI609" s="14" t="s">
        <v>2264</v>
      </c>
    </row>
    <row r="610" spans="1:37">
      <c r="A610" s="6" t="s">
        <v>2981</v>
      </c>
      <c r="B610" s="6" t="s">
        <v>2982</v>
      </c>
      <c r="C610" s="6" t="s">
        <v>43</v>
      </c>
      <c r="D610" s="6" t="s">
        <v>239</v>
      </c>
      <c r="E610" s="6" t="s">
        <v>2047</v>
      </c>
      <c r="F610" s="6" t="s">
        <v>46</v>
      </c>
      <c r="G610" s="6" t="s">
        <v>2983</v>
      </c>
      <c r="I610" s="16" t="s">
        <v>48</v>
      </c>
      <c r="J610" s="16" t="s">
        <v>48</v>
      </c>
      <c r="K610" s="6"/>
      <c r="L610" s="6"/>
      <c r="M610" s="6"/>
      <c r="N610" s="6"/>
      <c r="O610" s="6"/>
      <c r="P610" s="6"/>
      <c r="Q610" s="6"/>
      <c r="R610" s="6"/>
      <c r="S610" s="6"/>
      <c r="T610" s="6"/>
      <c r="U610" s="6"/>
      <c r="V610" s="6"/>
      <c r="W610" s="6"/>
      <c r="X610" s="6"/>
      <c r="Y610" s="6"/>
      <c r="Z610" s="6"/>
      <c r="AA610" s="6"/>
      <c r="AB610" s="6"/>
      <c r="AC610" s="6"/>
      <c r="AD610" s="6"/>
      <c r="AE610" s="6"/>
      <c r="AF610" s="6"/>
      <c r="AG610" s="15" t="s">
        <v>55</v>
      </c>
      <c r="AH610" s="15"/>
      <c r="AI610" s="15"/>
      <c r="AJ610" s="6"/>
      <c r="AK610" s="6"/>
    </row>
    <row r="611" spans="1:37" s="6" customFormat="1">
      <c r="A611" s="6" t="s">
        <v>2984</v>
      </c>
      <c r="B611" s="6" t="s">
        <v>2985</v>
      </c>
      <c r="C611" s="6" t="s">
        <v>43</v>
      </c>
      <c r="D611" s="6" t="s">
        <v>239</v>
      </c>
      <c r="E611" s="6" t="s">
        <v>2065</v>
      </c>
      <c r="F611" s="6" t="s">
        <v>46</v>
      </c>
      <c r="G611" s="6" t="s">
        <v>2986</v>
      </c>
      <c r="H611" s="7"/>
      <c r="I611" s="19" t="s">
        <v>48</v>
      </c>
      <c r="J611" s="19" t="s">
        <v>48</v>
      </c>
      <c r="AG611" s="15" t="s">
        <v>55</v>
      </c>
      <c r="AH611" s="15"/>
      <c r="AI611" s="15"/>
    </row>
    <row r="612" spans="1:37" s="6" customFormat="1">
      <c r="A612" s="5" t="s">
        <v>2987</v>
      </c>
      <c r="B612" s="5" t="s">
        <v>2988</v>
      </c>
      <c r="C612" s="6" t="s">
        <v>43</v>
      </c>
      <c r="D612" s="6" t="s">
        <v>239</v>
      </c>
      <c r="E612" s="6" t="s">
        <v>2989</v>
      </c>
      <c r="F612" s="6" t="s">
        <v>46</v>
      </c>
      <c r="G612" s="6" t="s">
        <v>2990</v>
      </c>
      <c r="H612" s="7">
        <v>59.62</v>
      </c>
      <c r="I612" s="19" t="s">
        <v>1589</v>
      </c>
      <c r="J612" s="19" t="s">
        <v>2696</v>
      </c>
      <c r="K612" s="5" t="s">
        <v>2991</v>
      </c>
      <c r="L612" s="5" t="s">
        <v>2992</v>
      </c>
      <c r="M612" s="5" t="s">
        <v>2993</v>
      </c>
      <c r="N612" s="5" t="s">
        <v>2994</v>
      </c>
      <c r="O612" s="5" t="s">
        <v>2995</v>
      </c>
      <c r="P612" s="5" t="s">
        <v>2996</v>
      </c>
      <c r="Q612" s="5" t="s">
        <v>2997</v>
      </c>
      <c r="R612" s="5" t="s">
        <v>2998</v>
      </c>
      <c r="S612" s="5"/>
      <c r="T612" s="5"/>
      <c r="U612" s="5"/>
      <c r="V612" s="5"/>
      <c r="W612" s="5"/>
      <c r="X612" s="5"/>
      <c r="Y612" s="5"/>
      <c r="Z612" s="5"/>
      <c r="AA612" s="5"/>
      <c r="AB612" s="5"/>
      <c r="AC612" s="5"/>
      <c r="AD612" s="5"/>
      <c r="AE612" s="5"/>
      <c r="AF612" s="5"/>
      <c r="AG612" s="14" t="s">
        <v>55</v>
      </c>
      <c r="AH612" s="14" t="s">
        <v>1603</v>
      </c>
      <c r="AI612" s="14" t="s">
        <v>1604</v>
      </c>
      <c r="AJ612" s="5"/>
      <c r="AK612" s="5"/>
    </row>
    <row r="613" spans="1:37">
      <c r="A613" s="5" t="s">
        <v>2999</v>
      </c>
      <c r="B613" s="5" t="s">
        <v>2988</v>
      </c>
      <c r="C613" s="6" t="s">
        <v>43</v>
      </c>
      <c r="D613" s="6" t="s">
        <v>239</v>
      </c>
      <c r="E613" s="6" t="s">
        <v>1587</v>
      </c>
      <c r="F613" s="6" t="s">
        <v>46</v>
      </c>
      <c r="G613" s="6" t="s">
        <v>3000</v>
      </c>
      <c r="H613" s="7">
        <v>59.62</v>
      </c>
      <c r="I613" s="19" t="s">
        <v>1589</v>
      </c>
      <c r="J613" s="19" t="s">
        <v>2696</v>
      </c>
      <c r="K613" s="5" t="s">
        <v>2991</v>
      </c>
      <c r="L613" s="5" t="s">
        <v>2992</v>
      </c>
      <c r="M613" s="5" t="s">
        <v>2993</v>
      </c>
      <c r="N613" s="5" t="s">
        <v>2994</v>
      </c>
      <c r="O613" s="5" t="s">
        <v>2995</v>
      </c>
      <c r="P613" s="5" t="s">
        <v>2996</v>
      </c>
      <c r="Q613" s="5" t="s">
        <v>2997</v>
      </c>
      <c r="R613" s="5" t="s">
        <v>2998</v>
      </c>
      <c r="AG613" s="14" t="s">
        <v>55</v>
      </c>
      <c r="AH613" s="14" t="s">
        <v>1603</v>
      </c>
      <c r="AI613" s="14" t="s">
        <v>1604</v>
      </c>
    </row>
    <row r="614" spans="1:37">
      <c r="A614" s="5" t="s">
        <v>3001</v>
      </c>
      <c r="B614" s="5" t="s">
        <v>2988</v>
      </c>
      <c r="C614" s="6" t="s">
        <v>43</v>
      </c>
      <c r="D614" s="6" t="s">
        <v>239</v>
      </c>
      <c r="E614" s="6" t="s">
        <v>2933</v>
      </c>
      <c r="F614" s="6" t="s">
        <v>46</v>
      </c>
      <c r="G614" s="6" t="s">
        <v>3002</v>
      </c>
      <c r="H614" s="7">
        <v>59.62</v>
      </c>
      <c r="I614" s="19" t="s">
        <v>1589</v>
      </c>
      <c r="J614" s="19" t="s">
        <v>2696</v>
      </c>
      <c r="K614" s="5" t="s">
        <v>2991</v>
      </c>
      <c r="L614" s="5" t="s">
        <v>2992</v>
      </c>
      <c r="M614" s="5" t="s">
        <v>2993</v>
      </c>
      <c r="N614" s="5" t="s">
        <v>2994</v>
      </c>
      <c r="O614" s="5" t="s">
        <v>2995</v>
      </c>
      <c r="P614" s="5" t="s">
        <v>2996</v>
      </c>
      <c r="Q614" s="5" t="s">
        <v>2997</v>
      </c>
      <c r="R614" s="5" t="s">
        <v>2998</v>
      </c>
      <c r="AG614" s="14" t="s">
        <v>55</v>
      </c>
      <c r="AH614" s="14" t="s">
        <v>1603</v>
      </c>
      <c r="AI614" s="14" t="s">
        <v>1604</v>
      </c>
    </row>
    <row r="615" spans="1:37">
      <c r="A615" s="5" t="s">
        <v>3003</v>
      </c>
      <c r="B615" s="5" t="s">
        <v>3004</v>
      </c>
      <c r="C615" s="6" t="s">
        <v>43</v>
      </c>
      <c r="D615" s="6" t="s">
        <v>239</v>
      </c>
      <c r="E615" s="6" t="s">
        <v>2065</v>
      </c>
      <c r="F615" s="6" t="s">
        <v>46</v>
      </c>
      <c r="G615" s="6" t="s">
        <v>3005</v>
      </c>
      <c r="H615" s="7">
        <v>65.58</v>
      </c>
      <c r="I615" s="19" t="s">
        <v>1589</v>
      </c>
      <c r="J615" s="19" t="s">
        <v>2696</v>
      </c>
      <c r="K615" s="5" t="s">
        <v>3006</v>
      </c>
      <c r="L615" s="5" t="s">
        <v>3007</v>
      </c>
      <c r="M615" s="5" t="s">
        <v>3008</v>
      </c>
      <c r="N615" s="5" t="s">
        <v>3009</v>
      </c>
      <c r="O615" s="5" t="s">
        <v>2995</v>
      </c>
      <c r="P615" s="5" t="s">
        <v>2996</v>
      </c>
      <c r="Q615" s="5" t="s">
        <v>2997</v>
      </c>
      <c r="R615" s="5" t="s">
        <v>2998</v>
      </c>
      <c r="AG615" s="14" t="s">
        <v>55</v>
      </c>
      <c r="AH615" s="14" t="s">
        <v>1603</v>
      </c>
      <c r="AI615" s="14" t="s">
        <v>1604</v>
      </c>
    </row>
    <row r="616" spans="1:37">
      <c r="A616" s="5" t="s">
        <v>3010</v>
      </c>
      <c r="B616" s="5" t="s">
        <v>2988</v>
      </c>
      <c r="C616" s="6" t="s">
        <v>43</v>
      </c>
      <c r="D616" s="6" t="s">
        <v>239</v>
      </c>
      <c r="E616" s="6" t="s">
        <v>2139</v>
      </c>
      <c r="F616" s="6" t="s">
        <v>46</v>
      </c>
      <c r="G616" s="6" t="s">
        <v>3011</v>
      </c>
      <c r="H616" s="7">
        <v>59.62</v>
      </c>
      <c r="I616" s="19" t="s">
        <v>1589</v>
      </c>
      <c r="J616" s="19" t="s">
        <v>2696</v>
      </c>
      <c r="K616" s="5" t="s">
        <v>2991</v>
      </c>
      <c r="L616" s="5" t="s">
        <v>2992</v>
      </c>
      <c r="M616" s="5" t="s">
        <v>2993</v>
      </c>
      <c r="N616" s="5" t="s">
        <v>2994</v>
      </c>
      <c r="O616" s="5" t="s">
        <v>2995</v>
      </c>
      <c r="P616" s="5" t="s">
        <v>2996</v>
      </c>
      <c r="Q616" s="5" t="s">
        <v>2997</v>
      </c>
      <c r="R616" s="5" t="s">
        <v>2998</v>
      </c>
      <c r="AG616" s="14" t="s">
        <v>55</v>
      </c>
      <c r="AH616" s="14" t="s">
        <v>1603</v>
      </c>
      <c r="AI616" s="14" t="s">
        <v>1604</v>
      </c>
    </row>
    <row r="617" spans="1:37">
      <c r="A617" s="5" t="s">
        <v>3012</v>
      </c>
      <c r="B617" s="5" t="s">
        <v>2988</v>
      </c>
      <c r="C617" s="6" t="s">
        <v>43</v>
      </c>
      <c r="D617" s="6" t="s">
        <v>239</v>
      </c>
      <c r="E617" s="6" t="s">
        <v>2047</v>
      </c>
      <c r="F617" s="6" t="s">
        <v>46</v>
      </c>
      <c r="G617" s="6" t="s">
        <v>3013</v>
      </c>
      <c r="H617" s="7">
        <v>59.62</v>
      </c>
      <c r="I617" s="19" t="s">
        <v>1589</v>
      </c>
      <c r="J617" s="19" t="s">
        <v>2696</v>
      </c>
      <c r="K617" s="5" t="s">
        <v>2991</v>
      </c>
      <c r="L617" s="5" t="s">
        <v>2992</v>
      </c>
      <c r="M617" s="5" t="s">
        <v>2993</v>
      </c>
      <c r="N617" s="5" t="s">
        <v>2994</v>
      </c>
      <c r="O617" s="5" t="s">
        <v>2995</v>
      </c>
      <c r="P617" s="5" t="s">
        <v>2996</v>
      </c>
      <c r="Q617" s="5" t="s">
        <v>2997</v>
      </c>
      <c r="R617" s="5" t="s">
        <v>2998</v>
      </c>
      <c r="AG617" s="14" t="s">
        <v>55</v>
      </c>
      <c r="AH617" s="14" t="s">
        <v>1603</v>
      </c>
      <c r="AI617" s="14" t="s">
        <v>1604</v>
      </c>
    </row>
    <row r="618" spans="1:37">
      <c r="A618" s="5" t="s">
        <v>3014</v>
      </c>
      <c r="B618" s="5" t="s">
        <v>2988</v>
      </c>
      <c r="C618" s="6" t="s">
        <v>43</v>
      </c>
      <c r="D618" s="6" t="s">
        <v>239</v>
      </c>
      <c r="E618" s="6" t="s">
        <v>1693</v>
      </c>
      <c r="F618" s="6" t="s">
        <v>46</v>
      </c>
      <c r="G618" s="6" t="s">
        <v>3015</v>
      </c>
      <c r="H618" s="7">
        <v>59.62</v>
      </c>
      <c r="I618" s="19" t="s">
        <v>1589</v>
      </c>
      <c r="J618" s="19" t="s">
        <v>2696</v>
      </c>
      <c r="K618" s="5" t="s">
        <v>2991</v>
      </c>
      <c r="L618" s="5" t="s">
        <v>2992</v>
      </c>
      <c r="M618" s="5" t="s">
        <v>2993</v>
      </c>
      <c r="N618" s="5" t="s">
        <v>2994</v>
      </c>
      <c r="O618" s="5" t="s">
        <v>2995</v>
      </c>
      <c r="P618" s="5" t="s">
        <v>2996</v>
      </c>
      <c r="Q618" s="5" t="s">
        <v>2997</v>
      </c>
      <c r="R618" s="5" t="s">
        <v>2998</v>
      </c>
      <c r="AG618" s="14" t="s">
        <v>55</v>
      </c>
      <c r="AH618" s="14" t="s">
        <v>1603</v>
      </c>
      <c r="AI618" s="14" t="s">
        <v>1604</v>
      </c>
    </row>
    <row r="619" spans="1:37">
      <c r="A619" s="5" t="s">
        <v>3016</v>
      </c>
      <c r="B619" s="5" t="s">
        <v>2988</v>
      </c>
      <c r="C619" s="6" t="s">
        <v>43</v>
      </c>
      <c r="D619" s="6" t="s">
        <v>239</v>
      </c>
      <c r="E619" s="6" t="s">
        <v>1540</v>
      </c>
      <c r="F619" s="6" t="s">
        <v>46</v>
      </c>
      <c r="G619" s="6" t="s">
        <v>3017</v>
      </c>
      <c r="H619" s="7">
        <v>59.62</v>
      </c>
      <c r="I619" s="19" t="s">
        <v>1589</v>
      </c>
      <c r="J619" s="19" t="s">
        <v>2696</v>
      </c>
      <c r="K619" s="5" t="s">
        <v>2991</v>
      </c>
      <c r="L619" s="5" t="s">
        <v>2992</v>
      </c>
      <c r="M619" s="5" t="s">
        <v>2993</v>
      </c>
      <c r="N619" s="5" t="s">
        <v>2994</v>
      </c>
      <c r="O619" s="5" t="s">
        <v>2995</v>
      </c>
      <c r="P619" s="5" t="s">
        <v>2996</v>
      </c>
      <c r="Q619" s="5" t="s">
        <v>2997</v>
      </c>
      <c r="R619" s="5" t="s">
        <v>2998</v>
      </c>
      <c r="AG619" s="14" t="s">
        <v>55</v>
      </c>
      <c r="AH619" s="14" t="s">
        <v>1603</v>
      </c>
      <c r="AI619" s="14" t="s">
        <v>1604</v>
      </c>
    </row>
    <row r="620" spans="1:37">
      <c r="A620" s="5" t="s">
        <v>3018</v>
      </c>
      <c r="B620" s="5" t="s">
        <v>2988</v>
      </c>
      <c r="C620" s="6" t="s">
        <v>43</v>
      </c>
      <c r="D620" s="6" t="s">
        <v>239</v>
      </c>
      <c r="E620" s="6" t="s">
        <v>2065</v>
      </c>
      <c r="F620" s="6" t="s">
        <v>46</v>
      </c>
      <c r="G620" s="6" t="s">
        <v>3011</v>
      </c>
      <c r="H620" s="7">
        <v>59.62</v>
      </c>
      <c r="I620" s="19" t="s">
        <v>1589</v>
      </c>
      <c r="J620" s="19" t="s">
        <v>2696</v>
      </c>
      <c r="K620" s="5" t="s">
        <v>2991</v>
      </c>
      <c r="L620" s="5" t="s">
        <v>2992</v>
      </c>
      <c r="M620" s="5" t="s">
        <v>2993</v>
      </c>
      <c r="N620" s="5" t="s">
        <v>2994</v>
      </c>
      <c r="O620" s="5" t="s">
        <v>2995</v>
      </c>
      <c r="P620" s="5" t="s">
        <v>2996</v>
      </c>
      <c r="Q620" s="5" t="s">
        <v>2997</v>
      </c>
      <c r="R620" s="5" t="s">
        <v>2998</v>
      </c>
      <c r="AG620" s="14" t="s">
        <v>55</v>
      </c>
      <c r="AH620" s="14" t="s">
        <v>1603</v>
      </c>
      <c r="AI620" s="14" t="s">
        <v>1604</v>
      </c>
    </row>
    <row r="621" spans="1:37">
      <c r="A621" s="5" t="s">
        <v>3019</v>
      </c>
      <c r="B621" s="5" t="s">
        <v>2988</v>
      </c>
      <c r="C621" s="6" t="s">
        <v>43</v>
      </c>
      <c r="D621" s="6" t="s">
        <v>239</v>
      </c>
      <c r="E621" s="6" t="s">
        <v>757</v>
      </c>
      <c r="F621" s="6" t="s">
        <v>46</v>
      </c>
      <c r="G621" s="6" t="s">
        <v>3020</v>
      </c>
      <c r="H621" s="7">
        <v>59.62</v>
      </c>
      <c r="I621" s="19" t="s">
        <v>1589</v>
      </c>
      <c r="J621" s="19" t="s">
        <v>2696</v>
      </c>
      <c r="K621" s="5" t="s">
        <v>2991</v>
      </c>
      <c r="L621" s="5" t="s">
        <v>2992</v>
      </c>
      <c r="M621" s="5" t="s">
        <v>2993</v>
      </c>
      <c r="N621" s="5" t="s">
        <v>2994</v>
      </c>
      <c r="O621" s="5" t="s">
        <v>2995</v>
      </c>
      <c r="P621" s="5" t="s">
        <v>2996</v>
      </c>
      <c r="Q621" s="5" t="s">
        <v>2997</v>
      </c>
      <c r="R621" s="5" t="s">
        <v>2998</v>
      </c>
      <c r="AG621" s="14" t="s">
        <v>49</v>
      </c>
      <c r="AH621" s="14" t="s">
        <v>1603</v>
      </c>
      <c r="AI621" s="14" t="s">
        <v>1604</v>
      </c>
    </row>
    <row r="622" spans="1:37">
      <c r="A622" s="5" t="s">
        <v>3021</v>
      </c>
      <c r="B622" s="5" t="s">
        <v>3022</v>
      </c>
      <c r="C622" s="6" t="s">
        <v>43</v>
      </c>
      <c r="D622" s="6" t="s">
        <v>239</v>
      </c>
      <c r="E622" s="6" t="s">
        <v>2933</v>
      </c>
      <c r="F622" s="6" t="s">
        <v>46</v>
      </c>
      <c r="G622" s="6" t="s">
        <v>1769</v>
      </c>
      <c r="H622" s="7">
        <v>72.819999999999993</v>
      </c>
      <c r="I622" s="19" t="s">
        <v>1589</v>
      </c>
      <c r="J622" s="19" t="s">
        <v>2696</v>
      </c>
      <c r="K622" s="5" t="s">
        <v>3023</v>
      </c>
      <c r="L622" s="5" t="s">
        <v>3024</v>
      </c>
      <c r="M622" s="5" t="s">
        <v>3025</v>
      </c>
      <c r="N622" s="5" t="s">
        <v>3026</v>
      </c>
      <c r="O622" s="5" t="s">
        <v>3027</v>
      </c>
      <c r="P622" s="5" t="s">
        <v>3028</v>
      </c>
      <c r="Q622" s="5" t="s">
        <v>3029</v>
      </c>
      <c r="R622" s="5" t="s">
        <v>3030</v>
      </c>
      <c r="AG622" s="14" t="s">
        <v>55</v>
      </c>
      <c r="AH622" s="14" t="s">
        <v>1603</v>
      </c>
      <c r="AI622" s="14" t="s">
        <v>1604</v>
      </c>
    </row>
    <row r="623" spans="1:37">
      <c r="A623" s="6" t="s">
        <v>3031</v>
      </c>
      <c r="B623" s="6" t="s">
        <v>3032</v>
      </c>
      <c r="C623" s="6" t="s">
        <v>43</v>
      </c>
      <c r="D623" s="6" t="s">
        <v>239</v>
      </c>
      <c r="E623" s="6" t="s">
        <v>2047</v>
      </c>
      <c r="F623" s="6" t="s">
        <v>46</v>
      </c>
      <c r="G623" s="6" t="s">
        <v>3033</v>
      </c>
      <c r="I623" s="19" t="s">
        <v>48</v>
      </c>
      <c r="J623" s="19" t="s">
        <v>48</v>
      </c>
      <c r="K623" s="6"/>
      <c r="L623" s="6"/>
      <c r="M623" s="6"/>
      <c r="N623" s="6"/>
      <c r="O623" s="6"/>
      <c r="P623" s="6"/>
      <c r="Q623" s="6"/>
      <c r="R623" s="6"/>
      <c r="S623" s="6"/>
      <c r="T623" s="6"/>
      <c r="U623" s="6"/>
      <c r="V623" s="6"/>
      <c r="W623" s="6"/>
      <c r="X623" s="6"/>
      <c r="Y623" s="6"/>
      <c r="Z623" s="6"/>
      <c r="AA623" s="6"/>
      <c r="AB623" s="6"/>
      <c r="AC623" s="6"/>
      <c r="AD623" s="6"/>
      <c r="AE623" s="6"/>
      <c r="AF623" s="6"/>
      <c r="AG623" s="15" t="s">
        <v>55</v>
      </c>
      <c r="AH623" s="15"/>
      <c r="AI623" s="15"/>
      <c r="AJ623" s="6"/>
      <c r="AK623" s="6"/>
    </row>
    <row r="624" spans="1:37" s="6" customFormat="1">
      <c r="A624" s="6" t="s">
        <v>3034</v>
      </c>
      <c r="B624" s="6" t="s">
        <v>3035</v>
      </c>
      <c r="C624" s="6" t="s">
        <v>43</v>
      </c>
      <c r="D624" s="6" t="s">
        <v>239</v>
      </c>
      <c r="E624" s="6" t="s">
        <v>240</v>
      </c>
      <c r="F624" s="6" t="s">
        <v>46</v>
      </c>
      <c r="G624" s="6" t="s">
        <v>3036</v>
      </c>
      <c r="H624" s="7"/>
      <c r="I624" s="19" t="s">
        <v>48</v>
      </c>
      <c r="J624" s="19" t="s">
        <v>48</v>
      </c>
      <c r="AG624" s="15" t="s">
        <v>55</v>
      </c>
      <c r="AH624" s="15"/>
      <c r="AI624" s="15"/>
    </row>
    <row r="625" spans="1:37" s="6" customFormat="1">
      <c r="A625" s="5" t="s">
        <v>3037</v>
      </c>
      <c r="B625" s="5" t="s">
        <v>3022</v>
      </c>
      <c r="C625" s="6" t="s">
        <v>43</v>
      </c>
      <c r="D625" s="6" t="s">
        <v>239</v>
      </c>
      <c r="E625" s="6" t="s">
        <v>2047</v>
      </c>
      <c r="F625" s="6" t="s">
        <v>46</v>
      </c>
      <c r="G625" s="6" t="s">
        <v>3038</v>
      </c>
      <c r="H625" s="7">
        <v>72.819999999999993</v>
      </c>
      <c r="I625" s="19" t="s">
        <v>1589</v>
      </c>
      <c r="J625" s="19" t="s">
        <v>2696</v>
      </c>
      <c r="K625" s="5" t="s">
        <v>3023</v>
      </c>
      <c r="L625" s="5" t="s">
        <v>3024</v>
      </c>
      <c r="M625" s="5" t="s">
        <v>3025</v>
      </c>
      <c r="N625" s="5" t="s">
        <v>3026</v>
      </c>
      <c r="O625" s="5" t="s">
        <v>3027</v>
      </c>
      <c r="P625" s="5" t="s">
        <v>3028</v>
      </c>
      <c r="Q625" s="5" t="s">
        <v>3029</v>
      </c>
      <c r="R625" s="5" t="s">
        <v>3030</v>
      </c>
      <c r="S625" s="5"/>
      <c r="T625" s="5"/>
      <c r="U625" s="5"/>
      <c r="V625" s="5"/>
      <c r="W625" s="5"/>
      <c r="X625" s="5"/>
      <c r="Y625" s="5"/>
      <c r="Z625" s="5"/>
      <c r="AA625" s="5"/>
      <c r="AB625" s="5"/>
      <c r="AC625" s="5"/>
      <c r="AD625" s="5"/>
      <c r="AE625" s="5"/>
      <c r="AF625" s="5"/>
      <c r="AG625" s="14" t="s">
        <v>55</v>
      </c>
      <c r="AH625" s="14" t="s">
        <v>1603</v>
      </c>
      <c r="AI625" s="14" t="s">
        <v>1604</v>
      </c>
      <c r="AJ625" s="5"/>
      <c r="AK625" s="5"/>
    </row>
    <row r="626" spans="1:37">
      <c r="A626" s="5" t="s">
        <v>3039</v>
      </c>
      <c r="B626" s="5" t="s">
        <v>3022</v>
      </c>
      <c r="C626" s="6" t="s">
        <v>43</v>
      </c>
      <c r="D626" s="6" t="s">
        <v>239</v>
      </c>
      <c r="E626" s="6" t="s">
        <v>1540</v>
      </c>
      <c r="F626" s="6" t="s">
        <v>46</v>
      </c>
      <c r="G626" s="6" t="s">
        <v>3038</v>
      </c>
      <c r="H626" s="7">
        <v>72.819999999999993</v>
      </c>
      <c r="I626" s="19" t="s">
        <v>1589</v>
      </c>
      <c r="J626" s="19" t="s">
        <v>2696</v>
      </c>
      <c r="K626" s="5" t="s">
        <v>3023</v>
      </c>
      <c r="L626" s="5" t="s">
        <v>3024</v>
      </c>
      <c r="M626" s="5" t="s">
        <v>3025</v>
      </c>
      <c r="N626" s="5" t="s">
        <v>3026</v>
      </c>
      <c r="O626" s="5" t="s">
        <v>3027</v>
      </c>
      <c r="P626" s="5" t="s">
        <v>3028</v>
      </c>
      <c r="Q626" s="5" t="s">
        <v>3029</v>
      </c>
      <c r="R626" s="5" t="s">
        <v>3030</v>
      </c>
      <c r="AG626" s="14" t="s">
        <v>55</v>
      </c>
      <c r="AH626" s="14" t="s">
        <v>1603</v>
      </c>
      <c r="AI626" s="14" t="s">
        <v>1604</v>
      </c>
    </row>
    <row r="627" spans="1:37">
      <c r="A627" s="5" t="s">
        <v>3040</v>
      </c>
      <c r="B627" s="5" t="s">
        <v>3022</v>
      </c>
      <c r="C627" s="6" t="s">
        <v>43</v>
      </c>
      <c r="D627" s="6" t="s">
        <v>239</v>
      </c>
      <c r="E627" s="6" t="s">
        <v>2065</v>
      </c>
      <c r="F627" s="6" t="s">
        <v>46</v>
      </c>
      <c r="G627" s="6" t="s">
        <v>3041</v>
      </c>
      <c r="H627" s="7">
        <v>72.819999999999993</v>
      </c>
      <c r="I627" s="19" t="s">
        <v>1589</v>
      </c>
      <c r="J627" s="19" t="s">
        <v>2696</v>
      </c>
      <c r="K627" s="5" t="s">
        <v>3023</v>
      </c>
      <c r="L627" s="5" t="s">
        <v>3024</v>
      </c>
      <c r="M627" s="5" t="s">
        <v>3025</v>
      </c>
      <c r="N627" s="5" t="s">
        <v>3026</v>
      </c>
      <c r="O627" s="5" t="s">
        <v>3027</v>
      </c>
      <c r="P627" s="5" t="s">
        <v>3028</v>
      </c>
      <c r="Q627" s="5" t="s">
        <v>3029</v>
      </c>
      <c r="R627" s="5" t="s">
        <v>3030</v>
      </c>
      <c r="AG627" s="14" t="s">
        <v>55</v>
      </c>
      <c r="AH627" s="14" t="s">
        <v>1603</v>
      </c>
      <c r="AI627" s="14" t="s">
        <v>1604</v>
      </c>
    </row>
    <row r="628" spans="1:37">
      <c r="A628" s="6" t="s">
        <v>3042</v>
      </c>
      <c r="B628" s="6" t="s">
        <v>3043</v>
      </c>
      <c r="C628" s="6" t="s">
        <v>2951</v>
      </c>
      <c r="D628" s="6" t="s">
        <v>239</v>
      </c>
      <c r="E628" s="6" t="s">
        <v>2065</v>
      </c>
      <c r="F628" s="6" t="s">
        <v>46</v>
      </c>
      <c r="G628" s="6" t="s">
        <v>3044</v>
      </c>
      <c r="I628" s="16" t="s">
        <v>1589</v>
      </c>
      <c r="J628" s="19" t="s">
        <v>48</v>
      </c>
      <c r="K628" s="6"/>
      <c r="L628" s="6"/>
      <c r="M628" s="6"/>
      <c r="N628" s="6"/>
      <c r="O628" s="6"/>
      <c r="P628" s="6"/>
      <c r="Q628" s="6"/>
      <c r="R628" s="6"/>
      <c r="S628" s="6"/>
      <c r="T628" s="6"/>
      <c r="U628" s="6"/>
      <c r="V628" s="6"/>
      <c r="W628" s="6"/>
      <c r="X628" s="6"/>
      <c r="Y628" s="6"/>
      <c r="Z628" s="6"/>
      <c r="AA628" s="6"/>
      <c r="AB628" s="6"/>
      <c r="AC628" s="6"/>
      <c r="AD628" s="6"/>
      <c r="AE628" s="6"/>
      <c r="AF628" s="6"/>
      <c r="AG628" s="14" t="s">
        <v>55</v>
      </c>
      <c r="AH628" s="14" t="s">
        <v>1603</v>
      </c>
      <c r="AI628" s="14" t="s">
        <v>1604</v>
      </c>
      <c r="AJ628" s="6"/>
      <c r="AK628" s="6"/>
    </row>
    <row r="629" spans="1:37" s="6" customFormat="1">
      <c r="A629" s="6" t="s">
        <v>3045</v>
      </c>
      <c r="B629" s="6" t="s">
        <v>3046</v>
      </c>
      <c r="C629" s="6" t="s">
        <v>43</v>
      </c>
      <c r="D629" s="6" t="s">
        <v>239</v>
      </c>
      <c r="E629" s="6" t="s">
        <v>2047</v>
      </c>
      <c r="F629" s="6" t="s">
        <v>46</v>
      </c>
      <c r="G629" s="6" t="s">
        <v>3047</v>
      </c>
      <c r="H629" s="7"/>
      <c r="I629" s="19" t="s">
        <v>48</v>
      </c>
      <c r="J629" s="19" t="s">
        <v>48</v>
      </c>
      <c r="AG629" s="15" t="s">
        <v>55</v>
      </c>
      <c r="AH629" s="15"/>
      <c r="AI629" s="15"/>
    </row>
    <row r="630" spans="1:37" s="6" customFormat="1">
      <c r="A630" s="5" t="s">
        <v>3048</v>
      </c>
      <c r="B630" s="5" t="s">
        <v>3049</v>
      </c>
      <c r="C630" s="6" t="s">
        <v>3050</v>
      </c>
      <c r="D630" s="6" t="s">
        <v>239</v>
      </c>
      <c r="E630" s="6" t="s">
        <v>2047</v>
      </c>
      <c r="F630" s="6" t="s">
        <v>46</v>
      </c>
      <c r="G630" s="6" t="s">
        <v>3051</v>
      </c>
      <c r="H630" s="7">
        <v>73.7</v>
      </c>
      <c r="I630" s="19" t="s">
        <v>1589</v>
      </c>
      <c r="J630" s="19" t="s">
        <v>2696</v>
      </c>
      <c r="K630" s="5" t="s">
        <v>3052</v>
      </c>
      <c r="L630" s="5" t="s">
        <v>3053</v>
      </c>
      <c r="M630" s="5" t="s">
        <v>3054</v>
      </c>
      <c r="N630" s="5" t="s">
        <v>3055</v>
      </c>
      <c r="O630" s="5" t="s">
        <v>3056</v>
      </c>
      <c r="P630" s="5" t="s">
        <v>3057</v>
      </c>
      <c r="Q630" s="5" t="s">
        <v>3058</v>
      </c>
      <c r="R630" s="5" t="s">
        <v>3059</v>
      </c>
      <c r="S630" s="5"/>
      <c r="T630" s="5"/>
      <c r="U630" s="5"/>
      <c r="V630" s="5"/>
      <c r="W630" s="5"/>
      <c r="X630" s="5"/>
      <c r="Y630" s="5"/>
      <c r="Z630" s="5"/>
      <c r="AA630" s="5"/>
      <c r="AB630" s="5"/>
      <c r="AC630" s="5"/>
      <c r="AD630" s="5"/>
      <c r="AE630" s="5"/>
      <c r="AF630" s="5"/>
      <c r="AG630" s="14" t="s">
        <v>55</v>
      </c>
      <c r="AH630" s="14" t="s">
        <v>1603</v>
      </c>
      <c r="AI630" s="14" t="s">
        <v>1604</v>
      </c>
      <c r="AJ630" s="5"/>
      <c r="AK630" s="5"/>
    </row>
    <row r="631" spans="1:37">
      <c r="A631" s="6" t="s">
        <v>3060</v>
      </c>
      <c r="B631" s="6" t="s">
        <v>3061</v>
      </c>
      <c r="C631" s="6" t="s">
        <v>43</v>
      </c>
      <c r="D631" s="6" t="s">
        <v>239</v>
      </c>
      <c r="E631" s="6" t="s">
        <v>2047</v>
      </c>
      <c r="F631" s="6" t="s">
        <v>46</v>
      </c>
      <c r="G631" s="6" t="s">
        <v>3062</v>
      </c>
      <c r="I631" s="19" t="s">
        <v>48</v>
      </c>
      <c r="J631" s="19" t="s">
        <v>48</v>
      </c>
      <c r="K631" s="6"/>
      <c r="L631" s="6"/>
      <c r="M631" s="6"/>
      <c r="N631" s="6"/>
      <c r="O631" s="6"/>
      <c r="P631" s="6"/>
      <c r="Q631" s="6"/>
      <c r="R631" s="6"/>
      <c r="S631" s="6"/>
      <c r="T631" s="6"/>
      <c r="U631" s="6"/>
      <c r="V631" s="6"/>
      <c r="W631" s="6"/>
      <c r="X631" s="6"/>
      <c r="Y631" s="6"/>
      <c r="Z631" s="6"/>
      <c r="AA631" s="6"/>
      <c r="AB631" s="6"/>
      <c r="AC631" s="6"/>
      <c r="AD631" s="6"/>
      <c r="AE631" s="6"/>
      <c r="AF631" s="6"/>
      <c r="AG631" s="15" t="s">
        <v>55</v>
      </c>
      <c r="AH631" s="15"/>
      <c r="AI631" s="15"/>
      <c r="AJ631" s="6"/>
      <c r="AK631" s="6"/>
    </row>
    <row r="632" spans="1:37" s="6" customFormat="1">
      <c r="A632" s="6" t="s">
        <v>3063</v>
      </c>
      <c r="B632" s="6" t="s">
        <v>3064</v>
      </c>
      <c r="C632" s="6" t="s">
        <v>43</v>
      </c>
      <c r="D632" s="6" t="s">
        <v>239</v>
      </c>
      <c r="E632" s="6" t="s">
        <v>2047</v>
      </c>
      <c r="F632" s="6" t="s">
        <v>46</v>
      </c>
      <c r="G632" s="6" t="s">
        <v>3065</v>
      </c>
      <c r="H632" s="7"/>
      <c r="I632" s="19" t="s">
        <v>48</v>
      </c>
      <c r="J632" s="19" t="s">
        <v>48</v>
      </c>
      <c r="AG632" s="15" t="s">
        <v>55</v>
      </c>
      <c r="AH632" s="15"/>
      <c r="AI632" s="15"/>
    </row>
    <row r="633" spans="1:37" s="6" customFormat="1">
      <c r="A633" s="5" t="s">
        <v>3066</v>
      </c>
      <c r="B633" s="5" t="s">
        <v>3067</v>
      </c>
      <c r="C633" s="6" t="s">
        <v>43</v>
      </c>
      <c r="D633" s="6" t="s">
        <v>239</v>
      </c>
      <c r="E633" s="6" t="s">
        <v>1540</v>
      </c>
      <c r="F633" s="6" t="s">
        <v>46</v>
      </c>
      <c r="G633" s="6" t="s">
        <v>3068</v>
      </c>
      <c r="H633" s="7">
        <v>61.16</v>
      </c>
      <c r="I633" s="19" t="s">
        <v>1589</v>
      </c>
      <c r="J633" s="19" t="s">
        <v>2254</v>
      </c>
      <c r="K633" s="5" t="s">
        <v>3069</v>
      </c>
      <c r="L633" s="5" t="s">
        <v>3070</v>
      </c>
      <c r="M633" s="5" t="s">
        <v>3071</v>
      </c>
      <c r="N633" s="5" t="s">
        <v>3072</v>
      </c>
      <c r="O633" s="5" t="s">
        <v>3073</v>
      </c>
      <c r="P633" s="5" t="s">
        <v>3074</v>
      </c>
      <c r="Q633" s="5" t="s">
        <v>3075</v>
      </c>
      <c r="R633" s="5" t="s">
        <v>3076</v>
      </c>
      <c r="S633" s="5"/>
      <c r="T633" s="5"/>
      <c r="U633" s="5"/>
      <c r="V633" s="5"/>
      <c r="W633" s="5"/>
      <c r="X633" s="5"/>
      <c r="Y633" s="5" t="s">
        <v>2980</v>
      </c>
      <c r="Z633" s="5"/>
      <c r="AA633" s="5"/>
      <c r="AB633" s="5"/>
      <c r="AC633" s="5"/>
      <c r="AD633" s="5"/>
      <c r="AE633" s="5"/>
      <c r="AF633" s="5"/>
      <c r="AG633" s="14" t="s">
        <v>55</v>
      </c>
      <c r="AH633" s="14" t="s">
        <v>1603</v>
      </c>
      <c r="AI633" s="14" t="s">
        <v>2264</v>
      </c>
      <c r="AJ633" s="5"/>
      <c r="AK633" s="5"/>
    </row>
    <row r="634" spans="1:37">
      <c r="A634" s="6" t="s">
        <v>3077</v>
      </c>
      <c r="B634" s="6" t="s">
        <v>3078</v>
      </c>
      <c r="C634" s="6" t="s">
        <v>43</v>
      </c>
      <c r="D634" s="6" t="s">
        <v>239</v>
      </c>
      <c r="E634" s="6" t="s">
        <v>2065</v>
      </c>
      <c r="F634" s="6" t="s">
        <v>46</v>
      </c>
      <c r="G634" s="6" t="s">
        <v>3079</v>
      </c>
      <c r="I634" s="19" t="s">
        <v>48</v>
      </c>
      <c r="J634" s="19" t="s">
        <v>48</v>
      </c>
      <c r="K634" s="6"/>
      <c r="L634" s="6"/>
      <c r="M634" s="6"/>
      <c r="N634" s="6"/>
      <c r="O634" s="6"/>
      <c r="P634" s="6"/>
      <c r="Q634" s="6"/>
      <c r="R634" s="6"/>
      <c r="S634" s="6"/>
      <c r="T634" s="6"/>
      <c r="U634" s="6"/>
      <c r="V634" s="6"/>
      <c r="W634" s="6"/>
      <c r="X634" s="6"/>
      <c r="Y634" s="6"/>
      <c r="Z634" s="6"/>
      <c r="AA634" s="6"/>
      <c r="AB634" s="6"/>
      <c r="AC634" s="6"/>
      <c r="AD634" s="6"/>
      <c r="AE634" s="6"/>
      <c r="AF634" s="6"/>
      <c r="AG634" s="15" t="s">
        <v>55</v>
      </c>
      <c r="AH634" s="15"/>
      <c r="AI634" s="15"/>
      <c r="AJ634" s="6"/>
      <c r="AK634" s="6"/>
    </row>
    <row r="635" spans="1:37" s="6" customFormat="1">
      <c r="A635" s="6" t="s">
        <v>3080</v>
      </c>
      <c r="B635" s="6" t="s">
        <v>3078</v>
      </c>
      <c r="C635" s="6" t="s">
        <v>43</v>
      </c>
      <c r="D635" s="6" t="s">
        <v>239</v>
      </c>
      <c r="E635" s="6" t="s">
        <v>2047</v>
      </c>
      <c r="F635" s="6" t="s">
        <v>46</v>
      </c>
      <c r="G635" s="6" t="s">
        <v>3081</v>
      </c>
      <c r="H635" s="7"/>
      <c r="I635" s="19" t="s">
        <v>48</v>
      </c>
      <c r="J635" s="19" t="s">
        <v>48</v>
      </c>
      <c r="AG635" s="15" t="s">
        <v>55</v>
      </c>
      <c r="AH635" s="15"/>
      <c r="AI635" s="15"/>
    </row>
    <row r="636" spans="1:37" s="6" customFormat="1">
      <c r="A636" s="6" t="s">
        <v>3082</v>
      </c>
      <c r="B636" s="6" t="s">
        <v>3078</v>
      </c>
      <c r="C636" s="6" t="s">
        <v>43</v>
      </c>
      <c r="D636" s="6" t="s">
        <v>239</v>
      </c>
      <c r="E636" s="6" t="s">
        <v>2065</v>
      </c>
      <c r="F636" s="6" t="s">
        <v>46</v>
      </c>
      <c r="G636" s="6" t="s">
        <v>2888</v>
      </c>
      <c r="H636" s="7"/>
      <c r="I636" s="19" t="s">
        <v>48</v>
      </c>
      <c r="J636" s="19" t="s">
        <v>48</v>
      </c>
      <c r="AG636" s="15" t="s">
        <v>55</v>
      </c>
      <c r="AH636" s="15"/>
      <c r="AI636" s="15"/>
    </row>
    <row r="637" spans="1:37" s="6" customFormat="1">
      <c r="A637" s="6" t="s">
        <v>3083</v>
      </c>
      <c r="B637" s="6" t="s">
        <v>3084</v>
      </c>
      <c r="C637" s="6" t="s">
        <v>43</v>
      </c>
      <c r="D637" s="6" t="s">
        <v>239</v>
      </c>
      <c r="E637" s="6" t="s">
        <v>2047</v>
      </c>
      <c r="F637" s="6" t="s">
        <v>46</v>
      </c>
      <c r="G637" s="6" t="s">
        <v>3085</v>
      </c>
      <c r="H637" s="7"/>
      <c r="I637" s="19" t="s">
        <v>48</v>
      </c>
      <c r="J637" s="19" t="s">
        <v>48</v>
      </c>
      <c r="AG637" s="15" t="s">
        <v>55</v>
      </c>
      <c r="AH637" s="15"/>
      <c r="AI637" s="15"/>
    </row>
    <row r="638" spans="1:37" s="6" customFormat="1">
      <c r="A638" s="6" t="s">
        <v>3086</v>
      </c>
      <c r="B638" s="6" t="s">
        <v>3087</v>
      </c>
      <c r="C638" s="6" t="s">
        <v>43</v>
      </c>
      <c r="D638" s="6" t="s">
        <v>239</v>
      </c>
      <c r="E638" s="6" t="s">
        <v>2047</v>
      </c>
      <c r="F638" s="6" t="s">
        <v>46</v>
      </c>
      <c r="G638" s="6" t="s">
        <v>3088</v>
      </c>
      <c r="H638" s="7"/>
      <c r="I638" s="19" t="s">
        <v>48</v>
      </c>
      <c r="J638" s="19" t="s">
        <v>48</v>
      </c>
      <c r="AG638" s="15" t="s">
        <v>55</v>
      </c>
      <c r="AH638" s="15"/>
      <c r="AI638" s="15"/>
    </row>
    <row r="639" spans="1:37" s="6" customFormat="1">
      <c r="A639" s="6" t="s">
        <v>3089</v>
      </c>
      <c r="B639" s="6" t="s">
        <v>3090</v>
      </c>
      <c r="C639" s="6" t="s">
        <v>43</v>
      </c>
      <c r="D639" s="6" t="s">
        <v>239</v>
      </c>
      <c r="E639" s="6" t="s">
        <v>2047</v>
      </c>
      <c r="F639" s="6" t="s">
        <v>46</v>
      </c>
      <c r="G639" s="6" t="s">
        <v>3091</v>
      </c>
      <c r="H639" s="7"/>
      <c r="I639" s="19" t="s">
        <v>48</v>
      </c>
      <c r="J639" s="19" t="s">
        <v>48</v>
      </c>
      <c r="AG639" s="15" t="s">
        <v>55</v>
      </c>
      <c r="AH639" s="15"/>
      <c r="AI639" s="15"/>
    </row>
    <row r="640" spans="1:37" s="6" customFormat="1">
      <c r="A640" s="5" t="s">
        <v>3092</v>
      </c>
      <c r="B640" s="5" t="s">
        <v>3093</v>
      </c>
      <c r="C640" s="6" t="s">
        <v>43</v>
      </c>
      <c r="D640" s="6" t="s">
        <v>239</v>
      </c>
      <c r="E640" s="6" t="s">
        <v>2933</v>
      </c>
      <c r="F640" s="6" t="s">
        <v>46</v>
      </c>
      <c r="G640" s="6" t="s">
        <v>3094</v>
      </c>
      <c r="H640" s="7">
        <v>76.45</v>
      </c>
      <c r="I640" s="19" t="s">
        <v>1589</v>
      </c>
      <c r="J640" s="19" t="s">
        <v>2696</v>
      </c>
      <c r="K640" s="5" t="s">
        <v>3095</v>
      </c>
      <c r="L640" s="5" t="s">
        <v>3096</v>
      </c>
      <c r="M640" s="5" t="s">
        <v>3097</v>
      </c>
      <c r="N640" s="5" t="s">
        <v>3098</v>
      </c>
      <c r="O640" s="5" t="s">
        <v>3099</v>
      </c>
      <c r="P640" s="5" t="s">
        <v>3100</v>
      </c>
      <c r="Q640" s="5" t="s">
        <v>3101</v>
      </c>
      <c r="R640" s="5" t="s">
        <v>3102</v>
      </c>
      <c r="S640" s="5"/>
      <c r="T640" s="5"/>
      <c r="U640" s="5"/>
      <c r="V640" s="5"/>
      <c r="W640" s="5"/>
      <c r="X640" s="5"/>
      <c r="Y640" s="5"/>
      <c r="Z640" s="5"/>
      <c r="AA640" s="5"/>
      <c r="AB640" s="5"/>
      <c r="AC640" s="5"/>
      <c r="AD640" s="5"/>
      <c r="AE640" s="5"/>
      <c r="AF640" s="5"/>
      <c r="AG640" s="14" t="s">
        <v>55</v>
      </c>
      <c r="AH640" s="14" t="s">
        <v>1603</v>
      </c>
      <c r="AI640" s="14" t="s">
        <v>1604</v>
      </c>
      <c r="AJ640" s="5"/>
      <c r="AK640" s="5"/>
    </row>
    <row r="641" spans="1:37">
      <c r="A641" s="5" t="s">
        <v>3103</v>
      </c>
      <c r="B641" s="5" t="s">
        <v>3093</v>
      </c>
      <c r="C641" s="6" t="s">
        <v>43</v>
      </c>
      <c r="D641" s="6" t="s">
        <v>239</v>
      </c>
      <c r="E641" s="6" t="s">
        <v>2047</v>
      </c>
      <c r="F641" s="6" t="s">
        <v>46</v>
      </c>
      <c r="G641" s="6" t="s">
        <v>3104</v>
      </c>
      <c r="H641" s="7">
        <v>76.45</v>
      </c>
      <c r="I641" s="19" t="s">
        <v>1589</v>
      </c>
      <c r="J641" s="19" t="s">
        <v>2696</v>
      </c>
      <c r="K641" s="5" t="s">
        <v>3095</v>
      </c>
      <c r="L641" s="5" t="s">
        <v>3096</v>
      </c>
      <c r="M641" s="5" t="s">
        <v>3097</v>
      </c>
      <c r="N641" s="5" t="s">
        <v>3098</v>
      </c>
      <c r="O641" s="5" t="s">
        <v>3099</v>
      </c>
      <c r="P641" s="5" t="s">
        <v>3100</v>
      </c>
      <c r="Q641" s="5" t="s">
        <v>3101</v>
      </c>
      <c r="R641" s="5" t="s">
        <v>3102</v>
      </c>
      <c r="AG641" s="14" t="s">
        <v>55</v>
      </c>
      <c r="AH641" s="14" t="s">
        <v>1603</v>
      </c>
      <c r="AI641" s="14" t="s">
        <v>1604</v>
      </c>
    </row>
    <row r="642" spans="1:37">
      <c r="A642" s="6" t="s">
        <v>3105</v>
      </c>
      <c r="B642" s="6" t="s">
        <v>3106</v>
      </c>
      <c r="C642" s="6" t="s">
        <v>43</v>
      </c>
      <c r="D642" s="6" t="s">
        <v>239</v>
      </c>
      <c r="E642" s="6" t="s">
        <v>1540</v>
      </c>
      <c r="F642" s="6" t="s">
        <v>46</v>
      </c>
      <c r="G642" s="6" t="s">
        <v>3107</v>
      </c>
      <c r="I642" s="19" t="s">
        <v>48</v>
      </c>
      <c r="J642" s="19" t="s">
        <v>48</v>
      </c>
      <c r="K642" s="6"/>
      <c r="L642" s="6"/>
      <c r="M642" s="6"/>
      <c r="N642" s="6"/>
      <c r="O642" s="6"/>
      <c r="P642" s="6"/>
      <c r="Q642" s="6"/>
      <c r="R642" s="6"/>
      <c r="S642" s="6"/>
      <c r="T642" s="6"/>
      <c r="U642" s="6"/>
      <c r="V642" s="6"/>
      <c r="W642" s="6"/>
      <c r="X642" s="6"/>
      <c r="Y642" s="6"/>
      <c r="Z642" s="6"/>
      <c r="AA642" s="6"/>
      <c r="AB642" s="6"/>
      <c r="AC642" s="6"/>
      <c r="AD642" s="6"/>
      <c r="AE642" s="6"/>
      <c r="AF642" s="6"/>
      <c r="AG642" s="15" t="s">
        <v>55</v>
      </c>
      <c r="AH642" s="15"/>
      <c r="AI642" s="15"/>
      <c r="AJ642" s="6"/>
      <c r="AK642" s="6"/>
    </row>
    <row r="643" spans="1:37" s="6" customFormat="1">
      <c r="A643" s="5" t="s">
        <v>3108</v>
      </c>
      <c r="B643" s="5" t="s">
        <v>3093</v>
      </c>
      <c r="C643" s="6" t="s">
        <v>43</v>
      </c>
      <c r="D643" s="6" t="s">
        <v>239</v>
      </c>
      <c r="E643" s="6" t="s">
        <v>2065</v>
      </c>
      <c r="F643" s="6" t="s">
        <v>46</v>
      </c>
      <c r="G643" s="6" t="s">
        <v>3109</v>
      </c>
      <c r="H643" s="7">
        <v>76.45</v>
      </c>
      <c r="I643" s="19" t="s">
        <v>1589</v>
      </c>
      <c r="J643" s="19" t="s">
        <v>2696</v>
      </c>
      <c r="K643" s="5" t="s">
        <v>3095</v>
      </c>
      <c r="L643" s="5" t="s">
        <v>3096</v>
      </c>
      <c r="M643" s="5" t="s">
        <v>3097</v>
      </c>
      <c r="N643" s="5" t="s">
        <v>3098</v>
      </c>
      <c r="O643" s="5" t="s">
        <v>3099</v>
      </c>
      <c r="P643" s="5" t="s">
        <v>3100</v>
      </c>
      <c r="Q643" s="5" t="s">
        <v>3101</v>
      </c>
      <c r="R643" s="5" t="s">
        <v>3102</v>
      </c>
      <c r="S643" s="5"/>
      <c r="T643" s="5"/>
      <c r="U643" s="5"/>
      <c r="V643" s="5"/>
      <c r="W643" s="5"/>
      <c r="X643" s="5"/>
      <c r="Y643" s="5"/>
      <c r="Z643" s="5"/>
      <c r="AA643" s="5"/>
      <c r="AB643" s="5"/>
      <c r="AC643" s="5"/>
      <c r="AD643" s="5"/>
      <c r="AE643" s="5"/>
      <c r="AF643" s="5"/>
      <c r="AG643" s="14" t="s">
        <v>55</v>
      </c>
      <c r="AH643" s="14" t="s">
        <v>1603</v>
      </c>
      <c r="AI643" s="14" t="s">
        <v>1604</v>
      </c>
      <c r="AJ643" s="5"/>
      <c r="AK643" s="5"/>
    </row>
    <row r="644" spans="1:37">
      <c r="A644" s="6" t="s">
        <v>3110</v>
      </c>
      <c r="B644" s="6" t="s">
        <v>3111</v>
      </c>
      <c r="C644" s="6" t="s">
        <v>43</v>
      </c>
      <c r="D644" s="6" t="s">
        <v>1390</v>
      </c>
      <c r="E644" s="6" t="s">
        <v>1386</v>
      </c>
      <c r="F644" s="6" t="s">
        <v>46</v>
      </c>
      <c r="G644" s="6" t="s">
        <v>507</v>
      </c>
      <c r="I644" s="16" t="s">
        <v>48</v>
      </c>
      <c r="J644" s="16" t="s">
        <v>48</v>
      </c>
      <c r="K644" s="6"/>
      <c r="L644" s="6"/>
      <c r="M644" s="6"/>
      <c r="N644" s="6"/>
      <c r="O644" s="6"/>
      <c r="P644" s="6"/>
      <c r="Q644" s="6"/>
      <c r="R644" s="6"/>
      <c r="S644" s="6"/>
      <c r="T644" s="6"/>
      <c r="U644" s="6"/>
      <c r="V644" s="6"/>
      <c r="W644" s="6"/>
      <c r="X644" s="6"/>
      <c r="Y644" s="6"/>
      <c r="Z644" s="6"/>
      <c r="AA644" s="6"/>
      <c r="AB644" s="6"/>
      <c r="AC644" s="6"/>
      <c r="AD644" s="6"/>
      <c r="AE644" s="6"/>
      <c r="AF644" s="6"/>
      <c r="AG644" s="15" t="s">
        <v>55</v>
      </c>
      <c r="AH644" s="15"/>
      <c r="AI644" s="15"/>
      <c r="AJ644" s="6"/>
      <c r="AK644" s="6"/>
    </row>
    <row r="645" spans="1:37" s="6" customFormat="1">
      <c r="A645" s="6" t="s">
        <v>3112</v>
      </c>
      <c r="B645" s="6" t="s">
        <v>3113</v>
      </c>
      <c r="C645" s="6" t="s">
        <v>43</v>
      </c>
      <c r="D645" s="6" t="s">
        <v>239</v>
      </c>
      <c r="E645" s="6" t="s">
        <v>1540</v>
      </c>
      <c r="F645" s="6" t="s">
        <v>46</v>
      </c>
      <c r="G645" s="6" t="s">
        <v>3114</v>
      </c>
      <c r="H645" s="7"/>
      <c r="I645" s="19" t="s">
        <v>48</v>
      </c>
      <c r="J645" s="19" t="s">
        <v>48</v>
      </c>
      <c r="AG645" s="15" t="s">
        <v>55</v>
      </c>
      <c r="AH645" s="15"/>
      <c r="AI645" s="15"/>
    </row>
    <row r="646" spans="1:37" s="6" customFormat="1">
      <c r="A646" s="6" t="s">
        <v>3115</v>
      </c>
      <c r="B646" s="6" t="s">
        <v>3116</v>
      </c>
      <c r="C646" s="6" t="s">
        <v>43</v>
      </c>
      <c r="D646" s="6" t="s">
        <v>239</v>
      </c>
      <c r="E646" s="6" t="s">
        <v>1540</v>
      </c>
      <c r="F646" s="6" t="s">
        <v>46</v>
      </c>
      <c r="G646" s="6" t="s">
        <v>3117</v>
      </c>
      <c r="H646" s="7"/>
      <c r="I646" s="16" t="s">
        <v>48</v>
      </c>
      <c r="J646" s="16" t="s">
        <v>48</v>
      </c>
      <c r="AG646" s="15" t="s">
        <v>55</v>
      </c>
      <c r="AH646" s="15"/>
      <c r="AI646" s="15"/>
    </row>
    <row r="647" spans="1:37" s="6" customFormat="1">
      <c r="A647" s="6" t="s">
        <v>3118</v>
      </c>
      <c r="B647" s="6" t="s">
        <v>3119</v>
      </c>
      <c r="C647" s="6" t="s">
        <v>43</v>
      </c>
      <c r="D647" s="6" t="s">
        <v>239</v>
      </c>
      <c r="E647" s="6" t="s">
        <v>1540</v>
      </c>
      <c r="F647" s="6" t="s">
        <v>46</v>
      </c>
      <c r="G647" s="6" t="s">
        <v>3120</v>
      </c>
      <c r="H647" s="7"/>
      <c r="I647" s="19" t="s">
        <v>48</v>
      </c>
      <c r="J647" s="19" t="s">
        <v>48</v>
      </c>
      <c r="AG647" s="15" t="s">
        <v>55</v>
      </c>
      <c r="AH647" s="15"/>
      <c r="AI647" s="15"/>
    </row>
    <row r="648" spans="1:37" s="6" customFormat="1">
      <c r="A648" s="6" t="s">
        <v>3121</v>
      </c>
      <c r="B648" s="6" t="s">
        <v>3122</v>
      </c>
      <c r="C648" s="6" t="s">
        <v>43</v>
      </c>
      <c r="D648" s="6" t="s">
        <v>239</v>
      </c>
      <c r="E648" s="6" t="s">
        <v>1540</v>
      </c>
      <c r="F648" s="6" t="s">
        <v>46</v>
      </c>
      <c r="G648" s="6" t="s">
        <v>3123</v>
      </c>
      <c r="H648" s="7"/>
      <c r="I648" s="16" t="s">
        <v>48</v>
      </c>
      <c r="J648" s="16" t="s">
        <v>48</v>
      </c>
      <c r="AG648" s="15" t="s">
        <v>55</v>
      </c>
      <c r="AH648" s="15"/>
      <c r="AI648" s="15"/>
    </row>
    <row r="649" spans="1:37" s="6" customFormat="1">
      <c r="A649" s="6" t="s">
        <v>3124</v>
      </c>
      <c r="B649" s="6" t="s">
        <v>3125</v>
      </c>
      <c r="C649" s="6" t="s">
        <v>43</v>
      </c>
      <c r="D649" s="6" t="s">
        <v>239</v>
      </c>
      <c r="E649" s="6" t="s">
        <v>1540</v>
      </c>
      <c r="F649" s="6" t="s">
        <v>46</v>
      </c>
      <c r="G649" s="6" t="s">
        <v>3126</v>
      </c>
      <c r="H649" s="7"/>
      <c r="I649" s="16" t="s">
        <v>48</v>
      </c>
      <c r="J649" s="16" t="s">
        <v>48</v>
      </c>
      <c r="AG649" s="15" t="s">
        <v>55</v>
      </c>
      <c r="AH649" s="15"/>
      <c r="AI649" s="15"/>
    </row>
    <row r="650" spans="1:37" s="6" customFormat="1">
      <c r="A650" s="5" t="s">
        <v>3127</v>
      </c>
      <c r="B650" s="5" t="s">
        <v>3128</v>
      </c>
      <c r="C650" s="6" t="s">
        <v>2888</v>
      </c>
      <c r="D650" s="6" t="s">
        <v>239</v>
      </c>
      <c r="E650" s="6" t="s">
        <v>2047</v>
      </c>
      <c r="F650" s="6" t="s">
        <v>46</v>
      </c>
      <c r="G650" s="6" t="s">
        <v>3129</v>
      </c>
      <c r="H650" s="7">
        <v>53.36</v>
      </c>
      <c r="I650" s="19" t="s">
        <v>1589</v>
      </c>
      <c r="J650" s="19" t="s">
        <v>2696</v>
      </c>
      <c r="K650" s="5" t="s">
        <v>2878</v>
      </c>
      <c r="L650" s="5" t="s">
        <v>2879</v>
      </c>
      <c r="M650" s="5" t="s">
        <v>2880</v>
      </c>
      <c r="N650" s="5" t="s">
        <v>2881</v>
      </c>
      <c r="O650" s="5" t="s">
        <v>3130</v>
      </c>
      <c r="P650" s="5" t="s">
        <v>3131</v>
      </c>
      <c r="Q650" s="5" t="s">
        <v>3132</v>
      </c>
      <c r="R650" s="5" t="s">
        <v>3133</v>
      </c>
      <c r="S650" s="5"/>
      <c r="T650" s="5"/>
      <c r="U650" s="5"/>
      <c r="V650" s="5"/>
      <c r="W650" s="5"/>
      <c r="X650" s="5"/>
      <c r="Y650" s="5"/>
      <c r="Z650" s="5"/>
      <c r="AA650" s="5"/>
      <c r="AB650" s="5"/>
      <c r="AC650" s="5"/>
      <c r="AD650" s="5"/>
      <c r="AE650" s="5"/>
      <c r="AF650" s="5"/>
      <c r="AG650" s="14" t="s">
        <v>55</v>
      </c>
      <c r="AH650" s="14" t="s">
        <v>1603</v>
      </c>
      <c r="AI650" s="14" t="s">
        <v>1604</v>
      </c>
      <c r="AJ650" s="5"/>
      <c r="AK650" s="5"/>
    </row>
    <row r="651" spans="1:37">
      <c r="A651" s="6" t="s">
        <v>3134</v>
      </c>
      <c r="B651" s="6" t="s">
        <v>3135</v>
      </c>
      <c r="C651" s="6" t="s">
        <v>43</v>
      </c>
      <c r="D651" s="6" t="s">
        <v>239</v>
      </c>
      <c r="E651" s="6" t="s">
        <v>1540</v>
      </c>
      <c r="F651" s="6" t="s">
        <v>46</v>
      </c>
      <c r="G651" s="6" t="s">
        <v>3136</v>
      </c>
      <c r="I651" s="16" t="s">
        <v>48</v>
      </c>
      <c r="J651" s="16" t="s">
        <v>48</v>
      </c>
      <c r="K651" s="6"/>
      <c r="L651" s="6"/>
      <c r="M651" s="6"/>
      <c r="N651" s="6"/>
      <c r="O651" s="6"/>
      <c r="P651" s="6"/>
      <c r="Q651" s="6"/>
      <c r="R651" s="6"/>
      <c r="S651" s="6"/>
      <c r="T651" s="6"/>
      <c r="U651" s="6"/>
      <c r="V651" s="6"/>
      <c r="W651" s="6"/>
      <c r="X651" s="6"/>
      <c r="Y651" s="6"/>
      <c r="Z651" s="6"/>
      <c r="AA651" s="6"/>
      <c r="AB651" s="6"/>
      <c r="AC651" s="6"/>
      <c r="AD651" s="6"/>
      <c r="AE651" s="6"/>
      <c r="AF651" s="6"/>
      <c r="AG651" s="15" t="s">
        <v>55</v>
      </c>
      <c r="AH651" s="15"/>
      <c r="AI651" s="15"/>
      <c r="AJ651" s="6"/>
      <c r="AK651" s="6"/>
    </row>
    <row r="652" spans="1:37" s="6" customFormat="1">
      <c r="A652" s="6" t="s">
        <v>3137</v>
      </c>
      <c r="B652" s="6" t="s">
        <v>3138</v>
      </c>
      <c r="C652" s="6" t="s">
        <v>43</v>
      </c>
      <c r="D652" s="6" t="s">
        <v>239</v>
      </c>
      <c r="E652" s="6" t="s">
        <v>2047</v>
      </c>
      <c r="F652" s="6" t="s">
        <v>46</v>
      </c>
      <c r="G652" s="6" t="s">
        <v>3139</v>
      </c>
      <c r="H652" s="7"/>
      <c r="I652" s="19" t="s">
        <v>48</v>
      </c>
      <c r="J652" s="19" t="s">
        <v>48</v>
      </c>
      <c r="AG652" s="15" t="s">
        <v>55</v>
      </c>
      <c r="AH652" s="15"/>
      <c r="AI652" s="15"/>
    </row>
    <row r="653" spans="1:37" s="6" customFormat="1">
      <c r="A653" s="6" t="s">
        <v>3140</v>
      </c>
      <c r="B653" s="6" t="s">
        <v>3141</v>
      </c>
      <c r="C653" s="6" t="s">
        <v>43</v>
      </c>
      <c r="D653" s="6" t="s">
        <v>239</v>
      </c>
      <c r="E653" s="6" t="s">
        <v>240</v>
      </c>
      <c r="F653" s="6" t="s">
        <v>46</v>
      </c>
      <c r="G653" s="6" t="s">
        <v>3142</v>
      </c>
      <c r="H653" s="7"/>
      <c r="I653" s="19" t="s">
        <v>48</v>
      </c>
      <c r="J653" s="19" t="s">
        <v>48</v>
      </c>
      <c r="AG653" s="15" t="s">
        <v>55</v>
      </c>
      <c r="AH653" s="15"/>
      <c r="AI653" s="15"/>
    </row>
    <row r="654" spans="1:37" s="6" customFormat="1">
      <c r="A654" s="6" t="s">
        <v>3143</v>
      </c>
      <c r="B654" s="6" t="s">
        <v>3144</v>
      </c>
      <c r="C654" s="6" t="s">
        <v>43</v>
      </c>
      <c r="D654" s="6" t="s">
        <v>239</v>
      </c>
      <c r="E654" s="6" t="s">
        <v>240</v>
      </c>
      <c r="F654" s="6" t="s">
        <v>46</v>
      </c>
      <c r="G654" s="6" t="s">
        <v>3142</v>
      </c>
      <c r="H654" s="7"/>
      <c r="I654" s="19" t="s">
        <v>48</v>
      </c>
      <c r="J654" s="19" t="s">
        <v>48</v>
      </c>
      <c r="AG654" s="15" t="s">
        <v>55</v>
      </c>
      <c r="AH654" s="15"/>
      <c r="AI654" s="15"/>
    </row>
    <row r="655" spans="1:37" s="6" customFormat="1">
      <c r="A655" s="6" t="s">
        <v>3145</v>
      </c>
      <c r="B655" s="6" t="s">
        <v>3146</v>
      </c>
      <c r="C655" s="6" t="s">
        <v>43</v>
      </c>
      <c r="D655" s="6" t="s">
        <v>239</v>
      </c>
      <c r="E655" s="6" t="s">
        <v>1540</v>
      </c>
      <c r="F655" s="6" t="s">
        <v>46</v>
      </c>
      <c r="G655" s="6" t="s">
        <v>3091</v>
      </c>
      <c r="H655" s="7"/>
      <c r="I655" s="16" t="s">
        <v>48</v>
      </c>
      <c r="J655" s="16" t="s">
        <v>48</v>
      </c>
      <c r="AG655" s="15" t="s">
        <v>55</v>
      </c>
      <c r="AH655" s="15"/>
      <c r="AI655" s="15"/>
    </row>
    <row r="656" spans="1:37" s="6" customFormat="1">
      <c r="A656" s="6" t="s">
        <v>3147</v>
      </c>
      <c r="B656" s="6" t="s">
        <v>3148</v>
      </c>
      <c r="C656" s="6" t="s">
        <v>3149</v>
      </c>
      <c r="D656" s="6" t="s">
        <v>239</v>
      </c>
      <c r="E656" s="6" t="s">
        <v>2065</v>
      </c>
      <c r="F656" s="6" t="s">
        <v>46</v>
      </c>
      <c r="G656" s="6" t="s">
        <v>3150</v>
      </c>
      <c r="H656" s="7"/>
      <c r="I656" s="19" t="s">
        <v>48</v>
      </c>
      <c r="J656" s="19" t="s">
        <v>48</v>
      </c>
      <c r="AG656" s="15" t="s">
        <v>55</v>
      </c>
      <c r="AH656" s="15"/>
      <c r="AI656" s="15"/>
    </row>
    <row r="657" spans="1:37" s="6" customFormat="1">
      <c r="A657" s="6" t="s">
        <v>3151</v>
      </c>
      <c r="B657" s="6" t="s">
        <v>3152</v>
      </c>
      <c r="C657" s="6" t="s">
        <v>43</v>
      </c>
      <c r="D657" s="6" t="s">
        <v>239</v>
      </c>
      <c r="E657" s="6" t="s">
        <v>240</v>
      </c>
      <c r="F657" s="6" t="s">
        <v>46</v>
      </c>
      <c r="G657" s="6" t="s">
        <v>3142</v>
      </c>
      <c r="H657" s="7"/>
      <c r="I657" s="19" t="s">
        <v>48</v>
      </c>
      <c r="J657" s="5" t="s">
        <v>48</v>
      </c>
      <c r="AG657" s="15" t="s">
        <v>55</v>
      </c>
      <c r="AH657" s="15"/>
      <c r="AI657" s="15"/>
    </row>
    <row r="658" spans="1:37" s="6" customFormat="1">
      <c r="A658" s="6" t="s">
        <v>3153</v>
      </c>
      <c r="B658" s="6" t="s">
        <v>3154</v>
      </c>
      <c r="C658" s="6" t="s">
        <v>43</v>
      </c>
      <c r="D658" s="6" t="s">
        <v>239</v>
      </c>
      <c r="E658" s="6" t="s">
        <v>1540</v>
      </c>
      <c r="F658" s="6" t="s">
        <v>46</v>
      </c>
      <c r="G658" s="6" t="s">
        <v>3155</v>
      </c>
      <c r="H658" s="7"/>
      <c r="I658" s="16" t="s">
        <v>48</v>
      </c>
      <c r="J658" s="16" t="s">
        <v>48</v>
      </c>
      <c r="AG658" s="15" t="s">
        <v>55</v>
      </c>
      <c r="AH658" s="15"/>
      <c r="AI658" s="15"/>
    </row>
    <row r="659" spans="1:37" s="6" customFormat="1">
      <c r="A659" s="6" t="s">
        <v>3156</v>
      </c>
      <c r="B659" s="6" t="s">
        <v>3157</v>
      </c>
      <c r="C659" s="6" t="s">
        <v>43</v>
      </c>
      <c r="D659" s="6" t="s">
        <v>239</v>
      </c>
      <c r="E659" s="6" t="s">
        <v>1540</v>
      </c>
      <c r="F659" s="6" t="s">
        <v>46</v>
      </c>
      <c r="G659" s="6" t="s">
        <v>3158</v>
      </c>
      <c r="H659" s="7"/>
      <c r="I659" s="16" t="s">
        <v>48</v>
      </c>
      <c r="J659" s="16" t="s">
        <v>48</v>
      </c>
      <c r="AG659" s="15" t="s">
        <v>55</v>
      </c>
      <c r="AH659" s="15"/>
      <c r="AI659" s="15"/>
    </row>
    <row r="660" spans="1:37" s="6" customFormat="1">
      <c r="A660" s="6" t="s">
        <v>3159</v>
      </c>
      <c r="B660" s="6" t="s">
        <v>3160</v>
      </c>
      <c r="C660" s="6" t="s">
        <v>3161</v>
      </c>
      <c r="D660" s="6" t="s">
        <v>2069</v>
      </c>
      <c r="E660" s="6" t="s">
        <v>1540</v>
      </c>
      <c r="F660" s="6" t="s">
        <v>46</v>
      </c>
      <c r="G660" s="6" t="s">
        <v>3162</v>
      </c>
      <c r="H660" s="7"/>
      <c r="I660" s="5" t="s">
        <v>48</v>
      </c>
      <c r="J660" s="5" t="s">
        <v>48</v>
      </c>
      <c r="AG660" s="15" t="s">
        <v>55</v>
      </c>
      <c r="AH660" s="15"/>
      <c r="AI660" s="15"/>
    </row>
    <row r="661" spans="1:37" s="6" customFormat="1">
      <c r="A661" s="5" t="s">
        <v>3163</v>
      </c>
      <c r="B661" s="5" t="s">
        <v>3164</v>
      </c>
      <c r="C661" s="6" t="s">
        <v>43</v>
      </c>
      <c r="D661" s="6" t="s">
        <v>2114</v>
      </c>
      <c r="E661" s="6" t="s">
        <v>1386</v>
      </c>
      <c r="F661" s="6" t="s">
        <v>46</v>
      </c>
      <c r="G661" s="6" t="s">
        <v>3165</v>
      </c>
      <c r="H661" s="7">
        <v>59.9</v>
      </c>
      <c r="I661" s="19" t="s">
        <v>1589</v>
      </c>
      <c r="J661" s="19" t="s">
        <v>2162</v>
      </c>
      <c r="K661" s="5" t="s">
        <v>2163</v>
      </c>
      <c r="L661" s="5" t="s">
        <v>2164</v>
      </c>
      <c r="M661" s="5" t="s">
        <v>2165</v>
      </c>
      <c r="N661" s="5" t="s">
        <v>2166</v>
      </c>
      <c r="O661" s="5" t="s">
        <v>3166</v>
      </c>
      <c r="P661" s="5" t="s">
        <v>3167</v>
      </c>
      <c r="Q661" s="5" t="s">
        <v>3168</v>
      </c>
      <c r="R661" s="5"/>
      <c r="S661" s="5"/>
      <c r="T661" s="5"/>
      <c r="U661" s="5"/>
      <c r="V661" s="5"/>
      <c r="W661" s="5" t="s">
        <v>2170</v>
      </c>
      <c r="X661" s="5" t="s">
        <v>2171</v>
      </c>
      <c r="Y661" s="5" t="s">
        <v>2172</v>
      </c>
      <c r="Z661" s="5" t="s">
        <v>2173</v>
      </c>
      <c r="AA661" s="5"/>
      <c r="AB661" s="5"/>
      <c r="AC661" s="5"/>
      <c r="AD661" s="5"/>
      <c r="AE661" s="5"/>
      <c r="AF661" s="5"/>
      <c r="AG661" s="14" t="s">
        <v>55</v>
      </c>
      <c r="AH661" s="14" t="s">
        <v>1603</v>
      </c>
      <c r="AI661" s="14" t="s">
        <v>124</v>
      </c>
      <c r="AJ661" s="5"/>
      <c r="AK661" s="5"/>
    </row>
    <row r="662" spans="1:37">
      <c r="A662" s="6" t="s">
        <v>3169</v>
      </c>
      <c r="B662" s="6" t="s">
        <v>3170</v>
      </c>
      <c r="C662" s="6" t="s">
        <v>43</v>
      </c>
      <c r="D662" s="6" t="s">
        <v>239</v>
      </c>
      <c r="E662" s="6" t="s">
        <v>1540</v>
      </c>
      <c r="F662" s="6" t="s">
        <v>46</v>
      </c>
      <c r="G662" s="6" t="s">
        <v>3171</v>
      </c>
      <c r="I662" s="16" t="s">
        <v>48</v>
      </c>
      <c r="J662" s="16" t="s">
        <v>48</v>
      </c>
      <c r="K662" s="6"/>
      <c r="L662" s="6"/>
      <c r="M662" s="6"/>
      <c r="N662" s="6"/>
      <c r="O662" s="6"/>
      <c r="P662" s="6"/>
      <c r="Q662" s="6"/>
      <c r="R662" s="6"/>
      <c r="S662" s="6"/>
      <c r="T662" s="6"/>
      <c r="U662" s="6"/>
      <c r="V662" s="6"/>
      <c r="W662" s="6"/>
      <c r="X662" s="6"/>
      <c r="Y662" s="6"/>
      <c r="Z662" s="6"/>
      <c r="AA662" s="6"/>
      <c r="AB662" s="6"/>
      <c r="AC662" s="6"/>
      <c r="AD662" s="6"/>
      <c r="AE662" s="6"/>
      <c r="AF662" s="6"/>
      <c r="AG662" s="15" t="s">
        <v>55</v>
      </c>
      <c r="AH662" s="15"/>
      <c r="AI662" s="15"/>
      <c r="AJ662" s="6"/>
      <c r="AK662" s="6"/>
    </row>
    <row r="663" spans="1:37" s="6" customFormat="1">
      <c r="A663" s="6" t="s">
        <v>3172</v>
      </c>
      <c r="B663" s="6" t="s">
        <v>3173</v>
      </c>
      <c r="C663" s="6" t="s">
        <v>43</v>
      </c>
      <c r="D663" s="6" t="s">
        <v>239</v>
      </c>
      <c r="E663" s="6" t="s">
        <v>1540</v>
      </c>
      <c r="F663" s="6" t="s">
        <v>46</v>
      </c>
      <c r="G663" s="6" t="s">
        <v>3174</v>
      </c>
      <c r="H663" s="7"/>
      <c r="I663" s="16" t="s">
        <v>48</v>
      </c>
      <c r="J663" s="16" t="s">
        <v>48</v>
      </c>
      <c r="AG663" s="15" t="s">
        <v>55</v>
      </c>
      <c r="AH663" s="15"/>
      <c r="AI663" s="15"/>
    </row>
    <row r="664" spans="1:37" s="6" customFormat="1">
      <c r="A664" s="5" t="s">
        <v>3175</v>
      </c>
      <c r="B664" s="5" t="s">
        <v>3176</v>
      </c>
      <c r="C664" s="6" t="s">
        <v>2281</v>
      </c>
      <c r="D664" s="6" t="s">
        <v>1645</v>
      </c>
      <c r="E664" s="6" t="s">
        <v>2065</v>
      </c>
      <c r="F664" s="6" t="s">
        <v>46</v>
      </c>
      <c r="G664" s="6" t="s">
        <v>3177</v>
      </c>
      <c r="H664" s="7">
        <v>78.38</v>
      </c>
      <c r="I664" s="19" t="s">
        <v>2283</v>
      </c>
      <c r="J664" s="19" t="s">
        <v>2512</v>
      </c>
      <c r="K664" s="5" t="s">
        <v>2616</v>
      </c>
      <c r="L664" s="5" t="s">
        <v>2617</v>
      </c>
      <c r="M664" s="5" t="s">
        <v>2618</v>
      </c>
      <c r="N664" s="5" t="s">
        <v>2619</v>
      </c>
      <c r="O664" s="5" t="s">
        <v>3178</v>
      </c>
      <c r="P664" s="5" t="s">
        <v>3179</v>
      </c>
      <c r="Q664" s="5" t="s">
        <v>3180</v>
      </c>
      <c r="R664" s="5" t="s">
        <v>2623</v>
      </c>
      <c r="S664" s="5"/>
      <c r="T664" s="5"/>
      <c r="U664" s="5"/>
      <c r="V664" s="5"/>
      <c r="W664" s="5"/>
      <c r="X664" s="5"/>
      <c r="Y664" s="5"/>
      <c r="Z664" s="5"/>
      <c r="AA664" s="5"/>
      <c r="AB664" s="5"/>
      <c r="AC664" s="5"/>
      <c r="AD664" s="5"/>
      <c r="AE664" s="5"/>
      <c r="AF664" s="5"/>
      <c r="AG664" s="14" t="s">
        <v>55</v>
      </c>
      <c r="AH664" s="14" t="s">
        <v>1603</v>
      </c>
      <c r="AI664" s="14" t="s">
        <v>1603</v>
      </c>
      <c r="AJ664" s="5"/>
      <c r="AK664" s="5"/>
    </row>
    <row r="665" spans="1:37">
      <c r="A665" s="6" t="s">
        <v>3181</v>
      </c>
      <c r="B665" s="6" t="s">
        <v>3182</v>
      </c>
      <c r="C665" s="6" t="s">
        <v>43</v>
      </c>
      <c r="D665" s="6" t="s">
        <v>239</v>
      </c>
      <c r="E665" s="6" t="s">
        <v>1540</v>
      </c>
      <c r="F665" s="6" t="s">
        <v>46</v>
      </c>
      <c r="G665" s="6" t="s">
        <v>3183</v>
      </c>
      <c r="I665" s="19" t="s">
        <v>48</v>
      </c>
      <c r="J665" s="19" t="s">
        <v>48</v>
      </c>
      <c r="K665" s="6"/>
      <c r="L665" s="6"/>
      <c r="M665" s="6"/>
      <c r="N665" s="6"/>
      <c r="O665" s="6"/>
      <c r="P665" s="6"/>
      <c r="Q665" s="6"/>
      <c r="R665" s="6"/>
      <c r="S665" s="6"/>
      <c r="T665" s="6"/>
      <c r="U665" s="6"/>
      <c r="V665" s="6"/>
      <c r="W665" s="6"/>
      <c r="X665" s="6"/>
      <c r="Y665" s="6"/>
      <c r="Z665" s="6"/>
      <c r="AA665" s="6"/>
      <c r="AB665" s="6"/>
      <c r="AC665" s="6"/>
      <c r="AD665" s="6"/>
      <c r="AE665" s="6"/>
      <c r="AF665" s="6"/>
      <c r="AG665" s="15" t="s">
        <v>55</v>
      </c>
      <c r="AH665" s="15"/>
      <c r="AI665" s="15"/>
      <c r="AJ665" s="6"/>
      <c r="AK665" s="6"/>
    </row>
    <row r="666" spans="1:37" s="6" customFormat="1">
      <c r="A666" s="6" t="s">
        <v>3184</v>
      </c>
      <c r="B666" s="6" t="s">
        <v>3185</v>
      </c>
      <c r="C666" s="6" t="s">
        <v>43</v>
      </c>
      <c r="D666" s="6" t="s">
        <v>239</v>
      </c>
      <c r="E666" s="6" t="s">
        <v>1540</v>
      </c>
      <c r="F666" s="6" t="s">
        <v>46</v>
      </c>
      <c r="G666" s="6" t="s">
        <v>3186</v>
      </c>
      <c r="H666" s="7"/>
      <c r="I666" s="16" t="s">
        <v>48</v>
      </c>
      <c r="J666" s="16" t="s">
        <v>48</v>
      </c>
      <c r="AG666" s="15" t="s">
        <v>55</v>
      </c>
      <c r="AH666" s="15"/>
      <c r="AI666" s="15"/>
    </row>
    <row r="667" spans="1:37" s="6" customFormat="1">
      <c r="A667" s="6" t="s">
        <v>3187</v>
      </c>
      <c r="B667" s="6" t="s">
        <v>3188</v>
      </c>
      <c r="C667" s="6" t="s">
        <v>43</v>
      </c>
      <c r="D667" s="6" t="s">
        <v>239</v>
      </c>
      <c r="E667" s="6" t="s">
        <v>3189</v>
      </c>
      <c r="F667" s="6" t="s">
        <v>46</v>
      </c>
      <c r="G667" s="6" t="s">
        <v>3190</v>
      </c>
      <c r="H667" s="7"/>
      <c r="I667" s="16" t="s">
        <v>48</v>
      </c>
      <c r="J667" s="16" t="s">
        <v>48</v>
      </c>
      <c r="AG667" s="15" t="s">
        <v>55</v>
      </c>
      <c r="AH667" s="15"/>
      <c r="AI667" s="15"/>
    </row>
    <row r="668" spans="1:37" s="6" customFormat="1">
      <c r="A668" s="6" t="s">
        <v>3191</v>
      </c>
      <c r="B668" s="6" t="s">
        <v>3192</v>
      </c>
      <c r="C668" s="6" t="s">
        <v>43</v>
      </c>
      <c r="D668" s="6" t="s">
        <v>1390</v>
      </c>
      <c r="E668" s="6" t="s">
        <v>1386</v>
      </c>
      <c r="F668" s="6" t="s">
        <v>46</v>
      </c>
      <c r="G668" s="6" t="s">
        <v>3193</v>
      </c>
      <c r="H668" s="7"/>
      <c r="I668" s="16" t="s">
        <v>48</v>
      </c>
      <c r="J668" s="16" t="s">
        <v>48</v>
      </c>
      <c r="AG668" s="15" t="s">
        <v>55</v>
      </c>
      <c r="AH668" s="15"/>
      <c r="AI668" s="15"/>
    </row>
    <row r="669" spans="1:37" s="6" customFormat="1">
      <c r="A669" s="6" t="s">
        <v>3194</v>
      </c>
      <c r="B669" s="6" t="s">
        <v>3195</v>
      </c>
      <c r="C669" s="6" t="s">
        <v>43</v>
      </c>
      <c r="D669" s="6" t="s">
        <v>2069</v>
      </c>
      <c r="E669" s="6" t="s">
        <v>1540</v>
      </c>
      <c r="F669" s="6" t="s">
        <v>46</v>
      </c>
      <c r="G669" s="6" t="s">
        <v>3196</v>
      </c>
      <c r="H669" s="7"/>
      <c r="I669" s="19" t="s">
        <v>48</v>
      </c>
      <c r="J669" s="5" t="s">
        <v>48</v>
      </c>
      <c r="AG669" s="15" t="s">
        <v>55</v>
      </c>
      <c r="AH669" s="15"/>
      <c r="AI669" s="15"/>
    </row>
    <row r="670" spans="1:37" s="6" customFormat="1">
      <c r="A670" s="6" t="s">
        <v>3197</v>
      </c>
      <c r="B670" s="6" t="s">
        <v>3198</v>
      </c>
      <c r="C670" s="6" t="s">
        <v>43</v>
      </c>
      <c r="D670" s="6" t="s">
        <v>239</v>
      </c>
      <c r="E670" s="6" t="s">
        <v>1540</v>
      </c>
      <c r="F670" s="6" t="s">
        <v>46</v>
      </c>
      <c r="G670" s="6" t="s">
        <v>3199</v>
      </c>
      <c r="H670" s="7"/>
      <c r="I670" s="16" t="s">
        <v>48</v>
      </c>
      <c r="J670" s="16" t="s">
        <v>48</v>
      </c>
      <c r="AG670" s="15" t="s">
        <v>55</v>
      </c>
      <c r="AH670" s="15"/>
      <c r="AI670" s="15"/>
    </row>
    <row r="671" spans="1:37" s="6" customFormat="1">
      <c r="A671" s="6" t="s">
        <v>3200</v>
      </c>
      <c r="B671" s="6" t="s">
        <v>3201</v>
      </c>
      <c r="C671" s="6" t="s">
        <v>43</v>
      </c>
      <c r="D671" s="6" t="s">
        <v>239</v>
      </c>
      <c r="E671" s="6" t="s">
        <v>1540</v>
      </c>
      <c r="F671" s="6" t="s">
        <v>46</v>
      </c>
      <c r="G671" s="6" t="s">
        <v>3202</v>
      </c>
      <c r="H671" s="7"/>
      <c r="I671" s="16" t="s">
        <v>48</v>
      </c>
      <c r="J671" s="16" t="s">
        <v>48</v>
      </c>
      <c r="AG671" s="15" t="s">
        <v>55</v>
      </c>
      <c r="AH671" s="15"/>
      <c r="AI671" s="15"/>
    </row>
    <row r="672" spans="1:37" s="6" customFormat="1">
      <c r="A672" s="6" t="s">
        <v>3203</v>
      </c>
      <c r="B672" s="6" t="s">
        <v>3204</v>
      </c>
      <c r="C672" s="6" t="s">
        <v>43</v>
      </c>
      <c r="D672" s="6" t="s">
        <v>239</v>
      </c>
      <c r="E672" s="6" t="s">
        <v>1540</v>
      </c>
      <c r="F672" s="6" t="s">
        <v>46</v>
      </c>
      <c r="G672" s="6" t="s">
        <v>3205</v>
      </c>
      <c r="H672" s="7"/>
      <c r="I672" s="16" t="s">
        <v>48</v>
      </c>
      <c r="J672" s="16" t="s">
        <v>48</v>
      </c>
      <c r="AG672" s="15" t="s">
        <v>55</v>
      </c>
      <c r="AH672" s="15"/>
      <c r="AI672" s="15"/>
    </row>
    <row r="673" spans="1:37" s="6" customFormat="1">
      <c r="A673" s="6" t="s">
        <v>3206</v>
      </c>
      <c r="B673" s="6" t="s">
        <v>3207</v>
      </c>
      <c r="C673" s="6" t="s">
        <v>43</v>
      </c>
      <c r="D673" s="6" t="s">
        <v>239</v>
      </c>
      <c r="E673" s="6" t="s">
        <v>1540</v>
      </c>
      <c r="F673" s="6" t="s">
        <v>46</v>
      </c>
      <c r="G673" s="6" t="s">
        <v>3126</v>
      </c>
      <c r="H673" s="7"/>
      <c r="I673" s="16" t="s">
        <v>48</v>
      </c>
      <c r="J673" s="16" t="s">
        <v>48</v>
      </c>
      <c r="AG673" s="15" t="s">
        <v>55</v>
      </c>
      <c r="AH673" s="15"/>
      <c r="AI673" s="15"/>
    </row>
    <row r="674" spans="1:37" s="6" customFormat="1">
      <c r="A674" s="6" t="s">
        <v>3208</v>
      </c>
      <c r="B674" s="6" t="s">
        <v>3209</v>
      </c>
      <c r="C674" s="6" t="s">
        <v>2281</v>
      </c>
      <c r="D674" s="6" t="s">
        <v>1645</v>
      </c>
      <c r="E674" s="6" t="s">
        <v>1386</v>
      </c>
      <c r="F674" s="6" t="s">
        <v>46</v>
      </c>
      <c r="G674" s="6" t="s">
        <v>3210</v>
      </c>
      <c r="H674" s="7"/>
      <c r="I674" s="16" t="s">
        <v>48</v>
      </c>
      <c r="J674" s="16" t="s">
        <v>48</v>
      </c>
      <c r="AG674" s="15" t="s">
        <v>55</v>
      </c>
      <c r="AH674" s="15"/>
      <c r="AI674" s="15"/>
    </row>
    <row r="675" spans="1:37" s="6" customFormat="1">
      <c r="A675" s="6" t="s">
        <v>3211</v>
      </c>
      <c r="B675" s="6" t="s">
        <v>3212</v>
      </c>
      <c r="C675" s="6" t="s">
        <v>2281</v>
      </c>
      <c r="D675" s="6" t="s">
        <v>1645</v>
      </c>
      <c r="E675" s="6" t="s">
        <v>1386</v>
      </c>
      <c r="F675" s="6" t="s">
        <v>46</v>
      </c>
      <c r="G675" s="6" t="s">
        <v>3213</v>
      </c>
      <c r="H675" s="7"/>
      <c r="I675" s="16" t="s">
        <v>48</v>
      </c>
      <c r="J675" s="16" t="s">
        <v>48</v>
      </c>
      <c r="AG675" s="15" t="s">
        <v>55</v>
      </c>
      <c r="AH675" s="15"/>
      <c r="AI675" s="15"/>
    </row>
    <row r="676" spans="1:37" s="6" customFormat="1">
      <c r="A676" s="6" t="s">
        <v>3214</v>
      </c>
      <c r="B676" s="6" t="s">
        <v>3212</v>
      </c>
      <c r="C676" s="6" t="s">
        <v>2281</v>
      </c>
      <c r="D676" s="6" t="s">
        <v>1645</v>
      </c>
      <c r="E676" s="6" t="s">
        <v>2065</v>
      </c>
      <c r="F676" s="6" t="s">
        <v>46</v>
      </c>
      <c r="G676" s="6" t="s">
        <v>3215</v>
      </c>
      <c r="H676" s="7"/>
      <c r="I676" s="16" t="s">
        <v>48</v>
      </c>
      <c r="J676" s="16" t="s">
        <v>48</v>
      </c>
      <c r="AG676" s="15" t="s">
        <v>55</v>
      </c>
      <c r="AH676" s="15"/>
      <c r="AI676" s="15"/>
    </row>
    <row r="677" spans="1:37" s="6" customFormat="1">
      <c r="A677" s="6" t="s">
        <v>3216</v>
      </c>
      <c r="B677" s="6" t="s">
        <v>3217</v>
      </c>
      <c r="C677" s="6" t="s">
        <v>2281</v>
      </c>
      <c r="D677" s="6" t="s">
        <v>1645</v>
      </c>
      <c r="E677" s="6" t="s">
        <v>1386</v>
      </c>
      <c r="F677" s="6" t="s">
        <v>46</v>
      </c>
      <c r="G677" s="6" t="s">
        <v>3218</v>
      </c>
      <c r="H677" s="7"/>
      <c r="I677" s="16" t="s">
        <v>48</v>
      </c>
      <c r="J677" s="16" t="s">
        <v>48</v>
      </c>
      <c r="AG677" s="15" t="s">
        <v>55</v>
      </c>
      <c r="AH677" s="15"/>
      <c r="AI677" s="15"/>
    </row>
    <row r="678" spans="1:37" s="6" customFormat="1">
      <c r="A678" s="6" t="s">
        <v>3219</v>
      </c>
      <c r="B678" s="6" t="s">
        <v>3220</v>
      </c>
      <c r="C678" s="6" t="s">
        <v>43</v>
      </c>
      <c r="D678" s="6" t="s">
        <v>239</v>
      </c>
      <c r="E678" s="6" t="s">
        <v>1540</v>
      </c>
      <c r="F678" s="6" t="s">
        <v>46</v>
      </c>
      <c r="G678" s="6" t="s">
        <v>3202</v>
      </c>
      <c r="H678" s="7"/>
      <c r="I678" s="16" t="s">
        <v>48</v>
      </c>
      <c r="J678" s="16" t="s">
        <v>48</v>
      </c>
      <c r="AG678" s="15" t="s">
        <v>55</v>
      </c>
      <c r="AH678" s="15"/>
      <c r="AI678" s="15"/>
    </row>
    <row r="679" spans="1:37" s="6" customFormat="1">
      <c r="A679" s="6" t="s">
        <v>3221</v>
      </c>
      <c r="B679" s="6" t="s">
        <v>3222</v>
      </c>
      <c r="C679" s="6" t="s">
        <v>43</v>
      </c>
      <c r="D679" s="6" t="s">
        <v>239</v>
      </c>
      <c r="E679" s="6" t="s">
        <v>1540</v>
      </c>
      <c r="F679" s="6" t="s">
        <v>46</v>
      </c>
      <c r="G679" s="6" t="s">
        <v>3223</v>
      </c>
      <c r="H679" s="7"/>
      <c r="I679" s="16" t="s">
        <v>48</v>
      </c>
      <c r="J679" s="16" t="s">
        <v>48</v>
      </c>
      <c r="AG679" s="15" t="s">
        <v>55</v>
      </c>
      <c r="AH679" s="15"/>
      <c r="AI679" s="15"/>
    </row>
    <row r="680" spans="1:37" s="6" customFormat="1">
      <c r="A680" s="6" t="s">
        <v>3224</v>
      </c>
      <c r="B680" s="6" t="s">
        <v>3225</v>
      </c>
      <c r="C680" s="6" t="s">
        <v>43</v>
      </c>
      <c r="D680" s="6" t="s">
        <v>239</v>
      </c>
      <c r="E680" s="6" t="s">
        <v>1540</v>
      </c>
      <c r="F680" s="6" t="s">
        <v>46</v>
      </c>
      <c r="G680" s="6" t="s">
        <v>3226</v>
      </c>
      <c r="H680" s="7"/>
      <c r="I680" s="16" t="s">
        <v>48</v>
      </c>
      <c r="J680" s="16" t="s">
        <v>48</v>
      </c>
      <c r="AG680" s="15" t="s">
        <v>55</v>
      </c>
      <c r="AH680" s="15"/>
      <c r="AI680" s="15"/>
    </row>
    <row r="681" spans="1:37" s="6" customFormat="1">
      <c r="A681" s="6" t="s">
        <v>3227</v>
      </c>
      <c r="B681" s="6" t="s">
        <v>3228</v>
      </c>
      <c r="C681" s="6" t="s">
        <v>43</v>
      </c>
      <c r="D681" s="6" t="s">
        <v>239</v>
      </c>
      <c r="E681" s="6" t="s">
        <v>1540</v>
      </c>
      <c r="F681" s="6" t="s">
        <v>46</v>
      </c>
      <c r="G681" s="6" t="s">
        <v>3229</v>
      </c>
      <c r="H681" s="7"/>
      <c r="I681" s="16" t="s">
        <v>48</v>
      </c>
      <c r="J681" s="16" t="s">
        <v>48</v>
      </c>
      <c r="AG681" s="15" t="s">
        <v>55</v>
      </c>
      <c r="AH681" s="15"/>
      <c r="AI681" s="15"/>
    </row>
    <row r="682" spans="1:37" s="6" customFormat="1">
      <c r="A682" s="6" t="s">
        <v>3230</v>
      </c>
      <c r="B682" s="6" t="s">
        <v>3231</v>
      </c>
      <c r="C682" s="6" t="s">
        <v>43</v>
      </c>
      <c r="D682" s="6" t="s">
        <v>239</v>
      </c>
      <c r="E682" s="6" t="s">
        <v>1540</v>
      </c>
      <c r="F682" s="6" t="s">
        <v>46</v>
      </c>
      <c r="G682" s="6" t="s">
        <v>3232</v>
      </c>
      <c r="H682" s="7"/>
      <c r="I682" s="16" t="s">
        <v>48</v>
      </c>
      <c r="J682" s="16" t="s">
        <v>48</v>
      </c>
      <c r="AG682" s="15" t="s">
        <v>55</v>
      </c>
      <c r="AH682" s="15"/>
      <c r="AI682" s="15"/>
    </row>
    <row r="683" spans="1:37" s="6" customFormat="1">
      <c r="A683" s="6" t="s">
        <v>3233</v>
      </c>
      <c r="B683" s="6" t="s">
        <v>3234</v>
      </c>
      <c r="C683" s="6" t="s">
        <v>43</v>
      </c>
      <c r="D683" s="6" t="s">
        <v>239</v>
      </c>
      <c r="E683" s="6" t="s">
        <v>1540</v>
      </c>
      <c r="F683" s="6" t="s">
        <v>46</v>
      </c>
      <c r="G683" s="6" t="s">
        <v>3235</v>
      </c>
      <c r="H683" s="7"/>
      <c r="I683" s="16" t="s">
        <v>48</v>
      </c>
      <c r="J683" s="16" t="s">
        <v>48</v>
      </c>
      <c r="AG683" s="15" t="s">
        <v>55</v>
      </c>
      <c r="AH683" s="15"/>
      <c r="AI683" s="15"/>
    </row>
    <row r="684" spans="1:37" s="6" customFormat="1">
      <c r="A684" s="6" t="s">
        <v>3236</v>
      </c>
      <c r="B684" s="6" t="s">
        <v>3237</v>
      </c>
      <c r="C684" s="6" t="s">
        <v>43</v>
      </c>
      <c r="D684" s="6" t="s">
        <v>1390</v>
      </c>
      <c r="E684" s="6" t="s">
        <v>1386</v>
      </c>
      <c r="F684" s="6" t="s">
        <v>46</v>
      </c>
      <c r="G684" s="6" t="s">
        <v>3238</v>
      </c>
      <c r="H684" s="7"/>
      <c r="I684" s="19" t="s">
        <v>48</v>
      </c>
      <c r="J684" s="19" t="s">
        <v>48</v>
      </c>
      <c r="AG684" s="15" t="s">
        <v>55</v>
      </c>
      <c r="AH684" s="15"/>
      <c r="AI684" s="15"/>
    </row>
    <row r="685" spans="1:37" s="6" customFormat="1">
      <c r="A685" s="6" t="s">
        <v>3239</v>
      </c>
      <c r="B685" s="6" t="s">
        <v>3240</v>
      </c>
      <c r="C685" s="6" t="s">
        <v>2281</v>
      </c>
      <c r="D685" s="6" t="s">
        <v>1645</v>
      </c>
      <c r="E685" s="6" t="s">
        <v>1386</v>
      </c>
      <c r="F685" s="6" t="s">
        <v>46</v>
      </c>
      <c r="G685" s="6" t="s">
        <v>3241</v>
      </c>
      <c r="H685" s="7"/>
      <c r="I685" s="16" t="s">
        <v>48</v>
      </c>
      <c r="J685" s="16" t="s">
        <v>48</v>
      </c>
      <c r="AG685" s="15" t="s">
        <v>55</v>
      </c>
      <c r="AH685" s="15"/>
      <c r="AI685" s="15"/>
    </row>
    <row r="686" spans="1:37" s="6" customFormat="1">
      <c r="A686" s="5" t="s">
        <v>3242</v>
      </c>
      <c r="B686" s="5" t="s">
        <v>3243</v>
      </c>
      <c r="C686" s="6" t="s">
        <v>3244</v>
      </c>
      <c r="D686" s="6" t="s">
        <v>1977</v>
      </c>
      <c r="E686" s="6" t="s">
        <v>2139</v>
      </c>
      <c r="F686" s="6" t="s">
        <v>46</v>
      </c>
      <c r="G686" s="6" t="s">
        <v>3245</v>
      </c>
      <c r="H686" s="7">
        <v>34.979999999999997</v>
      </c>
      <c r="I686" s="19" t="s">
        <v>1589</v>
      </c>
      <c r="J686" s="19" t="s">
        <v>2001</v>
      </c>
      <c r="K686" s="20" t="s">
        <v>2002</v>
      </c>
      <c r="L686" s="20" t="s">
        <v>2003</v>
      </c>
      <c r="M686" s="20" t="s">
        <v>2004</v>
      </c>
      <c r="N686" s="20" t="s">
        <v>2005</v>
      </c>
      <c r="O686" s="20" t="s">
        <v>3246</v>
      </c>
      <c r="P686" s="20" t="s">
        <v>3247</v>
      </c>
      <c r="Q686" s="20" t="s">
        <v>3248</v>
      </c>
      <c r="R686" s="5" t="s">
        <v>3249</v>
      </c>
      <c r="S686" s="5"/>
      <c r="T686" s="5"/>
      <c r="U686" s="5"/>
      <c r="V686" s="5"/>
      <c r="W686" s="20" t="s">
        <v>2010</v>
      </c>
      <c r="X686" s="20" t="s">
        <v>2011</v>
      </c>
      <c r="Y686" s="20" t="s">
        <v>2012</v>
      </c>
      <c r="Z686" s="20" t="s">
        <v>2013</v>
      </c>
      <c r="AA686" s="5"/>
      <c r="AB686" s="5"/>
      <c r="AC686" s="5"/>
      <c r="AD686" s="5"/>
      <c r="AE686" s="5"/>
      <c r="AF686" s="5"/>
      <c r="AG686" s="14" t="s">
        <v>55</v>
      </c>
      <c r="AH686" s="14" t="s">
        <v>1603</v>
      </c>
      <c r="AI686" s="14" t="s">
        <v>124</v>
      </c>
      <c r="AJ686" s="5"/>
      <c r="AK686" s="5"/>
    </row>
    <row r="687" spans="1:37">
      <c r="A687" s="5" t="s">
        <v>3250</v>
      </c>
      <c r="B687" s="5" t="s">
        <v>3243</v>
      </c>
      <c r="C687" s="6" t="s">
        <v>3244</v>
      </c>
      <c r="D687" s="6" t="s">
        <v>1977</v>
      </c>
      <c r="E687" s="6" t="s">
        <v>1386</v>
      </c>
      <c r="F687" s="6" t="s">
        <v>46</v>
      </c>
      <c r="G687" s="6" t="s">
        <v>3251</v>
      </c>
      <c r="H687" s="7">
        <v>34.979999999999997</v>
      </c>
      <c r="I687" s="19" t="s">
        <v>1589</v>
      </c>
      <c r="J687" s="19" t="s">
        <v>2001</v>
      </c>
      <c r="K687" s="20" t="s">
        <v>2002</v>
      </c>
      <c r="L687" s="20" t="s">
        <v>2003</v>
      </c>
      <c r="M687" s="20" t="s">
        <v>2004</v>
      </c>
      <c r="N687" s="20" t="s">
        <v>2005</v>
      </c>
      <c r="O687" s="20" t="s">
        <v>3246</v>
      </c>
      <c r="P687" s="20" t="s">
        <v>3247</v>
      </c>
      <c r="Q687" s="20" t="s">
        <v>3248</v>
      </c>
      <c r="R687" s="5" t="s">
        <v>3249</v>
      </c>
      <c r="W687" s="20" t="s">
        <v>2010</v>
      </c>
      <c r="X687" s="20" t="s">
        <v>2011</v>
      </c>
      <c r="Y687" s="20" t="s">
        <v>2012</v>
      </c>
      <c r="Z687" s="20" t="s">
        <v>2013</v>
      </c>
      <c r="AG687" s="14" t="s">
        <v>55</v>
      </c>
      <c r="AH687" s="14" t="s">
        <v>1603</v>
      </c>
      <c r="AI687" s="14" t="s">
        <v>124</v>
      </c>
    </row>
    <row r="688" spans="1:37">
      <c r="A688" s="5" t="s">
        <v>3252</v>
      </c>
      <c r="B688" s="5" t="s">
        <v>3243</v>
      </c>
      <c r="C688" s="6" t="s">
        <v>3244</v>
      </c>
      <c r="D688" s="6" t="s">
        <v>1977</v>
      </c>
      <c r="E688" s="6" t="s">
        <v>2015</v>
      </c>
      <c r="F688" s="6" t="s">
        <v>46</v>
      </c>
      <c r="G688" s="6" t="s">
        <v>3253</v>
      </c>
      <c r="H688" s="7">
        <v>34.979999999999997</v>
      </c>
      <c r="I688" s="19" t="s">
        <v>1589</v>
      </c>
      <c r="J688" s="19" t="s">
        <v>2001</v>
      </c>
      <c r="K688" s="20" t="s">
        <v>2002</v>
      </c>
      <c r="L688" s="20" t="s">
        <v>2003</v>
      </c>
      <c r="M688" s="20" t="s">
        <v>2004</v>
      </c>
      <c r="N688" s="20" t="s">
        <v>2005</v>
      </c>
      <c r="O688" s="20" t="s">
        <v>3246</v>
      </c>
      <c r="P688" s="20" t="s">
        <v>3247</v>
      </c>
      <c r="Q688" s="20" t="s">
        <v>3248</v>
      </c>
      <c r="R688" s="5" t="s">
        <v>3249</v>
      </c>
      <c r="W688" s="20" t="s">
        <v>2010</v>
      </c>
      <c r="X688" s="20" t="s">
        <v>2011</v>
      </c>
      <c r="Y688" s="20" t="s">
        <v>2012</v>
      </c>
      <c r="Z688" s="20" t="s">
        <v>2013</v>
      </c>
      <c r="AG688" s="14" t="s">
        <v>55</v>
      </c>
      <c r="AH688" s="14" t="s">
        <v>1603</v>
      </c>
      <c r="AI688" s="14" t="s">
        <v>124</v>
      </c>
    </row>
    <row r="689" spans="1:35">
      <c r="A689" s="5" t="s">
        <v>3254</v>
      </c>
      <c r="B689" s="5" t="s">
        <v>3255</v>
      </c>
      <c r="C689" s="6" t="s">
        <v>43</v>
      </c>
      <c r="D689" s="6" t="s">
        <v>1977</v>
      </c>
      <c r="E689" s="6" t="s">
        <v>2139</v>
      </c>
      <c r="F689" s="6" t="s">
        <v>46</v>
      </c>
      <c r="G689" s="6" t="s">
        <v>3256</v>
      </c>
      <c r="H689" s="7">
        <v>44.09</v>
      </c>
      <c r="I689" s="19" t="s">
        <v>1589</v>
      </c>
      <c r="J689" s="19" t="s">
        <v>2001</v>
      </c>
      <c r="K689" s="20" t="s">
        <v>2023</v>
      </c>
      <c r="L689" s="20" t="s">
        <v>2024</v>
      </c>
      <c r="M689" s="20" t="s">
        <v>2025</v>
      </c>
      <c r="N689" s="20" t="s">
        <v>2026</v>
      </c>
      <c r="O689" s="20" t="s">
        <v>3257</v>
      </c>
      <c r="P689" s="20" t="s">
        <v>3258</v>
      </c>
      <c r="Q689" s="20" t="s">
        <v>3259</v>
      </c>
      <c r="R689" s="5" t="s">
        <v>3260</v>
      </c>
      <c r="W689" s="20" t="s">
        <v>2010</v>
      </c>
      <c r="X689" s="20" t="s">
        <v>2011</v>
      </c>
      <c r="Y689" s="20" t="s">
        <v>2012</v>
      </c>
      <c r="Z689" s="20" t="s">
        <v>2013</v>
      </c>
      <c r="AG689" s="14" t="s">
        <v>55</v>
      </c>
      <c r="AH689" s="14" t="s">
        <v>1603</v>
      </c>
      <c r="AI689" s="14" t="s">
        <v>124</v>
      </c>
    </row>
    <row r="690" spans="1:35">
      <c r="A690" s="5" t="s">
        <v>3261</v>
      </c>
      <c r="B690" s="5" t="s">
        <v>3255</v>
      </c>
      <c r="C690" s="6" t="s">
        <v>43</v>
      </c>
      <c r="D690" s="6" t="s">
        <v>1977</v>
      </c>
      <c r="E690" s="6" t="s">
        <v>2827</v>
      </c>
      <c r="F690" s="6" t="s">
        <v>46</v>
      </c>
      <c r="G690" s="6" t="s">
        <v>3262</v>
      </c>
      <c r="H690" s="7">
        <v>44.09</v>
      </c>
      <c r="I690" s="19" t="s">
        <v>1589</v>
      </c>
      <c r="J690" s="19" t="s">
        <v>2001</v>
      </c>
      <c r="K690" s="20" t="s">
        <v>2023</v>
      </c>
      <c r="L690" s="20" t="s">
        <v>2024</v>
      </c>
      <c r="M690" s="20" t="s">
        <v>2025</v>
      </c>
      <c r="N690" s="20" t="s">
        <v>2026</v>
      </c>
      <c r="O690" s="20" t="s">
        <v>3257</v>
      </c>
      <c r="P690" s="20" t="s">
        <v>3258</v>
      </c>
      <c r="Q690" s="20" t="s">
        <v>3259</v>
      </c>
      <c r="R690" s="5" t="s">
        <v>3260</v>
      </c>
      <c r="W690" s="20" t="s">
        <v>2010</v>
      </c>
      <c r="X690" s="20" t="s">
        <v>2011</v>
      </c>
      <c r="Y690" s="20" t="s">
        <v>2012</v>
      </c>
      <c r="Z690" s="20" t="s">
        <v>2013</v>
      </c>
      <c r="AG690" s="14" t="s">
        <v>55</v>
      </c>
      <c r="AH690" s="14" t="s">
        <v>1603</v>
      </c>
      <c r="AI690" s="14" t="s">
        <v>124</v>
      </c>
    </row>
    <row r="691" spans="1:35">
      <c r="A691" s="5" t="s">
        <v>3263</v>
      </c>
      <c r="B691" s="5" t="s">
        <v>3255</v>
      </c>
      <c r="C691" s="6" t="s">
        <v>43</v>
      </c>
      <c r="D691" s="6" t="s">
        <v>1977</v>
      </c>
      <c r="E691" s="6" t="s">
        <v>1386</v>
      </c>
      <c r="F691" s="6" t="s">
        <v>46</v>
      </c>
      <c r="G691" s="6" t="s">
        <v>3264</v>
      </c>
      <c r="H691" s="7">
        <v>44.09</v>
      </c>
      <c r="I691" s="19" t="s">
        <v>1589</v>
      </c>
      <c r="J691" s="19" t="s">
        <v>2001</v>
      </c>
      <c r="K691" s="20" t="s">
        <v>2023</v>
      </c>
      <c r="L691" s="20" t="s">
        <v>2024</v>
      </c>
      <c r="M691" s="20" t="s">
        <v>2025</v>
      </c>
      <c r="N691" s="20" t="s">
        <v>2026</v>
      </c>
      <c r="O691" s="20" t="s">
        <v>3257</v>
      </c>
      <c r="P691" s="20" t="s">
        <v>3258</v>
      </c>
      <c r="Q691" s="20" t="s">
        <v>3259</v>
      </c>
      <c r="R691" s="5" t="s">
        <v>3260</v>
      </c>
      <c r="W691" s="20" t="s">
        <v>2010</v>
      </c>
      <c r="X691" s="20" t="s">
        <v>2011</v>
      </c>
      <c r="Y691" s="20" t="s">
        <v>2012</v>
      </c>
      <c r="Z691" s="20" t="s">
        <v>2013</v>
      </c>
      <c r="AG691" s="14" t="s">
        <v>55</v>
      </c>
      <c r="AH691" s="14" t="s">
        <v>1603</v>
      </c>
      <c r="AI691" s="14" t="s">
        <v>124</v>
      </c>
    </row>
    <row r="692" spans="1:35">
      <c r="A692" s="5" t="s">
        <v>3265</v>
      </c>
      <c r="B692" s="5" t="s">
        <v>3255</v>
      </c>
      <c r="C692" s="6" t="s">
        <v>43</v>
      </c>
      <c r="D692" s="6" t="s">
        <v>1977</v>
      </c>
      <c r="E692" s="6" t="s">
        <v>2015</v>
      </c>
      <c r="F692" s="6" t="s">
        <v>46</v>
      </c>
      <c r="G692" s="6" t="s">
        <v>3266</v>
      </c>
      <c r="H692" s="7">
        <v>44.09</v>
      </c>
      <c r="I692" s="19" t="s">
        <v>1589</v>
      </c>
      <c r="J692" s="19" t="s">
        <v>2001</v>
      </c>
      <c r="K692" s="20" t="s">
        <v>2023</v>
      </c>
      <c r="L692" s="20" t="s">
        <v>2024</v>
      </c>
      <c r="M692" s="20" t="s">
        <v>2025</v>
      </c>
      <c r="N692" s="20" t="s">
        <v>2026</v>
      </c>
      <c r="O692" s="20" t="s">
        <v>3257</v>
      </c>
      <c r="P692" s="20" t="s">
        <v>3258</v>
      </c>
      <c r="Q692" s="20" t="s">
        <v>3259</v>
      </c>
      <c r="R692" s="5" t="s">
        <v>3260</v>
      </c>
      <c r="W692" s="20" t="s">
        <v>2010</v>
      </c>
      <c r="X692" s="20" t="s">
        <v>2011</v>
      </c>
      <c r="Y692" s="20" t="s">
        <v>2012</v>
      </c>
      <c r="Z692" s="20" t="s">
        <v>2013</v>
      </c>
      <c r="AG692" s="14" t="s">
        <v>55</v>
      </c>
      <c r="AH692" s="14" t="s">
        <v>1603</v>
      </c>
      <c r="AI692" s="14" t="s">
        <v>124</v>
      </c>
    </row>
    <row r="693" spans="1:35">
      <c r="A693" s="5" t="s">
        <v>3267</v>
      </c>
      <c r="B693" s="5" t="s">
        <v>3255</v>
      </c>
      <c r="C693" s="6" t="s">
        <v>43</v>
      </c>
      <c r="D693" s="6" t="s">
        <v>1977</v>
      </c>
      <c r="E693" s="6" t="s">
        <v>2839</v>
      </c>
      <c r="F693" s="6" t="s">
        <v>46</v>
      </c>
      <c r="G693" s="6" t="s">
        <v>3268</v>
      </c>
      <c r="H693" s="7">
        <v>44.09</v>
      </c>
      <c r="I693" s="19" t="s">
        <v>1589</v>
      </c>
      <c r="J693" s="19" t="s">
        <v>2001</v>
      </c>
      <c r="K693" s="20" t="s">
        <v>2023</v>
      </c>
      <c r="L693" s="20" t="s">
        <v>2024</v>
      </c>
      <c r="M693" s="20" t="s">
        <v>2025</v>
      </c>
      <c r="N693" s="20" t="s">
        <v>2026</v>
      </c>
      <c r="O693" s="20" t="s">
        <v>3257</v>
      </c>
      <c r="P693" s="20" t="s">
        <v>3258</v>
      </c>
      <c r="Q693" s="20" t="s">
        <v>3259</v>
      </c>
      <c r="R693" s="5" t="s">
        <v>3260</v>
      </c>
      <c r="W693" s="20" t="s">
        <v>2010</v>
      </c>
      <c r="X693" s="20" t="s">
        <v>2011</v>
      </c>
      <c r="Y693" s="20" t="s">
        <v>2012</v>
      </c>
      <c r="Z693" s="20" t="s">
        <v>2013</v>
      </c>
      <c r="AG693" s="14" t="s">
        <v>55</v>
      </c>
      <c r="AH693" s="14" t="s">
        <v>1603</v>
      </c>
      <c r="AI693" s="14" t="s">
        <v>124</v>
      </c>
    </row>
    <row r="694" spans="1:35">
      <c r="A694" s="5" t="s">
        <v>3269</v>
      </c>
      <c r="B694" s="5" t="s">
        <v>3270</v>
      </c>
      <c r="C694" s="6" t="s">
        <v>43</v>
      </c>
      <c r="D694" s="6" t="s">
        <v>1977</v>
      </c>
      <c r="E694" s="6" t="s">
        <v>1386</v>
      </c>
      <c r="F694" s="6" t="s">
        <v>46</v>
      </c>
      <c r="G694" s="6" t="s">
        <v>3271</v>
      </c>
      <c r="H694" s="7">
        <v>46.46</v>
      </c>
      <c r="I694" s="19" t="s">
        <v>1589</v>
      </c>
      <c r="J694" s="19" t="s">
        <v>2001</v>
      </c>
      <c r="K694" s="20" t="s">
        <v>2036</v>
      </c>
      <c r="L694" s="20" t="s">
        <v>2037</v>
      </c>
      <c r="M694" s="20" t="s">
        <v>2038</v>
      </c>
      <c r="N694" s="20" t="s">
        <v>2039</v>
      </c>
      <c r="O694" s="20" t="s">
        <v>3272</v>
      </c>
      <c r="P694" s="20" t="s">
        <v>3273</v>
      </c>
      <c r="Q694" s="20" t="s">
        <v>2049</v>
      </c>
      <c r="R694" s="5" t="s">
        <v>3274</v>
      </c>
      <c r="W694" s="20" t="s">
        <v>2010</v>
      </c>
      <c r="X694" s="20" t="s">
        <v>2011</v>
      </c>
      <c r="Y694" s="20" t="s">
        <v>2012</v>
      </c>
      <c r="Z694" s="20" t="s">
        <v>2013</v>
      </c>
      <c r="AG694" s="14" t="s">
        <v>55</v>
      </c>
      <c r="AH694" s="14" t="s">
        <v>1603</v>
      </c>
      <c r="AI694" s="14" t="s">
        <v>124</v>
      </c>
    </row>
    <row r="695" spans="1:35">
      <c r="A695" s="5" t="s">
        <v>3275</v>
      </c>
      <c r="B695" s="5" t="s">
        <v>3270</v>
      </c>
      <c r="C695" s="6" t="s">
        <v>43</v>
      </c>
      <c r="D695" s="6" t="s">
        <v>1977</v>
      </c>
      <c r="E695" s="6" t="s">
        <v>2015</v>
      </c>
      <c r="F695" s="6" t="s">
        <v>46</v>
      </c>
      <c r="G695" s="6" t="s">
        <v>3276</v>
      </c>
      <c r="H695" s="7">
        <v>46.46</v>
      </c>
      <c r="I695" s="19" t="s">
        <v>1589</v>
      </c>
      <c r="J695" s="19" t="s">
        <v>2001</v>
      </c>
      <c r="K695" s="20" t="s">
        <v>2036</v>
      </c>
      <c r="L695" s="20" t="s">
        <v>2037</v>
      </c>
      <c r="M695" s="20" t="s">
        <v>2038</v>
      </c>
      <c r="N695" s="20" t="s">
        <v>2039</v>
      </c>
      <c r="O695" s="20" t="s">
        <v>3272</v>
      </c>
      <c r="P695" s="20" t="s">
        <v>3273</v>
      </c>
      <c r="Q695" s="20" t="s">
        <v>2049</v>
      </c>
      <c r="R695" s="5" t="s">
        <v>3274</v>
      </c>
      <c r="W695" s="20" t="s">
        <v>2010</v>
      </c>
      <c r="X695" s="20" t="s">
        <v>2011</v>
      </c>
      <c r="Y695" s="20" t="s">
        <v>2012</v>
      </c>
      <c r="Z695" s="20" t="s">
        <v>2013</v>
      </c>
      <c r="AG695" s="14" t="s">
        <v>55</v>
      </c>
      <c r="AH695" s="14" t="s">
        <v>1603</v>
      </c>
      <c r="AI695" s="14" t="s">
        <v>124</v>
      </c>
    </row>
    <row r="696" spans="1:35">
      <c r="A696" s="5" t="s">
        <v>3277</v>
      </c>
      <c r="B696" s="5" t="s">
        <v>3278</v>
      </c>
      <c r="C696" s="6" t="s">
        <v>3279</v>
      </c>
      <c r="D696" s="6" t="s">
        <v>1977</v>
      </c>
      <c r="E696" s="6" t="s">
        <v>1386</v>
      </c>
      <c r="F696" s="6" t="s">
        <v>46</v>
      </c>
      <c r="G696" s="6" t="s">
        <v>3280</v>
      </c>
      <c r="H696" s="7">
        <v>80.260000000000005</v>
      </c>
      <c r="I696" s="19" t="s">
        <v>1589</v>
      </c>
      <c r="J696" s="19" t="s">
        <v>2001</v>
      </c>
      <c r="K696" s="20" t="s">
        <v>2054</v>
      </c>
      <c r="L696" s="20" t="s">
        <v>2055</v>
      </c>
      <c r="M696" s="20" t="s">
        <v>2056</v>
      </c>
      <c r="N696" s="20" t="s">
        <v>2057</v>
      </c>
      <c r="O696" s="20" t="s">
        <v>3281</v>
      </c>
      <c r="P696" s="20" t="s">
        <v>3282</v>
      </c>
      <c r="Q696" s="20" t="s">
        <v>3283</v>
      </c>
      <c r="R696" s="5" t="s">
        <v>3284</v>
      </c>
      <c r="W696" s="20" t="s">
        <v>2010</v>
      </c>
      <c r="X696" s="20" t="s">
        <v>2011</v>
      </c>
      <c r="Y696" s="20" t="s">
        <v>2012</v>
      </c>
      <c r="Z696" s="20" t="s">
        <v>2013</v>
      </c>
      <c r="AG696" s="14" t="s">
        <v>55</v>
      </c>
      <c r="AH696" s="14" t="s">
        <v>1603</v>
      </c>
      <c r="AI696" s="14" t="s">
        <v>124</v>
      </c>
    </row>
    <row r="697" spans="1:35">
      <c r="A697" s="5" t="s">
        <v>3285</v>
      </c>
      <c r="B697" s="5" t="s">
        <v>3278</v>
      </c>
      <c r="C697" s="6" t="s">
        <v>3279</v>
      </c>
      <c r="D697" s="6" t="s">
        <v>1977</v>
      </c>
      <c r="E697" s="6" t="s">
        <v>2015</v>
      </c>
      <c r="F697" s="6" t="s">
        <v>46</v>
      </c>
      <c r="G697" s="6" t="s">
        <v>3286</v>
      </c>
      <c r="H697" s="7">
        <v>80.260000000000005</v>
      </c>
      <c r="I697" s="19" t="s">
        <v>1589</v>
      </c>
      <c r="J697" s="19" t="s">
        <v>2001</v>
      </c>
      <c r="K697" s="20" t="s">
        <v>2054</v>
      </c>
      <c r="L697" s="20" t="s">
        <v>2055</v>
      </c>
      <c r="M697" s="20" t="s">
        <v>2056</v>
      </c>
      <c r="N697" s="20" t="s">
        <v>2057</v>
      </c>
      <c r="O697" s="20" t="s">
        <v>3281</v>
      </c>
      <c r="P697" s="20" t="s">
        <v>3282</v>
      </c>
      <c r="Q697" s="20" t="s">
        <v>3283</v>
      </c>
      <c r="R697" s="5" t="s">
        <v>3284</v>
      </c>
      <c r="W697" s="20" t="s">
        <v>2010</v>
      </c>
      <c r="X697" s="20" t="s">
        <v>2011</v>
      </c>
      <c r="Y697" s="20" t="s">
        <v>2012</v>
      </c>
      <c r="Z697" s="20" t="s">
        <v>2013</v>
      </c>
      <c r="AG697" s="14" t="s">
        <v>55</v>
      </c>
      <c r="AH697" s="14" t="s">
        <v>1603</v>
      </c>
      <c r="AI697" s="14" t="s">
        <v>124</v>
      </c>
    </row>
    <row r="698" spans="1:35">
      <c r="A698" s="5" t="s">
        <v>3287</v>
      </c>
      <c r="B698" s="5" t="s">
        <v>3288</v>
      </c>
      <c r="C698" s="6" t="s">
        <v>43</v>
      </c>
      <c r="D698" s="6" t="s">
        <v>2069</v>
      </c>
      <c r="E698" s="6" t="s">
        <v>2015</v>
      </c>
      <c r="F698" s="6" t="s">
        <v>46</v>
      </c>
      <c r="G698" s="6" t="s">
        <v>3289</v>
      </c>
      <c r="H698" s="7">
        <v>71.48</v>
      </c>
      <c r="I698" s="19" t="s">
        <v>1589</v>
      </c>
      <c r="J698" s="19" t="s">
        <v>2078</v>
      </c>
      <c r="K698" s="5" t="s">
        <v>2079</v>
      </c>
      <c r="L698" s="5" t="s">
        <v>2080</v>
      </c>
      <c r="M698" s="5" t="s">
        <v>2081</v>
      </c>
      <c r="N698" s="5" t="s">
        <v>2082</v>
      </c>
      <c r="O698" s="5" t="s">
        <v>3290</v>
      </c>
      <c r="P698" s="5" t="s">
        <v>3291</v>
      </c>
      <c r="Q698" s="5" t="s">
        <v>3292</v>
      </c>
      <c r="R698" s="5"/>
      <c r="Y698" s="5" t="s">
        <v>2086</v>
      </c>
      <c r="AG698" s="14" t="s">
        <v>55</v>
      </c>
      <c r="AH698" s="14" t="s">
        <v>1603</v>
      </c>
      <c r="AI698" s="14" t="s">
        <v>2087</v>
      </c>
    </row>
    <row r="699" spans="1:35">
      <c r="A699" s="5" t="s">
        <v>3293</v>
      </c>
      <c r="B699" s="5" t="s">
        <v>3288</v>
      </c>
      <c r="C699" s="6" t="s">
        <v>43</v>
      </c>
      <c r="D699" s="6" t="s">
        <v>2069</v>
      </c>
      <c r="E699" s="6" t="s">
        <v>2070</v>
      </c>
      <c r="F699" s="6" t="s">
        <v>46</v>
      </c>
      <c r="G699" s="6" t="s">
        <v>3294</v>
      </c>
      <c r="H699" s="7">
        <v>71.48</v>
      </c>
      <c r="I699" s="19" t="s">
        <v>1589</v>
      </c>
      <c r="J699" s="19" t="s">
        <v>2078</v>
      </c>
      <c r="K699" s="5" t="s">
        <v>2079</v>
      </c>
      <c r="L699" s="5" t="s">
        <v>2080</v>
      </c>
      <c r="M699" s="5" t="s">
        <v>2081</v>
      </c>
      <c r="N699" s="5" t="s">
        <v>2082</v>
      </c>
      <c r="O699" s="5" t="s">
        <v>3290</v>
      </c>
      <c r="P699" s="5" t="s">
        <v>3291</v>
      </c>
      <c r="Q699" s="5" t="s">
        <v>3292</v>
      </c>
      <c r="R699" s="5"/>
      <c r="Y699" s="5" t="s">
        <v>2086</v>
      </c>
      <c r="AG699" s="14" t="s">
        <v>55</v>
      </c>
      <c r="AH699" s="14" t="s">
        <v>1603</v>
      </c>
      <c r="AI699" s="14" t="s">
        <v>2087</v>
      </c>
    </row>
    <row r="700" spans="1:35">
      <c r="A700" s="5" t="s">
        <v>3295</v>
      </c>
      <c r="B700" s="5" t="s">
        <v>3288</v>
      </c>
      <c r="C700" s="6" t="s">
        <v>43</v>
      </c>
      <c r="D700" s="6" t="s">
        <v>2069</v>
      </c>
      <c r="E700" s="6" t="s">
        <v>2092</v>
      </c>
      <c r="F700" s="6" t="s">
        <v>46</v>
      </c>
      <c r="G700" s="6" t="s">
        <v>3296</v>
      </c>
      <c r="H700" s="7">
        <v>71.48</v>
      </c>
      <c r="I700" s="19" t="s">
        <v>1589</v>
      </c>
      <c r="J700" s="19" t="s">
        <v>2078</v>
      </c>
      <c r="K700" s="5" t="s">
        <v>2079</v>
      </c>
      <c r="L700" s="5" t="s">
        <v>2080</v>
      </c>
      <c r="M700" s="5" t="s">
        <v>2081</v>
      </c>
      <c r="N700" s="5" t="s">
        <v>2082</v>
      </c>
      <c r="O700" s="5" t="s">
        <v>3290</v>
      </c>
      <c r="P700" s="5" t="s">
        <v>3297</v>
      </c>
      <c r="Q700" s="5" t="s">
        <v>3292</v>
      </c>
      <c r="R700" s="5"/>
      <c r="Y700" s="5" t="s">
        <v>2086</v>
      </c>
      <c r="AG700" s="14" t="s">
        <v>55</v>
      </c>
      <c r="AH700" s="14" t="s">
        <v>1603</v>
      </c>
      <c r="AI700" s="14" t="s">
        <v>2087</v>
      </c>
    </row>
    <row r="701" spans="1:35">
      <c r="A701" s="5" t="s">
        <v>3298</v>
      </c>
      <c r="B701" s="5" t="s">
        <v>3299</v>
      </c>
      <c r="C701" s="6" t="s">
        <v>43</v>
      </c>
      <c r="D701" s="6" t="s">
        <v>2069</v>
      </c>
      <c r="E701" s="6" t="s">
        <v>2070</v>
      </c>
      <c r="F701" s="6" t="s">
        <v>46</v>
      </c>
      <c r="G701" s="6" t="s">
        <v>3300</v>
      </c>
      <c r="H701" s="7">
        <v>106.85</v>
      </c>
      <c r="I701" s="19" t="s">
        <v>1589</v>
      </c>
      <c r="J701" s="19" t="s">
        <v>2078</v>
      </c>
      <c r="K701" s="5" t="s">
        <v>2097</v>
      </c>
      <c r="L701" s="5" t="s">
        <v>2098</v>
      </c>
      <c r="M701" s="5" t="s">
        <v>2099</v>
      </c>
      <c r="N701" s="5" t="s">
        <v>2100</v>
      </c>
      <c r="O701" s="5" t="s">
        <v>3301</v>
      </c>
      <c r="P701" s="5" t="s">
        <v>3302</v>
      </c>
      <c r="Q701" s="5" t="s">
        <v>3303</v>
      </c>
      <c r="R701" s="5"/>
      <c r="Y701" s="5" t="s">
        <v>2086</v>
      </c>
      <c r="AG701" s="14" t="s">
        <v>55</v>
      </c>
      <c r="AH701" s="14" t="s">
        <v>1603</v>
      </c>
      <c r="AI701" s="14" t="s">
        <v>2087</v>
      </c>
    </row>
    <row r="702" spans="1:35">
      <c r="A702" s="5" t="s">
        <v>3304</v>
      </c>
      <c r="B702" s="5" t="s">
        <v>3299</v>
      </c>
      <c r="C702" s="6" t="s">
        <v>43</v>
      </c>
      <c r="D702" s="6" t="s">
        <v>2069</v>
      </c>
      <c r="E702" s="6" t="s">
        <v>1540</v>
      </c>
      <c r="F702" s="6" t="s">
        <v>46</v>
      </c>
      <c r="G702" s="6" t="s">
        <v>3305</v>
      </c>
      <c r="H702" s="7">
        <v>106.85</v>
      </c>
      <c r="I702" s="19" t="s">
        <v>1589</v>
      </c>
      <c r="J702" s="19" t="s">
        <v>2078</v>
      </c>
      <c r="K702" s="5" t="s">
        <v>2097</v>
      </c>
      <c r="L702" s="5" t="s">
        <v>2098</v>
      </c>
      <c r="M702" s="5" t="s">
        <v>2099</v>
      </c>
      <c r="N702" s="5" t="s">
        <v>2100</v>
      </c>
      <c r="O702" s="5" t="s">
        <v>3301</v>
      </c>
      <c r="P702" s="5" t="s">
        <v>3302</v>
      </c>
      <c r="Q702" s="5" t="s">
        <v>3303</v>
      </c>
      <c r="R702" s="5"/>
      <c r="Y702" s="5" t="s">
        <v>2086</v>
      </c>
      <c r="AG702" s="14" t="s">
        <v>55</v>
      </c>
      <c r="AH702" s="14" t="s">
        <v>1603</v>
      </c>
      <c r="AI702" s="14" t="s">
        <v>2087</v>
      </c>
    </row>
    <row r="703" spans="1:35">
      <c r="A703" s="5" t="s">
        <v>3306</v>
      </c>
      <c r="B703" s="5" t="s">
        <v>3307</v>
      </c>
      <c r="C703" s="6" t="s">
        <v>43</v>
      </c>
      <c r="D703" s="6" t="s">
        <v>2114</v>
      </c>
      <c r="E703" s="6" t="s">
        <v>2139</v>
      </c>
      <c r="F703" s="6" t="s">
        <v>46</v>
      </c>
      <c r="G703" s="6" t="s">
        <v>3308</v>
      </c>
      <c r="H703" s="7">
        <v>39.93</v>
      </c>
      <c r="I703" s="19" t="s">
        <v>1589</v>
      </c>
      <c r="J703" s="19" t="s">
        <v>2001</v>
      </c>
      <c r="K703" s="5" t="s">
        <v>2116</v>
      </c>
      <c r="L703" s="5" t="s">
        <v>2117</v>
      </c>
      <c r="M703" s="5" t="s">
        <v>2118</v>
      </c>
      <c r="N703" s="5" t="s">
        <v>2119</v>
      </c>
      <c r="O703" s="5" t="s">
        <v>3309</v>
      </c>
      <c r="P703" s="5" t="s">
        <v>3310</v>
      </c>
      <c r="Q703" s="5" t="s">
        <v>2122</v>
      </c>
      <c r="R703" s="5"/>
      <c r="W703" s="5" t="s">
        <v>2123</v>
      </c>
      <c r="X703" s="5" t="s">
        <v>2011</v>
      </c>
      <c r="Y703" s="5" t="s">
        <v>2012</v>
      </c>
      <c r="Z703" s="5" t="s">
        <v>2013</v>
      </c>
      <c r="AG703" s="14" t="s">
        <v>55</v>
      </c>
      <c r="AH703" s="14" t="s">
        <v>1603</v>
      </c>
      <c r="AI703" s="14" t="s">
        <v>124</v>
      </c>
    </row>
    <row r="704" spans="1:35">
      <c r="A704" s="5" t="s">
        <v>3311</v>
      </c>
      <c r="B704" s="5" t="s">
        <v>3307</v>
      </c>
      <c r="C704" s="6" t="s">
        <v>43</v>
      </c>
      <c r="D704" s="6" t="s">
        <v>2114</v>
      </c>
      <c r="E704" s="6" t="s">
        <v>1386</v>
      </c>
      <c r="F704" s="6" t="s">
        <v>46</v>
      </c>
      <c r="G704" s="6" t="s">
        <v>3312</v>
      </c>
      <c r="H704" s="7">
        <v>39.93</v>
      </c>
      <c r="I704" s="19" t="s">
        <v>1589</v>
      </c>
      <c r="J704" s="19" t="s">
        <v>2001</v>
      </c>
      <c r="K704" s="5" t="s">
        <v>2116</v>
      </c>
      <c r="L704" s="5" t="s">
        <v>2117</v>
      </c>
      <c r="M704" s="5" t="s">
        <v>2118</v>
      </c>
      <c r="N704" s="5" t="s">
        <v>2119</v>
      </c>
      <c r="O704" s="5" t="s">
        <v>3309</v>
      </c>
      <c r="P704" s="5" t="s">
        <v>3310</v>
      </c>
      <c r="Q704" s="5" t="s">
        <v>3313</v>
      </c>
      <c r="R704" s="5"/>
      <c r="W704" s="5" t="s">
        <v>2123</v>
      </c>
      <c r="X704" s="5" t="s">
        <v>2011</v>
      </c>
      <c r="Y704" s="5" t="s">
        <v>2012</v>
      </c>
      <c r="Z704" s="5" t="s">
        <v>2013</v>
      </c>
      <c r="AG704" s="14" t="s">
        <v>55</v>
      </c>
      <c r="AH704" s="14" t="s">
        <v>1603</v>
      </c>
      <c r="AI704" s="14" t="s">
        <v>124</v>
      </c>
    </row>
    <row r="705" spans="1:37">
      <c r="A705" s="5" t="s">
        <v>3314</v>
      </c>
      <c r="B705" s="5" t="s">
        <v>3307</v>
      </c>
      <c r="C705" s="6" t="s">
        <v>43</v>
      </c>
      <c r="D705" s="6" t="s">
        <v>2114</v>
      </c>
      <c r="E705" s="6" t="s">
        <v>2015</v>
      </c>
      <c r="F705" s="6" t="s">
        <v>46</v>
      </c>
      <c r="G705" s="6" t="s">
        <v>3315</v>
      </c>
      <c r="H705" s="7">
        <v>39.93</v>
      </c>
      <c r="I705" s="19" t="s">
        <v>1589</v>
      </c>
      <c r="J705" s="19" t="s">
        <v>2001</v>
      </c>
      <c r="K705" s="5" t="s">
        <v>2116</v>
      </c>
      <c r="L705" s="5" t="s">
        <v>2117</v>
      </c>
      <c r="M705" s="5" t="s">
        <v>2118</v>
      </c>
      <c r="N705" s="5" t="s">
        <v>2119</v>
      </c>
      <c r="O705" s="5" t="s">
        <v>3309</v>
      </c>
      <c r="P705" s="5" t="s">
        <v>3310</v>
      </c>
      <c r="Q705" s="5" t="s">
        <v>3313</v>
      </c>
      <c r="R705" s="5"/>
      <c r="W705" s="5" t="s">
        <v>2123</v>
      </c>
      <c r="X705" s="5" t="s">
        <v>2011</v>
      </c>
      <c r="Y705" s="5" t="s">
        <v>2012</v>
      </c>
      <c r="Z705" s="5" t="s">
        <v>2013</v>
      </c>
      <c r="AG705" s="14" t="s">
        <v>55</v>
      </c>
      <c r="AH705" s="14" t="s">
        <v>1603</v>
      </c>
      <c r="AI705" s="14" t="s">
        <v>124</v>
      </c>
    </row>
    <row r="706" spans="1:37">
      <c r="A706" s="5" t="s">
        <v>3316</v>
      </c>
      <c r="B706" s="5" t="s">
        <v>3317</v>
      </c>
      <c r="C706" s="6" t="s">
        <v>43</v>
      </c>
      <c r="D706" s="6" t="s">
        <v>2114</v>
      </c>
      <c r="E706" s="6" t="s">
        <v>2129</v>
      </c>
      <c r="F706" s="6" t="s">
        <v>46</v>
      </c>
      <c r="G706" s="6" t="s">
        <v>2713</v>
      </c>
      <c r="H706" s="7">
        <v>52</v>
      </c>
      <c r="I706" s="19" t="s">
        <v>1589</v>
      </c>
      <c r="J706" s="19" t="s">
        <v>2001</v>
      </c>
      <c r="K706" s="5" t="s">
        <v>2131</v>
      </c>
      <c r="L706" s="5" t="s">
        <v>2132</v>
      </c>
      <c r="M706" s="5" t="s">
        <v>2133</v>
      </c>
      <c r="N706" s="5" t="s">
        <v>2134</v>
      </c>
      <c r="O706" s="5" t="s">
        <v>3318</v>
      </c>
      <c r="P706" s="5" t="s">
        <v>3319</v>
      </c>
      <c r="Q706" s="5" t="s">
        <v>3320</v>
      </c>
      <c r="R706" s="5"/>
      <c r="W706" s="5" t="s">
        <v>2123</v>
      </c>
      <c r="X706" s="5" t="s">
        <v>2011</v>
      </c>
      <c r="Y706" s="5" t="s">
        <v>2012</v>
      </c>
      <c r="Z706" s="5" t="s">
        <v>2013</v>
      </c>
      <c r="AG706" s="14" t="s">
        <v>55</v>
      </c>
      <c r="AH706" s="14" t="s">
        <v>1603</v>
      </c>
      <c r="AI706" s="14" t="s">
        <v>124</v>
      </c>
    </row>
    <row r="707" spans="1:37">
      <c r="A707" s="5" t="s">
        <v>3321</v>
      </c>
      <c r="B707" s="5" t="s">
        <v>3317</v>
      </c>
      <c r="C707" s="6" t="s">
        <v>43</v>
      </c>
      <c r="D707" s="6" t="s">
        <v>2114</v>
      </c>
      <c r="E707" s="6" t="s">
        <v>1386</v>
      </c>
      <c r="F707" s="6" t="s">
        <v>46</v>
      </c>
      <c r="G707" s="6" t="s">
        <v>3322</v>
      </c>
      <c r="H707" s="7">
        <v>52</v>
      </c>
      <c r="I707" s="19" t="s">
        <v>1589</v>
      </c>
      <c r="J707" s="19" t="s">
        <v>2001</v>
      </c>
      <c r="K707" s="5" t="s">
        <v>2131</v>
      </c>
      <c r="L707" s="5" t="s">
        <v>2132</v>
      </c>
      <c r="M707" s="5" t="s">
        <v>2133</v>
      </c>
      <c r="N707" s="5" t="s">
        <v>2134</v>
      </c>
      <c r="O707" s="5" t="s">
        <v>3318</v>
      </c>
      <c r="P707" s="5" t="s">
        <v>3319</v>
      </c>
      <c r="Q707" s="5" t="s">
        <v>3320</v>
      </c>
      <c r="R707" s="5"/>
      <c r="W707" s="5" t="s">
        <v>2123</v>
      </c>
      <c r="X707" s="5" t="s">
        <v>2011</v>
      </c>
      <c r="Y707" s="5" t="s">
        <v>2012</v>
      </c>
      <c r="Z707" s="5" t="s">
        <v>2013</v>
      </c>
      <c r="AG707" s="14" t="s">
        <v>55</v>
      </c>
      <c r="AH707" s="14" t="s">
        <v>1603</v>
      </c>
      <c r="AI707" s="14" t="s">
        <v>124</v>
      </c>
    </row>
    <row r="708" spans="1:37">
      <c r="A708" s="5" t="s">
        <v>3323</v>
      </c>
      <c r="B708" s="5" t="s">
        <v>3317</v>
      </c>
      <c r="C708" s="6" t="s">
        <v>43</v>
      </c>
      <c r="D708" s="6" t="s">
        <v>2114</v>
      </c>
      <c r="E708" s="6" t="s">
        <v>2015</v>
      </c>
      <c r="F708" s="6" t="s">
        <v>46</v>
      </c>
      <c r="G708" s="6" t="s">
        <v>3324</v>
      </c>
      <c r="H708" s="7">
        <v>52</v>
      </c>
      <c r="I708" s="19" t="s">
        <v>1589</v>
      </c>
      <c r="J708" s="19" t="s">
        <v>2001</v>
      </c>
      <c r="K708" s="5" t="s">
        <v>2131</v>
      </c>
      <c r="L708" s="5" t="s">
        <v>2132</v>
      </c>
      <c r="M708" s="5" t="s">
        <v>2133</v>
      </c>
      <c r="N708" s="5" t="s">
        <v>2134</v>
      </c>
      <c r="O708" s="5" t="s">
        <v>3318</v>
      </c>
      <c r="P708" s="5" t="s">
        <v>3319</v>
      </c>
      <c r="Q708" s="5" t="s">
        <v>3320</v>
      </c>
      <c r="R708" s="5"/>
      <c r="W708" s="5" t="s">
        <v>2123</v>
      </c>
      <c r="X708" s="5" t="s">
        <v>2011</v>
      </c>
      <c r="Y708" s="5" t="s">
        <v>2012</v>
      </c>
      <c r="Z708" s="5" t="s">
        <v>2013</v>
      </c>
      <c r="AG708" s="14" t="s">
        <v>55</v>
      </c>
      <c r="AH708" s="14" t="s">
        <v>1603</v>
      </c>
      <c r="AI708" s="14" t="s">
        <v>124</v>
      </c>
    </row>
    <row r="709" spans="1:37">
      <c r="A709" s="5" t="s">
        <v>3325</v>
      </c>
      <c r="B709" s="5" t="s">
        <v>3326</v>
      </c>
      <c r="C709" s="6" t="s">
        <v>43</v>
      </c>
      <c r="D709" s="6" t="s">
        <v>2114</v>
      </c>
      <c r="E709" s="6" t="s">
        <v>1386</v>
      </c>
      <c r="F709" s="6" t="s">
        <v>46</v>
      </c>
      <c r="G709" s="6" t="s">
        <v>3327</v>
      </c>
      <c r="H709" s="7">
        <v>54.91</v>
      </c>
      <c r="I709" s="19" t="s">
        <v>1589</v>
      </c>
      <c r="J709" s="19" t="s">
        <v>2001</v>
      </c>
      <c r="K709" s="6" t="s">
        <v>2148</v>
      </c>
      <c r="L709" s="6" t="s">
        <v>2149</v>
      </c>
      <c r="M709" s="6" t="s">
        <v>2150</v>
      </c>
      <c r="N709" s="6" t="s">
        <v>2151</v>
      </c>
      <c r="O709" s="6" t="s">
        <v>3328</v>
      </c>
      <c r="P709" s="6" t="s">
        <v>3329</v>
      </c>
      <c r="Q709" s="6" t="s">
        <v>3330</v>
      </c>
      <c r="R709" s="5"/>
      <c r="W709" s="20" t="s">
        <v>2010</v>
      </c>
      <c r="X709" s="20" t="s">
        <v>2011</v>
      </c>
      <c r="Y709" s="20" t="s">
        <v>2012</v>
      </c>
      <c r="Z709" s="20" t="s">
        <v>2013</v>
      </c>
      <c r="AG709" s="14" t="s">
        <v>55</v>
      </c>
      <c r="AH709" s="14" t="s">
        <v>1603</v>
      </c>
      <c r="AI709" s="14" t="s">
        <v>124</v>
      </c>
    </row>
    <row r="710" spans="1:37">
      <c r="A710" s="5" t="s">
        <v>3331</v>
      </c>
      <c r="B710" s="5" t="s">
        <v>3326</v>
      </c>
      <c r="C710" s="6" t="s">
        <v>43</v>
      </c>
      <c r="D710" s="6" t="s">
        <v>2114</v>
      </c>
      <c r="E710" s="6" t="s">
        <v>2015</v>
      </c>
      <c r="F710" s="6" t="s">
        <v>46</v>
      </c>
      <c r="G710" s="6" t="s">
        <v>851</v>
      </c>
      <c r="H710" s="7">
        <v>54.91</v>
      </c>
      <c r="I710" s="19" t="s">
        <v>1589</v>
      </c>
      <c r="J710" s="19" t="s">
        <v>2001</v>
      </c>
      <c r="K710" s="6" t="s">
        <v>2148</v>
      </c>
      <c r="L710" s="6" t="s">
        <v>2149</v>
      </c>
      <c r="M710" s="6" t="s">
        <v>2150</v>
      </c>
      <c r="N710" s="6" t="s">
        <v>2151</v>
      </c>
      <c r="O710" s="6" t="s">
        <v>3328</v>
      </c>
      <c r="P710" s="6" t="s">
        <v>3329</v>
      </c>
      <c r="Q710" s="6" t="s">
        <v>3330</v>
      </c>
      <c r="R710" s="5"/>
      <c r="W710" s="20" t="s">
        <v>2010</v>
      </c>
      <c r="X710" s="20" t="s">
        <v>2011</v>
      </c>
      <c r="Y710" s="20" t="s">
        <v>2012</v>
      </c>
      <c r="Z710" s="20" t="s">
        <v>2013</v>
      </c>
      <c r="AG710" s="14" t="s">
        <v>55</v>
      </c>
      <c r="AH710" s="14" t="s">
        <v>1603</v>
      </c>
      <c r="AI710" s="14" t="s">
        <v>124</v>
      </c>
    </row>
    <row r="711" spans="1:37">
      <c r="A711" s="5" t="s">
        <v>3332</v>
      </c>
      <c r="B711" s="5" t="s">
        <v>3333</v>
      </c>
      <c r="C711" s="6" t="s">
        <v>43</v>
      </c>
      <c r="D711" s="6" t="s">
        <v>2114</v>
      </c>
      <c r="E711" s="6" t="s">
        <v>1386</v>
      </c>
      <c r="F711" s="6" t="s">
        <v>46</v>
      </c>
      <c r="G711" s="6" t="s">
        <v>3334</v>
      </c>
      <c r="H711" s="7">
        <v>65.34</v>
      </c>
      <c r="I711" s="19" t="s">
        <v>1589</v>
      </c>
      <c r="J711" s="19" t="s">
        <v>2162</v>
      </c>
      <c r="K711" s="5" t="s">
        <v>2163</v>
      </c>
      <c r="L711" s="5" t="s">
        <v>2164</v>
      </c>
      <c r="M711" s="5" t="s">
        <v>2165</v>
      </c>
      <c r="N711" s="5" t="s">
        <v>3335</v>
      </c>
      <c r="O711" s="5" t="s">
        <v>3336</v>
      </c>
      <c r="P711" s="5" t="s">
        <v>3337</v>
      </c>
      <c r="Q711" s="5" t="s">
        <v>3338</v>
      </c>
      <c r="R711" s="5"/>
      <c r="W711" s="5" t="s">
        <v>2170</v>
      </c>
      <c r="X711" s="5" t="s">
        <v>2171</v>
      </c>
      <c r="Y711" s="5" t="s">
        <v>2172</v>
      </c>
      <c r="Z711" s="5" t="s">
        <v>2173</v>
      </c>
      <c r="AG711" s="14" t="s">
        <v>55</v>
      </c>
      <c r="AH711" s="14" t="s">
        <v>1603</v>
      </c>
      <c r="AI711" s="14" t="s">
        <v>124</v>
      </c>
    </row>
    <row r="712" spans="1:37">
      <c r="A712" s="5" t="s">
        <v>3339</v>
      </c>
      <c r="B712" s="5" t="s">
        <v>3340</v>
      </c>
      <c r="C712" s="6" t="s">
        <v>43</v>
      </c>
      <c r="D712" s="6" t="s">
        <v>2114</v>
      </c>
      <c r="E712" s="6" t="s">
        <v>1386</v>
      </c>
      <c r="F712" s="6" t="s">
        <v>46</v>
      </c>
      <c r="G712" s="6" t="s">
        <v>3341</v>
      </c>
      <c r="H712" s="7">
        <v>78.41</v>
      </c>
      <c r="I712" s="19" t="s">
        <v>1589</v>
      </c>
      <c r="J712" s="19" t="s">
        <v>2001</v>
      </c>
      <c r="K712" s="6" t="s">
        <v>2177</v>
      </c>
      <c r="L712" s="6" t="s">
        <v>2178</v>
      </c>
      <c r="M712" s="6" t="s">
        <v>2179</v>
      </c>
      <c r="N712" s="6" t="s">
        <v>2180</v>
      </c>
      <c r="O712" s="6" t="s">
        <v>3342</v>
      </c>
      <c r="P712" s="6" t="s">
        <v>3343</v>
      </c>
      <c r="Q712" s="6" t="s">
        <v>3344</v>
      </c>
      <c r="R712" s="5"/>
      <c r="S712" s="6"/>
      <c r="T712" s="6"/>
      <c r="U712" s="6"/>
      <c r="W712" s="20" t="s">
        <v>2010</v>
      </c>
      <c r="X712" s="20" t="s">
        <v>2011</v>
      </c>
      <c r="Y712" s="20" t="s">
        <v>2012</v>
      </c>
      <c r="Z712" s="20" t="s">
        <v>2013</v>
      </c>
      <c r="AG712" s="14" t="s">
        <v>55</v>
      </c>
      <c r="AH712" s="14" t="s">
        <v>1603</v>
      </c>
      <c r="AI712" s="14" t="s">
        <v>124</v>
      </c>
    </row>
    <row r="713" spans="1:37">
      <c r="A713" s="5" t="s">
        <v>3345</v>
      </c>
      <c r="B713" s="5" t="s">
        <v>3340</v>
      </c>
      <c r="C713" s="6" t="s">
        <v>43</v>
      </c>
      <c r="D713" s="6" t="s">
        <v>2114</v>
      </c>
      <c r="E713" s="6" t="s">
        <v>2015</v>
      </c>
      <c r="F713" s="6" t="s">
        <v>46</v>
      </c>
      <c r="G713" s="6" t="s">
        <v>3346</v>
      </c>
      <c r="H713" s="7">
        <v>78.41</v>
      </c>
      <c r="I713" s="19" t="s">
        <v>1589</v>
      </c>
      <c r="J713" s="19" t="s">
        <v>2001</v>
      </c>
      <c r="K713" s="6" t="s">
        <v>2177</v>
      </c>
      <c r="L713" s="6" t="s">
        <v>2178</v>
      </c>
      <c r="M713" s="6" t="s">
        <v>2179</v>
      </c>
      <c r="N713" s="6" t="s">
        <v>2180</v>
      </c>
      <c r="O713" s="6" t="s">
        <v>3342</v>
      </c>
      <c r="P713" s="6" t="s">
        <v>3343</v>
      </c>
      <c r="Q713" s="6" t="s">
        <v>3344</v>
      </c>
      <c r="R713" s="5"/>
      <c r="S713" s="6"/>
      <c r="T713" s="6"/>
      <c r="U713" s="6"/>
      <c r="W713" s="20" t="s">
        <v>2010</v>
      </c>
      <c r="X713" s="20" t="s">
        <v>2011</v>
      </c>
      <c r="Y713" s="20" t="s">
        <v>2012</v>
      </c>
      <c r="Z713" s="20" t="s">
        <v>2013</v>
      </c>
      <c r="AG713" s="14" t="s">
        <v>55</v>
      </c>
      <c r="AH713" s="14" t="s">
        <v>1603</v>
      </c>
      <c r="AI713" s="14" t="s">
        <v>124</v>
      </c>
    </row>
    <row r="714" spans="1:37">
      <c r="A714" s="6" t="s">
        <v>3347</v>
      </c>
      <c r="B714" s="6" t="s">
        <v>3348</v>
      </c>
      <c r="C714" s="6" t="s">
        <v>43</v>
      </c>
      <c r="D714" s="6" t="s">
        <v>239</v>
      </c>
      <c r="E714" s="6" t="s">
        <v>2065</v>
      </c>
      <c r="F714" s="6" t="s">
        <v>46</v>
      </c>
      <c r="G714" s="6" t="s">
        <v>3349</v>
      </c>
      <c r="I714" s="19" t="s">
        <v>48</v>
      </c>
      <c r="J714" s="5" t="s">
        <v>48</v>
      </c>
      <c r="K714" s="6"/>
      <c r="L714" s="6"/>
      <c r="M714" s="6"/>
      <c r="N714" s="6"/>
      <c r="O714" s="6"/>
      <c r="P714" s="6"/>
      <c r="Q714" s="6"/>
      <c r="R714" s="6"/>
      <c r="S714" s="6"/>
      <c r="T714" s="6"/>
      <c r="U714" s="6"/>
      <c r="V714" s="6"/>
      <c r="W714" s="6"/>
      <c r="X714" s="6"/>
      <c r="Y714" s="6"/>
      <c r="Z714" s="6"/>
      <c r="AA714" s="6"/>
      <c r="AB714" s="6"/>
      <c r="AC714" s="6"/>
      <c r="AD714" s="6"/>
      <c r="AE714" s="6"/>
      <c r="AF714" s="6"/>
      <c r="AG714" s="15" t="s">
        <v>55</v>
      </c>
      <c r="AH714" s="15"/>
      <c r="AI714" s="15"/>
      <c r="AJ714" s="6"/>
      <c r="AK714" s="6"/>
    </row>
    <row r="715" spans="1:37" s="6" customFormat="1">
      <c r="A715" s="5" t="s">
        <v>3350</v>
      </c>
      <c r="B715" s="5" t="s">
        <v>3351</v>
      </c>
      <c r="C715" s="6" t="s">
        <v>43</v>
      </c>
      <c r="D715" s="6" t="s">
        <v>2189</v>
      </c>
      <c r="E715" s="6" t="s">
        <v>1386</v>
      </c>
      <c r="F715" s="6" t="s">
        <v>46</v>
      </c>
      <c r="G715" s="6" t="s">
        <v>3352</v>
      </c>
      <c r="H715" s="7">
        <v>51.15</v>
      </c>
      <c r="I715" s="19" t="s">
        <v>1589</v>
      </c>
      <c r="J715" s="19" t="s">
        <v>2191</v>
      </c>
      <c r="K715" s="5" t="s">
        <v>2192</v>
      </c>
      <c r="L715" s="5" t="s">
        <v>2193</v>
      </c>
      <c r="M715" s="5" t="s">
        <v>2194</v>
      </c>
      <c r="N715" s="5" t="s">
        <v>2195</v>
      </c>
      <c r="O715" s="5" t="s">
        <v>3353</v>
      </c>
      <c r="P715" s="5" t="s">
        <v>3354</v>
      </c>
      <c r="Q715" s="5" t="s">
        <v>3355</v>
      </c>
      <c r="R715" s="5"/>
      <c r="S715" s="5"/>
      <c r="T715" s="5"/>
      <c r="U715" s="5"/>
      <c r="V715" s="5"/>
      <c r="W715" s="5"/>
      <c r="X715" s="5"/>
      <c r="Y715" s="5" t="s">
        <v>2086</v>
      </c>
      <c r="Z715" s="5"/>
      <c r="AA715" s="5"/>
      <c r="AB715" s="5"/>
      <c r="AC715" s="5"/>
      <c r="AD715" s="5"/>
      <c r="AE715" s="5"/>
      <c r="AF715" s="5"/>
      <c r="AG715" s="14" t="s">
        <v>55</v>
      </c>
      <c r="AH715" s="14" t="s">
        <v>1603</v>
      </c>
      <c r="AI715" s="14" t="s">
        <v>2087</v>
      </c>
      <c r="AJ715" s="5"/>
      <c r="AK715" s="5"/>
    </row>
    <row r="716" spans="1:37">
      <c r="A716" s="5" t="s">
        <v>3356</v>
      </c>
      <c r="B716" s="5" t="s">
        <v>3351</v>
      </c>
      <c r="C716" s="6" t="s">
        <v>43</v>
      </c>
      <c r="D716" s="6" t="s">
        <v>2189</v>
      </c>
      <c r="E716" s="6" t="s">
        <v>2015</v>
      </c>
      <c r="F716" s="6" t="s">
        <v>46</v>
      </c>
      <c r="G716" s="6" t="s">
        <v>3357</v>
      </c>
      <c r="H716" s="7">
        <v>51.15</v>
      </c>
      <c r="I716" s="19" t="s">
        <v>1589</v>
      </c>
      <c r="J716" s="19" t="s">
        <v>2191</v>
      </c>
      <c r="K716" s="5" t="s">
        <v>2192</v>
      </c>
      <c r="L716" s="5" t="s">
        <v>2193</v>
      </c>
      <c r="M716" s="5" t="s">
        <v>2194</v>
      </c>
      <c r="N716" s="5" t="s">
        <v>2195</v>
      </c>
      <c r="O716" s="5" t="s">
        <v>3353</v>
      </c>
      <c r="P716" s="5" t="s">
        <v>3354</v>
      </c>
      <c r="Q716" s="5" t="s">
        <v>3355</v>
      </c>
      <c r="R716" s="5"/>
      <c r="Y716" s="5" t="s">
        <v>2086</v>
      </c>
      <c r="AG716" s="14" t="s">
        <v>55</v>
      </c>
      <c r="AH716" s="14" t="s">
        <v>1603</v>
      </c>
      <c r="AI716" s="14" t="s">
        <v>2087</v>
      </c>
    </row>
    <row r="717" spans="1:37">
      <c r="A717" s="6" t="s">
        <v>3358</v>
      </c>
      <c r="B717" s="6" t="s">
        <v>3359</v>
      </c>
      <c r="C717" s="6" t="s">
        <v>43</v>
      </c>
      <c r="D717" s="6" t="s">
        <v>2189</v>
      </c>
      <c r="E717" s="6" t="s">
        <v>2070</v>
      </c>
      <c r="F717" s="6" t="s">
        <v>46</v>
      </c>
      <c r="G717" s="6" t="s">
        <v>3360</v>
      </c>
      <c r="I717" s="19" t="s">
        <v>48</v>
      </c>
      <c r="J717" s="19" t="s">
        <v>48</v>
      </c>
      <c r="K717" s="6"/>
      <c r="L717" s="6"/>
      <c r="M717" s="6"/>
      <c r="N717" s="6"/>
      <c r="O717" s="6"/>
      <c r="P717" s="6"/>
      <c r="Q717" s="6"/>
      <c r="R717" s="6"/>
      <c r="S717" s="6"/>
      <c r="T717" s="6"/>
      <c r="U717" s="6"/>
      <c r="V717" s="6"/>
      <c r="W717" s="6"/>
      <c r="X717" s="6"/>
      <c r="Y717" s="6"/>
      <c r="Z717" s="6"/>
      <c r="AA717" s="6"/>
      <c r="AB717" s="6"/>
      <c r="AC717" s="6"/>
      <c r="AD717" s="6"/>
      <c r="AE717" s="6"/>
      <c r="AF717" s="6"/>
      <c r="AG717" s="15" t="s">
        <v>55</v>
      </c>
      <c r="AH717" s="15"/>
      <c r="AI717" s="15"/>
      <c r="AJ717" s="6"/>
      <c r="AK717" s="6"/>
    </row>
    <row r="718" spans="1:37" s="6" customFormat="1">
      <c r="A718" s="5" t="s">
        <v>3361</v>
      </c>
      <c r="B718" s="5" t="s">
        <v>3362</v>
      </c>
      <c r="C718" s="6" t="s">
        <v>43</v>
      </c>
      <c r="D718" s="6" t="s">
        <v>2189</v>
      </c>
      <c r="E718" s="6" t="s">
        <v>2015</v>
      </c>
      <c r="F718" s="6" t="s">
        <v>46</v>
      </c>
      <c r="G718" s="6" t="s">
        <v>3363</v>
      </c>
      <c r="H718" s="7"/>
      <c r="I718" s="19" t="s">
        <v>1589</v>
      </c>
      <c r="J718" s="19" t="s">
        <v>2191</v>
      </c>
      <c r="K718" s="5" t="s">
        <v>3364</v>
      </c>
      <c r="L718" s="5" t="s">
        <v>3365</v>
      </c>
      <c r="M718" s="5" t="s">
        <v>3366</v>
      </c>
      <c r="N718" s="5" t="s">
        <v>3367</v>
      </c>
      <c r="O718" s="5" t="s">
        <v>3368</v>
      </c>
      <c r="P718" s="5" t="s">
        <v>3369</v>
      </c>
      <c r="Q718" s="5" t="s">
        <v>3370</v>
      </c>
      <c r="R718" s="5"/>
      <c r="S718" s="5"/>
      <c r="T718" s="5"/>
      <c r="U718" s="5"/>
      <c r="V718" s="5"/>
      <c r="W718" s="5"/>
      <c r="X718" s="5"/>
      <c r="Y718" s="5"/>
      <c r="Z718" s="5"/>
      <c r="AA718" s="5"/>
      <c r="AB718" s="5"/>
      <c r="AC718" s="5"/>
      <c r="AD718" s="5"/>
      <c r="AE718" s="5"/>
      <c r="AF718" s="5"/>
      <c r="AG718" s="14" t="s">
        <v>55</v>
      </c>
      <c r="AH718" s="14" t="s">
        <v>1603</v>
      </c>
      <c r="AI718" s="14" t="s">
        <v>2087</v>
      </c>
      <c r="AJ718" s="5"/>
      <c r="AK718" s="5"/>
    </row>
    <row r="719" spans="1:37">
      <c r="A719" s="5" t="s">
        <v>3371</v>
      </c>
      <c r="B719" s="5" t="s">
        <v>3372</v>
      </c>
      <c r="C719" s="6" t="s">
        <v>43</v>
      </c>
      <c r="D719" s="6" t="s">
        <v>2189</v>
      </c>
      <c r="E719" s="6" t="s">
        <v>2129</v>
      </c>
      <c r="F719" s="6" t="s">
        <v>46</v>
      </c>
      <c r="G719" s="6" t="s">
        <v>3373</v>
      </c>
      <c r="H719" s="7">
        <v>60.46</v>
      </c>
      <c r="I719" s="19" t="s">
        <v>1589</v>
      </c>
      <c r="J719" s="19" t="s">
        <v>2191</v>
      </c>
      <c r="K719" s="5" t="s">
        <v>2218</v>
      </c>
      <c r="L719" s="5" t="s">
        <v>2219</v>
      </c>
      <c r="M719" s="5" t="s">
        <v>2220</v>
      </c>
      <c r="N719" s="5" t="s">
        <v>2221</v>
      </c>
      <c r="O719" s="5" t="s">
        <v>3374</v>
      </c>
      <c r="P719" s="5" t="s">
        <v>3375</v>
      </c>
      <c r="Q719" s="5" t="s">
        <v>3376</v>
      </c>
      <c r="R719" s="5"/>
      <c r="AG719" s="14" t="s">
        <v>55</v>
      </c>
      <c r="AH719" s="14" t="s">
        <v>1603</v>
      </c>
      <c r="AI719" s="14" t="s">
        <v>2087</v>
      </c>
    </row>
    <row r="720" spans="1:37">
      <c r="A720" s="6" t="s">
        <v>3377</v>
      </c>
      <c r="B720" s="6" t="s">
        <v>3378</v>
      </c>
      <c r="C720" s="6" t="s">
        <v>43</v>
      </c>
      <c r="D720" s="6" t="s">
        <v>2189</v>
      </c>
      <c r="E720" s="6" t="s">
        <v>1540</v>
      </c>
      <c r="F720" s="6" t="s">
        <v>46</v>
      </c>
      <c r="G720" s="6" t="s">
        <v>3379</v>
      </c>
      <c r="I720" s="19" t="s">
        <v>48</v>
      </c>
      <c r="J720" s="19" t="s">
        <v>48</v>
      </c>
      <c r="K720" s="6"/>
      <c r="L720" s="6"/>
      <c r="M720" s="6"/>
      <c r="N720" s="6"/>
      <c r="O720" s="6"/>
      <c r="P720" s="6"/>
      <c r="Q720" s="6"/>
      <c r="R720" s="6"/>
      <c r="S720" s="6"/>
      <c r="T720" s="6"/>
      <c r="U720" s="6"/>
      <c r="V720" s="6"/>
      <c r="W720" s="6"/>
      <c r="X720" s="6"/>
      <c r="Y720" s="6"/>
      <c r="Z720" s="6"/>
      <c r="AA720" s="6"/>
      <c r="AB720" s="6"/>
      <c r="AC720" s="6"/>
      <c r="AD720" s="6"/>
      <c r="AE720" s="6"/>
      <c r="AF720" s="6"/>
      <c r="AG720" s="15" t="s">
        <v>55</v>
      </c>
      <c r="AH720" s="15"/>
      <c r="AI720" s="15"/>
      <c r="AJ720" s="6"/>
      <c r="AK720" s="6"/>
    </row>
    <row r="721" spans="1:37" s="6" customFormat="1">
      <c r="A721" s="5" t="s">
        <v>3380</v>
      </c>
      <c r="B721" s="5" t="s">
        <v>3372</v>
      </c>
      <c r="C721" s="6" t="s">
        <v>43</v>
      </c>
      <c r="D721" s="6" t="s">
        <v>2189</v>
      </c>
      <c r="E721" s="6" t="s">
        <v>2015</v>
      </c>
      <c r="F721" s="6" t="s">
        <v>46</v>
      </c>
      <c r="G721" s="6" t="s">
        <v>3381</v>
      </c>
      <c r="H721" s="7">
        <v>60.46</v>
      </c>
      <c r="I721" s="19" t="s">
        <v>1589</v>
      </c>
      <c r="J721" s="19" t="s">
        <v>2191</v>
      </c>
      <c r="K721" s="5" t="s">
        <v>2218</v>
      </c>
      <c r="L721" s="5" t="s">
        <v>2219</v>
      </c>
      <c r="M721" s="5" t="s">
        <v>2220</v>
      </c>
      <c r="N721" s="5" t="s">
        <v>2221</v>
      </c>
      <c r="O721" s="5" t="s">
        <v>3374</v>
      </c>
      <c r="P721" s="5" t="s">
        <v>3375</v>
      </c>
      <c r="Q721" s="5" t="s">
        <v>3376</v>
      </c>
      <c r="R721" s="5"/>
      <c r="S721" s="5"/>
      <c r="T721" s="5"/>
      <c r="U721" s="5"/>
      <c r="V721" s="5"/>
      <c r="W721" s="5"/>
      <c r="X721" s="5"/>
      <c r="Y721" s="5"/>
      <c r="Z721" s="5"/>
      <c r="AA721" s="5"/>
      <c r="AB721" s="5"/>
      <c r="AC721" s="5"/>
      <c r="AD721" s="5"/>
      <c r="AE721" s="5"/>
      <c r="AF721" s="5"/>
      <c r="AG721" s="14" t="s">
        <v>55</v>
      </c>
      <c r="AH721" s="14" t="s">
        <v>1603</v>
      </c>
      <c r="AI721" s="14" t="s">
        <v>2087</v>
      </c>
      <c r="AJ721" s="5"/>
      <c r="AK721" s="5"/>
    </row>
    <row r="722" spans="1:37">
      <c r="A722" s="5" t="s">
        <v>3382</v>
      </c>
      <c r="B722" s="5" t="s">
        <v>3372</v>
      </c>
      <c r="C722" s="6" t="s">
        <v>43</v>
      </c>
      <c r="D722" s="6" t="s">
        <v>2189</v>
      </c>
      <c r="E722" s="6" t="s">
        <v>2070</v>
      </c>
      <c r="F722" s="6" t="s">
        <v>46</v>
      </c>
      <c r="G722" s="6" t="s">
        <v>3383</v>
      </c>
      <c r="H722" s="7">
        <v>60.46</v>
      </c>
      <c r="I722" s="19" t="s">
        <v>1589</v>
      </c>
      <c r="J722" s="19" t="s">
        <v>2191</v>
      </c>
      <c r="K722" s="5" t="s">
        <v>2218</v>
      </c>
      <c r="L722" s="5" t="s">
        <v>2219</v>
      </c>
      <c r="M722" s="5" t="s">
        <v>2220</v>
      </c>
      <c r="N722" s="5" t="s">
        <v>2221</v>
      </c>
      <c r="O722" s="5" t="s">
        <v>3374</v>
      </c>
      <c r="P722" s="5" t="s">
        <v>3375</v>
      </c>
      <c r="Q722" s="5" t="s">
        <v>3376</v>
      </c>
      <c r="R722" s="5"/>
      <c r="AG722" s="14" t="s">
        <v>55</v>
      </c>
      <c r="AH722" s="14" t="s">
        <v>1603</v>
      </c>
      <c r="AI722" s="14" t="s">
        <v>2087</v>
      </c>
    </row>
    <row r="723" spans="1:37">
      <c r="A723" s="5" t="s">
        <v>3384</v>
      </c>
      <c r="B723" s="5" t="s">
        <v>3372</v>
      </c>
      <c r="C723" s="6" t="s">
        <v>43</v>
      </c>
      <c r="D723" s="6" t="s">
        <v>2189</v>
      </c>
      <c r="E723" s="6" t="s">
        <v>1693</v>
      </c>
      <c r="F723" s="6" t="s">
        <v>46</v>
      </c>
      <c r="G723" s="6" t="s">
        <v>3385</v>
      </c>
      <c r="H723" s="7">
        <v>60.46</v>
      </c>
      <c r="I723" s="19" t="s">
        <v>1589</v>
      </c>
      <c r="J723" s="19" t="s">
        <v>2191</v>
      </c>
      <c r="K723" s="5" t="s">
        <v>2218</v>
      </c>
      <c r="L723" s="5" t="s">
        <v>2219</v>
      </c>
      <c r="M723" s="5" t="s">
        <v>2220</v>
      </c>
      <c r="N723" s="5" t="s">
        <v>2221</v>
      </c>
      <c r="O723" s="5" t="s">
        <v>3374</v>
      </c>
      <c r="P723" s="5" t="s">
        <v>3375</v>
      </c>
      <c r="Q723" s="5" t="s">
        <v>3376</v>
      </c>
      <c r="R723" s="5"/>
      <c r="AG723" s="14" t="s">
        <v>55</v>
      </c>
      <c r="AH723" s="14" t="s">
        <v>1603</v>
      </c>
      <c r="AI723" s="14" t="s">
        <v>2087</v>
      </c>
    </row>
    <row r="724" spans="1:37">
      <c r="A724" s="5" t="s">
        <v>3386</v>
      </c>
      <c r="B724" s="5" t="s">
        <v>3372</v>
      </c>
      <c r="C724" s="6" t="s">
        <v>43</v>
      </c>
      <c r="D724" s="6" t="s">
        <v>2189</v>
      </c>
      <c r="E724" s="6" t="s">
        <v>1540</v>
      </c>
      <c r="F724" s="6" t="s">
        <v>46</v>
      </c>
      <c r="G724" s="6" t="s">
        <v>3387</v>
      </c>
      <c r="H724" s="7">
        <v>60.46</v>
      </c>
      <c r="I724" s="19" t="s">
        <v>1589</v>
      </c>
      <c r="J724" s="19" t="s">
        <v>2191</v>
      </c>
      <c r="K724" s="5" t="s">
        <v>2218</v>
      </c>
      <c r="L724" s="5" t="s">
        <v>2219</v>
      </c>
      <c r="M724" s="5" t="s">
        <v>2220</v>
      </c>
      <c r="N724" s="5" t="s">
        <v>2221</v>
      </c>
      <c r="O724" s="5" t="s">
        <v>3374</v>
      </c>
      <c r="P724" s="5" t="s">
        <v>3375</v>
      </c>
      <c r="Q724" s="5" t="s">
        <v>3376</v>
      </c>
      <c r="R724" s="5"/>
      <c r="AG724" s="14" t="s">
        <v>55</v>
      </c>
      <c r="AH724" s="14" t="s">
        <v>1603</v>
      </c>
      <c r="AI724" s="14" t="s">
        <v>2087</v>
      </c>
    </row>
    <row r="725" spans="1:37">
      <c r="A725" s="5" t="s">
        <v>3388</v>
      </c>
      <c r="B725" s="5" t="s">
        <v>3372</v>
      </c>
      <c r="C725" s="6" t="s">
        <v>43</v>
      </c>
      <c r="D725" s="6" t="s">
        <v>2189</v>
      </c>
      <c r="E725" s="6" t="s">
        <v>2092</v>
      </c>
      <c r="F725" s="6" t="s">
        <v>46</v>
      </c>
      <c r="G725" s="6" t="s">
        <v>3389</v>
      </c>
      <c r="H725" s="7">
        <v>60.46</v>
      </c>
      <c r="I725" s="19" t="s">
        <v>1589</v>
      </c>
      <c r="J725" s="19" t="s">
        <v>2191</v>
      </c>
      <c r="K725" s="5" t="s">
        <v>2218</v>
      </c>
      <c r="L725" s="5" t="s">
        <v>2219</v>
      </c>
      <c r="M725" s="5" t="s">
        <v>2220</v>
      </c>
      <c r="N725" s="5" t="s">
        <v>2221</v>
      </c>
      <c r="O725" s="5" t="s">
        <v>3374</v>
      </c>
      <c r="P725" s="5" t="s">
        <v>3375</v>
      </c>
      <c r="Q725" s="5" t="s">
        <v>3376</v>
      </c>
      <c r="R725" s="5"/>
      <c r="AG725" s="14" t="s">
        <v>55</v>
      </c>
      <c r="AH725" s="14" t="s">
        <v>1603</v>
      </c>
      <c r="AI725" s="14" t="s">
        <v>2087</v>
      </c>
    </row>
    <row r="726" spans="1:37">
      <c r="A726" s="6" t="s">
        <v>3390</v>
      </c>
      <c r="B726" s="6" t="s">
        <v>3391</v>
      </c>
      <c r="C726" s="6" t="s">
        <v>43</v>
      </c>
      <c r="D726" s="6" t="s">
        <v>239</v>
      </c>
      <c r="E726" s="6" t="s">
        <v>2065</v>
      </c>
      <c r="F726" s="6" t="s">
        <v>46</v>
      </c>
      <c r="G726" s="6" t="s">
        <v>3392</v>
      </c>
      <c r="I726" s="19" t="s">
        <v>48</v>
      </c>
      <c r="J726" s="19" t="s">
        <v>48</v>
      </c>
      <c r="K726" s="6"/>
      <c r="L726" s="6"/>
      <c r="M726" s="6"/>
      <c r="N726" s="6"/>
      <c r="O726" s="6"/>
      <c r="P726" s="6"/>
      <c r="Q726" s="6"/>
      <c r="R726" s="6"/>
      <c r="S726" s="6"/>
      <c r="T726" s="6"/>
      <c r="U726" s="6"/>
      <c r="V726" s="6"/>
      <c r="W726" s="6"/>
      <c r="X726" s="6"/>
      <c r="Y726" s="6"/>
      <c r="Z726" s="6"/>
      <c r="AA726" s="6"/>
      <c r="AB726" s="6"/>
      <c r="AC726" s="6"/>
      <c r="AD726" s="6"/>
      <c r="AE726" s="6"/>
      <c r="AF726" s="6"/>
      <c r="AG726" s="15" t="s">
        <v>55</v>
      </c>
      <c r="AH726" s="15"/>
      <c r="AI726" s="15"/>
      <c r="AJ726" s="6"/>
      <c r="AK726" s="6"/>
    </row>
    <row r="727" spans="1:37" s="6" customFormat="1">
      <c r="A727" s="6" t="s">
        <v>3393</v>
      </c>
      <c r="B727" s="6" t="s">
        <v>3394</v>
      </c>
      <c r="C727" s="6" t="s">
        <v>43</v>
      </c>
      <c r="D727" s="6" t="s">
        <v>2189</v>
      </c>
      <c r="E727" s="6" t="s">
        <v>2065</v>
      </c>
      <c r="F727" s="6" t="s">
        <v>46</v>
      </c>
      <c r="G727" s="6" t="s">
        <v>3011</v>
      </c>
      <c r="H727" s="7"/>
      <c r="I727" s="19" t="s">
        <v>48</v>
      </c>
      <c r="J727" s="19" t="s">
        <v>48</v>
      </c>
      <c r="AG727" s="15" t="s">
        <v>55</v>
      </c>
      <c r="AH727" s="15"/>
      <c r="AI727" s="15"/>
    </row>
    <row r="728" spans="1:37" s="6" customFormat="1">
      <c r="A728" s="5" t="s">
        <v>3395</v>
      </c>
      <c r="B728" s="5" t="s">
        <v>3396</v>
      </c>
      <c r="C728" s="6" t="s">
        <v>43</v>
      </c>
      <c r="D728" s="6" t="s">
        <v>2189</v>
      </c>
      <c r="E728" s="6" t="s">
        <v>2015</v>
      </c>
      <c r="F728" s="6" t="s">
        <v>46</v>
      </c>
      <c r="G728" s="6" t="s">
        <v>3397</v>
      </c>
      <c r="H728" s="7">
        <v>80.06</v>
      </c>
      <c r="I728" s="19" t="s">
        <v>1589</v>
      </c>
      <c r="J728" s="19" t="s">
        <v>2191</v>
      </c>
      <c r="K728" s="5" t="s">
        <v>2242</v>
      </c>
      <c r="L728" s="5" t="s">
        <v>2243</v>
      </c>
      <c r="M728" s="5" t="s">
        <v>2244</v>
      </c>
      <c r="N728" s="5" t="s">
        <v>2245</v>
      </c>
      <c r="O728" s="5" t="s">
        <v>3398</v>
      </c>
      <c r="P728" s="5" t="s">
        <v>3399</v>
      </c>
      <c r="Q728" s="5" t="s">
        <v>3400</v>
      </c>
      <c r="R728" s="5"/>
      <c r="S728" s="5"/>
      <c r="T728" s="5"/>
      <c r="U728" s="5"/>
      <c r="V728" s="5"/>
      <c r="W728" s="5"/>
      <c r="X728" s="5"/>
      <c r="Y728" s="5" t="s">
        <v>2086</v>
      </c>
      <c r="Z728" s="5"/>
      <c r="AA728" s="5"/>
      <c r="AB728" s="5"/>
      <c r="AC728" s="5"/>
      <c r="AD728" s="5"/>
      <c r="AE728" s="5"/>
      <c r="AF728" s="5"/>
      <c r="AG728" s="14" t="s">
        <v>55</v>
      </c>
      <c r="AH728" s="14" t="s">
        <v>1603</v>
      </c>
      <c r="AI728" s="14" t="s">
        <v>2087</v>
      </c>
      <c r="AJ728" s="5"/>
      <c r="AK728" s="5"/>
    </row>
    <row r="729" spans="1:37">
      <c r="A729" s="5" t="s">
        <v>3401</v>
      </c>
      <c r="B729" s="5" t="s">
        <v>3396</v>
      </c>
      <c r="C729" s="6" t="s">
        <v>43</v>
      </c>
      <c r="D729" s="6" t="s">
        <v>2189</v>
      </c>
      <c r="E729" s="6" t="s">
        <v>2070</v>
      </c>
      <c r="F729" s="6" t="s">
        <v>46</v>
      </c>
      <c r="G729" s="6" t="s">
        <v>3402</v>
      </c>
      <c r="H729" s="7">
        <v>80.06</v>
      </c>
      <c r="I729" s="19" t="s">
        <v>1589</v>
      </c>
      <c r="J729" s="19" t="s">
        <v>2191</v>
      </c>
      <c r="K729" s="5" t="s">
        <v>2242</v>
      </c>
      <c r="L729" s="5" t="s">
        <v>2243</v>
      </c>
      <c r="M729" s="5" t="s">
        <v>2244</v>
      </c>
      <c r="N729" s="5" t="s">
        <v>2245</v>
      </c>
      <c r="O729" s="5" t="s">
        <v>3398</v>
      </c>
      <c r="P729" s="5" t="s">
        <v>3399</v>
      </c>
      <c r="Q729" s="5" t="s">
        <v>3400</v>
      </c>
      <c r="R729" s="5"/>
      <c r="Y729" s="5" t="s">
        <v>2086</v>
      </c>
      <c r="AG729" s="14" t="s">
        <v>55</v>
      </c>
      <c r="AH729" s="14" t="s">
        <v>1603</v>
      </c>
      <c r="AI729" s="14" t="s">
        <v>2087</v>
      </c>
    </row>
    <row r="730" spans="1:37">
      <c r="A730" s="5" t="s">
        <v>3403</v>
      </c>
      <c r="B730" s="5" t="s">
        <v>3396</v>
      </c>
      <c r="C730" s="6" t="s">
        <v>43</v>
      </c>
      <c r="D730" s="6" t="s">
        <v>2189</v>
      </c>
      <c r="E730" s="6" t="s">
        <v>1693</v>
      </c>
      <c r="F730" s="6" t="s">
        <v>46</v>
      </c>
      <c r="G730" s="6" t="s">
        <v>1972</v>
      </c>
      <c r="H730" s="7">
        <v>80.06</v>
      </c>
      <c r="I730" s="19" t="s">
        <v>1589</v>
      </c>
      <c r="J730" s="19" t="s">
        <v>2191</v>
      </c>
      <c r="K730" s="5" t="s">
        <v>2242</v>
      </c>
      <c r="L730" s="5" t="s">
        <v>2243</v>
      </c>
      <c r="M730" s="5" t="s">
        <v>2244</v>
      </c>
      <c r="N730" s="5" t="s">
        <v>2245</v>
      </c>
      <c r="O730" s="5" t="s">
        <v>3398</v>
      </c>
      <c r="P730" s="5" t="s">
        <v>3399</v>
      </c>
      <c r="Q730" s="5" t="s">
        <v>3400</v>
      </c>
      <c r="R730" s="5"/>
      <c r="Y730" s="5" t="s">
        <v>2086</v>
      </c>
      <c r="AG730" s="14" t="s">
        <v>55</v>
      </c>
      <c r="AH730" s="14" t="s">
        <v>1603</v>
      </c>
      <c r="AI730" s="14" t="s">
        <v>2087</v>
      </c>
    </row>
    <row r="731" spans="1:37">
      <c r="A731" s="5" t="s">
        <v>3404</v>
      </c>
      <c r="B731" s="5" t="s">
        <v>3396</v>
      </c>
      <c r="C731" s="6" t="s">
        <v>43</v>
      </c>
      <c r="D731" s="6" t="s">
        <v>2189</v>
      </c>
      <c r="E731" s="6" t="s">
        <v>1540</v>
      </c>
      <c r="F731" s="6" t="s">
        <v>46</v>
      </c>
      <c r="G731" s="6" t="s">
        <v>3405</v>
      </c>
      <c r="H731" s="7">
        <v>80.06</v>
      </c>
      <c r="I731" s="19" t="s">
        <v>1589</v>
      </c>
      <c r="J731" s="19" t="s">
        <v>2191</v>
      </c>
      <c r="K731" s="5" t="s">
        <v>2242</v>
      </c>
      <c r="L731" s="5" t="s">
        <v>2243</v>
      </c>
      <c r="M731" s="5" t="s">
        <v>2244</v>
      </c>
      <c r="N731" s="5" t="s">
        <v>2245</v>
      </c>
      <c r="O731" s="5" t="s">
        <v>3398</v>
      </c>
      <c r="P731" s="5" t="s">
        <v>3399</v>
      </c>
      <c r="Q731" s="5" t="s">
        <v>3400</v>
      </c>
      <c r="R731" s="5"/>
      <c r="Y731" s="5" t="s">
        <v>2086</v>
      </c>
      <c r="AG731" s="14" t="s">
        <v>55</v>
      </c>
      <c r="AH731" s="14" t="s">
        <v>1603</v>
      </c>
      <c r="AI731" s="14" t="s">
        <v>2087</v>
      </c>
    </row>
    <row r="732" spans="1:37">
      <c r="A732" s="6" t="s">
        <v>3406</v>
      </c>
      <c r="B732" s="6" t="s">
        <v>3407</v>
      </c>
      <c r="C732" s="6" t="s">
        <v>43</v>
      </c>
      <c r="D732" s="6" t="s">
        <v>239</v>
      </c>
      <c r="E732" s="6" t="s">
        <v>2065</v>
      </c>
      <c r="F732" s="6" t="s">
        <v>46</v>
      </c>
      <c r="G732" s="6" t="s">
        <v>3408</v>
      </c>
      <c r="I732" s="19" t="s">
        <v>48</v>
      </c>
      <c r="J732" s="19" t="s">
        <v>48</v>
      </c>
      <c r="K732" s="6"/>
      <c r="L732" s="6"/>
      <c r="M732" s="6"/>
      <c r="N732" s="6"/>
      <c r="O732" s="6"/>
      <c r="P732" s="6"/>
      <c r="Q732" s="6"/>
      <c r="R732" s="6"/>
      <c r="S732" s="6"/>
      <c r="T732" s="6"/>
      <c r="U732" s="6"/>
      <c r="V732" s="6"/>
      <c r="W732" s="6"/>
      <c r="X732" s="6"/>
      <c r="Y732" s="6"/>
      <c r="Z732" s="6"/>
      <c r="AA732" s="6"/>
      <c r="AB732" s="6"/>
      <c r="AC732" s="6"/>
      <c r="AD732" s="6"/>
      <c r="AE732" s="6"/>
      <c r="AF732" s="6"/>
      <c r="AG732" s="15" t="s">
        <v>55</v>
      </c>
      <c r="AH732" s="15"/>
      <c r="AI732" s="15"/>
      <c r="AJ732" s="6"/>
      <c r="AK732" s="6"/>
    </row>
    <row r="733" spans="1:37" s="6" customFormat="1">
      <c r="A733" s="5" t="s">
        <v>3409</v>
      </c>
      <c r="B733" s="5" t="s">
        <v>3410</v>
      </c>
      <c r="C733" s="6" t="s">
        <v>43</v>
      </c>
      <c r="D733" s="6" t="s">
        <v>239</v>
      </c>
      <c r="E733" s="6" t="s">
        <v>1540</v>
      </c>
      <c r="F733" s="6" t="s">
        <v>46</v>
      </c>
      <c r="G733" s="6" t="s">
        <v>3411</v>
      </c>
      <c r="H733" s="7">
        <v>76.069999999999993</v>
      </c>
      <c r="I733" s="19" t="s">
        <v>1589</v>
      </c>
      <c r="J733" s="19" t="s">
        <v>2254</v>
      </c>
      <c r="K733" s="5" t="s">
        <v>2271</v>
      </c>
      <c r="L733" s="5" t="s">
        <v>2272</v>
      </c>
      <c r="M733" s="5" t="s">
        <v>2273</v>
      </c>
      <c r="N733" s="5" t="s">
        <v>2274</v>
      </c>
      <c r="O733" s="5" t="s">
        <v>3412</v>
      </c>
      <c r="P733" s="5" t="s">
        <v>3413</v>
      </c>
      <c r="Q733" s="5" t="s">
        <v>3414</v>
      </c>
      <c r="R733" s="5" t="s">
        <v>3415</v>
      </c>
      <c r="S733" s="5"/>
      <c r="T733" s="5"/>
      <c r="U733" s="5"/>
      <c r="V733" s="5"/>
      <c r="W733" s="5"/>
      <c r="X733" s="5"/>
      <c r="Y733" s="5" t="s">
        <v>2263</v>
      </c>
      <c r="Z733" s="5"/>
      <c r="AA733" s="5"/>
      <c r="AB733" s="5"/>
      <c r="AC733" s="5"/>
      <c r="AD733" s="5"/>
      <c r="AE733" s="5"/>
      <c r="AF733" s="5"/>
      <c r="AG733" s="14" t="s">
        <v>55</v>
      </c>
      <c r="AH733" s="14" t="s">
        <v>1603</v>
      </c>
      <c r="AI733" s="14" t="s">
        <v>2264</v>
      </c>
      <c r="AJ733" s="5"/>
      <c r="AK733" s="5"/>
    </row>
    <row r="734" spans="1:37">
      <c r="A734" s="6" t="s">
        <v>3416</v>
      </c>
      <c r="B734" s="6" t="s">
        <v>3417</v>
      </c>
      <c r="C734" s="6" t="s">
        <v>43</v>
      </c>
      <c r="D734" s="6" t="s">
        <v>239</v>
      </c>
      <c r="E734" s="6" t="s">
        <v>2065</v>
      </c>
      <c r="F734" s="6" t="s">
        <v>46</v>
      </c>
      <c r="G734" s="6" t="s">
        <v>3418</v>
      </c>
      <c r="I734" s="19" t="s">
        <v>48</v>
      </c>
      <c r="J734" s="19" t="s">
        <v>48</v>
      </c>
      <c r="K734" s="6"/>
      <c r="L734" s="6"/>
      <c r="M734" s="6"/>
      <c r="N734" s="6"/>
      <c r="O734" s="6"/>
      <c r="P734" s="6"/>
      <c r="Q734" s="6"/>
      <c r="R734" s="6"/>
      <c r="S734" s="6"/>
      <c r="T734" s="6"/>
      <c r="U734" s="6"/>
      <c r="V734" s="6"/>
      <c r="W734" s="6"/>
      <c r="X734" s="6"/>
      <c r="Y734" s="6"/>
      <c r="Z734" s="6"/>
      <c r="AA734" s="6"/>
      <c r="AB734" s="6"/>
      <c r="AC734" s="6"/>
      <c r="AD734" s="6"/>
      <c r="AE734" s="6"/>
      <c r="AF734" s="6"/>
      <c r="AG734" s="15" t="s">
        <v>55</v>
      </c>
      <c r="AH734" s="15"/>
      <c r="AI734" s="15"/>
      <c r="AJ734" s="6"/>
      <c r="AK734" s="6"/>
    </row>
    <row r="735" spans="1:37" s="6" customFormat="1">
      <c r="A735" s="5" t="s">
        <v>3419</v>
      </c>
      <c r="B735" s="5" t="s">
        <v>3420</v>
      </c>
      <c r="C735" s="6" t="s">
        <v>2281</v>
      </c>
      <c r="D735" s="6" t="s">
        <v>1645</v>
      </c>
      <c r="E735" s="6" t="s">
        <v>1386</v>
      </c>
      <c r="F735" s="6" t="s">
        <v>46</v>
      </c>
      <c r="G735" s="6" t="s">
        <v>3421</v>
      </c>
      <c r="H735" s="7">
        <v>82.96</v>
      </c>
      <c r="I735" s="19" t="s">
        <v>2283</v>
      </c>
      <c r="J735" s="19" t="s">
        <v>2284</v>
      </c>
      <c r="K735" s="6" t="s">
        <v>2285</v>
      </c>
      <c r="L735" s="6" t="s">
        <v>2286</v>
      </c>
      <c r="M735" s="6" t="s">
        <v>2287</v>
      </c>
      <c r="N735" s="6" t="s">
        <v>2288</v>
      </c>
      <c r="O735" s="6" t="s">
        <v>3422</v>
      </c>
      <c r="P735" s="6" t="s">
        <v>3423</v>
      </c>
      <c r="Q735" s="6" t="s">
        <v>3424</v>
      </c>
      <c r="R735" s="6" t="s">
        <v>3425</v>
      </c>
      <c r="S735" s="5"/>
      <c r="T735" s="5"/>
      <c r="U735" s="5"/>
      <c r="V735" s="5"/>
      <c r="W735" s="5"/>
      <c r="X735" s="5"/>
      <c r="Y735" s="5"/>
      <c r="Z735" s="5"/>
      <c r="AA735" s="5"/>
      <c r="AB735" s="5"/>
      <c r="AC735" s="5"/>
      <c r="AD735" s="5"/>
      <c r="AE735" s="5"/>
      <c r="AF735" s="5"/>
      <c r="AG735" s="14" t="s">
        <v>55</v>
      </c>
      <c r="AH735" s="14" t="s">
        <v>1603</v>
      </c>
      <c r="AI735" s="14" t="s">
        <v>1603</v>
      </c>
      <c r="AJ735" s="5"/>
      <c r="AK735" s="5"/>
    </row>
    <row r="736" spans="1:37">
      <c r="A736" s="5" t="s">
        <v>3426</v>
      </c>
      <c r="B736" s="5" t="s">
        <v>3427</v>
      </c>
      <c r="C736" s="6" t="s">
        <v>43</v>
      </c>
      <c r="D736" s="6" t="s">
        <v>1645</v>
      </c>
      <c r="E736" s="6" t="s">
        <v>1386</v>
      </c>
      <c r="F736" s="6" t="s">
        <v>46</v>
      </c>
      <c r="G736" s="6" t="s">
        <v>3428</v>
      </c>
      <c r="H736" s="7">
        <v>113.03</v>
      </c>
      <c r="I736" s="19" t="s">
        <v>2283</v>
      </c>
      <c r="J736" s="19" t="s">
        <v>2284</v>
      </c>
      <c r="K736" s="6" t="s">
        <v>2308</v>
      </c>
      <c r="L736" s="6" t="s">
        <v>2309</v>
      </c>
      <c r="M736" s="6" t="s">
        <v>2310</v>
      </c>
      <c r="N736" s="6" t="s">
        <v>2311</v>
      </c>
      <c r="O736" s="6" t="s">
        <v>3429</v>
      </c>
      <c r="P736" s="6" t="s">
        <v>3430</v>
      </c>
      <c r="Q736" s="6" t="s">
        <v>3431</v>
      </c>
      <c r="R736" s="6" t="s">
        <v>3432</v>
      </c>
      <c r="AG736" s="14" t="s">
        <v>55</v>
      </c>
      <c r="AH736" s="14" t="s">
        <v>1603</v>
      </c>
      <c r="AI736" s="14" t="s">
        <v>1603</v>
      </c>
    </row>
    <row r="737" spans="1:50">
      <c r="A737" s="5" t="s">
        <v>3433</v>
      </c>
      <c r="B737" s="5" t="s">
        <v>3434</v>
      </c>
      <c r="C737" s="6" t="s">
        <v>2295</v>
      </c>
      <c r="D737" s="6" t="s">
        <v>1645</v>
      </c>
      <c r="E737" s="6" t="s">
        <v>1386</v>
      </c>
      <c r="F737" s="6" t="s">
        <v>46</v>
      </c>
      <c r="G737" s="6" t="s">
        <v>3435</v>
      </c>
      <c r="H737" s="7">
        <v>112.97</v>
      </c>
      <c r="I737" s="19" t="s">
        <v>2283</v>
      </c>
      <c r="J737" s="19" t="s">
        <v>2284</v>
      </c>
      <c r="K737" s="6" t="s">
        <v>3436</v>
      </c>
      <c r="L737" s="6" t="s">
        <v>3437</v>
      </c>
      <c r="M737" s="6" t="s">
        <v>3438</v>
      </c>
      <c r="N737" s="6" t="s">
        <v>3439</v>
      </c>
      <c r="O737" s="6" t="s">
        <v>3440</v>
      </c>
      <c r="P737" s="6" t="s">
        <v>3441</v>
      </c>
      <c r="Q737" s="6" t="s">
        <v>3442</v>
      </c>
      <c r="R737" s="6" t="s">
        <v>3443</v>
      </c>
      <c r="AG737" s="14" t="s">
        <v>55</v>
      </c>
      <c r="AH737" s="14" t="s">
        <v>1603</v>
      </c>
      <c r="AI737" s="14" t="s">
        <v>1603</v>
      </c>
    </row>
    <row r="738" spans="1:50">
      <c r="A738" s="5" t="s">
        <v>3444</v>
      </c>
      <c r="B738" s="5" t="s">
        <v>3445</v>
      </c>
      <c r="C738" s="6" t="s">
        <v>3446</v>
      </c>
      <c r="D738" s="6" t="s">
        <v>1645</v>
      </c>
      <c r="E738" s="6" t="s">
        <v>2319</v>
      </c>
      <c r="F738" s="6" t="s">
        <v>46</v>
      </c>
      <c r="G738" s="6" t="s">
        <v>3447</v>
      </c>
      <c r="H738" s="7">
        <v>133.97999999999999</v>
      </c>
      <c r="I738" s="19" t="s">
        <v>2283</v>
      </c>
      <c r="J738" s="19" t="s">
        <v>2284</v>
      </c>
      <c r="K738" s="6" t="s">
        <v>2333</v>
      </c>
      <c r="L738" s="6" t="s">
        <v>2334</v>
      </c>
      <c r="M738" s="6" t="s">
        <v>2335</v>
      </c>
      <c r="N738" s="6" t="s">
        <v>2336</v>
      </c>
      <c r="O738" s="6" t="s">
        <v>3448</v>
      </c>
      <c r="P738" s="6" t="s">
        <v>3449</v>
      </c>
      <c r="Q738" s="6" t="s">
        <v>3450</v>
      </c>
      <c r="R738" s="6" t="s">
        <v>3451</v>
      </c>
      <c r="S738" s="6"/>
      <c r="T738" s="6"/>
      <c r="U738" s="6"/>
      <c r="AG738" s="14" t="s">
        <v>55</v>
      </c>
      <c r="AH738" s="14" t="s">
        <v>1603</v>
      </c>
      <c r="AI738" s="14" t="s">
        <v>1603</v>
      </c>
    </row>
    <row r="739" spans="1:50">
      <c r="A739" s="5" t="s">
        <v>3452</v>
      </c>
      <c r="B739" s="5" t="s">
        <v>3445</v>
      </c>
      <c r="C739" s="6" t="s">
        <v>3446</v>
      </c>
      <c r="D739" s="6" t="s">
        <v>1645</v>
      </c>
      <c r="E739" s="6" t="s">
        <v>1386</v>
      </c>
      <c r="F739" s="6" t="s">
        <v>46</v>
      </c>
      <c r="G739" s="6" t="s">
        <v>3453</v>
      </c>
      <c r="H739" s="7">
        <v>133.97999999999999</v>
      </c>
      <c r="I739" s="19" t="s">
        <v>2283</v>
      </c>
      <c r="J739" s="19" t="s">
        <v>2284</v>
      </c>
      <c r="K739" s="6" t="s">
        <v>2333</v>
      </c>
      <c r="L739" s="6" t="s">
        <v>2334</v>
      </c>
      <c r="M739" s="6" t="s">
        <v>2335</v>
      </c>
      <c r="N739" s="6" t="s">
        <v>2336</v>
      </c>
      <c r="O739" s="6" t="s">
        <v>3448</v>
      </c>
      <c r="P739" s="6" t="s">
        <v>3449</v>
      </c>
      <c r="Q739" s="6" t="s">
        <v>3450</v>
      </c>
      <c r="R739" s="6" t="s">
        <v>3451</v>
      </c>
      <c r="S739" s="6"/>
      <c r="T739" s="6"/>
      <c r="U739" s="6"/>
      <c r="AG739" s="14" t="s">
        <v>55</v>
      </c>
      <c r="AH739" s="14" t="s">
        <v>1603</v>
      </c>
      <c r="AI739" s="14" t="s">
        <v>1603</v>
      </c>
    </row>
    <row r="740" spans="1:50">
      <c r="A740" s="6" t="s">
        <v>3454</v>
      </c>
      <c r="B740" s="6" t="s">
        <v>3445</v>
      </c>
      <c r="C740" s="6" t="s">
        <v>3446</v>
      </c>
      <c r="D740" s="6" t="s">
        <v>1645</v>
      </c>
      <c r="E740" s="6" t="s">
        <v>1671</v>
      </c>
      <c r="F740" s="6" t="s">
        <v>46</v>
      </c>
      <c r="G740" s="6" t="s">
        <v>3455</v>
      </c>
      <c r="I740" s="19" t="s">
        <v>48</v>
      </c>
      <c r="J740" s="19" t="s">
        <v>48</v>
      </c>
      <c r="K740" s="6"/>
      <c r="L740" s="6"/>
      <c r="M740" s="6"/>
      <c r="N740" s="6"/>
      <c r="O740" s="6"/>
      <c r="P740" s="6"/>
      <c r="Q740" s="6"/>
      <c r="R740" s="6"/>
      <c r="S740" s="6"/>
      <c r="T740" s="6"/>
      <c r="U740" s="6"/>
      <c r="V740" s="6"/>
      <c r="W740" s="6"/>
      <c r="X740" s="6"/>
      <c r="Y740" s="6"/>
      <c r="Z740" s="6"/>
      <c r="AA740" s="6"/>
      <c r="AB740" s="6"/>
      <c r="AC740" s="6"/>
      <c r="AD740" s="6"/>
      <c r="AE740" s="6"/>
      <c r="AF740" s="6"/>
      <c r="AG740" s="15" t="s">
        <v>55</v>
      </c>
      <c r="AH740" s="15"/>
      <c r="AI740" s="15"/>
      <c r="AJ740" s="6"/>
      <c r="AK740" s="6"/>
    </row>
    <row r="741" spans="1:50" s="6" customFormat="1">
      <c r="A741" s="5" t="s">
        <v>3456</v>
      </c>
      <c r="B741" s="5" t="s">
        <v>3457</v>
      </c>
      <c r="C741" s="6" t="s">
        <v>3458</v>
      </c>
      <c r="D741" s="6" t="s">
        <v>1645</v>
      </c>
      <c r="E741" s="6" t="s">
        <v>1386</v>
      </c>
      <c r="F741" s="6" t="s">
        <v>46</v>
      </c>
      <c r="G741" s="6" t="s">
        <v>3459</v>
      </c>
      <c r="H741" s="7">
        <v>136.88</v>
      </c>
      <c r="I741" s="19" t="s">
        <v>2283</v>
      </c>
      <c r="J741" s="19" t="s">
        <v>2284</v>
      </c>
      <c r="K741" s="6" t="s">
        <v>2355</v>
      </c>
      <c r="L741" s="6" t="s">
        <v>2356</v>
      </c>
      <c r="M741" s="6" t="s">
        <v>2357</v>
      </c>
      <c r="N741" s="6" t="s">
        <v>2358</v>
      </c>
      <c r="O741" s="6" t="s">
        <v>3460</v>
      </c>
      <c r="P741" s="6" t="s">
        <v>3461</v>
      </c>
      <c r="Q741" s="6" t="s">
        <v>3462</v>
      </c>
      <c r="R741" s="6" t="s">
        <v>3463</v>
      </c>
      <c r="S741" s="5"/>
      <c r="T741" s="5"/>
      <c r="U741" s="5"/>
      <c r="V741" s="5"/>
      <c r="W741" s="5"/>
      <c r="X741" s="5"/>
      <c r="Y741" s="5"/>
      <c r="Z741" s="5"/>
      <c r="AA741" s="5"/>
      <c r="AB741" s="5"/>
      <c r="AC741" s="5"/>
      <c r="AD741" s="5"/>
      <c r="AE741" s="5"/>
      <c r="AF741" s="5"/>
      <c r="AG741" s="14" t="s">
        <v>55</v>
      </c>
      <c r="AH741" s="14" t="s">
        <v>1603</v>
      </c>
      <c r="AI741" s="14" t="s">
        <v>1603</v>
      </c>
      <c r="AJ741" s="5"/>
      <c r="AK741" s="5"/>
    </row>
    <row r="742" spans="1:50">
      <c r="A742" s="5" t="s">
        <v>3464</v>
      </c>
      <c r="B742" s="5" t="s">
        <v>3465</v>
      </c>
      <c r="C742" s="6" t="s">
        <v>2281</v>
      </c>
      <c r="D742" s="6" t="s">
        <v>1645</v>
      </c>
      <c r="E742" s="6" t="s">
        <v>1386</v>
      </c>
      <c r="F742" s="6" t="s">
        <v>46</v>
      </c>
      <c r="G742" s="6" t="s">
        <v>3466</v>
      </c>
      <c r="H742" s="7">
        <v>98.67</v>
      </c>
      <c r="I742" s="19" t="s">
        <v>2283</v>
      </c>
      <c r="J742" s="19" t="s">
        <v>2284</v>
      </c>
      <c r="K742" s="6" t="s">
        <v>2366</v>
      </c>
      <c r="L742" s="6" t="s">
        <v>2367</v>
      </c>
      <c r="M742" s="6" t="s">
        <v>2368</v>
      </c>
      <c r="N742" s="6" t="s">
        <v>2369</v>
      </c>
      <c r="O742" s="6" t="s">
        <v>3467</v>
      </c>
      <c r="P742" s="6" t="s">
        <v>3468</v>
      </c>
      <c r="Q742" s="6" t="s">
        <v>3469</v>
      </c>
      <c r="R742" s="6" t="s">
        <v>3470</v>
      </c>
      <c r="AG742" s="14" t="s">
        <v>55</v>
      </c>
      <c r="AH742" s="14" t="s">
        <v>1603</v>
      </c>
      <c r="AI742" s="14" t="s">
        <v>1603</v>
      </c>
    </row>
    <row r="743" spans="1:50">
      <c r="A743" s="5" t="s">
        <v>3471</v>
      </c>
      <c r="B743" s="5" t="s">
        <v>3465</v>
      </c>
      <c r="C743" s="6" t="s">
        <v>2281</v>
      </c>
      <c r="D743" s="6" t="s">
        <v>1645</v>
      </c>
      <c r="E743" s="6" t="s">
        <v>2065</v>
      </c>
      <c r="F743" s="6" t="s">
        <v>46</v>
      </c>
      <c r="G743" s="6" t="s">
        <v>3472</v>
      </c>
      <c r="H743" s="7">
        <v>98.67</v>
      </c>
      <c r="I743" s="19" t="s">
        <v>2283</v>
      </c>
      <c r="J743" s="19" t="s">
        <v>2284</v>
      </c>
      <c r="K743" s="6" t="s">
        <v>2366</v>
      </c>
      <c r="L743" s="6" t="s">
        <v>2367</v>
      </c>
      <c r="M743" s="6" t="s">
        <v>2368</v>
      </c>
      <c r="N743" s="6" t="s">
        <v>2369</v>
      </c>
      <c r="O743" s="6" t="s">
        <v>3467</v>
      </c>
      <c r="P743" s="6" t="s">
        <v>3468</v>
      </c>
      <c r="Q743" s="6" t="s">
        <v>3469</v>
      </c>
      <c r="R743" s="6" t="s">
        <v>3470</v>
      </c>
      <c r="AG743" s="14" t="s">
        <v>55</v>
      </c>
      <c r="AH743" s="14" t="s">
        <v>1603</v>
      </c>
      <c r="AI743" s="14" t="s">
        <v>1603</v>
      </c>
    </row>
    <row r="744" spans="1:50">
      <c r="A744" s="6" t="s">
        <v>3473</v>
      </c>
      <c r="B744" s="6" t="s">
        <v>3474</v>
      </c>
      <c r="C744" s="6" t="s">
        <v>2208</v>
      </c>
      <c r="D744" s="6" t="s">
        <v>2189</v>
      </c>
      <c r="E744" s="6" t="s">
        <v>1671</v>
      </c>
      <c r="F744" s="6" t="s">
        <v>46</v>
      </c>
      <c r="G744" s="6" t="s">
        <v>3475</v>
      </c>
      <c r="I744" s="19" t="s">
        <v>48</v>
      </c>
      <c r="J744" s="19" t="s">
        <v>48</v>
      </c>
      <c r="K744" s="6"/>
      <c r="L744" s="6"/>
      <c r="M744" s="6"/>
      <c r="N744" s="6"/>
      <c r="O744" s="6"/>
      <c r="P744" s="6"/>
      <c r="Q744" s="6"/>
      <c r="R744" s="6"/>
      <c r="S744" s="6"/>
      <c r="T744" s="6"/>
      <c r="U744" s="6"/>
      <c r="V744" s="6"/>
      <c r="W744" s="6"/>
      <c r="X744" s="6"/>
      <c r="Y744" s="6"/>
      <c r="Z744" s="6"/>
      <c r="AA744" s="6"/>
      <c r="AB744" s="6"/>
      <c r="AC744" s="6"/>
      <c r="AD744" s="6"/>
      <c r="AE744" s="6"/>
      <c r="AF744" s="6"/>
      <c r="AG744" s="15" t="s">
        <v>55</v>
      </c>
      <c r="AH744" s="15"/>
      <c r="AI744" s="15"/>
      <c r="AJ744" s="6"/>
      <c r="AK744" s="6"/>
    </row>
    <row r="745" spans="1:50" s="6" customFormat="1">
      <c r="A745" s="6" t="s">
        <v>3476</v>
      </c>
      <c r="B745" s="6" t="s">
        <v>3477</v>
      </c>
      <c r="C745" s="6" t="s">
        <v>2281</v>
      </c>
      <c r="D745" s="6" t="s">
        <v>1645</v>
      </c>
      <c r="E745" s="6" t="s">
        <v>1386</v>
      </c>
      <c r="F745" s="6" t="s">
        <v>46</v>
      </c>
      <c r="G745" s="6" t="s">
        <v>3478</v>
      </c>
      <c r="H745" s="7"/>
      <c r="I745" s="19" t="s">
        <v>48</v>
      </c>
      <c r="J745" s="19" t="s">
        <v>48</v>
      </c>
      <c r="AG745" s="15" t="s">
        <v>55</v>
      </c>
      <c r="AH745" s="15"/>
      <c r="AI745" s="15"/>
    </row>
    <row r="746" spans="1:50" s="6" customFormat="1">
      <c r="A746" s="6" t="s">
        <v>3479</v>
      </c>
      <c r="B746" s="6" t="s">
        <v>3480</v>
      </c>
      <c r="C746" s="6" t="s">
        <v>2378</v>
      </c>
      <c r="D746" s="6" t="s">
        <v>1645</v>
      </c>
      <c r="E746" s="6" t="s">
        <v>1671</v>
      </c>
      <c r="F746" s="6" t="s">
        <v>46</v>
      </c>
      <c r="G746" s="6" t="s">
        <v>3481</v>
      </c>
      <c r="H746" s="7"/>
      <c r="I746" s="19" t="s">
        <v>48</v>
      </c>
      <c r="J746" s="19" t="s">
        <v>48</v>
      </c>
      <c r="AG746" s="15" t="s">
        <v>55</v>
      </c>
      <c r="AH746" s="15"/>
      <c r="AI746" s="15"/>
    </row>
    <row r="747" spans="1:50" s="6" customFormat="1">
      <c r="A747" s="6" t="s">
        <v>3482</v>
      </c>
      <c r="B747" s="6" t="s">
        <v>3483</v>
      </c>
      <c r="C747" s="6" t="s">
        <v>2208</v>
      </c>
      <c r="D747" s="6" t="s">
        <v>2189</v>
      </c>
      <c r="E747" s="6" t="s">
        <v>1671</v>
      </c>
      <c r="F747" s="6" t="s">
        <v>46</v>
      </c>
      <c r="G747" s="6" t="s">
        <v>3484</v>
      </c>
      <c r="H747" s="7"/>
      <c r="I747" s="19" t="s">
        <v>48</v>
      </c>
      <c r="J747" s="19" t="s">
        <v>48</v>
      </c>
      <c r="AG747" s="15" t="s">
        <v>55</v>
      </c>
      <c r="AH747" s="15"/>
      <c r="AI747" s="15"/>
    </row>
    <row r="748" spans="1:50" s="6" customFormat="1">
      <c r="A748" s="5" t="s">
        <v>3485</v>
      </c>
      <c r="B748" s="5" t="s">
        <v>3486</v>
      </c>
      <c r="C748" s="6" t="s">
        <v>43</v>
      </c>
      <c r="D748" s="6" t="s">
        <v>1645</v>
      </c>
      <c r="E748" s="6" t="s">
        <v>1386</v>
      </c>
      <c r="F748" s="6" t="s">
        <v>46</v>
      </c>
      <c r="G748" s="6" t="s">
        <v>3487</v>
      </c>
      <c r="H748" s="7">
        <v>131.6</v>
      </c>
      <c r="I748" s="19" t="s">
        <v>2283</v>
      </c>
      <c r="J748" s="19" t="s">
        <v>2380</v>
      </c>
      <c r="K748" s="23" t="s">
        <v>3488</v>
      </c>
      <c r="L748" s="23" t="s">
        <v>3489</v>
      </c>
      <c r="M748" s="23" t="s">
        <v>3490</v>
      </c>
      <c r="N748" s="23" t="s">
        <v>3491</v>
      </c>
      <c r="O748" s="23" t="s">
        <v>3492</v>
      </c>
      <c r="P748" s="23" t="s">
        <v>3493</v>
      </c>
      <c r="Q748" s="23" t="s">
        <v>3494</v>
      </c>
      <c r="R748" s="23" t="s">
        <v>3495</v>
      </c>
      <c r="S748" s="23"/>
      <c r="T748" s="23"/>
      <c r="U748" s="23"/>
      <c r="V748" s="23"/>
      <c r="W748" s="23"/>
      <c r="X748" s="23"/>
      <c r="Y748" s="23"/>
      <c r="Z748" s="23"/>
      <c r="AA748" s="23"/>
      <c r="AB748" s="23"/>
      <c r="AC748" s="23"/>
      <c r="AD748" s="23"/>
      <c r="AE748" s="23"/>
      <c r="AF748" s="23"/>
      <c r="AG748" s="14" t="s">
        <v>55</v>
      </c>
      <c r="AH748" s="14" t="s">
        <v>1603</v>
      </c>
      <c r="AI748" s="14" t="s">
        <v>1603</v>
      </c>
      <c r="AJ748" s="23"/>
      <c r="AK748" s="23"/>
    </row>
    <row r="749" spans="1:50">
      <c r="A749" s="5" t="s">
        <v>3496</v>
      </c>
      <c r="B749" s="5" t="s">
        <v>3486</v>
      </c>
      <c r="C749" s="6" t="s">
        <v>43</v>
      </c>
      <c r="D749" s="6" t="s">
        <v>1645</v>
      </c>
      <c r="E749" s="6" t="s">
        <v>2015</v>
      </c>
      <c r="F749" s="6" t="s">
        <v>46</v>
      </c>
      <c r="G749" s="6" t="s">
        <v>3497</v>
      </c>
      <c r="H749" s="7">
        <v>131.6</v>
      </c>
      <c r="I749" s="19" t="s">
        <v>2283</v>
      </c>
      <c r="J749" s="19" t="s">
        <v>2380</v>
      </c>
      <c r="K749" s="23" t="s">
        <v>3488</v>
      </c>
      <c r="L749" s="23" t="s">
        <v>3489</v>
      </c>
      <c r="M749" s="23" t="s">
        <v>3490</v>
      </c>
      <c r="N749" s="23" t="s">
        <v>3491</v>
      </c>
      <c r="O749" s="23" t="s">
        <v>3492</v>
      </c>
      <c r="P749" s="23" t="s">
        <v>3493</v>
      </c>
      <c r="Q749" s="23" t="s">
        <v>3494</v>
      </c>
      <c r="R749" s="23" t="s">
        <v>3495</v>
      </c>
      <c r="S749" s="23"/>
      <c r="T749" s="23"/>
      <c r="U749" s="23"/>
      <c r="V749" s="23"/>
      <c r="W749" s="23"/>
      <c r="X749" s="23"/>
      <c r="Y749" s="23"/>
      <c r="Z749" s="23"/>
      <c r="AA749" s="23"/>
      <c r="AB749" s="23"/>
      <c r="AC749" s="23"/>
      <c r="AD749" s="23"/>
      <c r="AE749" s="23"/>
      <c r="AF749" s="23"/>
      <c r="AG749" s="14" t="s">
        <v>55</v>
      </c>
      <c r="AH749" s="14" t="s">
        <v>1603</v>
      </c>
      <c r="AI749" s="14" t="s">
        <v>1603</v>
      </c>
      <c r="AJ749" s="23"/>
      <c r="AK749" s="23"/>
      <c r="AL749" s="23"/>
      <c r="AM749" s="23"/>
      <c r="AN749" s="23"/>
      <c r="AO749" s="23"/>
      <c r="AP749" s="23"/>
      <c r="AQ749" s="23"/>
      <c r="AR749" s="23"/>
      <c r="AS749" s="23"/>
      <c r="AT749" s="23"/>
      <c r="AU749" s="23"/>
      <c r="AV749" s="23"/>
      <c r="AW749" s="23"/>
      <c r="AX749" s="23"/>
    </row>
    <row r="750" spans="1:50">
      <c r="A750" s="5" t="s">
        <v>3498</v>
      </c>
      <c r="B750" s="5" t="s">
        <v>3486</v>
      </c>
      <c r="C750" s="6" t="s">
        <v>43</v>
      </c>
      <c r="D750" s="6" t="s">
        <v>1645</v>
      </c>
      <c r="E750" s="6" t="s">
        <v>2461</v>
      </c>
      <c r="F750" s="6" t="s">
        <v>46</v>
      </c>
      <c r="G750" s="6" t="s">
        <v>3499</v>
      </c>
      <c r="H750" s="7">
        <v>131.6</v>
      </c>
      <c r="I750" s="19" t="s">
        <v>2283</v>
      </c>
      <c r="J750" s="19" t="s">
        <v>2380</v>
      </c>
      <c r="K750" s="23" t="s">
        <v>3488</v>
      </c>
      <c r="L750" s="23" t="s">
        <v>3489</v>
      </c>
      <c r="M750" s="23" t="s">
        <v>3490</v>
      </c>
      <c r="N750" s="23" t="s">
        <v>3491</v>
      </c>
      <c r="O750" s="23" t="s">
        <v>3492</v>
      </c>
      <c r="P750" s="23" t="s">
        <v>3493</v>
      </c>
      <c r="Q750" s="23" t="s">
        <v>3494</v>
      </c>
      <c r="R750" s="23" t="s">
        <v>3495</v>
      </c>
      <c r="S750" s="23"/>
      <c r="T750" s="23"/>
      <c r="U750" s="23"/>
      <c r="V750" s="23"/>
      <c r="W750" s="23"/>
      <c r="X750" s="23"/>
      <c r="Y750" s="23"/>
      <c r="Z750" s="23"/>
      <c r="AA750" s="23"/>
      <c r="AB750" s="23"/>
      <c r="AC750" s="23"/>
      <c r="AD750" s="23"/>
      <c r="AE750" s="23"/>
      <c r="AF750" s="23"/>
      <c r="AG750" s="14" t="s">
        <v>55</v>
      </c>
      <c r="AH750" s="14" t="s">
        <v>1603</v>
      </c>
      <c r="AI750" s="14" t="s">
        <v>1603</v>
      </c>
      <c r="AJ750" s="23"/>
      <c r="AK750" s="23"/>
      <c r="AL750" s="23"/>
      <c r="AM750" s="23"/>
      <c r="AN750" s="23"/>
      <c r="AO750" s="23"/>
      <c r="AP750" s="23"/>
      <c r="AQ750" s="23"/>
      <c r="AR750" s="23"/>
      <c r="AS750" s="23"/>
      <c r="AT750" s="23"/>
      <c r="AU750" s="23"/>
      <c r="AV750" s="23"/>
      <c r="AW750" s="23"/>
      <c r="AX750" s="23"/>
    </row>
    <row r="751" spans="1:50">
      <c r="A751" s="5" t="s">
        <v>3500</v>
      </c>
      <c r="B751" s="5" t="s">
        <v>3501</v>
      </c>
      <c r="C751" s="6" t="s">
        <v>3446</v>
      </c>
      <c r="D751" s="6" t="s">
        <v>1645</v>
      </c>
      <c r="E751" s="6" t="s">
        <v>2319</v>
      </c>
      <c r="F751" s="6" t="s">
        <v>46</v>
      </c>
      <c r="G751" s="6" t="s">
        <v>3502</v>
      </c>
      <c r="H751" s="7">
        <v>92.07</v>
      </c>
      <c r="I751" s="19" t="s">
        <v>2283</v>
      </c>
      <c r="J751" s="19" t="s">
        <v>2380</v>
      </c>
      <c r="K751" s="23" t="s">
        <v>2393</v>
      </c>
      <c r="L751" s="23" t="s">
        <v>2394</v>
      </c>
      <c r="M751" s="23" t="s">
        <v>2395</v>
      </c>
      <c r="N751" s="23" t="s">
        <v>2396</v>
      </c>
      <c r="O751" s="23" t="s">
        <v>3503</v>
      </c>
      <c r="P751" s="23" t="s">
        <v>3504</v>
      </c>
      <c r="Q751" s="23" t="s">
        <v>3505</v>
      </c>
      <c r="R751" s="23" t="s">
        <v>3506</v>
      </c>
      <c r="S751" s="23"/>
      <c r="T751" s="23"/>
      <c r="U751" s="23"/>
      <c r="V751" s="23"/>
      <c r="W751" s="23"/>
      <c r="X751" s="23"/>
      <c r="Y751" s="23"/>
      <c r="Z751" s="23"/>
      <c r="AA751" s="23"/>
      <c r="AB751" s="23"/>
      <c r="AC751" s="23"/>
      <c r="AD751" s="23"/>
      <c r="AE751" s="23"/>
      <c r="AF751" s="23"/>
      <c r="AG751" s="14" t="s">
        <v>55</v>
      </c>
      <c r="AH751" s="14" t="s">
        <v>1603</v>
      </c>
      <c r="AI751" s="14" t="s">
        <v>1603</v>
      </c>
      <c r="AJ751" s="23"/>
      <c r="AK751" s="23"/>
      <c r="AL751" s="23"/>
      <c r="AM751" s="23"/>
      <c r="AN751" s="23"/>
      <c r="AO751" s="23"/>
      <c r="AP751" s="23"/>
      <c r="AQ751" s="23"/>
      <c r="AR751" s="23"/>
      <c r="AS751" s="23"/>
      <c r="AT751" s="23"/>
      <c r="AU751" s="23"/>
      <c r="AV751" s="23"/>
      <c r="AW751" s="23"/>
      <c r="AX751" s="23"/>
    </row>
    <row r="752" spans="1:50">
      <c r="A752" s="5" t="s">
        <v>3507</v>
      </c>
      <c r="B752" s="5" t="s">
        <v>3501</v>
      </c>
      <c r="C752" s="6" t="s">
        <v>3446</v>
      </c>
      <c r="D752" s="6" t="s">
        <v>1645</v>
      </c>
      <c r="E752" s="6" t="s">
        <v>1386</v>
      </c>
      <c r="F752" s="6" t="s">
        <v>46</v>
      </c>
      <c r="G752" s="6" t="s">
        <v>3502</v>
      </c>
      <c r="H752" s="7">
        <v>92.07</v>
      </c>
      <c r="I752" s="19" t="s">
        <v>2283</v>
      </c>
      <c r="J752" s="19" t="s">
        <v>2380</v>
      </c>
      <c r="K752" s="23" t="s">
        <v>2393</v>
      </c>
      <c r="L752" s="23" t="s">
        <v>2394</v>
      </c>
      <c r="M752" s="23" t="s">
        <v>2395</v>
      </c>
      <c r="N752" s="23" t="s">
        <v>2396</v>
      </c>
      <c r="O752" s="23" t="s">
        <v>3503</v>
      </c>
      <c r="P752" s="23" t="s">
        <v>3504</v>
      </c>
      <c r="Q752" s="23" t="s">
        <v>3505</v>
      </c>
      <c r="R752" s="23" t="s">
        <v>3506</v>
      </c>
      <c r="S752" s="23"/>
      <c r="T752" s="23"/>
      <c r="U752" s="23"/>
      <c r="V752" s="23"/>
      <c r="W752" s="23"/>
      <c r="X752" s="23"/>
      <c r="Y752" s="23"/>
      <c r="Z752" s="23"/>
      <c r="AA752" s="23"/>
      <c r="AB752" s="23"/>
      <c r="AC752" s="23"/>
      <c r="AD752" s="23"/>
      <c r="AE752" s="23"/>
      <c r="AF752" s="23"/>
      <c r="AG752" s="14" t="s">
        <v>55</v>
      </c>
      <c r="AH752" s="14" t="s">
        <v>1603</v>
      </c>
      <c r="AI752" s="14" t="s">
        <v>1603</v>
      </c>
      <c r="AJ752" s="23"/>
      <c r="AK752" s="23"/>
      <c r="AL752" s="23"/>
      <c r="AM752" s="23"/>
      <c r="AN752" s="23"/>
      <c r="AO752" s="23"/>
      <c r="AP752" s="23"/>
      <c r="AQ752" s="23"/>
      <c r="AR752" s="23"/>
      <c r="AS752" s="23"/>
      <c r="AT752" s="23"/>
      <c r="AU752" s="23"/>
      <c r="AV752" s="23"/>
      <c r="AW752" s="23"/>
      <c r="AX752" s="23"/>
    </row>
    <row r="753" spans="1:50">
      <c r="A753" s="5" t="s">
        <v>3508</v>
      </c>
      <c r="B753" s="5" t="s">
        <v>3501</v>
      </c>
      <c r="C753" s="6" t="s">
        <v>43</v>
      </c>
      <c r="D753" s="6" t="s">
        <v>1645</v>
      </c>
      <c r="E753" s="6" t="s">
        <v>2461</v>
      </c>
      <c r="F753" s="6" t="s">
        <v>46</v>
      </c>
      <c r="G753" s="6" t="s">
        <v>43</v>
      </c>
      <c r="H753" s="7">
        <v>92.07</v>
      </c>
      <c r="I753" s="19" t="s">
        <v>2283</v>
      </c>
      <c r="J753" s="19" t="s">
        <v>2380</v>
      </c>
      <c r="K753" s="23" t="s">
        <v>2393</v>
      </c>
      <c r="L753" s="23" t="s">
        <v>2394</v>
      </c>
      <c r="M753" s="23" t="s">
        <v>2395</v>
      </c>
      <c r="N753" s="23" t="s">
        <v>2396</v>
      </c>
      <c r="O753" s="23" t="s">
        <v>3503</v>
      </c>
      <c r="P753" s="23" t="s">
        <v>3504</v>
      </c>
      <c r="Q753" s="23" t="s">
        <v>3505</v>
      </c>
      <c r="R753" s="23" t="s">
        <v>3506</v>
      </c>
      <c r="S753" s="23"/>
      <c r="T753" s="23"/>
      <c r="U753" s="23"/>
      <c r="V753" s="23"/>
      <c r="W753" s="23"/>
      <c r="X753" s="23"/>
      <c r="Y753" s="23"/>
      <c r="Z753" s="23"/>
      <c r="AA753" s="23"/>
      <c r="AB753" s="23"/>
      <c r="AC753" s="23"/>
      <c r="AD753" s="23"/>
      <c r="AE753" s="23"/>
      <c r="AF753" s="23"/>
      <c r="AG753" s="14" t="s">
        <v>55</v>
      </c>
      <c r="AH753" s="14" t="s">
        <v>1603</v>
      </c>
      <c r="AI753" s="14" t="s">
        <v>1603</v>
      </c>
      <c r="AJ753" s="23"/>
      <c r="AK753" s="23"/>
      <c r="AL753" s="23"/>
      <c r="AM753" s="23"/>
      <c r="AN753" s="23"/>
      <c r="AO753" s="23"/>
      <c r="AP753" s="23"/>
      <c r="AQ753" s="23"/>
      <c r="AR753" s="23"/>
      <c r="AS753" s="23"/>
      <c r="AT753" s="23"/>
      <c r="AU753" s="23"/>
      <c r="AV753" s="23"/>
      <c r="AW753" s="23"/>
      <c r="AX753" s="23"/>
    </row>
    <row r="754" spans="1:50">
      <c r="A754" s="5" t="s">
        <v>3509</v>
      </c>
      <c r="B754" s="5" t="s">
        <v>3510</v>
      </c>
      <c r="C754" s="6" t="s">
        <v>43</v>
      </c>
      <c r="D754" s="6" t="s">
        <v>1645</v>
      </c>
      <c r="E754" s="6" t="s">
        <v>1386</v>
      </c>
      <c r="F754" s="6" t="s">
        <v>46</v>
      </c>
      <c r="G754" s="6" t="s">
        <v>3511</v>
      </c>
      <c r="H754" s="7">
        <v>126.19</v>
      </c>
      <c r="I754" s="19" t="s">
        <v>2283</v>
      </c>
      <c r="J754" s="19" t="s">
        <v>2380</v>
      </c>
      <c r="K754" s="23" t="s">
        <v>2424</v>
      </c>
      <c r="L754" s="23" t="s">
        <v>2425</v>
      </c>
      <c r="M754" s="23" t="s">
        <v>2426</v>
      </c>
      <c r="N754" s="23" t="s">
        <v>2427</v>
      </c>
      <c r="O754" s="23" t="s">
        <v>3512</v>
      </c>
      <c r="P754" s="23" t="s">
        <v>3513</v>
      </c>
      <c r="Q754" s="23" t="s">
        <v>3514</v>
      </c>
      <c r="R754" s="23" t="s">
        <v>3515</v>
      </c>
      <c r="S754" s="23"/>
      <c r="T754" s="23"/>
      <c r="U754" s="23"/>
      <c r="V754" s="23"/>
      <c r="W754" s="23"/>
      <c r="X754" s="23"/>
      <c r="Y754" s="23"/>
      <c r="Z754" s="23"/>
      <c r="AA754" s="23"/>
      <c r="AB754" s="23"/>
      <c r="AC754" s="23"/>
      <c r="AD754" s="23"/>
      <c r="AE754" s="23"/>
      <c r="AF754" s="23"/>
      <c r="AG754" s="14" t="s">
        <v>55</v>
      </c>
      <c r="AH754" s="14" t="s">
        <v>1603</v>
      </c>
      <c r="AI754" s="14" t="s">
        <v>1603</v>
      </c>
      <c r="AJ754" s="23"/>
      <c r="AK754" s="23"/>
      <c r="AL754" s="23"/>
      <c r="AM754" s="23"/>
      <c r="AN754" s="23"/>
      <c r="AO754" s="23"/>
      <c r="AP754" s="23"/>
      <c r="AQ754" s="23"/>
      <c r="AR754" s="23"/>
      <c r="AS754" s="23"/>
      <c r="AT754" s="23"/>
      <c r="AU754" s="23"/>
      <c r="AV754" s="23"/>
      <c r="AW754" s="23"/>
      <c r="AX754" s="23"/>
    </row>
    <row r="755" spans="1:50">
      <c r="A755" s="5" t="s">
        <v>3516</v>
      </c>
      <c r="B755" s="5" t="s">
        <v>3517</v>
      </c>
      <c r="C755" s="6" t="s">
        <v>3518</v>
      </c>
      <c r="D755" s="6" t="s">
        <v>1645</v>
      </c>
      <c r="E755" s="6" t="s">
        <v>1386</v>
      </c>
      <c r="F755" s="6" t="s">
        <v>46</v>
      </c>
      <c r="G755" s="6" t="s">
        <v>3519</v>
      </c>
      <c r="H755" s="7">
        <v>131.74</v>
      </c>
      <c r="I755" s="19" t="s">
        <v>2283</v>
      </c>
      <c r="J755" s="19" t="s">
        <v>2380</v>
      </c>
      <c r="K755" s="23" t="s">
        <v>2439</v>
      </c>
      <c r="L755" s="23" t="s">
        <v>2440</v>
      </c>
      <c r="M755" s="23" t="s">
        <v>2441</v>
      </c>
      <c r="N755" s="23" t="s">
        <v>2442</v>
      </c>
      <c r="O755" s="23" t="s">
        <v>2443</v>
      </c>
      <c r="P755" s="23" t="s">
        <v>2444</v>
      </c>
      <c r="Q755" s="23" t="s">
        <v>2445</v>
      </c>
      <c r="R755" s="23" t="s">
        <v>2446</v>
      </c>
      <c r="S755" s="23"/>
      <c r="T755" s="23"/>
      <c r="U755" s="23"/>
      <c r="V755" s="23"/>
      <c r="W755" s="23"/>
      <c r="X755" s="23"/>
      <c r="Y755" s="23"/>
      <c r="Z755" s="23"/>
      <c r="AA755" s="23"/>
      <c r="AB755" s="23"/>
      <c r="AC755" s="23"/>
      <c r="AD755" s="23"/>
      <c r="AE755" s="23"/>
      <c r="AF755" s="23"/>
      <c r="AG755" s="14" t="s">
        <v>55</v>
      </c>
      <c r="AH755" s="14" t="s">
        <v>1603</v>
      </c>
      <c r="AI755" s="14" t="s">
        <v>1603</v>
      </c>
      <c r="AJ755" s="23"/>
      <c r="AK755" s="23"/>
      <c r="AL755" s="23"/>
      <c r="AM755" s="23"/>
      <c r="AN755" s="23"/>
      <c r="AO755" s="23"/>
      <c r="AP755" s="23"/>
      <c r="AQ755" s="23"/>
      <c r="AR755" s="23"/>
      <c r="AS755" s="23"/>
      <c r="AT755" s="23"/>
      <c r="AU755" s="23"/>
      <c r="AV755" s="23"/>
      <c r="AW755" s="23"/>
      <c r="AX755" s="23"/>
    </row>
    <row r="756" spans="1:50">
      <c r="A756" s="5" t="s">
        <v>3520</v>
      </c>
      <c r="B756" s="5" t="s">
        <v>3517</v>
      </c>
      <c r="C756" s="6" t="s">
        <v>3518</v>
      </c>
      <c r="D756" s="6" t="s">
        <v>1645</v>
      </c>
      <c r="E756" s="6" t="s">
        <v>2461</v>
      </c>
      <c r="F756" s="6" t="s">
        <v>46</v>
      </c>
      <c r="G756" s="6" t="s">
        <v>3521</v>
      </c>
      <c r="H756" s="7">
        <v>131.74</v>
      </c>
      <c r="I756" s="19" t="s">
        <v>2283</v>
      </c>
      <c r="J756" s="19" t="s">
        <v>2380</v>
      </c>
      <c r="K756" s="23" t="s">
        <v>2439</v>
      </c>
      <c r="L756" s="23" t="s">
        <v>2440</v>
      </c>
      <c r="M756" s="23" t="s">
        <v>2441</v>
      </c>
      <c r="N756" s="23" t="s">
        <v>2442</v>
      </c>
      <c r="O756" s="23" t="s">
        <v>2443</v>
      </c>
      <c r="P756" s="23" t="s">
        <v>2444</v>
      </c>
      <c r="Q756" s="23" t="s">
        <v>2445</v>
      </c>
      <c r="R756" s="23" t="s">
        <v>2446</v>
      </c>
      <c r="S756" s="23"/>
      <c r="T756" s="23"/>
      <c r="U756" s="23"/>
      <c r="V756" s="23"/>
      <c r="W756" s="23"/>
      <c r="X756" s="23"/>
      <c r="Y756" s="23"/>
      <c r="Z756" s="23"/>
      <c r="AA756" s="23"/>
      <c r="AB756" s="23"/>
      <c r="AC756" s="23"/>
      <c r="AD756" s="23"/>
      <c r="AE756" s="23"/>
      <c r="AF756" s="23"/>
      <c r="AG756" s="14" t="s">
        <v>55</v>
      </c>
      <c r="AH756" s="14" t="s">
        <v>1603</v>
      </c>
      <c r="AI756" s="14" t="s">
        <v>1603</v>
      </c>
      <c r="AJ756" s="23"/>
      <c r="AK756" s="23"/>
      <c r="AL756" s="23"/>
      <c r="AM756" s="23"/>
      <c r="AN756" s="23"/>
      <c r="AO756" s="23"/>
      <c r="AP756" s="23"/>
      <c r="AQ756" s="23"/>
      <c r="AR756" s="23"/>
      <c r="AS756" s="23"/>
      <c r="AT756" s="23"/>
      <c r="AU756" s="23"/>
      <c r="AV756" s="23"/>
      <c r="AW756" s="23"/>
      <c r="AX756" s="23"/>
    </row>
    <row r="757" spans="1:50">
      <c r="A757" s="5" t="s">
        <v>3522</v>
      </c>
      <c r="B757" s="5" t="s">
        <v>3523</v>
      </c>
      <c r="C757" s="6" t="s">
        <v>43</v>
      </c>
      <c r="D757" s="6" t="s">
        <v>1645</v>
      </c>
      <c r="E757" s="6" t="s">
        <v>1386</v>
      </c>
      <c r="F757" s="6" t="s">
        <v>46</v>
      </c>
      <c r="G757" s="6" t="s">
        <v>3524</v>
      </c>
      <c r="H757" s="7">
        <v>141.1</v>
      </c>
      <c r="I757" s="19" t="s">
        <v>2283</v>
      </c>
      <c r="J757" s="19" t="s">
        <v>2380</v>
      </c>
      <c r="K757" s="23" t="s">
        <v>3525</v>
      </c>
      <c r="L757" s="23" t="s">
        <v>3526</v>
      </c>
      <c r="M757" s="23" t="s">
        <v>3527</v>
      </c>
      <c r="N757" s="23" t="s">
        <v>3528</v>
      </c>
      <c r="O757" s="23" t="s">
        <v>3529</v>
      </c>
      <c r="P757" s="23" t="s">
        <v>3530</v>
      </c>
      <c r="Q757" s="23" t="s">
        <v>3531</v>
      </c>
      <c r="R757" s="23" t="s">
        <v>3532</v>
      </c>
      <c r="S757" s="23"/>
      <c r="T757" s="23"/>
      <c r="U757" s="23"/>
      <c r="V757" s="23"/>
      <c r="W757" s="23"/>
      <c r="X757" s="23"/>
      <c r="Y757" s="23"/>
      <c r="Z757" s="23"/>
      <c r="AA757" s="23"/>
      <c r="AB757" s="23"/>
      <c r="AC757" s="23"/>
      <c r="AD757" s="23"/>
      <c r="AE757" s="23"/>
      <c r="AF757" s="23"/>
      <c r="AG757" s="14" t="s">
        <v>55</v>
      </c>
      <c r="AH757" s="14" t="s">
        <v>1603</v>
      </c>
      <c r="AI757" s="14" t="s">
        <v>1603</v>
      </c>
      <c r="AJ757" s="23"/>
      <c r="AK757" s="23"/>
      <c r="AL757" s="23"/>
      <c r="AM757" s="23"/>
      <c r="AN757" s="23"/>
      <c r="AO757" s="23"/>
      <c r="AP757" s="23"/>
      <c r="AQ757" s="23"/>
      <c r="AR757" s="23"/>
      <c r="AS757" s="23"/>
      <c r="AT757" s="23"/>
      <c r="AU757" s="23"/>
      <c r="AV757" s="23"/>
      <c r="AW757" s="23"/>
      <c r="AX757" s="23"/>
    </row>
    <row r="758" spans="1:50">
      <c r="A758" s="5" t="s">
        <v>3533</v>
      </c>
      <c r="B758" s="5" t="s">
        <v>3534</v>
      </c>
      <c r="C758" s="6" t="s">
        <v>3535</v>
      </c>
      <c r="D758" s="6" t="s">
        <v>1645</v>
      </c>
      <c r="E758" s="6" t="s">
        <v>1386</v>
      </c>
      <c r="F758" s="6" t="s">
        <v>46</v>
      </c>
      <c r="G758" s="6" t="s">
        <v>3536</v>
      </c>
      <c r="H758" s="7">
        <v>137.41</v>
      </c>
      <c r="I758" s="19" t="s">
        <v>2283</v>
      </c>
      <c r="J758" s="19" t="s">
        <v>2380</v>
      </c>
      <c r="K758" s="23" t="s">
        <v>2451</v>
      </c>
      <c r="L758" s="23" t="s">
        <v>2452</v>
      </c>
      <c r="M758" s="23" t="s">
        <v>2453</v>
      </c>
      <c r="N758" s="23" t="s">
        <v>2454</v>
      </c>
      <c r="O758" s="23" t="s">
        <v>3537</v>
      </c>
      <c r="P758" s="23" t="s">
        <v>3538</v>
      </c>
      <c r="Q758" s="23" t="s">
        <v>3539</v>
      </c>
      <c r="R758" s="23" t="s">
        <v>3540</v>
      </c>
      <c r="S758" s="23"/>
      <c r="T758" s="23"/>
      <c r="U758" s="23"/>
      <c r="V758" s="23"/>
      <c r="W758" s="23"/>
      <c r="X758" s="23"/>
      <c r="Y758" s="23"/>
      <c r="Z758" s="23"/>
      <c r="AA758" s="23"/>
      <c r="AB758" s="23"/>
      <c r="AC758" s="23"/>
      <c r="AD758" s="23"/>
      <c r="AE758" s="23"/>
      <c r="AF758" s="23"/>
      <c r="AG758" s="14" t="s">
        <v>55</v>
      </c>
      <c r="AH758" s="14" t="s">
        <v>1603</v>
      </c>
      <c r="AI758" s="14" t="s">
        <v>1603</v>
      </c>
      <c r="AJ758" s="23"/>
      <c r="AK758" s="23"/>
      <c r="AL758" s="23"/>
      <c r="AM758" s="23"/>
      <c r="AN758" s="23"/>
      <c r="AO758" s="23"/>
      <c r="AP758" s="23"/>
      <c r="AQ758" s="23"/>
      <c r="AR758" s="23"/>
      <c r="AS758" s="23"/>
      <c r="AT758" s="23"/>
      <c r="AU758" s="23"/>
      <c r="AV758" s="23"/>
      <c r="AW758" s="23"/>
      <c r="AX758" s="23"/>
    </row>
    <row r="759" spans="1:50">
      <c r="A759" s="5" t="s">
        <v>3541</v>
      </c>
      <c r="B759" s="5" t="s">
        <v>3534</v>
      </c>
      <c r="C759" s="6" t="s">
        <v>3535</v>
      </c>
      <c r="D759" s="6" t="s">
        <v>1645</v>
      </c>
      <c r="E759" s="6" t="s">
        <v>2015</v>
      </c>
      <c r="F759" s="6" t="s">
        <v>46</v>
      </c>
      <c r="G759" s="6" t="s">
        <v>3542</v>
      </c>
      <c r="H759" s="7">
        <v>137.41</v>
      </c>
      <c r="I759" s="19" t="s">
        <v>2283</v>
      </c>
      <c r="J759" s="19" t="s">
        <v>2380</v>
      </c>
      <c r="K759" s="23" t="s">
        <v>2451</v>
      </c>
      <c r="L759" s="23" t="s">
        <v>2452</v>
      </c>
      <c r="M759" s="23" t="s">
        <v>2453</v>
      </c>
      <c r="N759" s="23" t="s">
        <v>2454</v>
      </c>
      <c r="O759" s="23" t="s">
        <v>3537</v>
      </c>
      <c r="P759" s="23" t="s">
        <v>3538</v>
      </c>
      <c r="Q759" s="23" t="s">
        <v>3539</v>
      </c>
      <c r="R759" s="23" t="s">
        <v>3540</v>
      </c>
      <c r="S759" s="23"/>
      <c r="T759" s="23"/>
      <c r="U759" s="23"/>
      <c r="V759" s="23"/>
      <c r="W759" s="23"/>
      <c r="X759" s="23"/>
      <c r="Y759" s="23"/>
      <c r="Z759" s="23"/>
      <c r="AA759" s="23"/>
      <c r="AB759" s="23"/>
      <c r="AC759" s="23"/>
      <c r="AD759" s="23"/>
      <c r="AE759" s="23"/>
      <c r="AF759" s="23"/>
      <c r="AG759" s="14" t="s">
        <v>55</v>
      </c>
      <c r="AH759" s="14" t="s">
        <v>1603</v>
      </c>
      <c r="AI759" s="14" t="s">
        <v>1603</v>
      </c>
      <c r="AJ759" s="23"/>
      <c r="AK759" s="23"/>
      <c r="AL759" s="23"/>
      <c r="AM759" s="23"/>
      <c r="AN759" s="23"/>
      <c r="AO759" s="23"/>
      <c r="AP759" s="23"/>
      <c r="AQ759" s="23"/>
      <c r="AR759" s="23"/>
      <c r="AS759" s="23"/>
      <c r="AT759" s="23"/>
      <c r="AU759" s="23"/>
      <c r="AV759" s="23"/>
      <c r="AW759" s="23"/>
      <c r="AX759" s="23"/>
    </row>
    <row r="760" spans="1:50">
      <c r="A760" s="5" t="s">
        <v>3543</v>
      </c>
      <c r="B760" s="5" t="s">
        <v>3544</v>
      </c>
      <c r="C760" s="6" t="s">
        <v>3458</v>
      </c>
      <c r="D760" s="6" t="s">
        <v>1645</v>
      </c>
      <c r="E760" s="6" t="s">
        <v>1386</v>
      </c>
      <c r="F760" s="6" t="s">
        <v>46</v>
      </c>
      <c r="G760" s="6" t="s">
        <v>3545</v>
      </c>
      <c r="H760" s="7">
        <v>65.34</v>
      </c>
      <c r="I760" s="19" t="s">
        <v>2283</v>
      </c>
      <c r="J760" s="19" t="s">
        <v>2481</v>
      </c>
      <c r="K760" s="23" t="s">
        <v>2496</v>
      </c>
      <c r="L760" s="23" t="s">
        <v>2497</v>
      </c>
      <c r="M760" s="23" t="s">
        <v>2498</v>
      </c>
      <c r="N760" s="23" t="s">
        <v>2499</v>
      </c>
      <c r="O760" s="23" t="s">
        <v>3546</v>
      </c>
      <c r="P760" s="23" t="s">
        <v>3547</v>
      </c>
      <c r="Q760" s="23" t="s">
        <v>3548</v>
      </c>
      <c r="R760" s="23" t="s">
        <v>3549</v>
      </c>
      <c r="S760" s="23"/>
      <c r="T760" s="23"/>
      <c r="U760" s="23"/>
      <c r="V760" s="23"/>
      <c r="W760" s="23"/>
      <c r="X760" s="23"/>
      <c r="Y760" s="23"/>
      <c r="Z760" s="23"/>
      <c r="AA760" s="23"/>
      <c r="AB760" s="23"/>
      <c r="AC760" s="23"/>
      <c r="AD760" s="23"/>
      <c r="AE760" s="23"/>
      <c r="AF760" s="23"/>
      <c r="AG760" s="14" t="s">
        <v>55</v>
      </c>
      <c r="AH760" s="14" t="s">
        <v>1603</v>
      </c>
      <c r="AI760" s="14" t="s">
        <v>1603</v>
      </c>
      <c r="AJ760" s="23"/>
      <c r="AK760" s="23"/>
      <c r="AL760" s="23"/>
      <c r="AM760" s="23"/>
      <c r="AN760" s="23"/>
      <c r="AO760" s="23"/>
      <c r="AP760" s="23"/>
      <c r="AQ760" s="23"/>
      <c r="AR760" s="23"/>
      <c r="AS760" s="23"/>
      <c r="AT760" s="23"/>
      <c r="AU760" s="23"/>
      <c r="AV760" s="23"/>
      <c r="AW760" s="23"/>
      <c r="AX760" s="23"/>
    </row>
    <row r="761" spans="1:50">
      <c r="A761" s="5" t="s">
        <v>3550</v>
      </c>
      <c r="B761" s="5" t="s">
        <v>3544</v>
      </c>
      <c r="C761" s="6" t="s">
        <v>3458</v>
      </c>
      <c r="D761" s="6" t="s">
        <v>1645</v>
      </c>
      <c r="E761" s="6" t="s">
        <v>2015</v>
      </c>
      <c r="F761" s="6" t="s">
        <v>46</v>
      </c>
      <c r="G761" s="6" t="s">
        <v>3551</v>
      </c>
      <c r="H761" s="7">
        <v>65.34</v>
      </c>
      <c r="I761" s="19" t="s">
        <v>2283</v>
      </c>
      <c r="J761" s="19" t="s">
        <v>2481</v>
      </c>
      <c r="K761" s="23" t="s">
        <v>2496</v>
      </c>
      <c r="L761" s="23" t="s">
        <v>2497</v>
      </c>
      <c r="M761" s="23" t="s">
        <v>2498</v>
      </c>
      <c r="N761" s="23" t="s">
        <v>2499</v>
      </c>
      <c r="O761" s="23" t="s">
        <v>3546</v>
      </c>
      <c r="P761" s="23" t="s">
        <v>3547</v>
      </c>
      <c r="Q761" s="23" t="s">
        <v>3548</v>
      </c>
      <c r="R761" s="23" t="s">
        <v>3549</v>
      </c>
      <c r="S761" s="23"/>
      <c r="T761" s="23"/>
      <c r="U761" s="23"/>
      <c r="V761" s="23"/>
      <c r="W761" s="23"/>
      <c r="X761" s="23"/>
      <c r="Y761" s="23"/>
      <c r="Z761" s="23"/>
      <c r="AA761" s="23"/>
      <c r="AB761" s="23"/>
      <c r="AC761" s="23"/>
      <c r="AD761" s="23"/>
      <c r="AE761" s="23"/>
      <c r="AF761" s="23"/>
      <c r="AG761" s="14" t="s">
        <v>55</v>
      </c>
      <c r="AH761" s="14" t="s">
        <v>1603</v>
      </c>
      <c r="AI761" s="14" t="s">
        <v>1603</v>
      </c>
      <c r="AJ761" s="23"/>
      <c r="AK761" s="23"/>
    </row>
    <row r="762" spans="1:50">
      <c r="A762" s="5" t="s">
        <v>3552</v>
      </c>
      <c r="B762" s="5" t="s">
        <v>3544</v>
      </c>
      <c r="C762" s="6" t="s">
        <v>3458</v>
      </c>
      <c r="D762" s="6" t="s">
        <v>1645</v>
      </c>
      <c r="E762" s="6" t="s">
        <v>1540</v>
      </c>
      <c r="F762" s="6" t="s">
        <v>46</v>
      </c>
      <c r="G762" s="6" t="s">
        <v>3553</v>
      </c>
      <c r="H762" s="7">
        <v>65.34</v>
      </c>
      <c r="I762" s="19" t="s">
        <v>2283</v>
      </c>
      <c r="J762" s="19" t="s">
        <v>2481</v>
      </c>
      <c r="K762" s="23" t="s">
        <v>2496</v>
      </c>
      <c r="L762" s="23" t="s">
        <v>2497</v>
      </c>
      <c r="M762" s="23" t="s">
        <v>2498</v>
      </c>
      <c r="N762" s="23" t="s">
        <v>2499</v>
      </c>
      <c r="O762" s="23" t="s">
        <v>3546</v>
      </c>
      <c r="P762" s="23" t="s">
        <v>3547</v>
      </c>
      <c r="Q762" s="23" t="s">
        <v>3548</v>
      </c>
      <c r="R762" s="23" t="s">
        <v>3549</v>
      </c>
      <c r="S762" s="23"/>
      <c r="T762" s="23"/>
      <c r="U762" s="23"/>
      <c r="V762" s="23"/>
      <c r="W762" s="23"/>
      <c r="X762" s="23"/>
      <c r="Y762" s="23"/>
      <c r="Z762" s="23"/>
      <c r="AA762" s="23"/>
      <c r="AB762" s="23"/>
      <c r="AC762" s="23"/>
      <c r="AD762" s="23"/>
      <c r="AE762" s="23"/>
      <c r="AF762" s="23"/>
      <c r="AG762" s="14" t="s">
        <v>55</v>
      </c>
      <c r="AH762" s="14" t="s">
        <v>1603</v>
      </c>
      <c r="AI762" s="14" t="s">
        <v>1603</v>
      </c>
      <c r="AJ762" s="23"/>
      <c r="AK762" s="23"/>
    </row>
    <row r="763" spans="1:50">
      <c r="A763" s="5" t="s">
        <v>3554</v>
      </c>
      <c r="B763" s="5" t="s">
        <v>3555</v>
      </c>
      <c r="C763" s="6" t="s">
        <v>2281</v>
      </c>
      <c r="D763" s="6" t="s">
        <v>1645</v>
      </c>
      <c r="E763" s="6" t="s">
        <v>1386</v>
      </c>
      <c r="F763" s="6" t="s">
        <v>46</v>
      </c>
      <c r="G763" s="6" t="s">
        <v>3556</v>
      </c>
      <c r="H763" s="7">
        <v>72.069999999999993</v>
      </c>
      <c r="I763" s="19" t="s">
        <v>2283</v>
      </c>
      <c r="J763" s="19" t="s">
        <v>2512</v>
      </c>
      <c r="K763" s="6" t="s">
        <v>2513</v>
      </c>
      <c r="L763" s="6" t="s">
        <v>2514</v>
      </c>
      <c r="M763" s="6" t="s">
        <v>2515</v>
      </c>
      <c r="N763" s="6" t="s">
        <v>2516</v>
      </c>
      <c r="O763" s="6" t="s">
        <v>3557</v>
      </c>
      <c r="P763" s="6" t="s">
        <v>3558</v>
      </c>
      <c r="Q763" s="6" t="s">
        <v>3559</v>
      </c>
      <c r="R763" s="6" t="s">
        <v>3560</v>
      </c>
      <c r="AG763" s="14" t="s">
        <v>55</v>
      </c>
      <c r="AH763" s="14" t="s">
        <v>1603</v>
      </c>
      <c r="AI763" s="14" t="s">
        <v>1603</v>
      </c>
    </row>
    <row r="764" spans="1:50">
      <c r="A764" s="5" t="s">
        <v>3561</v>
      </c>
      <c r="B764" s="5" t="s">
        <v>3555</v>
      </c>
      <c r="C764" s="6" t="s">
        <v>2281</v>
      </c>
      <c r="D764" s="6" t="s">
        <v>1645</v>
      </c>
      <c r="E764" s="6" t="s">
        <v>2065</v>
      </c>
      <c r="F764" s="6" t="s">
        <v>46</v>
      </c>
      <c r="G764" s="6" t="s">
        <v>1938</v>
      </c>
      <c r="H764" s="7">
        <v>72.069999999999993</v>
      </c>
      <c r="I764" s="19" t="s">
        <v>2283</v>
      </c>
      <c r="J764" s="19" t="s">
        <v>2512</v>
      </c>
      <c r="K764" s="6" t="s">
        <v>2513</v>
      </c>
      <c r="L764" s="6" t="s">
        <v>2514</v>
      </c>
      <c r="M764" s="6" t="s">
        <v>2515</v>
      </c>
      <c r="N764" s="6" t="s">
        <v>2516</v>
      </c>
      <c r="O764" s="6" t="s">
        <v>3562</v>
      </c>
      <c r="P764" s="6" t="s">
        <v>3563</v>
      </c>
      <c r="Q764" s="6" t="s">
        <v>3564</v>
      </c>
      <c r="R764" s="6" t="s">
        <v>3565</v>
      </c>
      <c r="AG764" s="14" t="s">
        <v>55</v>
      </c>
      <c r="AH764" s="14" t="s">
        <v>1603</v>
      </c>
      <c r="AI764" s="14" t="s">
        <v>1603</v>
      </c>
    </row>
    <row r="765" spans="1:50">
      <c r="A765" s="5" t="s">
        <v>3566</v>
      </c>
      <c r="B765" s="5" t="s">
        <v>3567</v>
      </c>
      <c r="C765" s="6" t="s">
        <v>2555</v>
      </c>
      <c r="D765" s="6" t="s">
        <v>1645</v>
      </c>
      <c r="E765" s="6" t="s">
        <v>2139</v>
      </c>
      <c r="F765" s="6" t="s">
        <v>46</v>
      </c>
      <c r="G765" s="6" t="s">
        <v>2550</v>
      </c>
      <c r="H765" s="7">
        <v>65.34</v>
      </c>
      <c r="I765" s="19" t="s">
        <v>2283</v>
      </c>
      <c r="J765" s="19" t="s">
        <v>2466</v>
      </c>
      <c r="K765" s="5" t="s">
        <v>2557</v>
      </c>
      <c r="L765" s="5" t="s">
        <v>2558</v>
      </c>
      <c r="M765" s="5" t="s">
        <v>2559</v>
      </c>
      <c r="N765" s="5" t="s">
        <v>2560</v>
      </c>
      <c r="O765" s="5" t="s">
        <v>3568</v>
      </c>
      <c r="P765" s="5" t="s">
        <v>3569</v>
      </c>
      <c r="Q765" s="5" t="s">
        <v>3570</v>
      </c>
      <c r="R765" s="5" t="s">
        <v>3571</v>
      </c>
      <c r="AG765" s="14" t="s">
        <v>55</v>
      </c>
      <c r="AH765" s="14" t="s">
        <v>1603</v>
      </c>
      <c r="AI765" s="14" t="s">
        <v>1603</v>
      </c>
    </row>
    <row r="766" spans="1:50">
      <c r="A766" s="5" t="s">
        <v>3572</v>
      </c>
      <c r="B766" s="5" t="s">
        <v>3567</v>
      </c>
      <c r="C766" s="6" t="s">
        <v>43</v>
      </c>
      <c r="D766" s="6" t="s">
        <v>1645</v>
      </c>
      <c r="E766" s="6" t="s">
        <v>1386</v>
      </c>
      <c r="F766" s="6" t="s">
        <v>46</v>
      </c>
      <c r="G766" s="6" t="s">
        <v>3573</v>
      </c>
      <c r="H766" s="7">
        <v>65.34</v>
      </c>
      <c r="I766" s="19" t="s">
        <v>2283</v>
      </c>
      <c r="J766" s="19" t="s">
        <v>2466</v>
      </c>
      <c r="K766" s="5" t="s">
        <v>2557</v>
      </c>
      <c r="L766" s="5" t="s">
        <v>2558</v>
      </c>
      <c r="M766" s="5" t="s">
        <v>2559</v>
      </c>
      <c r="N766" s="5" t="s">
        <v>2560</v>
      </c>
      <c r="O766" s="5" t="s">
        <v>3568</v>
      </c>
      <c r="P766" s="5" t="s">
        <v>3569</v>
      </c>
      <c r="Q766" s="5" t="s">
        <v>3570</v>
      </c>
      <c r="R766" s="5" t="s">
        <v>3571</v>
      </c>
      <c r="AG766" s="14" t="s">
        <v>55</v>
      </c>
      <c r="AH766" s="14" t="s">
        <v>1603</v>
      </c>
      <c r="AI766" s="14" t="s">
        <v>1603</v>
      </c>
    </row>
    <row r="767" spans="1:50">
      <c r="A767" s="5" t="s">
        <v>3574</v>
      </c>
      <c r="B767" s="5" t="s">
        <v>3567</v>
      </c>
      <c r="C767" s="6" t="s">
        <v>43</v>
      </c>
      <c r="D767" s="6" t="s">
        <v>1645</v>
      </c>
      <c r="E767" s="6" t="s">
        <v>2015</v>
      </c>
      <c r="F767" s="6" t="s">
        <v>46</v>
      </c>
      <c r="G767" s="6" t="s">
        <v>3352</v>
      </c>
      <c r="H767" s="7">
        <v>65.34</v>
      </c>
      <c r="I767" s="19" t="s">
        <v>2283</v>
      </c>
      <c r="J767" s="19" t="s">
        <v>2466</v>
      </c>
      <c r="K767" s="5" t="s">
        <v>2557</v>
      </c>
      <c r="L767" s="5" t="s">
        <v>2558</v>
      </c>
      <c r="M767" s="5" t="s">
        <v>2559</v>
      </c>
      <c r="N767" s="5" t="s">
        <v>2560</v>
      </c>
      <c r="O767" s="5" t="s">
        <v>3568</v>
      </c>
      <c r="P767" s="5" t="s">
        <v>3569</v>
      </c>
      <c r="Q767" s="5" t="s">
        <v>3570</v>
      </c>
      <c r="R767" s="5" t="s">
        <v>3571</v>
      </c>
      <c r="AG767" s="14" t="s">
        <v>55</v>
      </c>
      <c r="AH767" s="14" t="s">
        <v>1603</v>
      </c>
      <c r="AI767" s="14" t="s">
        <v>1603</v>
      </c>
    </row>
    <row r="768" spans="1:50">
      <c r="A768" s="5" t="s">
        <v>3575</v>
      </c>
      <c r="B768" s="5" t="s">
        <v>3567</v>
      </c>
      <c r="C768" s="6" t="s">
        <v>43</v>
      </c>
      <c r="D768" s="6" t="s">
        <v>1645</v>
      </c>
      <c r="E768" s="6" t="s">
        <v>2047</v>
      </c>
      <c r="F768" s="6" t="s">
        <v>46</v>
      </c>
      <c r="G768" s="6" t="s">
        <v>3576</v>
      </c>
      <c r="H768" s="7">
        <v>65.34</v>
      </c>
      <c r="I768" s="19" t="s">
        <v>2283</v>
      </c>
      <c r="J768" s="19" t="s">
        <v>2466</v>
      </c>
      <c r="K768" s="5" t="s">
        <v>2557</v>
      </c>
      <c r="L768" s="5" t="s">
        <v>2558</v>
      </c>
      <c r="M768" s="5" t="s">
        <v>2559</v>
      </c>
      <c r="N768" s="5" t="s">
        <v>2560</v>
      </c>
      <c r="O768" s="5" t="s">
        <v>3568</v>
      </c>
      <c r="P768" s="5" t="s">
        <v>3569</v>
      </c>
      <c r="Q768" s="5" t="s">
        <v>3570</v>
      </c>
      <c r="R768" s="5" t="s">
        <v>3571</v>
      </c>
      <c r="AG768" s="14" t="s">
        <v>55</v>
      </c>
      <c r="AH768" s="14" t="s">
        <v>1603</v>
      </c>
      <c r="AI768" s="14" t="s">
        <v>1603</v>
      </c>
    </row>
    <row r="769" spans="1:37">
      <c r="A769" s="5" t="s">
        <v>3577</v>
      </c>
      <c r="B769" s="5" t="s">
        <v>3578</v>
      </c>
      <c r="C769" s="6" t="s">
        <v>2587</v>
      </c>
      <c r="D769" s="6" t="s">
        <v>1645</v>
      </c>
      <c r="E769" s="6" t="s">
        <v>2015</v>
      </c>
      <c r="F769" s="6" t="s">
        <v>46</v>
      </c>
      <c r="G769" s="6" t="s">
        <v>3579</v>
      </c>
      <c r="H769" s="7">
        <v>73.260000000000005</v>
      </c>
      <c r="I769" s="19" t="s">
        <v>2283</v>
      </c>
      <c r="J769" s="19" t="s">
        <v>2481</v>
      </c>
      <c r="K769" s="23" t="s">
        <v>2589</v>
      </c>
      <c r="L769" s="23" t="s">
        <v>2590</v>
      </c>
      <c r="M769" s="23" t="s">
        <v>2591</v>
      </c>
      <c r="N769" s="23" t="s">
        <v>2592</v>
      </c>
      <c r="O769" s="23" t="s">
        <v>3580</v>
      </c>
      <c r="P769" s="23" t="s">
        <v>3581</v>
      </c>
      <c r="Q769" s="23" t="s">
        <v>3582</v>
      </c>
      <c r="R769" s="23" t="s">
        <v>3583</v>
      </c>
      <c r="S769" s="23"/>
      <c r="T769" s="23"/>
      <c r="U769" s="23"/>
      <c r="V769" s="23"/>
      <c r="W769" s="23"/>
      <c r="X769" s="23"/>
      <c r="Y769" s="23"/>
      <c r="Z769" s="23"/>
      <c r="AA769" s="23"/>
      <c r="AB769" s="23"/>
      <c r="AC769" s="23"/>
      <c r="AD769" s="23"/>
      <c r="AE769" s="23"/>
      <c r="AF769" s="23"/>
      <c r="AG769" s="14" t="s">
        <v>55</v>
      </c>
      <c r="AH769" s="14" t="s">
        <v>1603</v>
      </c>
      <c r="AI769" s="14" t="s">
        <v>1603</v>
      </c>
      <c r="AJ769" s="23"/>
      <c r="AK769" s="23"/>
    </row>
    <row r="770" spans="1:37">
      <c r="A770" s="5" t="s">
        <v>3584</v>
      </c>
      <c r="B770" s="5" t="s">
        <v>3585</v>
      </c>
      <c r="C770" s="6" t="s">
        <v>3458</v>
      </c>
      <c r="D770" s="6" t="s">
        <v>1645</v>
      </c>
      <c r="E770" s="6" t="s">
        <v>1386</v>
      </c>
      <c r="F770" s="6" t="s">
        <v>46</v>
      </c>
      <c r="G770" s="6" t="s">
        <v>3586</v>
      </c>
      <c r="H770" s="7">
        <v>73.260000000000005</v>
      </c>
      <c r="I770" s="19" t="s">
        <v>2283</v>
      </c>
      <c r="J770" s="19" t="s">
        <v>2481</v>
      </c>
      <c r="K770" s="23" t="s">
        <v>2603</v>
      </c>
      <c r="L770" s="23" t="s">
        <v>2604</v>
      </c>
      <c r="M770" s="23" t="s">
        <v>2605</v>
      </c>
      <c r="N770" s="23" t="s">
        <v>2606</v>
      </c>
      <c r="O770" s="23" t="s">
        <v>3587</v>
      </c>
      <c r="P770" s="23" t="s">
        <v>3588</v>
      </c>
      <c r="Q770" s="23" t="s">
        <v>3589</v>
      </c>
      <c r="R770" s="23" t="s">
        <v>3590</v>
      </c>
      <c r="S770" s="23"/>
      <c r="T770" s="23"/>
      <c r="U770" s="23"/>
      <c r="V770" s="23"/>
      <c r="W770" s="23"/>
      <c r="X770" s="23"/>
      <c r="Y770" s="23"/>
      <c r="Z770" s="23"/>
      <c r="AA770" s="23"/>
      <c r="AB770" s="23"/>
      <c r="AC770" s="23"/>
      <c r="AD770" s="23"/>
      <c r="AE770" s="23"/>
      <c r="AF770" s="23"/>
      <c r="AG770" s="14" t="s">
        <v>55</v>
      </c>
      <c r="AH770" s="14" t="s">
        <v>1603</v>
      </c>
      <c r="AI770" s="14" t="s">
        <v>1603</v>
      </c>
      <c r="AJ770" s="23"/>
      <c r="AK770" s="23"/>
    </row>
    <row r="771" spans="1:37">
      <c r="A771" s="5" t="s">
        <v>3591</v>
      </c>
      <c r="B771" s="5" t="s">
        <v>3592</v>
      </c>
      <c r="C771" s="6" t="s">
        <v>2492</v>
      </c>
      <c r="D771" s="6" t="s">
        <v>1645</v>
      </c>
      <c r="E771" s="6" t="s">
        <v>2015</v>
      </c>
      <c r="F771" s="6" t="s">
        <v>46</v>
      </c>
      <c r="G771" s="6" t="s">
        <v>3593</v>
      </c>
      <c r="H771" s="7">
        <v>73.260000000000005</v>
      </c>
      <c r="I771" s="19" t="s">
        <v>2283</v>
      </c>
      <c r="J771" s="19" t="s">
        <v>2481</v>
      </c>
      <c r="K771" s="23" t="s">
        <v>2603</v>
      </c>
      <c r="L771" s="23" t="s">
        <v>2604</v>
      </c>
      <c r="M771" s="23" t="s">
        <v>2605</v>
      </c>
      <c r="N771" s="23" t="s">
        <v>2606</v>
      </c>
      <c r="O771" s="23" t="s">
        <v>3587</v>
      </c>
      <c r="P771" s="23" t="s">
        <v>3588</v>
      </c>
      <c r="Q771" s="23" t="s">
        <v>3589</v>
      </c>
      <c r="R771" s="23" t="s">
        <v>3590</v>
      </c>
      <c r="S771" s="23"/>
      <c r="T771" s="23"/>
      <c r="U771" s="23"/>
      <c r="V771" s="23"/>
      <c r="W771" s="23"/>
      <c r="X771" s="23"/>
      <c r="Y771" s="23"/>
      <c r="Z771" s="23"/>
      <c r="AA771" s="23"/>
      <c r="AB771" s="23"/>
      <c r="AC771" s="23"/>
      <c r="AD771" s="23"/>
      <c r="AE771" s="23"/>
      <c r="AF771" s="23"/>
      <c r="AG771" s="14" t="s">
        <v>55</v>
      </c>
      <c r="AH771" s="14" t="s">
        <v>1603</v>
      </c>
      <c r="AI771" s="14" t="s">
        <v>1603</v>
      </c>
      <c r="AJ771" s="23"/>
      <c r="AK771" s="23"/>
    </row>
    <row r="772" spans="1:37">
      <c r="A772" s="5" t="s">
        <v>3594</v>
      </c>
      <c r="B772" s="5" t="s">
        <v>3585</v>
      </c>
      <c r="C772" s="6" t="s">
        <v>3458</v>
      </c>
      <c r="D772" s="6" t="s">
        <v>1645</v>
      </c>
      <c r="E772" s="6" t="s">
        <v>2461</v>
      </c>
      <c r="F772" s="6" t="s">
        <v>46</v>
      </c>
      <c r="G772" s="6" t="s">
        <v>3595</v>
      </c>
      <c r="H772" s="7">
        <v>73.260000000000005</v>
      </c>
      <c r="I772" s="19" t="s">
        <v>2283</v>
      </c>
      <c r="J772" s="19" t="s">
        <v>2481</v>
      </c>
      <c r="K772" s="23" t="s">
        <v>2603</v>
      </c>
      <c r="L772" s="23" t="s">
        <v>2604</v>
      </c>
      <c r="M772" s="23" t="s">
        <v>2605</v>
      </c>
      <c r="N772" s="23" t="s">
        <v>2606</v>
      </c>
      <c r="O772" s="23" t="s">
        <v>3587</v>
      </c>
      <c r="P772" s="23" t="s">
        <v>3588</v>
      </c>
      <c r="Q772" s="23" t="s">
        <v>3589</v>
      </c>
      <c r="R772" s="23" t="s">
        <v>3590</v>
      </c>
      <c r="S772" s="23"/>
      <c r="T772" s="23"/>
      <c r="U772" s="23"/>
      <c r="V772" s="23"/>
      <c r="W772" s="23"/>
      <c r="X772" s="23"/>
      <c r="Y772" s="23"/>
      <c r="Z772" s="23"/>
      <c r="AA772" s="23"/>
      <c r="AB772" s="23"/>
      <c r="AC772" s="23"/>
      <c r="AD772" s="23"/>
      <c r="AE772" s="23"/>
      <c r="AF772" s="23"/>
      <c r="AG772" s="14" t="s">
        <v>55</v>
      </c>
      <c r="AH772" s="14" t="s">
        <v>1603</v>
      </c>
      <c r="AI772" s="14" t="s">
        <v>1603</v>
      </c>
      <c r="AJ772" s="23"/>
      <c r="AK772" s="23"/>
    </row>
    <row r="773" spans="1:37">
      <c r="A773" s="5" t="s">
        <v>3596</v>
      </c>
      <c r="B773" s="5" t="s">
        <v>3597</v>
      </c>
      <c r="C773" s="6" t="s">
        <v>2281</v>
      </c>
      <c r="D773" s="6" t="s">
        <v>1645</v>
      </c>
      <c r="E773" s="6" t="s">
        <v>1386</v>
      </c>
      <c r="F773" s="6" t="s">
        <v>46</v>
      </c>
      <c r="G773" s="6" t="s">
        <v>3598</v>
      </c>
      <c r="H773" s="7">
        <v>86.59</v>
      </c>
      <c r="I773" s="19" t="s">
        <v>2283</v>
      </c>
      <c r="J773" s="19" t="s">
        <v>2512</v>
      </c>
      <c r="K773" s="6" t="s">
        <v>2616</v>
      </c>
      <c r="L773" s="6" t="s">
        <v>2617</v>
      </c>
      <c r="M773" s="6" t="s">
        <v>2618</v>
      </c>
      <c r="N773" s="6" t="s">
        <v>2619</v>
      </c>
      <c r="O773" s="6" t="s">
        <v>3599</v>
      </c>
      <c r="P773" s="6" t="s">
        <v>3600</v>
      </c>
      <c r="Q773" s="6" t="s">
        <v>3601</v>
      </c>
      <c r="R773" s="6" t="s">
        <v>3602</v>
      </c>
      <c r="AG773" s="14" t="s">
        <v>55</v>
      </c>
      <c r="AH773" s="14" t="s">
        <v>1603</v>
      </c>
      <c r="AI773" s="14" t="s">
        <v>1603</v>
      </c>
    </row>
    <row r="774" spans="1:37">
      <c r="A774" s="5" t="s">
        <v>3603</v>
      </c>
      <c r="B774" s="5" t="s">
        <v>3597</v>
      </c>
      <c r="C774" s="6" t="s">
        <v>2281</v>
      </c>
      <c r="D774" s="6" t="s">
        <v>1645</v>
      </c>
      <c r="E774" s="6" t="s">
        <v>2065</v>
      </c>
      <c r="F774" s="6" t="s">
        <v>46</v>
      </c>
      <c r="G774" s="6" t="s">
        <v>3604</v>
      </c>
      <c r="H774" s="7">
        <v>86.59</v>
      </c>
      <c r="I774" s="19" t="s">
        <v>2283</v>
      </c>
      <c r="J774" s="19" t="s">
        <v>2512</v>
      </c>
      <c r="K774" s="6" t="s">
        <v>2616</v>
      </c>
      <c r="L774" s="6" t="s">
        <v>2617</v>
      </c>
      <c r="M774" s="6" t="s">
        <v>2618</v>
      </c>
      <c r="N774" s="6" t="s">
        <v>2619</v>
      </c>
      <c r="O774" s="6" t="s">
        <v>3599</v>
      </c>
      <c r="P774" s="6" t="s">
        <v>3600</v>
      </c>
      <c r="Q774" s="6" t="s">
        <v>3601</v>
      </c>
      <c r="R774" s="6" t="s">
        <v>3602</v>
      </c>
      <c r="AG774" s="14" t="s">
        <v>55</v>
      </c>
      <c r="AH774" s="14" t="s">
        <v>1603</v>
      </c>
      <c r="AI774" s="14" t="s">
        <v>1603</v>
      </c>
    </row>
    <row r="775" spans="1:37">
      <c r="A775" s="6" t="s">
        <v>3605</v>
      </c>
      <c r="B775" s="6" t="s">
        <v>3606</v>
      </c>
      <c r="C775" s="6" t="s">
        <v>2525</v>
      </c>
      <c r="D775" s="6" t="s">
        <v>1645</v>
      </c>
      <c r="E775" s="6" t="s">
        <v>2526</v>
      </c>
      <c r="F775" s="6" t="s">
        <v>46</v>
      </c>
      <c r="G775" s="6" t="s">
        <v>3607</v>
      </c>
      <c r="I775" s="19" t="s">
        <v>48</v>
      </c>
      <c r="J775" s="5" t="s">
        <v>48</v>
      </c>
      <c r="K775" s="6"/>
      <c r="L775" s="6"/>
      <c r="M775" s="6"/>
      <c r="N775" s="6"/>
      <c r="O775" s="6"/>
      <c r="P775" s="6"/>
      <c r="Q775" s="6"/>
      <c r="R775" s="6"/>
      <c r="S775" s="6"/>
      <c r="T775" s="6"/>
      <c r="U775" s="6"/>
      <c r="V775" s="6"/>
      <c r="W775" s="6"/>
      <c r="X775" s="6"/>
      <c r="Y775" s="6"/>
      <c r="Z775" s="6"/>
      <c r="AA775" s="6"/>
      <c r="AB775" s="6"/>
      <c r="AC775" s="6"/>
      <c r="AD775" s="6"/>
      <c r="AE775" s="6"/>
      <c r="AF775" s="6"/>
      <c r="AG775" s="15" t="s">
        <v>55</v>
      </c>
      <c r="AH775" s="15"/>
      <c r="AI775" s="15"/>
      <c r="AJ775" s="6"/>
      <c r="AK775" s="6"/>
    </row>
    <row r="776" spans="1:37" s="6" customFormat="1">
      <c r="A776" s="5" t="s">
        <v>3608</v>
      </c>
      <c r="B776" s="5" t="s">
        <v>3609</v>
      </c>
      <c r="C776" s="6" t="s">
        <v>43</v>
      </c>
      <c r="D776" s="6" t="s">
        <v>1645</v>
      </c>
      <c r="E776" s="6" t="s">
        <v>1386</v>
      </c>
      <c r="F776" s="6" t="s">
        <v>46</v>
      </c>
      <c r="G776" s="6" t="s">
        <v>3610</v>
      </c>
      <c r="H776" s="7">
        <v>89.49</v>
      </c>
      <c r="I776" s="19" t="s">
        <v>2283</v>
      </c>
      <c r="J776" s="19" t="s">
        <v>2636</v>
      </c>
      <c r="K776" s="5" t="s">
        <v>2637</v>
      </c>
      <c r="L776" s="5" t="s">
        <v>2638</v>
      </c>
      <c r="M776" s="5" t="s">
        <v>2639</v>
      </c>
      <c r="N776" s="5" t="s">
        <v>2640</v>
      </c>
      <c r="O776" s="5" t="s">
        <v>3611</v>
      </c>
      <c r="P776" s="5" t="s">
        <v>3612</v>
      </c>
      <c r="Q776" s="5" t="s">
        <v>3613</v>
      </c>
      <c r="R776" s="5" t="s">
        <v>3614</v>
      </c>
      <c r="S776" s="5"/>
      <c r="T776" s="5"/>
      <c r="U776" s="5"/>
      <c r="V776" s="5"/>
      <c r="W776" s="5"/>
      <c r="X776" s="5"/>
      <c r="Y776" s="5"/>
      <c r="Z776" s="5"/>
      <c r="AA776" s="5"/>
      <c r="AB776" s="5"/>
      <c r="AC776" s="5"/>
      <c r="AD776" s="5"/>
      <c r="AE776" s="5"/>
      <c r="AF776" s="5"/>
      <c r="AG776" s="14" t="s">
        <v>55</v>
      </c>
      <c r="AH776" s="14" t="s">
        <v>1603</v>
      </c>
      <c r="AI776" s="14" t="s">
        <v>1603</v>
      </c>
      <c r="AJ776" s="5"/>
      <c r="AK776" s="5"/>
    </row>
    <row r="777" spans="1:37">
      <c r="A777" s="5" t="s">
        <v>3615</v>
      </c>
      <c r="B777" s="5" t="s">
        <v>3609</v>
      </c>
      <c r="C777" s="6" t="s">
        <v>43</v>
      </c>
      <c r="D777" s="6" t="s">
        <v>1645</v>
      </c>
      <c r="E777" s="6" t="s">
        <v>2015</v>
      </c>
      <c r="F777" s="6" t="s">
        <v>46</v>
      </c>
      <c r="G777" s="6" t="s">
        <v>3616</v>
      </c>
      <c r="H777" s="7">
        <v>89.49</v>
      </c>
      <c r="I777" s="19" t="s">
        <v>2283</v>
      </c>
      <c r="J777" s="19" t="s">
        <v>2636</v>
      </c>
      <c r="K777" s="5" t="s">
        <v>2637</v>
      </c>
      <c r="L777" s="5" t="s">
        <v>2638</v>
      </c>
      <c r="M777" s="5" t="s">
        <v>2639</v>
      </c>
      <c r="N777" s="5" t="s">
        <v>2640</v>
      </c>
      <c r="O777" s="5" t="s">
        <v>3611</v>
      </c>
      <c r="P777" s="5" t="s">
        <v>3612</v>
      </c>
      <c r="Q777" s="5" t="s">
        <v>3613</v>
      </c>
      <c r="R777" s="5" t="s">
        <v>3614</v>
      </c>
      <c r="AG777" s="14" t="s">
        <v>55</v>
      </c>
      <c r="AH777" s="14" t="s">
        <v>1603</v>
      </c>
      <c r="AI777" s="14" t="s">
        <v>1603</v>
      </c>
    </row>
    <row r="778" spans="1:37">
      <c r="A778" s="5" t="s">
        <v>3617</v>
      </c>
      <c r="B778" s="5" t="s">
        <v>3609</v>
      </c>
      <c r="C778" s="6" t="s">
        <v>43</v>
      </c>
      <c r="D778" s="6" t="s">
        <v>1645</v>
      </c>
      <c r="E778" s="6" t="s">
        <v>2065</v>
      </c>
      <c r="F778" s="6" t="s">
        <v>46</v>
      </c>
      <c r="G778" s="6" t="s">
        <v>3618</v>
      </c>
      <c r="H778" s="7">
        <v>89.49</v>
      </c>
      <c r="I778" s="19" t="s">
        <v>2283</v>
      </c>
      <c r="J778" s="19" t="s">
        <v>2636</v>
      </c>
      <c r="K778" s="5" t="s">
        <v>2637</v>
      </c>
      <c r="L778" s="5" t="s">
        <v>2638</v>
      </c>
      <c r="M778" s="5" t="s">
        <v>2639</v>
      </c>
      <c r="N778" s="5" t="s">
        <v>2640</v>
      </c>
      <c r="O778" s="5" t="s">
        <v>3611</v>
      </c>
      <c r="P778" s="5" t="s">
        <v>3612</v>
      </c>
      <c r="Q778" s="5" t="s">
        <v>3613</v>
      </c>
      <c r="R778" s="5" t="s">
        <v>3614</v>
      </c>
      <c r="AG778" s="14" t="s">
        <v>55</v>
      </c>
      <c r="AH778" s="14" t="s">
        <v>1603</v>
      </c>
      <c r="AI778" s="14" t="s">
        <v>1603</v>
      </c>
    </row>
    <row r="779" spans="1:37">
      <c r="A779" s="5" t="s">
        <v>3619</v>
      </c>
      <c r="B779" s="5" t="s">
        <v>3620</v>
      </c>
      <c r="C779" s="6" t="s">
        <v>43</v>
      </c>
      <c r="D779" s="6" t="s">
        <v>1645</v>
      </c>
      <c r="E779" s="6" t="s">
        <v>1386</v>
      </c>
      <c r="F779" s="6" t="s">
        <v>46</v>
      </c>
      <c r="G779" s="6" t="s">
        <v>3621</v>
      </c>
      <c r="H779" s="7">
        <v>98.48</v>
      </c>
      <c r="I779" s="19" t="s">
        <v>2283</v>
      </c>
      <c r="J779" s="19" t="s">
        <v>2636</v>
      </c>
      <c r="K779" s="5" t="s">
        <v>3622</v>
      </c>
      <c r="L779" s="5" t="s">
        <v>3623</v>
      </c>
      <c r="M779" s="5" t="s">
        <v>3624</v>
      </c>
      <c r="N779" s="5" t="s">
        <v>3625</v>
      </c>
      <c r="O779" s="5" t="s">
        <v>3626</v>
      </c>
      <c r="P779" s="5" t="s">
        <v>3627</v>
      </c>
      <c r="Q779" s="5" t="s">
        <v>3628</v>
      </c>
      <c r="R779" s="5" t="s">
        <v>3629</v>
      </c>
      <c r="AG779" s="14" t="s">
        <v>55</v>
      </c>
      <c r="AH779" s="14" t="s">
        <v>1603</v>
      </c>
      <c r="AI779" s="14" t="s">
        <v>1603</v>
      </c>
    </row>
    <row r="780" spans="1:37">
      <c r="A780" s="5" t="s">
        <v>3630</v>
      </c>
      <c r="B780" s="5" t="s">
        <v>3620</v>
      </c>
      <c r="C780" s="6" t="s">
        <v>43</v>
      </c>
      <c r="D780" s="6" t="s">
        <v>1645</v>
      </c>
      <c r="E780" s="6" t="s">
        <v>2015</v>
      </c>
      <c r="F780" s="6" t="s">
        <v>46</v>
      </c>
      <c r="G780" s="6" t="s">
        <v>3631</v>
      </c>
      <c r="H780" s="7">
        <v>98.45</v>
      </c>
      <c r="I780" s="19" t="s">
        <v>2283</v>
      </c>
      <c r="J780" s="19" t="s">
        <v>2636</v>
      </c>
      <c r="K780" s="5" t="s">
        <v>3622</v>
      </c>
      <c r="L780" s="5" t="s">
        <v>3623</v>
      </c>
      <c r="M780" s="5" t="s">
        <v>3624</v>
      </c>
      <c r="N780" s="5" t="s">
        <v>3625</v>
      </c>
      <c r="O780" s="5" t="s">
        <v>3626</v>
      </c>
      <c r="P780" s="5" t="s">
        <v>3627</v>
      </c>
      <c r="Q780" s="5" t="s">
        <v>3628</v>
      </c>
      <c r="R780" s="5" t="s">
        <v>3629</v>
      </c>
      <c r="AG780" s="14" t="s">
        <v>55</v>
      </c>
      <c r="AH780" s="14" t="s">
        <v>1603</v>
      </c>
      <c r="AI780" s="14" t="s">
        <v>1603</v>
      </c>
    </row>
    <row r="781" spans="1:37">
      <c r="A781" s="5" t="s">
        <v>3632</v>
      </c>
      <c r="B781" s="5" t="s">
        <v>3633</v>
      </c>
      <c r="C781" s="6" t="s">
        <v>1544</v>
      </c>
      <c r="D781" s="6" t="s">
        <v>1390</v>
      </c>
      <c r="E781" s="6" t="s">
        <v>1386</v>
      </c>
      <c r="F781" s="6" t="s">
        <v>46</v>
      </c>
      <c r="G781" s="6" t="s">
        <v>3634</v>
      </c>
      <c r="H781" s="7">
        <v>39.53</v>
      </c>
      <c r="I781" s="19" t="s">
        <v>1589</v>
      </c>
      <c r="J781" s="19" t="s">
        <v>2650</v>
      </c>
      <c r="K781" s="20" t="s">
        <v>2651</v>
      </c>
      <c r="L781" s="20" t="s">
        <v>2652</v>
      </c>
      <c r="M781" s="20" t="s">
        <v>2653</v>
      </c>
      <c r="N781" s="20" t="s">
        <v>2654</v>
      </c>
      <c r="O781" s="20" t="s">
        <v>3635</v>
      </c>
      <c r="P781" s="20" t="s">
        <v>3636</v>
      </c>
      <c r="Q781" s="20" t="s">
        <v>3637</v>
      </c>
      <c r="R781" s="5" t="s">
        <v>3638</v>
      </c>
      <c r="W781" s="20" t="s">
        <v>2010</v>
      </c>
      <c r="X781" s="20" t="s">
        <v>2011</v>
      </c>
      <c r="Y781" s="20" t="s">
        <v>2012</v>
      </c>
      <c r="Z781" s="20" t="s">
        <v>2013</v>
      </c>
      <c r="AG781" s="14" t="s">
        <v>55</v>
      </c>
      <c r="AH781" s="14" t="s">
        <v>1603</v>
      </c>
      <c r="AI781" s="14" t="s">
        <v>124</v>
      </c>
    </row>
    <row r="782" spans="1:37">
      <c r="A782" s="5" t="s">
        <v>3639</v>
      </c>
      <c r="B782" s="5" t="s">
        <v>3640</v>
      </c>
      <c r="C782" s="6" t="s">
        <v>43</v>
      </c>
      <c r="D782" s="6" t="s">
        <v>1390</v>
      </c>
      <c r="E782" s="6" t="s">
        <v>1386</v>
      </c>
      <c r="F782" s="6" t="s">
        <v>46</v>
      </c>
      <c r="G782" s="6" t="s">
        <v>3641</v>
      </c>
      <c r="H782" s="7">
        <v>51.81</v>
      </c>
      <c r="I782" s="19" t="s">
        <v>1589</v>
      </c>
      <c r="J782" s="19" t="s">
        <v>2650</v>
      </c>
      <c r="K782" s="20" t="s">
        <v>2662</v>
      </c>
      <c r="L782" s="20" t="s">
        <v>2663</v>
      </c>
      <c r="M782" s="20" t="s">
        <v>2664</v>
      </c>
      <c r="N782" s="20" t="s">
        <v>2665</v>
      </c>
      <c r="O782" s="20" t="s">
        <v>3642</v>
      </c>
      <c r="P782" s="20" t="s">
        <v>3643</v>
      </c>
      <c r="Q782" s="20" t="s">
        <v>3644</v>
      </c>
      <c r="R782" s="5" t="s">
        <v>3645</v>
      </c>
      <c r="W782" s="20" t="s">
        <v>2010</v>
      </c>
      <c r="X782" s="20" t="s">
        <v>2011</v>
      </c>
      <c r="Y782" s="20" t="s">
        <v>2012</v>
      </c>
      <c r="Z782" s="20" t="s">
        <v>2013</v>
      </c>
      <c r="AG782" s="14" t="s">
        <v>55</v>
      </c>
      <c r="AH782" s="14" t="s">
        <v>1603</v>
      </c>
      <c r="AI782" s="14" t="s">
        <v>124</v>
      </c>
    </row>
    <row r="783" spans="1:37">
      <c r="A783" s="6" t="s">
        <v>3646</v>
      </c>
      <c r="B783" s="6" t="s">
        <v>3647</v>
      </c>
      <c r="C783" s="6" t="s">
        <v>43</v>
      </c>
      <c r="D783" s="6" t="s">
        <v>1390</v>
      </c>
      <c r="E783" s="6" t="s">
        <v>1386</v>
      </c>
      <c r="F783" s="6" t="s">
        <v>46</v>
      </c>
      <c r="G783" s="6" t="s">
        <v>3171</v>
      </c>
      <c r="I783" s="19" t="s">
        <v>48</v>
      </c>
      <c r="J783" s="19" t="s">
        <v>48</v>
      </c>
      <c r="K783" s="6"/>
      <c r="L783" s="6"/>
      <c r="M783" s="6"/>
      <c r="N783" s="6"/>
      <c r="O783" s="6"/>
      <c r="P783" s="6"/>
      <c r="Q783" s="6"/>
      <c r="R783" s="6"/>
      <c r="S783" s="6"/>
      <c r="T783" s="6"/>
      <c r="U783" s="6"/>
      <c r="V783" s="6"/>
      <c r="W783" s="6"/>
      <c r="X783" s="6"/>
      <c r="Y783" s="6"/>
      <c r="Z783" s="6"/>
      <c r="AA783" s="6"/>
      <c r="AB783" s="6"/>
      <c r="AC783" s="6"/>
      <c r="AD783" s="6"/>
      <c r="AE783" s="6"/>
      <c r="AF783" s="6"/>
      <c r="AG783" s="15" t="s">
        <v>55</v>
      </c>
      <c r="AH783" s="15"/>
      <c r="AI783" s="15"/>
      <c r="AJ783" s="6"/>
      <c r="AK783" s="6"/>
    </row>
    <row r="784" spans="1:37" s="6" customFormat="1">
      <c r="A784" s="5" t="s">
        <v>3648</v>
      </c>
      <c r="B784" s="5" t="s">
        <v>3649</v>
      </c>
      <c r="C784" s="6" t="s">
        <v>43</v>
      </c>
      <c r="D784" s="6" t="s">
        <v>1390</v>
      </c>
      <c r="E784" s="6" t="s">
        <v>1386</v>
      </c>
      <c r="F784" s="6" t="s">
        <v>46</v>
      </c>
      <c r="G784" s="6" t="s">
        <v>3650</v>
      </c>
      <c r="H784" s="7">
        <v>49.76</v>
      </c>
      <c r="I784" s="19" t="s">
        <v>1589</v>
      </c>
      <c r="J784" s="19" t="s">
        <v>2650</v>
      </c>
      <c r="K784" s="5" t="s">
        <v>2674</v>
      </c>
      <c r="L784" s="5" t="s">
        <v>2675</v>
      </c>
      <c r="M784" s="5" t="s">
        <v>2676</v>
      </c>
      <c r="N784" s="5" t="s">
        <v>2677</v>
      </c>
      <c r="O784" s="5" t="s">
        <v>3651</v>
      </c>
      <c r="P784" s="5" t="s">
        <v>3652</v>
      </c>
      <c r="Q784" s="5" t="s">
        <v>3653</v>
      </c>
      <c r="R784" s="5" t="s">
        <v>3654</v>
      </c>
      <c r="S784" s="5"/>
      <c r="T784" s="5"/>
      <c r="U784" s="5"/>
      <c r="V784" s="5"/>
      <c r="W784" s="5"/>
      <c r="X784" s="5"/>
      <c r="Y784" s="5"/>
      <c r="Z784" s="5"/>
      <c r="AA784" s="5"/>
      <c r="AB784" s="5"/>
      <c r="AC784" s="5"/>
      <c r="AD784" s="5"/>
      <c r="AE784" s="5"/>
      <c r="AF784" s="5"/>
      <c r="AG784" s="14" t="s">
        <v>55</v>
      </c>
      <c r="AH784" s="14" t="s">
        <v>1603</v>
      </c>
      <c r="AI784" s="14" t="s">
        <v>2087</v>
      </c>
      <c r="AJ784" s="5"/>
      <c r="AK784" s="5"/>
    </row>
    <row r="785" spans="1:37">
      <c r="A785" s="5" t="s">
        <v>3655</v>
      </c>
      <c r="B785" s="5" t="s">
        <v>3656</v>
      </c>
      <c r="C785" s="6" t="s">
        <v>43</v>
      </c>
      <c r="D785" s="6" t="s">
        <v>1390</v>
      </c>
      <c r="E785" s="6" t="s">
        <v>1386</v>
      </c>
      <c r="F785" s="6" t="s">
        <v>46</v>
      </c>
      <c r="G785" s="6" t="s">
        <v>3657</v>
      </c>
      <c r="H785" s="7">
        <v>60.52</v>
      </c>
      <c r="I785" s="19" t="s">
        <v>1589</v>
      </c>
      <c r="J785" s="19" t="s">
        <v>2650</v>
      </c>
      <c r="K785" s="5" t="s">
        <v>2685</v>
      </c>
      <c r="L785" s="5" t="s">
        <v>2686</v>
      </c>
      <c r="M785" s="5" t="s">
        <v>2687</v>
      </c>
      <c r="N785" s="5" t="s">
        <v>2688</v>
      </c>
      <c r="O785" s="5" t="s">
        <v>3658</v>
      </c>
      <c r="P785" s="5" t="s">
        <v>3659</v>
      </c>
      <c r="Q785" s="5" t="s">
        <v>3660</v>
      </c>
      <c r="R785" s="5" t="s">
        <v>3661</v>
      </c>
      <c r="AG785" s="14" t="s">
        <v>55</v>
      </c>
      <c r="AH785" s="14" t="s">
        <v>1603</v>
      </c>
      <c r="AI785" s="14" t="s">
        <v>2087</v>
      </c>
    </row>
    <row r="786" spans="1:37">
      <c r="A786" s="5" t="s">
        <v>3662</v>
      </c>
      <c r="B786" s="5" t="s">
        <v>3663</v>
      </c>
      <c r="C786" s="6" t="s">
        <v>43</v>
      </c>
      <c r="D786" s="6" t="s">
        <v>239</v>
      </c>
      <c r="E786" s="6" t="s">
        <v>1386</v>
      </c>
      <c r="F786" s="6" t="s">
        <v>46</v>
      </c>
      <c r="G786" s="6" t="s">
        <v>3664</v>
      </c>
      <c r="H786" s="7">
        <v>27.06</v>
      </c>
      <c r="I786" s="19" t="s">
        <v>1589</v>
      </c>
      <c r="J786" s="19" t="s">
        <v>2696</v>
      </c>
      <c r="K786" s="5" t="s">
        <v>2697</v>
      </c>
      <c r="L786" s="5" t="s">
        <v>2698</v>
      </c>
      <c r="M786" s="5" t="s">
        <v>2699</v>
      </c>
      <c r="N786" s="5" t="s">
        <v>2700</v>
      </c>
      <c r="O786" s="5" t="s">
        <v>3665</v>
      </c>
      <c r="P786" s="5" t="s">
        <v>3666</v>
      </c>
      <c r="Q786" s="5" t="s">
        <v>3667</v>
      </c>
      <c r="R786" s="5" t="s">
        <v>3668</v>
      </c>
      <c r="AG786" s="14" t="s">
        <v>55</v>
      </c>
      <c r="AH786" s="14" t="s">
        <v>1603</v>
      </c>
      <c r="AI786" s="14" t="s">
        <v>1604</v>
      </c>
    </row>
    <row r="787" spans="1:37">
      <c r="A787" s="6" t="s">
        <v>3669</v>
      </c>
      <c r="B787" s="6" t="s">
        <v>3670</v>
      </c>
      <c r="C787" s="6" t="s">
        <v>43</v>
      </c>
      <c r="D787" s="6" t="s">
        <v>239</v>
      </c>
      <c r="E787" s="6" t="s">
        <v>2047</v>
      </c>
      <c r="F787" s="6" t="s">
        <v>46</v>
      </c>
      <c r="G787" s="6" t="s">
        <v>3671</v>
      </c>
      <c r="I787" s="19" t="s">
        <v>48</v>
      </c>
      <c r="J787" s="5" t="s">
        <v>48</v>
      </c>
      <c r="K787" s="6"/>
      <c r="L787" s="6"/>
      <c r="M787" s="6"/>
      <c r="N787" s="6"/>
      <c r="O787" s="6"/>
      <c r="P787" s="6"/>
      <c r="Q787" s="6"/>
      <c r="R787" s="6"/>
      <c r="S787" s="6"/>
      <c r="T787" s="6"/>
      <c r="U787" s="6"/>
      <c r="V787" s="6"/>
      <c r="W787" s="6"/>
      <c r="X787" s="6"/>
      <c r="Y787" s="6"/>
      <c r="Z787" s="6"/>
      <c r="AA787" s="6"/>
      <c r="AB787" s="6"/>
      <c r="AC787" s="6"/>
      <c r="AD787" s="6"/>
      <c r="AE787" s="6"/>
      <c r="AF787" s="6"/>
      <c r="AG787" s="15" t="s">
        <v>55</v>
      </c>
      <c r="AH787" s="15"/>
      <c r="AI787" s="15"/>
      <c r="AJ787" s="6"/>
      <c r="AK787" s="6"/>
    </row>
    <row r="788" spans="1:37" s="6" customFormat="1">
      <c r="A788" s="6" t="s">
        <v>3672</v>
      </c>
      <c r="B788" s="6" t="s">
        <v>3670</v>
      </c>
      <c r="C788" s="6" t="s">
        <v>2822</v>
      </c>
      <c r="D788" s="6" t="s">
        <v>239</v>
      </c>
      <c r="E788" s="6" t="s">
        <v>2065</v>
      </c>
      <c r="F788" s="6" t="s">
        <v>46</v>
      </c>
      <c r="G788" s="6" t="s">
        <v>3673</v>
      </c>
      <c r="H788" s="7"/>
      <c r="I788" s="19" t="s">
        <v>48</v>
      </c>
      <c r="J788" s="5" t="s">
        <v>48</v>
      </c>
      <c r="AG788" s="15" t="s">
        <v>55</v>
      </c>
      <c r="AH788" s="15"/>
      <c r="AI788" s="15"/>
    </row>
    <row r="789" spans="1:37" s="6" customFormat="1">
      <c r="A789" s="6" t="s">
        <v>3674</v>
      </c>
      <c r="B789" s="6" t="s">
        <v>3675</v>
      </c>
      <c r="C789" s="6" t="s">
        <v>43</v>
      </c>
      <c r="D789" s="6" t="s">
        <v>239</v>
      </c>
      <c r="E789" s="6" t="s">
        <v>2047</v>
      </c>
      <c r="F789" s="6" t="s">
        <v>46</v>
      </c>
      <c r="G789" s="6" t="s">
        <v>3676</v>
      </c>
      <c r="H789" s="7"/>
      <c r="I789" s="19" t="s">
        <v>48</v>
      </c>
      <c r="J789" s="5" t="s">
        <v>48</v>
      </c>
      <c r="AG789" s="15" t="s">
        <v>55</v>
      </c>
      <c r="AH789" s="15"/>
      <c r="AI789" s="15"/>
    </row>
    <row r="790" spans="1:37" s="6" customFormat="1">
      <c r="A790" s="5" t="s">
        <v>3677</v>
      </c>
      <c r="B790" s="5" t="s">
        <v>3678</v>
      </c>
      <c r="C790" s="6" t="s">
        <v>43</v>
      </c>
      <c r="D790" s="6" t="s">
        <v>239</v>
      </c>
      <c r="E790" s="6" t="s">
        <v>2065</v>
      </c>
      <c r="F790" s="6" t="s">
        <v>46</v>
      </c>
      <c r="G790" s="6" t="s">
        <v>3679</v>
      </c>
      <c r="H790" s="7">
        <v>94.64</v>
      </c>
      <c r="I790" s="19" t="s">
        <v>1589</v>
      </c>
      <c r="J790" s="19" t="s">
        <v>2696</v>
      </c>
      <c r="K790" s="5" t="s">
        <v>2717</v>
      </c>
      <c r="L790" s="5" t="s">
        <v>2718</v>
      </c>
      <c r="M790" s="5" t="s">
        <v>2719</v>
      </c>
      <c r="N790" s="5" t="s">
        <v>2720</v>
      </c>
      <c r="O790" s="5" t="s">
        <v>3680</v>
      </c>
      <c r="P790" s="5" t="s">
        <v>3681</v>
      </c>
      <c r="Q790" s="5" t="s">
        <v>3682</v>
      </c>
      <c r="R790" s="5" t="s">
        <v>3683</v>
      </c>
      <c r="S790" s="5"/>
      <c r="T790" s="5"/>
      <c r="U790" s="5"/>
      <c r="V790" s="5"/>
      <c r="W790" s="5"/>
      <c r="X790" s="5"/>
      <c r="Y790" s="5"/>
      <c r="Z790" s="5"/>
      <c r="AA790" s="5"/>
      <c r="AB790" s="5"/>
      <c r="AC790" s="5"/>
      <c r="AD790" s="5"/>
      <c r="AE790" s="5"/>
      <c r="AF790" s="5"/>
      <c r="AG790" s="14" t="s">
        <v>55</v>
      </c>
      <c r="AH790" s="14" t="s">
        <v>1603</v>
      </c>
      <c r="AI790" s="14" t="s">
        <v>1604</v>
      </c>
      <c r="AJ790" s="5"/>
      <c r="AK790" s="5"/>
    </row>
    <row r="791" spans="1:37">
      <c r="A791" s="6" t="s">
        <v>3684</v>
      </c>
      <c r="B791" s="6" t="s">
        <v>3685</v>
      </c>
      <c r="C791" s="6" t="s">
        <v>43</v>
      </c>
      <c r="D791" s="6" t="s">
        <v>239</v>
      </c>
      <c r="E791" s="6" t="s">
        <v>2065</v>
      </c>
      <c r="F791" s="6" t="s">
        <v>46</v>
      </c>
      <c r="G791" s="6" t="s">
        <v>3686</v>
      </c>
      <c r="I791" s="19" t="s">
        <v>48</v>
      </c>
      <c r="J791" s="19" t="s">
        <v>48</v>
      </c>
      <c r="K791" s="6"/>
      <c r="L791" s="6"/>
      <c r="M791" s="6"/>
      <c r="N791" s="6"/>
      <c r="O791" s="6"/>
      <c r="P791" s="6"/>
      <c r="Q791" s="6"/>
      <c r="R791" s="6"/>
      <c r="S791" s="6"/>
      <c r="T791" s="6"/>
      <c r="U791" s="6"/>
      <c r="V791" s="6"/>
      <c r="W791" s="6"/>
      <c r="X791" s="6"/>
      <c r="Y791" s="6"/>
      <c r="Z791" s="6"/>
      <c r="AA791" s="6"/>
      <c r="AB791" s="6"/>
      <c r="AC791" s="6"/>
      <c r="AD791" s="6"/>
      <c r="AE791" s="6"/>
      <c r="AF791" s="6"/>
      <c r="AG791" s="15" t="s">
        <v>55</v>
      </c>
      <c r="AH791" s="15"/>
      <c r="AI791" s="15"/>
      <c r="AJ791" s="6"/>
      <c r="AK791" s="6"/>
    </row>
    <row r="792" spans="1:37" s="6" customFormat="1">
      <c r="A792" s="6" t="s">
        <v>3687</v>
      </c>
      <c r="B792" s="6" t="s">
        <v>3688</v>
      </c>
      <c r="C792" s="6" t="s">
        <v>2822</v>
      </c>
      <c r="D792" s="6" t="s">
        <v>239</v>
      </c>
      <c r="E792" s="6" t="s">
        <v>2065</v>
      </c>
      <c r="F792" s="6" t="s">
        <v>46</v>
      </c>
      <c r="G792" s="6" t="s">
        <v>3689</v>
      </c>
      <c r="H792" s="7"/>
      <c r="I792" s="19" t="s">
        <v>48</v>
      </c>
      <c r="J792" s="19" t="s">
        <v>48</v>
      </c>
      <c r="AG792" s="15" t="s">
        <v>55</v>
      </c>
      <c r="AH792" s="15"/>
      <c r="AI792" s="15"/>
    </row>
    <row r="793" spans="1:37" s="6" customFormat="1">
      <c r="A793" s="6" t="s">
        <v>3690</v>
      </c>
      <c r="B793" s="6" t="s">
        <v>3691</v>
      </c>
      <c r="C793" s="6" t="s">
        <v>43</v>
      </c>
      <c r="D793" s="6" t="s">
        <v>239</v>
      </c>
      <c r="E793" s="6" t="s">
        <v>2047</v>
      </c>
      <c r="F793" s="6" t="s">
        <v>46</v>
      </c>
      <c r="G793" s="6" t="s">
        <v>3692</v>
      </c>
      <c r="H793" s="7"/>
      <c r="I793" s="19" t="s">
        <v>48</v>
      </c>
      <c r="J793" s="19" t="s">
        <v>48</v>
      </c>
      <c r="AG793" s="15" t="s">
        <v>55</v>
      </c>
      <c r="AH793" s="15"/>
      <c r="AI793" s="15"/>
    </row>
    <row r="794" spans="1:37" s="6" customFormat="1">
      <c r="A794" s="5" t="s">
        <v>3693</v>
      </c>
      <c r="B794" s="5" t="s">
        <v>3694</v>
      </c>
      <c r="C794" s="6" t="s">
        <v>43</v>
      </c>
      <c r="D794" s="6" t="s">
        <v>239</v>
      </c>
      <c r="E794" s="6" t="s">
        <v>2139</v>
      </c>
      <c r="F794" s="6" t="s">
        <v>46</v>
      </c>
      <c r="G794" s="6" t="s">
        <v>3695</v>
      </c>
      <c r="H794" s="7">
        <v>100.8</v>
      </c>
      <c r="I794" s="19" t="s">
        <v>1589</v>
      </c>
      <c r="J794" s="19" t="s">
        <v>2696</v>
      </c>
      <c r="K794" s="5" t="s">
        <v>3696</v>
      </c>
      <c r="L794" s="5" t="s">
        <v>3697</v>
      </c>
      <c r="M794" s="5" t="s">
        <v>3698</v>
      </c>
      <c r="N794" s="5" t="s">
        <v>3699</v>
      </c>
      <c r="O794" s="5" t="s">
        <v>3700</v>
      </c>
      <c r="P794" s="5" t="s">
        <v>3701</v>
      </c>
      <c r="Q794" s="5" t="s">
        <v>3702</v>
      </c>
      <c r="R794" s="5" t="s">
        <v>3703</v>
      </c>
      <c r="S794" s="5"/>
      <c r="T794" s="5"/>
      <c r="U794" s="5"/>
      <c r="V794" s="5"/>
      <c r="W794" s="5"/>
      <c r="X794" s="5"/>
      <c r="Y794" s="5"/>
      <c r="Z794" s="5"/>
      <c r="AA794" s="5"/>
      <c r="AB794" s="5"/>
      <c r="AC794" s="5"/>
      <c r="AD794" s="5"/>
      <c r="AE794" s="5"/>
      <c r="AF794" s="5"/>
      <c r="AG794" s="14" t="s">
        <v>55</v>
      </c>
      <c r="AH794" s="14" t="s">
        <v>1603</v>
      </c>
      <c r="AI794" s="14" t="s">
        <v>1604</v>
      </c>
      <c r="AJ794" s="5"/>
      <c r="AK794" s="5"/>
    </row>
    <row r="795" spans="1:37">
      <c r="A795" s="5" t="s">
        <v>3704</v>
      </c>
      <c r="B795" s="5" t="s">
        <v>3694</v>
      </c>
      <c r="C795" s="6" t="s">
        <v>43</v>
      </c>
      <c r="D795" s="6" t="s">
        <v>239</v>
      </c>
      <c r="E795" s="6" t="s">
        <v>2065</v>
      </c>
      <c r="F795" s="6" t="s">
        <v>46</v>
      </c>
      <c r="G795" s="6" t="s">
        <v>3705</v>
      </c>
      <c r="H795" s="7">
        <v>100.8</v>
      </c>
      <c r="I795" s="19" t="s">
        <v>1589</v>
      </c>
      <c r="J795" s="19" t="s">
        <v>2696</v>
      </c>
      <c r="K795" s="5" t="s">
        <v>3696</v>
      </c>
      <c r="L795" s="5" t="s">
        <v>3697</v>
      </c>
      <c r="M795" s="5" t="s">
        <v>3698</v>
      </c>
      <c r="N795" s="5" t="s">
        <v>3699</v>
      </c>
      <c r="O795" s="5" t="s">
        <v>3700</v>
      </c>
      <c r="P795" s="5" t="s">
        <v>3701</v>
      </c>
      <c r="Q795" s="5" t="s">
        <v>3702</v>
      </c>
      <c r="R795" s="5" t="s">
        <v>3703</v>
      </c>
      <c r="AG795" s="14" t="s">
        <v>55</v>
      </c>
      <c r="AH795" s="14" t="s">
        <v>1603</v>
      </c>
      <c r="AI795" s="14" t="s">
        <v>1604</v>
      </c>
    </row>
    <row r="796" spans="1:37">
      <c r="A796" s="6" t="s">
        <v>3706</v>
      </c>
      <c r="B796" s="6" t="s">
        <v>3707</v>
      </c>
      <c r="C796" s="6" t="s">
        <v>43</v>
      </c>
      <c r="D796" s="6" t="s">
        <v>239</v>
      </c>
      <c r="E796" s="6" t="s">
        <v>2047</v>
      </c>
      <c r="F796" s="6" t="s">
        <v>46</v>
      </c>
      <c r="G796" s="6" t="s">
        <v>2635</v>
      </c>
      <c r="I796" s="19" t="s">
        <v>48</v>
      </c>
      <c r="J796" s="19" t="s">
        <v>48</v>
      </c>
      <c r="K796" s="6"/>
      <c r="L796" s="6"/>
      <c r="M796" s="6"/>
      <c r="N796" s="6"/>
      <c r="O796" s="6"/>
      <c r="P796" s="6"/>
      <c r="Q796" s="6"/>
      <c r="R796" s="6"/>
      <c r="S796" s="6"/>
      <c r="T796" s="6"/>
      <c r="U796" s="6"/>
      <c r="V796" s="6"/>
      <c r="W796" s="6"/>
      <c r="X796" s="6"/>
      <c r="Y796" s="6"/>
      <c r="Z796" s="6"/>
      <c r="AA796" s="6"/>
      <c r="AB796" s="6"/>
      <c r="AC796" s="6"/>
      <c r="AD796" s="6"/>
      <c r="AE796" s="6"/>
      <c r="AF796" s="6"/>
      <c r="AG796" s="15" t="s">
        <v>55</v>
      </c>
      <c r="AH796" s="15"/>
      <c r="AI796" s="15"/>
      <c r="AJ796" s="6"/>
      <c r="AK796" s="6"/>
    </row>
    <row r="797" spans="1:37" s="6" customFormat="1">
      <c r="A797" s="6" t="s">
        <v>3708</v>
      </c>
      <c r="B797" s="6" t="s">
        <v>3709</v>
      </c>
      <c r="C797" s="6" t="s">
        <v>43</v>
      </c>
      <c r="D797" s="6" t="s">
        <v>239</v>
      </c>
      <c r="E797" s="6" t="s">
        <v>240</v>
      </c>
      <c r="F797" s="6" t="s">
        <v>46</v>
      </c>
      <c r="G797" s="6" t="s">
        <v>1963</v>
      </c>
      <c r="H797" s="7"/>
      <c r="I797" s="19" t="s">
        <v>48</v>
      </c>
      <c r="J797" s="19" t="s">
        <v>48</v>
      </c>
      <c r="AG797" s="15" t="s">
        <v>55</v>
      </c>
      <c r="AH797" s="15"/>
      <c r="AI797" s="15"/>
    </row>
    <row r="798" spans="1:37" s="6" customFormat="1">
      <c r="A798" s="5" t="s">
        <v>3710</v>
      </c>
      <c r="B798" s="5" t="s">
        <v>3711</v>
      </c>
      <c r="C798" s="6" t="s">
        <v>3712</v>
      </c>
      <c r="D798" s="6" t="s">
        <v>239</v>
      </c>
      <c r="E798" s="6" t="s">
        <v>1386</v>
      </c>
      <c r="F798" s="6" t="s">
        <v>46</v>
      </c>
      <c r="G798" s="6" t="s">
        <v>3713</v>
      </c>
      <c r="H798" s="7">
        <v>30.82</v>
      </c>
      <c r="I798" s="19" t="s">
        <v>1589</v>
      </c>
      <c r="J798" s="19" t="s">
        <v>2696</v>
      </c>
      <c r="K798" s="5" t="s">
        <v>2733</v>
      </c>
      <c r="L798" s="5" t="s">
        <v>2734</v>
      </c>
      <c r="M798" s="5" t="s">
        <v>2735</v>
      </c>
      <c r="N798" s="5" t="s">
        <v>2736</v>
      </c>
      <c r="O798" s="5" t="s">
        <v>3714</v>
      </c>
      <c r="P798" s="5" t="s">
        <v>3715</v>
      </c>
      <c r="Q798" s="5" t="s">
        <v>3716</v>
      </c>
      <c r="R798" s="5" t="s">
        <v>3717</v>
      </c>
      <c r="S798" s="5"/>
      <c r="T798" s="5"/>
      <c r="U798" s="5"/>
      <c r="V798" s="5"/>
      <c r="W798" s="5"/>
      <c r="X798" s="5"/>
      <c r="Y798" s="5"/>
      <c r="Z798" s="5"/>
      <c r="AA798" s="5"/>
      <c r="AB798" s="5"/>
      <c r="AC798" s="5"/>
      <c r="AD798" s="5"/>
      <c r="AE798" s="5"/>
      <c r="AF798" s="5"/>
      <c r="AG798" s="14" t="s">
        <v>55</v>
      </c>
      <c r="AH798" s="14" t="s">
        <v>1603</v>
      </c>
      <c r="AI798" s="14" t="s">
        <v>1604</v>
      </c>
      <c r="AJ798" s="5"/>
      <c r="AK798" s="5"/>
    </row>
    <row r="799" spans="1:37">
      <c r="A799" s="5" t="s">
        <v>3718</v>
      </c>
      <c r="B799" s="5" t="s">
        <v>3711</v>
      </c>
      <c r="C799" s="6" t="s">
        <v>3712</v>
      </c>
      <c r="D799" s="6" t="s">
        <v>239</v>
      </c>
      <c r="E799" s="6" t="s">
        <v>2047</v>
      </c>
      <c r="F799" s="6" t="s">
        <v>46</v>
      </c>
      <c r="G799" s="6" t="s">
        <v>3719</v>
      </c>
      <c r="H799" s="7">
        <v>30.82</v>
      </c>
      <c r="I799" s="19" t="s">
        <v>1589</v>
      </c>
      <c r="J799" s="19" t="s">
        <v>2696</v>
      </c>
      <c r="K799" s="5" t="s">
        <v>2733</v>
      </c>
      <c r="L799" s="5" t="s">
        <v>2734</v>
      </c>
      <c r="M799" s="5" t="s">
        <v>2735</v>
      </c>
      <c r="N799" s="5" t="s">
        <v>2736</v>
      </c>
      <c r="O799" s="5" t="s">
        <v>3714</v>
      </c>
      <c r="P799" s="5" t="s">
        <v>3715</v>
      </c>
      <c r="Q799" s="5" t="s">
        <v>3716</v>
      </c>
      <c r="R799" s="5" t="s">
        <v>3717</v>
      </c>
      <c r="AG799" s="14" t="s">
        <v>55</v>
      </c>
      <c r="AH799" s="14" t="s">
        <v>1603</v>
      </c>
      <c r="AI799" s="14" t="s">
        <v>1604</v>
      </c>
    </row>
    <row r="800" spans="1:37">
      <c r="A800" s="6" t="s">
        <v>3720</v>
      </c>
      <c r="B800" s="6" t="s">
        <v>3721</v>
      </c>
      <c r="C800" s="6" t="s">
        <v>43</v>
      </c>
      <c r="D800" s="6" t="s">
        <v>239</v>
      </c>
      <c r="E800" s="6" t="s">
        <v>2065</v>
      </c>
      <c r="F800" s="6" t="s">
        <v>46</v>
      </c>
      <c r="G800" s="6" t="s">
        <v>1957</v>
      </c>
      <c r="I800" s="19" t="s">
        <v>48</v>
      </c>
      <c r="J800" s="19" t="s">
        <v>48</v>
      </c>
      <c r="K800" s="6"/>
      <c r="L800" s="6"/>
      <c r="M800" s="6"/>
      <c r="N800" s="6"/>
      <c r="O800" s="6"/>
      <c r="P800" s="6"/>
      <c r="Q800" s="6"/>
      <c r="R800" s="6"/>
      <c r="S800" s="6"/>
      <c r="T800" s="6"/>
      <c r="U800" s="6"/>
      <c r="V800" s="6"/>
      <c r="W800" s="6"/>
      <c r="X800" s="6"/>
      <c r="Y800" s="6"/>
      <c r="Z800" s="6"/>
      <c r="AA800" s="6"/>
      <c r="AB800" s="6"/>
      <c r="AC800" s="6"/>
      <c r="AD800" s="6"/>
      <c r="AE800" s="6"/>
      <c r="AF800" s="6"/>
      <c r="AG800" s="15" t="s">
        <v>55</v>
      </c>
      <c r="AH800" s="15"/>
      <c r="AI800" s="15"/>
      <c r="AJ800" s="6"/>
      <c r="AK800" s="6"/>
    </row>
    <row r="801" spans="1:37" s="6" customFormat="1">
      <c r="A801" s="5" t="s">
        <v>3722</v>
      </c>
      <c r="B801" s="5" t="s">
        <v>3723</v>
      </c>
      <c r="C801" s="6" t="s">
        <v>3724</v>
      </c>
      <c r="D801" s="6" t="s">
        <v>239</v>
      </c>
      <c r="E801" s="6" t="s">
        <v>1386</v>
      </c>
      <c r="F801" s="6" t="s">
        <v>46</v>
      </c>
      <c r="G801" s="6" t="s">
        <v>3725</v>
      </c>
      <c r="H801" s="7">
        <v>35.58</v>
      </c>
      <c r="I801" s="19" t="s">
        <v>1589</v>
      </c>
      <c r="J801" s="19" t="s">
        <v>2696</v>
      </c>
      <c r="K801" s="5" t="s">
        <v>2757</v>
      </c>
      <c r="L801" s="5" t="s">
        <v>2758</v>
      </c>
      <c r="M801" s="5" t="s">
        <v>2759</v>
      </c>
      <c r="N801" s="5" t="s">
        <v>2760</v>
      </c>
      <c r="O801" s="5" t="s">
        <v>3726</v>
      </c>
      <c r="P801" s="5" t="s">
        <v>3727</v>
      </c>
      <c r="Q801" s="5" t="s">
        <v>3728</v>
      </c>
      <c r="R801" s="5" t="s">
        <v>3729</v>
      </c>
      <c r="S801" s="5"/>
      <c r="T801" s="5"/>
      <c r="U801" s="5"/>
      <c r="V801" s="5"/>
      <c r="W801" s="5"/>
      <c r="X801" s="5"/>
      <c r="Y801" s="5"/>
      <c r="Z801" s="5"/>
      <c r="AA801" s="5"/>
      <c r="AB801" s="5"/>
      <c r="AC801" s="5"/>
      <c r="AD801" s="5"/>
      <c r="AE801" s="5"/>
      <c r="AF801" s="5"/>
      <c r="AG801" s="14" t="s">
        <v>55</v>
      </c>
      <c r="AH801" s="14" t="s">
        <v>1603</v>
      </c>
      <c r="AI801" s="14" t="s">
        <v>1604</v>
      </c>
      <c r="AJ801" s="5"/>
      <c r="AK801" s="5"/>
    </row>
    <row r="802" spans="1:37">
      <c r="A802" s="5" t="s">
        <v>3730</v>
      </c>
      <c r="B802" s="5" t="s">
        <v>3723</v>
      </c>
      <c r="C802" s="6" t="s">
        <v>1935</v>
      </c>
      <c r="D802" s="6" t="s">
        <v>239</v>
      </c>
      <c r="E802" s="6" t="s">
        <v>2015</v>
      </c>
      <c r="F802" s="6" t="s">
        <v>46</v>
      </c>
      <c r="G802" s="6" t="s">
        <v>3731</v>
      </c>
      <c r="H802" s="7">
        <v>35.58</v>
      </c>
      <c r="I802" s="19" t="s">
        <v>1589</v>
      </c>
      <c r="J802" s="19" t="s">
        <v>2696</v>
      </c>
      <c r="K802" s="5" t="s">
        <v>2757</v>
      </c>
      <c r="L802" s="5" t="s">
        <v>2758</v>
      </c>
      <c r="M802" s="5" t="s">
        <v>2759</v>
      </c>
      <c r="N802" s="5" t="s">
        <v>2760</v>
      </c>
      <c r="O802" s="5" t="s">
        <v>3726</v>
      </c>
      <c r="P802" s="5" t="s">
        <v>3727</v>
      </c>
      <c r="Q802" s="5" t="s">
        <v>3728</v>
      </c>
      <c r="R802" s="5" t="s">
        <v>3729</v>
      </c>
      <c r="AG802" s="14" t="s">
        <v>55</v>
      </c>
      <c r="AH802" s="14" t="s">
        <v>1603</v>
      </c>
      <c r="AI802" s="14" t="s">
        <v>1604</v>
      </c>
    </row>
    <row r="803" spans="1:37">
      <c r="A803" s="5" t="s">
        <v>3732</v>
      </c>
      <c r="B803" s="5" t="s">
        <v>3723</v>
      </c>
      <c r="C803" s="6" t="s">
        <v>3724</v>
      </c>
      <c r="D803" s="6" t="s">
        <v>239</v>
      </c>
      <c r="E803" s="6" t="s">
        <v>2047</v>
      </c>
      <c r="F803" s="6" t="s">
        <v>46</v>
      </c>
      <c r="G803" s="6" t="s">
        <v>3733</v>
      </c>
      <c r="H803" s="7">
        <v>35.58</v>
      </c>
      <c r="I803" s="19" t="s">
        <v>1589</v>
      </c>
      <c r="J803" s="19" t="s">
        <v>2696</v>
      </c>
      <c r="K803" s="5" t="s">
        <v>2757</v>
      </c>
      <c r="L803" s="5" t="s">
        <v>2758</v>
      </c>
      <c r="M803" s="5" t="s">
        <v>2759</v>
      </c>
      <c r="N803" s="5" t="s">
        <v>2760</v>
      </c>
      <c r="O803" s="5" t="s">
        <v>3726</v>
      </c>
      <c r="P803" s="5" t="s">
        <v>3727</v>
      </c>
      <c r="Q803" s="5" t="s">
        <v>3728</v>
      </c>
      <c r="R803" s="5" t="s">
        <v>3729</v>
      </c>
      <c r="AG803" s="14" t="s">
        <v>55</v>
      </c>
      <c r="AH803" s="14" t="s">
        <v>1603</v>
      </c>
      <c r="AI803" s="14" t="s">
        <v>1604</v>
      </c>
    </row>
    <row r="804" spans="1:37">
      <c r="A804" s="5" t="s">
        <v>3734</v>
      </c>
      <c r="B804" s="5" t="s">
        <v>3723</v>
      </c>
      <c r="C804" s="6" t="s">
        <v>3724</v>
      </c>
      <c r="D804" s="6" t="s">
        <v>239</v>
      </c>
      <c r="E804" s="6" t="s">
        <v>1693</v>
      </c>
      <c r="F804" s="6" t="s">
        <v>46</v>
      </c>
      <c r="G804" s="6" t="s">
        <v>2842</v>
      </c>
      <c r="H804" s="7">
        <v>35.58</v>
      </c>
      <c r="I804" s="19" t="s">
        <v>1589</v>
      </c>
      <c r="J804" s="19" t="s">
        <v>2696</v>
      </c>
      <c r="K804" s="5" t="s">
        <v>2757</v>
      </c>
      <c r="L804" s="5" t="s">
        <v>2758</v>
      </c>
      <c r="M804" s="5" t="s">
        <v>2759</v>
      </c>
      <c r="N804" s="5" t="s">
        <v>2760</v>
      </c>
      <c r="O804" s="5" t="s">
        <v>3726</v>
      </c>
      <c r="P804" s="5" t="s">
        <v>3727</v>
      </c>
      <c r="Q804" s="5" t="s">
        <v>3728</v>
      </c>
      <c r="R804" s="5" t="s">
        <v>3729</v>
      </c>
      <c r="AG804" s="14" t="s">
        <v>55</v>
      </c>
      <c r="AH804" s="14" t="s">
        <v>1603</v>
      </c>
      <c r="AI804" s="14" t="s">
        <v>1604</v>
      </c>
    </row>
    <row r="805" spans="1:37">
      <c r="A805" s="5" t="s">
        <v>3735</v>
      </c>
      <c r="B805" s="5" t="s">
        <v>3723</v>
      </c>
      <c r="C805" s="6" t="s">
        <v>3724</v>
      </c>
      <c r="D805" s="6" t="s">
        <v>239</v>
      </c>
      <c r="E805" s="6" t="s">
        <v>2065</v>
      </c>
      <c r="F805" s="6" t="s">
        <v>46</v>
      </c>
      <c r="G805" s="6" t="s">
        <v>3736</v>
      </c>
      <c r="H805" s="7">
        <v>35.58</v>
      </c>
      <c r="I805" s="19" t="s">
        <v>1589</v>
      </c>
      <c r="J805" s="19" t="s">
        <v>2696</v>
      </c>
      <c r="K805" s="5" t="s">
        <v>2757</v>
      </c>
      <c r="L805" s="5" t="s">
        <v>2758</v>
      </c>
      <c r="M805" s="5" t="s">
        <v>2759</v>
      </c>
      <c r="N805" s="5" t="s">
        <v>2760</v>
      </c>
      <c r="O805" s="5" t="s">
        <v>3726</v>
      </c>
      <c r="P805" s="5" t="s">
        <v>3727</v>
      </c>
      <c r="Q805" s="5" t="s">
        <v>3728</v>
      </c>
      <c r="R805" s="5" t="s">
        <v>3729</v>
      </c>
      <c r="AG805" s="14" t="s">
        <v>55</v>
      </c>
      <c r="AH805" s="14" t="s">
        <v>1603</v>
      </c>
      <c r="AI805" s="14" t="s">
        <v>1604</v>
      </c>
    </row>
    <row r="806" spans="1:37">
      <c r="A806" s="6" t="s">
        <v>3737</v>
      </c>
      <c r="B806" s="6" t="s">
        <v>3738</v>
      </c>
      <c r="C806" s="6" t="s">
        <v>43</v>
      </c>
      <c r="D806" s="6" t="s">
        <v>239</v>
      </c>
      <c r="E806" s="6" t="s">
        <v>2047</v>
      </c>
      <c r="F806" s="6" t="s">
        <v>46</v>
      </c>
      <c r="G806" s="6" t="s">
        <v>3739</v>
      </c>
      <c r="I806" s="19" t="s">
        <v>48</v>
      </c>
      <c r="J806" s="19" t="s">
        <v>48</v>
      </c>
      <c r="K806" s="6"/>
      <c r="L806" s="6"/>
      <c r="M806" s="6"/>
      <c r="N806" s="6"/>
      <c r="O806" s="6"/>
      <c r="P806" s="6"/>
      <c r="Q806" s="6"/>
      <c r="R806" s="6"/>
      <c r="S806" s="6"/>
      <c r="T806" s="6"/>
      <c r="U806" s="6"/>
      <c r="V806" s="6"/>
      <c r="W806" s="6"/>
      <c r="X806" s="6"/>
      <c r="Y806" s="6"/>
      <c r="Z806" s="6"/>
      <c r="AA806" s="6"/>
      <c r="AB806" s="6"/>
      <c r="AC806" s="6"/>
      <c r="AD806" s="6"/>
      <c r="AE806" s="6"/>
      <c r="AF806" s="6"/>
      <c r="AG806" s="15" t="s">
        <v>55</v>
      </c>
      <c r="AH806" s="15"/>
      <c r="AI806" s="15"/>
      <c r="AJ806" s="6"/>
      <c r="AK806" s="6"/>
    </row>
    <row r="807" spans="1:37" s="6" customFormat="1">
      <c r="A807" s="5" t="s">
        <v>3740</v>
      </c>
      <c r="B807" s="5" t="s">
        <v>3741</v>
      </c>
      <c r="C807" s="6" t="s">
        <v>43</v>
      </c>
      <c r="D807" s="6" t="s">
        <v>239</v>
      </c>
      <c r="E807" s="6" t="s">
        <v>2047</v>
      </c>
      <c r="F807" s="6" t="s">
        <v>46</v>
      </c>
      <c r="G807" s="6" t="s">
        <v>3742</v>
      </c>
      <c r="H807" s="7">
        <v>46</v>
      </c>
      <c r="I807" s="19" t="s">
        <v>1589</v>
      </c>
      <c r="J807" s="19" t="s">
        <v>2696</v>
      </c>
      <c r="K807" s="5" t="s">
        <v>2774</v>
      </c>
      <c r="L807" s="5" t="s">
        <v>2775</v>
      </c>
      <c r="M807" s="5" t="s">
        <v>2776</v>
      </c>
      <c r="N807" s="5" t="s">
        <v>2777</v>
      </c>
      <c r="O807" s="5" t="s">
        <v>3743</v>
      </c>
      <c r="P807" s="5" t="s">
        <v>3744</v>
      </c>
      <c r="Q807" s="5" t="s">
        <v>3745</v>
      </c>
      <c r="R807" s="5" t="s">
        <v>3746</v>
      </c>
      <c r="S807" s="5"/>
      <c r="T807" s="5"/>
      <c r="U807" s="5"/>
      <c r="V807" s="5"/>
      <c r="W807" s="5"/>
      <c r="X807" s="5"/>
      <c r="Y807" s="5"/>
      <c r="Z807" s="5"/>
      <c r="AA807" s="5"/>
      <c r="AB807" s="5"/>
      <c r="AC807" s="5"/>
      <c r="AD807" s="5"/>
      <c r="AE807" s="5"/>
      <c r="AF807" s="5"/>
      <c r="AG807" s="14" t="s">
        <v>55</v>
      </c>
      <c r="AH807" s="14" t="s">
        <v>1603</v>
      </c>
      <c r="AI807" s="14" t="s">
        <v>1604</v>
      </c>
      <c r="AJ807" s="5"/>
      <c r="AK807" s="5"/>
    </row>
    <row r="808" spans="1:37">
      <c r="A808" s="5" t="s">
        <v>3747</v>
      </c>
      <c r="B808" s="5" t="s">
        <v>3741</v>
      </c>
      <c r="C808" s="6" t="s">
        <v>43</v>
      </c>
      <c r="D808" s="6" t="s">
        <v>239</v>
      </c>
      <c r="E808" s="6" t="s">
        <v>2065</v>
      </c>
      <c r="F808" s="6" t="s">
        <v>46</v>
      </c>
      <c r="G808" s="6" t="s">
        <v>3748</v>
      </c>
      <c r="H808" s="7">
        <v>46</v>
      </c>
      <c r="I808" s="19" t="s">
        <v>1589</v>
      </c>
      <c r="J808" s="19" t="s">
        <v>2696</v>
      </c>
      <c r="K808" s="5" t="s">
        <v>2774</v>
      </c>
      <c r="L808" s="5" t="s">
        <v>2775</v>
      </c>
      <c r="M808" s="5" t="s">
        <v>2776</v>
      </c>
      <c r="N808" s="5" t="s">
        <v>2777</v>
      </c>
      <c r="O808" s="5" t="s">
        <v>3743</v>
      </c>
      <c r="P808" s="5" t="s">
        <v>3744</v>
      </c>
      <c r="Q808" s="5" t="s">
        <v>3745</v>
      </c>
      <c r="R808" s="5" t="s">
        <v>3746</v>
      </c>
      <c r="AG808" s="14" t="s">
        <v>55</v>
      </c>
      <c r="AH808" s="14" t="s">
        <v>1603</v>
      </c>
      <c r="AI808" s="14" t="s">
        <v>1604</v>
      </c>
    </row>
    <row r="809" spans="1:37">
      <c r="A809" s="5" t="s">
        <v>3749</v>
      </c>
      <c r="B809" s="5" t="s">
        <v>3750</v>
      </c>
      <c r="C809" s="6" t="s">
        <v>43</v>
      </c>
      <c r="D809" s="6" t="s">
        <v>239</v>
      </c>
      <c r="E809" s="6" t="s">
        <v>2047</v>
      </c>
      <c r="F809" s="6" t="s">
        <v>46</v>
      </c>
      <c r="G809" s="6" t="s">
        <v>3751</v>
      </c>
      <c r="H809" s="7">
        <v>46.99</v>
      </c>
      <c r="I809" s="19" t="s">
        <v>1589</v>
      </c>
      <c r="J809" s="19" t="s">
        <v>2696</v>
      </c>
      <c r="K809" s="5" t="s">
        <v>2790</v>
      </c>
      <c r="L809" s="5" t="s">
        <v>2791</v>
      </c>
      <c r="M809" s="5" t="s">
        <v>2792</v>
      </c>
      <c r="N809" s="5" t="s">
        <v>2793</v>
      </c>
      <c r="O809" s="5" t="s">
        <v>3752</v>
      </c>
      <c r="P809" s="5" t="s">
        <v>3753</v>
      </c>
      <c r="Q809" s="5" t="s">
        <v>3754</v>
      </c>
      <c r="R809" s="5" t="s">
        <v>3755</v>
      </c>
      <c r="AG809" s="14" t="s">
        <v>55</v>
      </c>
      <c r="AH809" s="14" t="s">
        <v>1603</v>
      </c>
      <c r="AI809" s="14" t="s">
        <v>1604</v>
      </c>
    </row>
    <row r="810" spans="1:37">
      <c r="A810" s="6" t="s">
        <v>3756</v>
      </c>
      <c r="B810" s="6" t="s">
        <v>3757</v>
      </c>
      <c r="C810" s="6" t="s">
        <v>43</v>
      </c>
      <c r="D810" s="6" t="s">
        <v>239</v>
      </c>
      <c r="E810" s="6" t="s">
        <v>2065</v>
      </c>
      <c r="F810" s="6" t="s">
        <v>46</v>
      </c>
      <c r="G810" s="6" t="s">
        <v>3758</v>
      </c>
      <c r="I810" s="19" t="s">
        <v>48</v>
      </c>
      <c r="J810" s="19" t="s">
        <v>48</v>
      </c>
      <c r="K810" s="6"/>
      <c r="L810" s="6"/>
      <c r="M810" s="6"/>
      <c r="N810" s="6"/>
      <c r="O810" s="6"/>
      <c r="P810" s="6"/>
      <c r="Q810" s="6"/>
      <c r="R810" s="6"/>
      <c r="S810" s="6"/>
      <c r="T810" s="6"/>
      <c r="U810" s="6"/>
      <c r="V810" s="6"/>
      <c r="W810" s="6"/>
      <c r="X810" s="6"/>
      <c r="Y810" s="6"/>
      <c r="Z810" s="6"/>
      <c r="AA810" s="6"/>
      <c r="AB810" s="6"/>
      <c r="AC810" s="6"/>
      <c r="AD810" s="6"/>
      <c r="AE810" s="6"/>
      <c r="AF810" s="6"/>
      <c r="AG810" s="15" t="s">
        <v>55</v>
      </c>
      <c r="AH810" s="15"/>
      <c r="AI810" s="15"/>
      <c r="AJ810" s="6"/>
      <c r="AK810" s="6"/>
    </row>
    <row r="811" spans="1:37" s="6" customFormat="1">
      <c r="A811" s="5" t="s">
        <v>3759</v>
      </c>
      <c r="B811" s="5" t="s">
        <v>3760</v>
      </c>
      <c r="C811" s="6" t="s">
        <v>43</v>
      </c>
      <c r="D811" s="6" t="s">
        <v>239</v>
      </c>
      <c r="E811" s="6" t="s">
        <v>1587</v>
      </c>
      <c r="F811" s="6" t="s">
        <v>46</v>
      </c>
      <c r="G811" s="6" t="s">
        <v>3761</v>
      </c>
      <c r="H811" s="7">
        <v>48.44</v>
      </c>
      <c r="I811" s="19" t="s">
        <v>1589</v>
      </c>
      <c r="J811" s="19" t="s">
        <v>2696</v>
      </c>
      <c r="K811" s="5" t="s">
        <v>2809</v>
      </c>
      <c r="L811" s="5" t="s">
        <v>2810</v>
      </c>
      <c r="M811" s="5" t="s">
        <v>2811</v>
      </c>
      <c r="N811" s="5" t="s">
        <v>2812</v>
      </c>
      <c r="O811" s="5" t="s">
        <v>3762</v>
      </c>
      <c r="P811" s="5" t="s">
        <v>3763</v>
      </c>
      <c r="Q811" s="5" t="s">
        <v>3764</v>
      </c>
      <c r="R811" s="5" t="s">
        <v>3765</v>
      </c>
      <c r="S811" s="5"/>
      <c r="T811" s="5"/>
      <c r="U811" s="5"/>
      <c r="V811" s="5"/>
      <c r="W811" s="5"/>
      <c r="X811" s="5"/>
      <c r="Y811" s="5"/>
      <c r="Z811" s="5"/>
      <c r="AA811" s="5"/>
      <c r="AB811" s="5"/>
      <c r="AC811" s="5"/>
      <c r="AD811" s="5"/>
      <c r="AE811" s="5"/>
      <c r="AF811" s="5"/>
      <c r="AG811" s="14" t="s">
        <v>55</v>
      </c>
      <c r="AH811" s="14" t="s">
        <v>1603</v>
      </c>
      <c r="AI811" s="14" t="s">
        <v>1604</v>
      </c>
      <c r="AJ811" s="5"/>
      <c r="AK811" s="5"/>
    </row>
    <row r="812" spans="1:37">
      <c r="A812" s="6" t="s">
        <v>3766</v>
      </c>
      <c r="B812" s="6" t="s">
        <v>3767</v>
      </c>
      <c r="C812" s="6" t="s">
        <v>43</v>
      </c>
      <c r="D812" s="6" t="s">
        <v>239</v>
      </c>
      <c r="E812" s="6" t="s">
        <v>2047</v>
      </c>
      <c r="F812" s="6" t="s">
        <v>46</v>
      </c>
      <c r="G812" s="6" t="s">
        <v>3768</v>
      </c>
      <c r="I812" s="19" t="s">
        <v>48</v>
      </c>
      <c r="J812" s="19" t="s">
        <v>48</v>
      </c>
      <c r="K812" s="6"/>
      <c r="L812" s="6"/>
      <c r="M812" s="6"/>
      <c r="N812" s="6"/>
      <c r="O812" s="6"/>
      <c r="P812" s="6"/>
      <c r="Q812" s="6"/>
      <c r="R812" s="6"/>
      <c r="S812" s="6"/>
      <c r="T812" s="6"/>
      <c r="U812" s="6"/>
      <c r="V812" s="6"/>
      <c r="W812" s="6"/>
      <c r="X812" s="6"/>
      <c r="Y812" s="6"/>
      <c r="Z812" s="6"/>
      <c r="AA812" s="6"/>
      <c r="AB812" s="6"/>
      <c r="AC812" s="6"/>
      <c r="AD812" s="6"/>
      <c r="AE812" s="6"/>
      <c r="AF812" s="6"/>
      <c r="AG812" s="15" t="s">
        <v>55</v>
      </c>
      <c r="AH812" s="15"/>
      <c r="AI812" s="15"/>
      <c r="AJ812" s="6"/>
      <c r="AK812" s="6"/>
    </row>
    <row r="813" spans="1:37" s="6" customFormat="1">
      <c r="A813" s="6" t="s">
        <v>3769</v>
      </c>
      <c r="B813" s="6" t="s">
        <v>3767</v>
      </c>
      <c r="C813" s="6" t="s">
        <v>43</v>
      </c>
      <c r="D813" s="6" t="s">
        <v>239</v>
      </c>
      <c r="E813" s="6" t="s">
        <v>2065</v>
      </c>
      <c r="F813" s="6" t="s">
        <v>46</v>
      </c>
      <c r="G813" s="6" t="s">
        <v>3770</v>
      </c>
      <c r="H813" s="7"/>
      <c r="I813" s="19" t="s">
        <v>48</v>
      </c>
      <c r="J813" s="19" t="s">
        <v>48</v>
      </c>
      <c r="AG813" s="15" t="s">
        <v>55</v>
      </c>
      <c r="AH813" s="15"/>
      <c r="AI813" s="15"/>
    </row>
    <row r="814" spans="1:37" s="6" customFormat="1">
      <c r="A814" s="5" t="s">
        <v>3771</v>
      </c>
      <c r="B814" s="5" t="s">
        <v>3760</v>
      </c>
      <c r="C814" s="6" t="s">
        <v>43</v>
      </c>
      <c r="D814" s="6" t="s">
        <v>239</v>
      </c>
      <c r="E814" s="6" t="s">
        <v>2139</v>
      </c>
      <c r="F814" s="6" t="s">
        <v>46</v>
      </c>
      <c r="G814" s="6" t="s">
        <v>3772</v>
      </c>
      <c r="H814" s="7">
        <v>48.44</v>
      </c>
      <c r="I814" s="19" t="s">
        <v>1589</v>
      </c>
      <c r="J814" s="19" t="s">
        <v>2696</v>
      </c>
      <c r="K814" s="5" t="s">
        <v>2809</v>
      </c>
      <c r="L814" s="5" t="s">
        <v>2810</v>
      </c>
      <c r="M814" s="5" t="s">
        <v>2811</v>
      </c>
      <c r="N814" s="5" t="s">
        <v>2812</v>
      </c>
      <c r="O814" s="5" t="s">
        <v>3762</v>
      </c>
      <c r="P814" s="5" t="s">
        <v>3763</v>
      </c>
      <c r="Q814" s="5" t="s">
        <v>3764</v>
      </c>
      <c r="R814" s="5" t="s">
        <v>3765</v>
      </c>
      <c r="S814" s="5"/>
      <c r="T814" s="5"/>
      <c r="U814" s="5"/>
      <c r="V814" s="5"/>
      <c r="W814" s="5"/>
      <c r="X814" s="5"/>
      <c r="Y814" s="5"/>
      <c r="Z814" s="5"/>
      <c r="AA814" s="5"/>
      <c r="AB814" s="5"/>
      <c r="AC814" s="5"/>
      <c r="AD814" s="5"/>
      <c r="AE814" s="5"/>
      <c r="AF814" s="5"/>
      <c r="AG814" s="14" t="s">
        <v>55</v>
      </c>
      <c r="AH814" s="14" t="s">
        <v>1603</v>
      </c>
      <c r="AI814" s="14" t="s">
        <v>1604</v>
      </c>
      <c r="AJ814" s="5"/>
      <c r="AK814" s="5"/>
    </row>
    <row r="815" spans="1:37">
      <c r="A815" s="5" t="s">
        <v>3773</v>
      </c>
      <c r="B815" s="5" t="s">
        <v>3760</v>
      </c>
      <c r="C815" s="6" t="s">
        <v>43</v>
      </c>
      <c r="D815" s="6" t="s">
        <v>239</v>
      </c>
      <c r="E815" s="6" t="s">
        <v>2047</v>
      </c>
      <c r="F815" s="6" t="s">
        <v>46</v>
      </c>
      <c r="G815" s="6" t="s">
        <v>2899</v>
      </c>
      <c r="H815" s="7">
        <v>48.44</v>
      </c>
      <c r="I815" s="19" t="s">
        <v>1589</v>
      </c>
      <c r="J815" s="19" t="s">
        <v>2696</v>
      </c>
      <c r="K815" s="5" t="s">
        <v>2809</v>
      </c>
      <c r="L815" s="5" t="s">
        <v>2810</v>
      </c>
      <c r="M815" s="5" t="s">
        <v>2811</v>
      </c>
      <c r="N815" s="5" t="s">
        <v>2812</v>
      </c>
      <c r="O815" s="5" t="s">
        <v>3762</v>
      </c>
      <c r="P815" s="5" t="s">
        <v>3763</v>
      </c>
      <c r="Q815" s="5" t="s">
        <v>3764</v>
      </c>
      <c r="R815" s="5" t="s">
        <v>3765</v>
      </c>
      <c r="AG815" s="14" t="s">
        <v>55</v>
      </c>
      <c r="AH815" s="14" t="s">
        <v>1603</v>
      </c>
      <c r="AI815" s="14" t="s">
        <v>1604</v>
      </c>
    </row>
    <row r="816" spans="1:37">
      <c r="A816" s="5" t="s">
        <v>3774</v>
      </c>
      <c r="B816" s="5" t="s">
        <v>3760</v>
      </c>
      <c r="C816" s="6" t="s">
        <v>2831</v>
      </c>
      <c r="D816" s="6" t="s">
        <v>239</v>
      </c>
      <c r="E816" s="6" t="s">
        <v>2839</v>
      </c>
      <c r="F816" s="6" t="s">
        <v>46</v>
      </c>
      <c r="G816" s="6" t="s">
        <v>3136</v>
      </c>
      <c r="H816" s="7">
        <v>48.44</v>
      </c>
      <c r="I816" s="19" t="s">
        <v>1589</v>
      </c>
      <c r="J816" s="19" t="s">
        <v>2696</v>
      </c>
      <c r="K816" s="5" t="s">
        <v>2809</v>
      </c>
      <c r="L816" s="5" t="s">
        <v>2810</v>
      </c>
      <c r="M816" s="5" t="s">
        <v>2811</v>
      </c>
      <c r="N816" s="5" t="s">
        <v>2812</v>
      </c>
      <c r="O816" s="5" t="s">
        <v>3762</v>
      </c>
      <c r="P816" s="5" t="s">
        <v>3763</v>
      </c>
      <c r="Q816" s="5" t="s">
        <v>3764</v>
      </c>
      <c r="R816" s="5" t="s">
        <v>3765</v>
      </c>
      <c r="AG816" s="14" t="s">
        <v>55</v>
      </c>
      <c r="AH816" s="14" t="s">
        <v>1603</v>
      </c>
      <c r="AI816" s="14" t="s">
        <v>1604</v>
      </c>
    </row>
    <row r="817" spans="1:37">
      <c r="A817" s="5" t="s">
        <v>3775</v>
      </c>
      <c r="B817" s="5" t="s">
        <v>3760</v>
      </c>
      <c r="C817" s="6" t="s">
        <v>43</v>
      </c>
      <c r="D817" s="6" t="s">
        <v>239</v>
      </c>
      <c r="E817" s="6" t="s">
        <v>1693</v>
      </c>
      <c r="F817" s="6" t="s">
        <v>46</v>
      </c>
      <c r="G817" s="6" t="s">
        <v>3776</v>
      </c>
      <c r="H817" s="7">
        <v>48.44</v>
      </c>
      <c r="I817" s="19" t="s">
        <v>1589</v>
      </c>
      <c r="J817" s="19" t="s">
        <v>2696</v>
      </c>
      <c r="K817" s="5" t="s">
        <v>2809</v>
      </c>
      <c r="L817" s="5" t="s">
        <v>2810</v>
      </c>
      <c r="M817" s="5" t="s">
        <v>2811</v>
      </c>
      <c r="N817" s="5" t="s">
        <v>2812</v>
      </c>
      <c r="O817" s="5" t="s">
        <v>3762</v>
      </c>
      <c r="P817" s="5" t="s">
        <v>3763</v>
      </c>
      <c r="Q817" s="5" t="s">
        <v>3764</v>
      </c>
      <c r="R817" s="5" t="s">
        <v>3765</v>
      </c>
      <c r="AG817" s="14" t="s">
        <v>55</v>
      </c>
      <c r="AH817" s="14" t="s">
        <v>1603</v>
      </c>
      <c r="AI817" s="14" t="s">
        <v>1604</v>
      </c>
    </row>
    <row r="818" spans="1:37">
      <c r="A818" s="5" t="s">
        <v>3777</v>
      </c>
      <c r="B818" s="5" t="s">
        <v>3760</v>
      </c>
      <c r="C818" s="6" t="s">
        <v>43</v>
      </c>
      <c r="D818" s="6" t="s">
        <v>239</v>
      </c>
      <c r="E818" s="6" t="s">
        <v>1540</v>
      </c>
      <c r="F818" s="6" t="s">
        <v>46</v>
      </c>
      <c r="G818" s="6" t="s">
        <v>3778</v>
      </c>
      <c r="H818" s="7">
        <v>48.44</v>
      </c>
      <c r="I818" s="19" t="s">
        <v>1589</v>
      </c>
      <c r="J818" s="19" t="s">
        <v>2696</v>
      </c>
      <c r="K818" s="5" t="s">
        <v>2809</v>
      </c>
      <c r="L818" s="5" t="s">
        <v>2810</v>
      </c>
      <c r="M818" s="5" t="s">
        <v>2811</v>
      </c>
      <c r="N818" s="5" t="s">
        <v>2812</v>
      </c>
      <c r="O818" s="5" t="s">
        <v>3762</v>
      </c>
      <c r="P818" s="5" t="s">
        <v>3763</v>
      </c>
      <c r="Q818" s="5" t="s">
        <v>3764</v>
      </c>
      <c r="R818" s="5" t="s">
        <v>3765</v>
      </c>
      <c r="AG818" s="14" t="s">
        <v>55</v>
      </c>
      <c r="AH818" s="14" t="s">
        <v>1603</v>
      </c>
      <c r="AI818" s="14" t="s">
        <v>1604</v>
      </c>
    </row>
    <row r="819" spans="1:37">
      <c r="A819" s="5" t="s">
        <v>3779</v>
      </c>
      <c r="B819" s="5" t="s">
        <v>3760</v>
      </c>
      <c r="C819" s="6" t="s">
        <v>43</v>
      </c>
      <c r="D819" s="6" t="s">
        <v>239</v>
      </c>
      <c r="E819" s="6" t="s">
        <v>2065</v>
      </c>
      <c r="F819" s="6" t="s">
        <v>46</v>
      </c>
      <c r="G819" s="6" t="s">
        <v>3780</v>
      </c>
      <c r="H819" s="7">
        <v>48.44</v>
      </c>
      <c r="I819" s="19" t="s">
        <v>1589</v>
      </c>
      <c r="J819" s="19" t="s">
        <v>2696</v>
      </c>
      <c r="K819" s="5" t="s">
        <v>2809</v>
      </c>
      <c r="L819" s="5" t="s">
        <v>2810</v>
      </c>
      <c r="M819" s="5" t="s">
        <v>2811</v>
      </c>
      <c r="N819" s="5" t="s">
        <v>2812</v>
      </c>
      <c r="O819" s="5" t="s">
        <v>3762</v>
      </c>
      <c r="P819" s="5" t="s">
        <v>3763</v>
      </c>
      <c r="Q819" s="5" t="s">
        <v>3764</v>
      </c>
      <c r="R819" s="5" t="s">
        <v>3765</v>
      </c>
      <c r="AG819" s="14" t="s">
        <v>55</v>
      </c>
      <c r="AH819" s="14" t="s">
        <v>1603</v>
      </c>
      <c r="AI819" s="14" t="s">
        <v>1604</v>
      </c>
    </row>
    <row r="820" spans="1:37">
      <c r="A820" s="5" t="s">
        <v>3781</v>
      </c>
      <c r="B820" s="5" t="s">
        <v>3760</v>
      </c>
      <c r="C820" s="6" t="s">
        <v>43</v>
      </c>
      <c r="D820" s="6" t="s">
        <v>239</v>
      </c>
      <c r="E820" s="6" t="s">
        <v>757</v>
      </c>
      <c r="F820" s="6" t="s">
        <v>46</v>
      </c>
      <c r="G820" s="6" t="s">
        <v>2856</v>
      </c>
      <c r="H820" s="7">
        <v>48.44</v>
      </c>
      <c r="I820" s="19" t="s">
        <v>1589</v>
      </c>
      <c r="J820" s="19" t="s">
        <v>2696</v>
      </c>
      <c r="K820" s="5" t="s">
        <v>2809</v>
      </c>
      <c r="L820" s="5" t="s">
        <v>2810</v>
      </c>
      <c r="M820" s="5" t="s">
        <v>2811</v>
      </c>
      <c r="N820" s="5" t="s">
        <v>2812</v>
      </c>
      <c r="O820" s="5" t="s">
        <v>3762</v>
      </c>
      <c r="P820" s="5" t="s">
        <v>3763</v>
      </c>
      <c r="Q820" s="5" t="s">
        <v>3764</v>
      </c>
      <c r="R820" s="5" t="s">
        <v>3765</v>
      </c>
      <c r="AG820" s="14" t="s">
        <v>49</v>
      </c>
      <c r="AH820" s="14" t="s">
        <v>1603</v>
      </c>
      <c r="AI820" s="14" t="s">
        <v>1604</v>
      </c>
    </row>
    <row r="821" spans="1:37">
      <c r="A821" s="6" t="s">
        <v>3782</v>
      </c>
      <c r="B821" s="6" t="s">
        <v>3783</v>
      </c>
      <c r="C821" s="6" t="s">
        <v>43</v>
      </c>
      <c r="D821" s="6" t="s">
        <v>239</v>
      </c>
      <c r="E821" s="6" t="s">
        <v>2065</v>
      </c>
      <c r="F821" s="6" t="s">
        <v>46</v>
      </c>
      <c r="G821" s="6" t="s">
        <v>3776</v>
      </c>
      <c r="I821" s="19" t="s">
        <v>48</v>
      </c>
      <c r="J821" s="19" t="s">
        <v>48</v>
      </c>
      <c r="K821" s="6"/>
      <c r="L821" s="6"/>
      <c r="M821" s="6"/>
      <c r="N821" s="6"/>
      <c r="O821" s="6"/>
      <c r="P821" s="6"/>
      <c r="Q821" s="6"/>
      <c r="R821" s="6"/>
      <c r="S821" s="6"/>
      <c r="T821" s="6"/>
      <c r="U821" s="6"/>
      <c r="V821" s="6"/>
      <c r="W821" s="6"/>
      <c r="X821" s="6"/>
      <c r="Y821" s="6"/>
      <c r="Z821" s="6"/>
      <c r="AA821" s="6"/>
      <c r="AB821" s="6"/>
      <c r="AC821" s="6"/>
      <c r="AD821" s="6"/>
      <c r="AE821" s="6"/>
      <c r="AF821" s="6"/>
      <c r="AG821" s="15" t="s">
        <v>55</v>
      </c>
      <c r="AH821" s="15"/>
      <c r="AI821" s="15"/>
      <c r="AJ821" s="6"/>
      <c r="AK821" s="6"/>
    </row>
    <row r="822" spans="1:37" s="6" customFormat="1">
      <c r="A822" s="6" t="s">
        <v>3784</v>
      </c>
      <c r="B822" s="6" t="s">
        <v>3785</v>
      </c>
      <c r="C822" s="6" t="s">
        <v>43</v>
      </c>
      <c r="D822" s="6" t="s">
        <v>239</v>
      </c>
      <c r="E822" s="6" t="s">
        <v>2047</v>
      </c>
      <c r="F822" s="6" t="s">
        <v>46</v>
      </c>
      <c r="G822" s="6" t="s">
        <v>3786</v>
      </c>
      <c r="H822" s="7"/>
      <c r="I822" s="19" t="s">
        <v>48</v>
      </c>
      <c r="J822" s="19" t="s">
        <v>48</v>
      </c>
      <c r="AG822" s="15" t="s">
        <v>55</v>
      </c>
      <c r="AH822" s="15"/>
      <c r="AI822" s="15"/>
    </row>
    <row r="823" spans="1:37" s="6" customFormat="1">
      <c r="A823" s="5" t="s">
        <v>3787</v>
      </c>
      <c r="B823" s="5" t="s">
        <v>3788</v>
      </c>
      <c r="C823" s="6" t="s">
        <v>43</v>
      </c>
      <c r="D823" s="6" t="s">
        <v>239</v>
      </c>
      <c r="E823" s="6" t="s">
        <v>2139</v>
      </c>
      <c r="F823" s="6" t="s">
        <v>46</v>
      </c>
      <c r="G823" s="6" t="s">
        <v>3789</v>
      </c>
      <c r="H823" s="7">
        <v>59.93</v>
      </c>
      <c r="I823" s="19" t="s">
        <v>1589</v>
      </c>
      <c r="J823" s="19" t="s">
        <v>2696</v>
      </c>
      <c r="K823" s="5" t="s">
        <v>2857</v>
      </c>
      <c r="L823" s="5" t="s">
        <v>2858</v>
      </c>
      <c r="M823" s="5" t="s">
        <v>2859</v>
      </c>
      <c r="N823" s="5" t="s">
        <v>2860</v>
      </c>
      <c r="O823" s="5" t="s">
        <v>3790</v>
      </c>
      <c r="P823" s="5" t="s">
        <v>3791</v>
      </c>
      <c r="Q823" s="5" t="s">
        <v>3792</v>
      </c>
      <c r="R823" s="5" t="s">
        <v>3793</v>
      </c>
      <c r="S823" s="5"/>
      <c r="T823" s="5"/>
      <c r="U823" s="5"/>
      <c r="V823" s="5"/>
      <c r="W823" s="5"/>
      <c r="X823" s="5"/>
      <c r="Y823" s="5"/>
      <c r="Z823" s="5"/>
      <c r="AA823" s="5"/>
      <c r="AB823" s="5"/>
      <c r="AC823" s="5"/>
      <c r="AD823" s="5"/>
      <c r="AE823" s="5"/>
      <c r="AF823" s="5"/>
      <c r="AG823" s="14" t="s">
        <v>55</v>
      </c>
      <c r="AH823" s="14" t="s">
        <v>1603</v>
      </c>
      <c r="AI823" s="14" t="s">
        <v>1604</v>
      </c>
      <c r="AJ823" s="5"/>
      <c r="AK823" s="5"/>
    </row>
    <row r="824" spans="1:37">
      <c r="A824" s="5" t="s">
        <v>3794</v>
      </c>
      <c r="B824" s="5" t="s">
        <v>3788</v>
      </c>
      <c r="C824" s="6" t="s">
        <v>43</v>
      </c>
      <c r="D824" s="6" t="s">
        <v>239</v>
      </c>
      <c r="E824" s="6" t="s">
        <v>2047</v>
      </c>
      <c r="F824" s="6" t="s">
        <v>46</v>
      </c>
      <c r="G824" s="6" t="s">
        <v>3795</v>
      </c>
      <c r="H824" s="7">
        <v>59.93</v>
      </c>
      <c r="I824" s="19" t="s">
        <v>1589</v>
      </c>
      <c r="J824" s="19" t="s">
        <v>2696</v>
      </c>
      <c r="K824" s="5" t="s">
        <v>2857</v>
      </c>
      <c r="L824" s="5" t="s">
        <v>2858</v>
      </c>
      <c r="M824" s="5" t="s">
        <v>2859</v>
      </c>
      <c r="N824" s="5" t="s">
        <v>2860</v>
      </c>
      <c r="O824" s="5" t="s">
        <v>3790</v>
      </c>
      <c r="P824" s="5" t="s">
        <v>3791</v>
      </c>
      <c r="Q824" s="5" t="s">
        <v>3792</v>
      </c>
      <c r="R824" s="5" t="s">
        <v>3793</v>
      </c>
      <c r="AG824" s="14" t="s">
        <v>55</v>
      </c>
      <c r="AH824" s="14" t="s">
        <v>1603</v>
      </c>
      <c r="AI824" s="14" t="s">
        <v>1604</v>
      </c>
    </row>
    <row r="825" spans="1:37">
      <c r="A825" s="5" t="s">
        <v>3796</v>
      </c>
      <c r="B825" s="5" t="s">
        <v>3788</v>
      </c>
      <c r="C825" s="6" t="s">
        <v>43</v>
      </c>
      <c r="D825" s="6" t="s">
        <v>239</v>
      </c>
      <c r="E825" s="6" t="s">
        <v>1540</v>
      </c>
      <c r="F825" s="6" t="s">
        <v>46</v>
      </c>
      <c r="G825" s="6" t="s">
        <v>3797</v>
      </c>
      <c r="H825" s="7">
        <v>59.93</v>
      </c>
      <c r="I825" s="19" t="s">
        <v>1589</v>
      </c>
      <c r="J825" s="19" t="s">
        <v>2696</v>
      </c>
      <c r="K825" s="5" t="s">
        <v>2857</v>
      </c>
      <c r="L825" s="5" t="s">
        <v>2858</v>
      </c>
      <c r="M825" s="5" t="s">
        <v>2859</v>
      </c>
      <c r="N825" s="5" t="s">
        <v>2860</v>
      </c>
      <c r="O825" s="5" t="s">
        <v>3790</v>
      </c>
      <c r="P825" s="5" t="s">
        <v>3791</v>
      </c>
      <c r="Q825" s="5" t="s">
        <v>3792</v>
      </c>
      <c r="R825" s="5" t="s">
        <v>3793</v>
      </c>
      <c r="AG825" s="14" t="s">
        <v>55</v>
      </c>
      <c r="AH825" s="14" t="s">
        <v>1603</v>
      </c>
      <c r="AI825" s="14" t="s">
        <v>1604</v>
      </c>
    </row>
    <row r="826" spans="1:37">
      <c r="A826" s="5" t="s">
        <v>3798</v>
      </c>
      <c r="B826" s="5" t="s">
        <v>3788</v>
      </c>
      <c r="C826" s="6" t="s">
        <v>43</v>
      </c>
      <c r="D826" s="6" t="s">
        <v>239</v>
      </c>
      <c r="E826" s="6" t="s">
        <v>2065</v>
      </c>
      <c r="F826" s="6" t="s">
        <v>46</v>
      </c>
      <c r="G826" s="6" t="s">
        <v>3799</v>
      </c>
      <c r="H826" s="7">
        <v>59.93</v>
      </c>
      <c r="I826" s="19" t="s">
        <v>1589</v>
      </c>
      <c r="J826" s="19" t="s">
        <v>2696</v>
      </c>
      <c r="K826" s="5" t="s">
        <v>2857</v>
      </c>
      <c r="L826" s="5" t="s">
        <v>2858</v>
      </c>
      <c r="M826" s="5" t="s">
        <v>2859</v>
      </c>
      <c r="N826" s="5" t="s">
        <v>2860</v>
      </c>
      <c r="O826" s="5" t="s">
        <v>3790</v>
      </c>
      <c r="P826" s="5" t="s">
        <v>3791</v>
      </c>
      <c r="Q826" s="5" t="s">
        <v>3792</v>
      </c>
      <c r="R826" s="5" t="s">
        <v>3793</v>
      </c>
      <c r="AG826" s="14" t="s">
        <v>55</v>
      </c>
      <c r="AH826" s="14" t="s">
        <v>1603</v>
      </c>
      <c r="AI826" s="14" t="s">
        <v>1604</v>
      </c>
    </row>
    <row r="827" spans="1:37">
      <c r="A827" s="6" t="s">
        <v>3800</v>
      </c>
      <c r="B827" s="6" t="s">
        <v>3801</v>
      </c>
      <c r="C827" s="6" t="s">
        <v>43</v>
      </c>
      <c r="D827" s="6" t="s">
        <v>239</v>
      </c>
      <c r="E827" s="6" t="s">
        <v>2047</v>
      </c>
      <c r="F827" s="6" t="s">
        <v>46</v>
      </c>
      <c r="G827" s="6" t="s">
        <v>3802</v>
      </c>
      <c r="I827" s="19" t="s">
        <v>48</v>
      </c>
      <c r="J827" s="19" t="s">
        <v>48</v>
      </c>
      <c r="K827" s="6"/>
      <c r="L827" s="6"/>
      <c r="M827" s="6"/>
      <c r="N827" s="6"/>
      <c r="O827" s="6"/>
      <c r="P827" s="6"/>
      <c r="Q827" s="6"/>
      <c r="R827" s="6"/>
      <c r="S827" s="6"/>
      <c r="T827" s="6"/>
      <c r="U827" s="6"/>
      <c r="V827" s="6"/>
      <c r="W827" s="6"/>
      <c r="X827" s="6"/>
      <c r="Y827" s="6"/>
      <c r="Z827" s="6"/>
      <c r="AA827" s="6"/>
      <c r="AB827" s="6"/>
      <c r="AC827" s="6"/>
      <c r="AD827" s="6"/>
      <c r="AE827" s="6"/>
      <c r="AF827" s="6"/>
      <c r="AG827" s="15" t="s">
        <v>55</v>
      </c>
      <c r="AH827" s="15"/>
      <c r="AI827" s="15"/>
      <c r="AJ827" s="6"/>
      <c r="AK827" s="6"/>
    </row>
    <row r="828" spans="1:37" s="6" customFormat="1">
      <c r="A828" s="5" t="s">
        <v>3803</v>
      </c>
      <c r="B828" s="5" t="s">
        <v>3804</v>
      </c>
      <c r="C828" s="6" t="s">
        <v>3484</v>
      </c>
      <c r="D828" s="6" t="s">
        <v>239</v>
      </c>
      <c r="E828" s="6" t="s">
        <v>2047</v>
      </c>
      <c r="F828" s="6" t="s">
        <v>46</v>
      </c>
      <c r="G828" s="6" t="s">
        <v>3805</v>
      </c>
      <c r="H828" s="7"/>
      <c r="I828" s="19" t="s">
        <v>1589</v>
      </c>
      <c r="J828" s="19" t="s">
        <v>2696</v>
      </c>
      <c r="K828" s="5" t="s">
        <v>3806</v>
      </c>
      <c r="L828" s="5" t="s">
        <v>3807</v>
      </c>
      <c r="M828" s="5" t="s">
        <v>3808</v>
      </c>
      <c r="N828" s="5" t="s">
        <v>3809</v>
      </c>
      <c r="O828" s="5" t="s">
        <v>3810</v>
      </c>
      <c r="P828" s="5" t="s">
        <v>3811</v>
      </c>
      <c r="Q828" s="5" t="s">
        <v>3812</v>
      </c>
      <c r="R828" s="5" t="s">
        <v>3813</v>
      </c>
      <c r="S828" s="5"/>
      <c r="T828" s="5"/>
      <c r="U828" s="5"/>
      <c r="V828" s="5"/>
      <c r="W828" s="5"/>
      <c r="X828" s="5"/>
      <c r="Y828" s="5"/>
      <c r="Z828" s="5"/>
      <c r="AA828" s="5"/>
      <c r="AB828" s="5"/>
      <c r="AC828" s="5"/>
      <c r="AD828" s="5"/>
      <c r="AE828" s="5"/>
      <c r="AF828" s="5"/>
      <c r="AG828" s="14" t="s">
        <v>55</v>
      </c>
      <c r="AH828" s="14" t="s">
        <v>1603</v>
      </c>
      <c r="AI828" s="14" t="s">
        <v>1604</v>
      </c>
      <c r="AJ828" s="5"/>
      <c r="AK828" s="5"/>
    </row>
    <row r="829" spans="1:37">
      <c r="A829" s="5" t="s">
        <v>3814</v>
      </c>
      <c r="B829" s="5" t="s">
        <v>3815</v>
      </c>
      <c r="C829" s="6" t="s">
        <v>43</v>
      </c>
      <c r="D829" s="6" t="s">
        <v>239</v>
      </c>
      <c r="E829" s="6" t="s">
        <v>2047</v>
      </c>
      <c r="F829" s="6" t="s">
        <v>46</v>
      </c>
      <c r="G829" s="6" t="s">
        <v>3816</v>
      </c>
      <c r="H829" s="7">
        <v>60.98</v>
      </c>
      <c r="I829" s="19" t="s">
        <v>1589</v>
      </c>
      <c r="J829" s="19" t="s">
        <v>2696</v>
      </c>
      <c r="K829" s="5" t="s">
        <v>2878</v>
      </c>
      <c r="L829" s="5" t="s">
        <v>2879</v>
      </c>
      <c r="M829" s="5" t="s">
        <v>2880</v>
      </c>
      <c r="N829" s="5" t="s">
        <v>2881</v>
      </c>
      <c r="O829" s="5" t="s">
        <v>3817</v>
      </c>
      <c r="P829" s="5" t="s">
        <v>3818</v>
      </c>
      <c r="Q829" s="5" t="s">
        <v>3819</v>
      </c>
      <c r="R829" s="5" t="s">
        <v>3820</v>
      </c>
      <c r="AG829" s="14" t="s">
        <v>55</v>
      </c>
      <c r="AH829" s="14" t="s">
        <v>1603</v>
      </c>
      <c r="AI829" s="14" t="s">
        <v>1604</v>
      </c>
    </row>
    <row r="830" spans="1:37">
      <c r="A830" s="5" t="s">
        <v>3821</v>
      </c>
      <c r="B830" s="5" t="s">
        <v>3822</v>
      </c>
      <c r="C830" s="6" t="s">
        <v>43</v>
      </c>
      <c r="D830" s="6" t="s">
        <v>239</v>
      </c>
      <c r="E830" s="6" t="s">
        <v>2047</v>
      </c>
      <c r="F830" s="6" t="s">
        <v>46</v>
      </c>
      <c r="G830" s="6" t="s">
        <v>3823</v>
      </c>
      <c r="H830" s="7">
        <v>64.150000000000006</v>
      </c>
      <c r="I830" s="19" t="s">
        <v>1589</v>
      </c>
      <c r="J830" s="19" t="s">
        <v>2696</v>
      </c>
      <c r="K830" s="5" t="s">
        <v>2903</v>
      </c>
      <c r="L830" s="5" t="s">
        <v>2904</v>
      </c>
      <c r="M830" s="5" t="s">
        <v>2905</v>
      </c>
      <c r="N830" s="5" t="s">
        <v>2906</v>
      </c>
      <c r="O830" s="5" t="s">
        <v>3824</v>
      </c>
      <c r="P830" s="5" t="s">
        <v>3825</v>
      </c>
      <c r="Q830" s="5" t="s">
        <v>3826</v>
      </c>
      <c r="R830" s="5" t="s">
        <v>3827</v>
      </c>
      <c r="AG830" s="14" t="s">
        <v>55</v>
      </c>
      <c r="AH830" s="14" t="s">
        <v>1603</v>
      </c>
      <c r="AI830" s="14" t="s">
        <v>1604</v>
      </c>
    </row>
    <row r="831" spans="1:37">
      <c r="A831" s="5" t="s">
        <v>3828</v>
      </c>
      <c r="B831" s="5" t="s">
        <v>3829</v>
      </c>
      <c r="C831" s="6" t="s">
        <v>43</v>
      </c>
      <c r="D831" s="6" t="s">
        <v>239</v>
      </c>
      <c r="E831" s="6" t="s">
        <v>2047</v>
      </c>
      <c r="F831" s="6" t="s">
        <v>46</v>
      </c>
      <c r="G831" s="6" t="s">
        <v>3830</v>
      </c>
      <c r="H831" s="7">
        <v>60.72</v>
      </c>
      <c r="I831" s="19" t="s">
        <v>1589</v>
      </c>
      <c r="J831" s="19" t="s">
        <v>2696</v>
      </c>
      <c r="K831" s="5" t="s">
        <v>2923</v>
      </c>
      <c r="L831" s="5" t="s">
        <v>2924</v>
      </c>
      <c r="M831" s="5" t="s">
        <v>2925</v>
      </c>
      <c r="N831" s="5" t="s">
        <v>2926</v>
      </c>
      <c r="O831" s="5" t="s">
        <v>3831</v>
      </c>
      <c r="P831" s="5" t="s">
        <v>3832</v>
      </c>
      <c r="Q831" s="5" t="s">
        <v>3833</v>
      </c>
      <c r="R831" s="5" t="s">
        <v>3834</v>
      </c>
      <c r="AG831" s="14" t="s">
        <v>55</v>
      </c>
      <c r="AH831" s="14" t="s">
        <v>1603</v>
      </c>
      <c r="AI831" s="14" t="s">
        <v>1604</v>
      </c>
    </row>
    <row r="832" spans="1:37">
      <c r="A832" s="5" t="s">
        <v>3835</v>
      </c>
      <c r="B832" s="5" t="s">
        <v>3829</v>
      </c>
      <c r="C832" s="6" t="s">
        <v>43</v>
      </c>
      <c r="D832" s="6" t="s">
        <v>239</v>
      </c>
      <c r="E832" s="6" t="s">
        <v>2065</v>
      </c>
      <c r="F832" s="6" t="s">
        <v>46</v>
      </c>
      <c r="G832" s="6" t="s">
        <v>3836</v>
      </c>
      <c r="H832" s="7">
        <v>60.72</v>
      </c>
      <c r="I832" s="19" t="s">
        <v>1589</v>
      </c>
      <c r="J832" s="19" t="s">
        <v>2696</v>
      </c>
      <c r="K832" s="5" t="s">
        <v>2923</v>
      </c>
      <c r="L832" s="5" t="s">
        <v>2924</v>
      </c>
      <c r="M832" s="5" t="s">
        <v>2925</v>
      </c>
      <c r="N832" s="5" t="s">
        <v>2926</v>
      </c>
      <c r="O832" s="5" t="s">
        <v>3831</v>
      </c>
      <c r="P832" s="5" t="s">
        <v>3832</v>
      </c>
      <c r="Q832" s="5" t="s">
        <v>3833</v>
      </c>
      <c r="R832" s="5" t="s">
        <v>3834</v>
      </c>
      <c r="AG832" s="14" t="s">
        <v>55</v>
      </c>
      <c r="AH832" s="14" t="s">
        <v>1603</v>
      </c>
      <c r="AI832" s="14" t="s">
        <v>1604</v>
      </c>
    </row>
    <row r="833" spans="1:37">
      <c r="A833" s="5" t="s">
        <v>3837</v>
      </c>
      <c r="B833" s="5" t="s">
        <v>3838</v>
      </c>
      <c r="C833" s="6" t="s">
        <v>1944</v>
      </c>
      <c r="D833" s="6" t="s">
        <v>239</v>
      </c>
      <c r="E833" s="6" t="s">
        <v>2989</v>
      </c>
      <c r="F833" s="6" t="s">
        <v>46</v>
      </c>
      <c r="G833" s="6" t="s">
        <v>3839</v>
      </c>
      <c r="H833" s="7">
        <v>64.150000000000006</v>
      </c>
      <c r="I833" s="19" t="s">
        <v>1589</v>
      </c>
      <c r="J833" s="19" t="s">
        <v>2696</v>
      </c>
      <c r="K833" s="5" t="s">
        <v>2935</v>
      </c>
      <c r="L833" s="5" t="s">
        <v>2936</v>
      </c>
      <c r="M833" s="5" t="s">
        <v>2937</v>
      </c>
      <c r="N833" s="5" t="s">
        <v>2938</v>
      </c>
      <c r="O833" s="5" t="s">
        <v>3840</v>
      </c>
      <c r="P833" s="5" t="s">
        <v>3841</v>
      </c>
      <c r="Q833" s="5" t="s">
        <v>3842</v>
      </c>
      <c r="R833" s="5" t="s">
        <v>3843</v>
      </c>
      <c r="AG833" s="14" t="s">
        <v>55</v>
      </c>
      <c r="AH833" s="14" t="s">
        <v>1603</v>
      </c>
      <c r="AI833" s="14" t="s">
        <v>1604</v>
      </c>
    </row>
    <row r="834" spans="1:37">
      <c r="A834" s="5" t="s">
        <v>3844</v>
      </c>
      <c r="B834" s="5" t="s">
        <v>3838</v>
      </c>
      <c r="C834" s="6" t="s">
        <v>1944</v>
      </c>
      <c r="D834" s="6" t="s">
        <v>239</v>
      </c>
      <c r="E834" s="6" t="s">
        <v>2139</v>
      </c>
      <c r="F834" s="6" t="s">
        <v>46</v>
      </c>
      <c r="G834" s="6" t="s">
        <v>3845</v>
      </c>
      <c r="H834" s="7">
        <v>64.150000000000006</v>
      </c>
      <c r="I834" s="19" t="s">
        <v>1589</v>
      </c>
      <c r="J834" s="19" t="s">
        <v>2696</v>
      </c>
      <c r="K834" s="5" t="s">
        <v>2935</v>
      </c>
      <c r="L834" s="5" t="s">
        <v>2936</v>
      </c>
      <c r="M834" s="5" t="s">
        <v>2937</v>
      </c>
      <c r="N834" s="5" t="s">
        <v>2938</v>
      </c>
      <c r="O834" s="5" t="s">
        <v>3840</v>
      </c>
      <c r="P834" s="5" t="s">
        <v>3841</v>
      </c>
      <c r="Q834" s="5" t="s">
        <v>3842</v>
      </c>
      <c r="R834" s="5" t="s">
        <v>3843</v>
      </c>
      <c r="AG834" s="14" t="s">
        <v>55</v>
      </c>
      <c r="AH834" s="14" t="s">
        <v>1603</v>
      </c>
      <c r="AI834" s="14" t="s">
        <v>1604</v>
      </c>
    </row>
    <row r="835" spans="1:37">
      <c r="A835" s="5" t="s">
        <v>3846</v>
      </c>
      <c r="B835" s="5" t="s">
        <v>3838</v>
      </c>
      <c r="C835" s="6" t="s">
        <v>1944</v>
      </c>
      <c r="D835" s="6" t="s">
        <v>239</v>
      </c>
      <c r="E835" s="6" t="s">
        <v>2047</v>
      </c>
      <c r="F835" s="6" t="s">
        <v>46</v>
      </c>
      <c r="G835" s="6" t="s">
        <v>3847</v>
      </c>
      <c r="H835" s="7">
        <v>64.150000000000006</v>
      </c>
      <c r="I835" s="19" t="s">
        <v>1589</v>
      </c>
      <c r="J835" s="19" t="s">
        <v>2696</v>
      </c>
      <c r="K835" s="5" t="s">
        <v>2935</v>
      </c>
      <c r="L835" s="5" t="s">
        <v>2936</v>
      </c>
      <c r="M835" s="5" t="s">
        <v>2937</v>
      </c>
      <c r="N835" s="5" t="s">
        <v>2938</v>
      </c>
      <c r="O835" s="5" t="s">
        <v>3840</v>
      </c>
      <c r="P835" s="5" t="s">
        <v>3841</v>
      </c>
      <c r="Q835" s="5" t="s">
        <v>3842</v>
      </c>
      <c r="R835" s="5" t="s">
        <v>3843</v>
      </c>
      <c r="AG835" s="14" t="s">
        <v>55</v>
      </c>
      <c r="AH835" s="14" t="s">
        <v>1603</v>
      </c>
      <c r="AI835" s="14" t="s">
        <v>1604</v>
      </c>
    </row>
    <row r="836" spans="1:37">
      <c r="A836" s="5" t="s">
        <v>3848</v>
      </c>
      <c r="B836" s="5" t="s">
        <v>3838</v>
      </c>
      <c r="C836" s="6" t="s">
        <v>1944</v>
      </c>
      <c r="D836" s="6" t="s">
        <v>239</v>
      </c>
      <c r="E836" s="6" t="s">
        <v>2065</v>
      </c>
      <c r="F836" s="6" t="s">
        <v>46</v>
      </c>
      <c r="G836" s="6" t="s">
        <v>3849</v>
      </c>
      <c r="H836" s="7">
        <v>64.150000000000006</v>
      </c>
      <c r="I836" s="19" t="s">
        <v>1589</v>
      </c>
      <c r="J836" s="19" t="s">
        <v>2696</v>
      </c>
      <c r="K836" s="5" t="s">
        <v>2935</v>
      </c>
      <c r="L836" s="5" t="s">
        <v>2936</v>
      </c>
      <c r="M836" s="5" t="s">
        <v>2937</v>
      </c>
      <c r="N836" s="5" t="s">
        <v>2938</v>
      </c>
      <c r="O836" s="5" t="s">
        <v>3840</v>
      </c>
      <c r="P836" s="5" t="s">
        <v>3841</v>
      </c>
      <c r="Q836" s="5" t="s">
        <v>3842</v>
      </c>
      <c r="R836" s="5" t="s">
        <v>3843</v>
      </c>
      <c r="AG836" s="14" t="s">
        <v>55</v>
      </c>
      <c r="AH836" s="14" t="s">
        <v>1603</v>
      </c>
      <c r="AI836" s="14" t="s">
        <v>1604</v>
      </c>
    </row>
    <row r="837" spans="1:37">
      <c r="A837" s="5" t="s">
        <v>3850</v>
      </c>
      <c r="B837" s="5" t="s">
        <v>3838</v>
      </c>
      <c r="C837" s="6" t="s">
        <v>1944</v>
      </c>
      <c r="D837" s="6" t="s">
        <v>239</v>
      </c>
      <c r="E837" s="6" t="s">
        <v>503</v>
      </c>
      <c r="F837" s="6" t="s">
        <v>46</v>
      </c>
      <c r="G837" s="6" t="s">
        <v>3851</v>
      </c>
      <c r="H837" s="7">
        <v>64.150000000000006</v>
      </c>
      <c r="I837" s="19" t="s">
        <v>1589</v>
      </c>
      <c r="J837" s="19" t="s">
        <v>2696</v>
      </c>
      <c r="K837" s="5" t="s">
        <v>2935</v>
      </c>
      <c r="L837" s="5" t="s">
        <v>2936</v>
      </c>
      <c r="M837" s="5" t="s">
        <v>2937</v>
      </c>
      <c r="N837" s="5" t="s">
        <v>2938</v>
      </c>
      <c r="O837" s="5" t="s">
        <v>3840</v>
      </c>
      <c r="P837" s="5" t="s">
        <v>3841</v>
      </c>
      <c r="Q837" s="5" t="s">
        <v>3842</v>
      </c>
      <c r="R837" s="5" t="s">
        <v>3843</v>
      </c>
      <c r="AG837" s="14" t="s">
        <v>55</v>
      </c>
      <c r="AH837" s="14" t="s">
        <v>1603</v>
      </c>
      <c r="AI837" s="14" t="s">
        <v>1604</v>
      </c>
    </row>
    <row r="838" spans="1:37">
      <c r="A838" s="6" t="s">
        <v>3852</v>
      </c>
      <c r="B838" s="6" t="s">
        <v>3853</v>
      </c>
      <c r="C838" s="6" t="s">
        <v>2951</v>
      </c>
      <c r="D838" s="6" t="s">
        <v>239</v>
      </c>
      <c r="E838" s="6" t="s">
        <v>2047</v>
      </c>
      <c r="F838" s="6" t="s">
        <v>46</v>
      </c>
      <c r="G838" s="6" t="s">
        <v>3854</v>
      </c>
      <c r="I838" s="16" t="s">
        <v>48</v>
      </c>
      <c r="J838" s="16" t="s">
        <v>48</v>
      </c>
      <c r="K838" s="6"/>
      <c r="L838" s="6"/>
      <c r="M838" s="6"/>
      <c r="N838" s="6"/>
      <c r="O838" s="6"/>
      <c r="P838" s="6"/>
      <c r="Q838" s="6"/>
      <c r="R838" s="6"/>
      <c r="S838" s="6"/>
      <c r="T838" s="6"/>
      <c r="U838" s="6"/>
      <c r="V838" s="6"/>
      <c r="W838" s="6"/>
      <c r="X838" s="6"/>
      <c r="Y838" s="6"/>
      <c r="Z838" s="6"/>
      <c r="AA838" s="6"/>
      <c r="AB838" s="6"/>
      <c r="AC838" s="6"/>
      <c r="AD838" s="6"/>
      <c r="AE838" s="6"/>
      <c r="AF838" s="6"/>
      <c r="AG838" s="15" t="s">
        <v>55</v>
      </c>
      <c r="AH838" s="15"/>
      <c r="AI838" s="15"/>
      <c r="AJ838" s="6"/>
      <c r="AK838" s="6"/>
    </row>
    <row r="839" spans="1:37" s="6" customFormat="1">
      <c r="A839" s="6" t="s">
        <v>3855</v>
      </c>
      <c r="B839" s="6" t="s">
        <v>3853</v>
      </c>
      <c r="C839" s="6" t="s">
        <v>2951</v>
      </c>
      <c r="D839" s="6" t="s">
        <v>239</v>
      </c>
      <c r="E839" s="6" t="s">
        <v>2065</v>
      </c>
      <c r="F839" s="6" t="s">
        <v>46</v>
      </c>
      <c r="G839" s="6" t="s">
        <v>3856</v>
      </c>
      <c r="H839" s="7"/>
      <c r="I839" s="16" t="s">
        <v>48</v>
      </c>
      <c r="J839" s="16" t="s">
        <v>48</v>
      </c>
      <c r="AG839" s="15" t="s">
        <v>55</v>
      </c>
      <c r="AH839" s="15"/>
      <c r="AI839" s="15"/>
    </row>
    <row r="840" spans="1:37" s="6" customFormat="1">
      <c r="A840" s="6" t="s">
        <v>3857</v>
      </c>
      <c r="B840" s="6" t="s">
        <v>3858</v>
      </c>
      <c r="C840" s="6" t="s">
        <v>43</v>
      </c>
      <c r="D840" s="6" t="s">
        <v>239</v>
      </c>
      <c r="E840" s="6" t="s">
        <v>2047</v>
      </c>
      <c r="F840" s="6" t="s">
        <v>46</v>
      </c>
      <c r="G840" s="6" t="s">
        <v>3859</v>
      </c>
      <c r="H840" s="7"/>
      <c r="I840" s="19" t="s">
        <v>48</v>
      </c>
      <c r="J840" s="19" t="s">
        <v>48</v>
      </c>
      <c r="AG840" s="15" t="s">
        <v>55</v>
      </c>
      <c r="AH840" s="15"/>
      <c r="AI840" s="15"/>
    </row>
    <row r="841" spans="1:37" s="6" customFormat="1">
      <c r="A841" s="6" t="s">
        <v>3860</v>
      </c>
      <c r="B841" s="6" t="s">
        <v>3861</v>
      </c>
      <c r="C841" s="6" t="s">
        <v>3862</v>
      </c>
      <c r="D841" s="6" t="s">
        <v>239</v>
      </c>
      <c r="E841" s="6" t="s">
        <v>2047</v>
      </c>
      <c r="F841" s="6" t="s">
        <v>46</v>
      </c>
      <c r="G841" s="6" t="s">
        <v>3863</v>
      </c>
      <c r="H841" s="7"/>
      <c r="I841" s="19" t="s">
        <v>48</v>
      </c>
      <c r="J841" s="19" t="s">
        <v>48</v>
      </c>
      <c r="AG841" s="15" t="s">
        <v>55</v>
      </c>
      <c r="AH841" s="15"/>
      <c r="AI841" s="15"/>
    </row>
    <row r="842" spans="1:37" s="6" customFormat="1">
      <c r="A842" s="5" t="s">
        <v>3864</v>
      </c>
      <c r="B842" s="5" t="s">
        <v>3865</v>
      </c>
      <c r="C842" s="6" t="s">
        <v>43</v>
      </c>
      <c r="D842" s="6" t="s">
        <v>239</v>
      </c>
      <c r="E842" s="6" t="s">
        <v>2139</v>
      </c>
      <c r="F842" s="6" t="s">
        <v>46</v>
      </c>
      <c r="G842" s="6" t="s">
        <v>3866</v>
      </c>
      <c r="H842" s="7">
        <v>65.34</v>
      </c>
      <c r="I842" s="19" t="s">
        <v>1589</v>
      </c>
      <c r="J842" s="19" t="s">
        <v>2696</v>
      </c>
      <c r="K842" s="5" t="s">
        <v>2960</v>
      </c>
      <c r="L842" s="5" t="s">
        <v>2961</v>
      </c>
      <c r="M842" s="5" t="s">
        <v>2962</v>
      </c>
      <c r="N842" s="5" t="s">
        <v>2963</v>
      </c>
      <c r="O842" s="5" t="s">
        <v>3867</v>
      </c>
      <c r="P842" s="5" t="s">
        <v>3868</v>
      </c>
      <c r="Q842" s="5" t="s">
        <v>3869</v>
      </c>
      <c r="R842" s="5" t="s">
        <v>3870</v>
      </c>
      <c r="S842" s="5"/>
      <c r="T842" s="5"/>
      <c r="U842" s="5"/>
      <c r="V842" s="5"/>
      <c r="W842" s="5"/>
      <c r="X842" s="5"/>
      <c r="Y842" s="5"/>
      <c r="Z842" s="5"/>
      <c r="AA842" s="5"/>
      <c r="AB842" s="5"/>
      <c r="AC842" s="5"/>
      <c r="AD842" s="5"/>
      <c r="AE842" s="5"/>
      <c r="AF842" s="5"/>
      <c r="AG842" s="14" t="s">
        <v>55</v>
      </c>
      <c r="AH842" s="14" t="s">
        <v>1603</v>
      </c>
      <c r="AI842" s="14" t="s">
        <v>1604</v>
      </c>
      <c r="AJ842" s="5"/>
      <c r="AK842" s="5"/>
    </row>
    <row r="843" spans="1:37">
      <c r="A843" s="5" t="s">
        <v>3871</v>
      </c>
      <c r="B843" s="5" t="s">
        <v>3865</v>
      </c>
      <c r="C843" s="6" t="s">
        <v>43</v>
      </c>
      <c r="D843" s="6" t="s">
        <v>239</v>
      </c>
      <c r="E843" s="6" t="s">
        <v>2047</v>
      </c>
      <c r="F843" s="6" t="s">
        <v>46</v>
      </c>
      <c r="G843" s="6" t="s">
        <v>3872</v>
      </c>
      <c r="H843" s="7">
        <v>65.34</v>
      </c>
      <c r="I843" s="19" t="s">
        <v>1589</v>
      </c>
      <c r="J843" s="19" t="s">
        <v>2696</v>
      </c>
      <c r="K843" s="5" t="s">
        <v>2960</v>
      </c>
      <c r="L843" s="5" t="s">
        <v>2961</v>
      </c>
      <c r="M843" s="5" t="s">
        <v>2962</v>
      </c>
      <c r="N843" s="5" t="s">
        <v>2963</v>
      </c>
      <c r="O843" s="5" t="s">
        <v>3867</v>
      </c>
      <c r="P843" s="5" t="s">
        <v>3868</v>
      </c>
      <c r="Q843" s="5" t="s">
        <v>3869</v>
      </c>
      <c r="R843" s="5" t="s">
        <v>3870</v>
      </c>
      <c r="AG843" s="14" t="s">
        <v>55</v>
      </c>
      <c r="AH843" s="14" t="s">
        <v>1603</v>
      </c>
      <c r="AI843" s="14" t="s">
        <v>1604</v>
      </c>
    </row>
    <row r="844" spans="1:37">
      <c r="A844" s="6" t="s">
        <v>3873</v>
      </c>
      <c r="B844" s="6" t="s">
        <v>3874</v>
      </c>
      <c r="C844" s="6" t="s">
        <v>43</v>
      </c>
      <c r="D844" s="6" t="s">
        <v>239</v>
      </c>
      <c r="E844" s="6" t="s">
        <v>2047</v>
      </c>
      <c r="F844" s="6" t="s">
        <v>46</v>
      </c>
      <c r="G844" s="6" t="s">
        <v>3875</v>
      </c>
      <c r="I844" s="19" t="s">
        <v>48</v>
      </c>
      <c r="J844" s="19" t="s">
        <v>48</v>
      </c>
      <c r="K844" s="6"/>
      <c r="L844" s="6"/>
      <c r="M844" s="6"/>
      <c r="N844" s="6"/>
      <c r="O844" s="6"/>
      <c r="P844" s="6"/>
      <c r="Q844" s="6"/>
      <c r="R844" s="6"/>
      <c r="S844" s="6"/>
      <c r="T844" s="6"/>
      <c r="U844" s="6"/>
      <c r="V844" s="6"/>
      <c r="W844" s="6"/>
      <c r="X844" s="6"/>
      <c r="Y844" s="6"/>
      <c r="Z844" s="6"/>
      <c r="AA844" s="6"/>
      <c r="AB844" s="6"/>
      <c r="AC844" s="6"/>
      <c r="AD844" s="6"/>
      <c r="AE844" s="6"/>
      <c r="AF844" s="6"/>
      <c r="AG844" s="15" t="s">
        <v>55</v>
      </c>
      <c r="AH844" s="15"/>
      <c r="AI844" s="15"/>
      <c r="AJ844" s="6"/>
      <c r="AK844" s="6"/>
    </row>
    <row r="845" spans="1:37" s="6" customFormat="1">
      <c r="A845" s="6" t="s">
        <v>3876</v>
      </c>
      <c r="B845" s="6" t="s">
        <v>3877</v>
      </c>
      <c r="C845" s="6" t="s">
        <v>2822</v>
      </c>
      <c r="D845" s="6" t="s">
        <v>239</v>
      </c>
      <c r="E845" s="6" t="s">
        <v>2065</v>
      </c>
      <c r="F845" s="6" t="s">
        <v>46</v>
      </c>
      <c r="G845" s="6" t="s">
        <v>3878</v>
      </c>
      <c r="H845" s="7"/>
      <c r="I845" s="19" t="s">
        <v>48</v>
      </c>
      <c r="J845" s="19" t="s">
        <v>48</v>
      </c>
      <c r="AG845" s="15" t="s">
        <v>55</v>
      </c>
      <c r="AH845" s="15"/>
      <c r="AI845" s="15"/>
    </row>
    <row r="846" spans="1:37" s="6" customFormat="1">
      <c r="A846" s="6" t="s">
        <v>3879</v>
      </c>
      <c r="B846" s="6" t="s">
        <v>3880</v>
      </c>
      <c r="C846" s="6" t="s">
        <v>43</v>
      </c>
      <c r="D846" s="6" t="s">
        <v>239</v>
      </c>
      <c r="E846" s="6" t="s">
        <v>2047</v>
      </c>
      <c r="F846" s="6" t="s">
        <v>46</v>
      </c>
      <c r="G846" s="6" t="s">
        <v>3881</v>
      </c>
      <c r="H846" s="7"/>
      <c r="I846" s="16" t="s">
        <v>48</v>
      </c>
      <c r="J846" s="16" t="s">
        <v>48</v>
      </c>
      <c r="AG846" s="15" t="s">
        <v>55</v>
      </c>
      <c r="AH846" s="15"/>
      <c r="AI846" s="15"/>
    </row>
    <row r="847" spans="1:37" s="6" customFormat="1">
      <c r="A847" s="6" t="s">
        <v>3882</v>
      </c>
      <c r="B847" s="6" t="s">
        <v>3883</v>
      </c>
      <c r="C847" s="6" t="s">
        <v>43</v>
      </c>
      <c r="D847" s="6" t="s">
        <v>239</v>
      </c>
      <c r="E847" s="6" t="s">
        <v>2065</v>
      </c>
      <c r="F847" s="6" t="s">
        <v>46</v>
      </c>
      <c r="G847" s="6" t="s">
        <v>3884</v>
      </c>
      <c r="H847" s="7"/>
      <c r="I847" s="19" t="s">
        <v>48</v>
      </c>
      <c r="J847" s="19" t="s">
        <v>48</v>
      </c>
      <c r="AG847" s="15" t="s">
        <v>55</v>
      </c>
      <c r="AH847" s="15"/>
      <c r="AI847" s="15"/>
    </row>
    <row r="848" spans="1:37" s="6" customFormat="1">
      <c r="A848" s="5" t="s">
        <v>3885</v>
      </c>
      <c r="B848" s="5" t="s">
        <v>3886</v>
      </c>
      <c r="C848" s="6" t="s">
        <v>43</v>
      </c>
      <c r="D848" s="6" t="s">
        <v>239</v>
      </c>
      <c r="E848" s="6" t="s">
        <v>1587</v>
      </c>
      <c r="F848" s="6" t="s">
        <v>46</v>
      </c>
      <c r="G848" s="6" t="s">
        <v>3887</v>
      </c>
      <c r="H848" s="7">
        <v>71.540000000000006</v>
      </c>
      <c r="I848" s="19" t="s">
        <v>1589</v>
      </c>
      <c r="J848" s="19" t="s">
        <v>2696</v>
      </c>
      <c r="K848" s="5" t="s">
        <v>2991</v>
      </c>
      <c r="L848" s="5" t="s">
        <v>2992</v>
      </c>
      <c r="M848" s="5" t="s">
        <v>2993</v>
      </c>
      <c r="N848" s="5" t="s">
        <v>2994</v>
      </c>
      <c r="O848" s="5" t="s">
        <v>3888</v>
      </c>
      <c r="P848" s="5" t="s">
        <v>3889</v>
      </c>
      <c r="Q848" s="5" t="s">
        <v>3890</v>
      </c>
      <c r="R848" s="5" t="s">
        <v>3891</v>
      </c>
      <c r="S848" s="5"/>
      <c r="T848" s="5"/>
      <c r="U848" s="5"/>
      <c r="V848" s="5"/>
      <c r="W848" s="5"/>
      <c r="X848" s="5"/>
      <c r="Y848" s="5"/>
      <c r="Z848" s="5"/>
      <c r="AA848" s="5"/>
      <c r="AB848" s="5"/>
      <c r="AC848" s="5"/>
      <c r="AD848" s="5"/>
      <c r="AE848" s="5"/>
      <c r="AF848" s="5"/>
      <c r="AG848" s="14" t="s">
        <v>55</v>
      </c>
      <c r="AH848" s="14" t="s">
        <v>1603</v>
      </c>
      <c r="AI848" s="14" t="s">
        <v>1604</v>
      </c>
      <c r="AJ848" s="5"/>
      <c r="AK848" s="5"/>
    </row>
    <row r="849" spans="1:37">
      <c r="A849" s="5" t="s">
        <v>3892</v>
      </c>
      <c r="B849" s="5" t="s">
        <v>3886</v>
      </c>
      <c r="C849" s="6" t="s">
        <v>43</v>
      </c>
      <c r="D849" s="6" t="s">
        <v>239</v>
      </c>
      <c r="E849" s="6" t="s">
        <v>2933</v>
      </c>
      <c r="F849" s="6" t="s">
        <v>46</v>
      </c>
      <c r="G849" s="6" t="s">
        <v>3893</v>
      </c>
      <c r="H849" s="7">
        <v>71.540000000000006</v>
      </c>
      <c r="I849" s="19" t="s">
        <v>1589</v>
      </c>
      <c r="J849" s="19" t="s">
        <v>2696</v>
      </c>
      <c r="K849" s="5" t="s">
        <v>2991</v>
      </c>
      <c r="L849" s="5" t="s">
        <v>2992</v>
      </c>
      <c r="M849" s="5" t="s">
        <v>2993</v>
      </c>
      <c r="N849" s="5" t="s">
        <v>2994</v>
      </c>
      <c r="O849" s="5" t="s">
        <v>3888</v>
      </c>
      <c r="P849" s="5" t="s">
        <v>3889</v>
      </c>
      <c r="Q849" s="5" t="s">
        <v>3890</v>
      </c>
      <c r="R849" s="5" t="s">
        <v>3891</v>
      </c>
      <c r="AG849" s="14" t="s">
        <v>55</v>
      </c>
      <c r="AH849" s="14" t="s">
        <v>1603</v>
      </c>
      <c r="AI849" s="14" t="s">
        <v>1604</v>
      </c>
    </row>
    <row r="850" spans="1:37">
      <c r="A850" s="6" t="s">
        <v>3894</v>
      </c>
      <c r="B850" s="6" t="s">
        <v>3895</v>
      </c>
      <c r="C850" s="6" t="s">
        <v>43</v>
      </c>
      <c r="D850" s="6" t="s">
        <v>239</v>
      </c>
      <c r="E850" s="6" t="s">
        <v>2047</v>
      </c>
      <c r="F850" s="6" t="s">
        <v>46</v>
      </c>
      <c r="G850" s="6" t="s">
        <v>3896</v>
      </c>
      <c r="I850" s="19" t="s">
        <v>48</v>
      </c>
      <c r="J850" s="19" t="s">
        <v>48</v>
      </c>
      <c r="K850" s="6"/>
      <c r="L850" s="6"/>
      <c r="M850" s="6"/>
      <c r="N850" s="6"/>
      <c r="O850" s="6"/>
      <c r="P850" s="6"/>
      <c r="Q850" s="6"/>
      <c r="R850" s="6"/>
      <c r="S850" s="6"/>
      <c r="T850" s="6"/>
      <c r="U850" s="6"/>
      <c r="V850" s="6"/>
      <c r="W850" s="6"/>
      <c r="X850" s="6"/>
      <c r="Y850" s="6"/>
      <c r="Z850" s="6"/>
      <c r="AA850" s="6"/>
      <c r="AB850" s="6"/>
      <c r="AC850" s="6"/>
      <c r="AD850" s="6"/>
      <c r="AE850" s="6"/>
      <c r="AF850" s="6"/>
      <c r="AG850" s="15" t="s">
        <v>55</v>
      </c>
      <c r="AH850" s="15"/>
      <c r="AI850" s="15"/>
      <c r="AJ850" s="6"/>
      <c r="AK850" s="6"/>
    </row>
    <row r="851" spans="1:37" s="6" customFormat="1">
      <c r="A851" s="5" t="s">
        <v>3897</v>
      </c>
      <c r="B851" s="5" t="s">
        <v>3886</v>
      </c>
      <c r="C851" s="6" t="s">
        <v>43</v>
      </c>
      <c r="D851" s="6" t="s">
        <v>239</v>
      </c>
      <c r="E851" s="6" t="s">
        <v>2139</v>
      </c>
      <c r="F851" s="6" t="s">
        <v>46</v>
      </c>
      <c r="G851" s="6" t="s">
        <v>3898</v>
      </c>
      <c r="H851" s="7">
        <v>71.540000000000006</v>
      </c>
      <c r="I851" s="19" t="s">
        <v>1589</v>
      </c>
      <c r="J851" s="19" t="s">
        <v>2696</v>
      </c>
      <c r="K851" s="5" t="s">
        <v>2991</v>
      </c>
      <c r="L851" s="5" t="s">
        <v>2992</v>
      </c>
      <c r="M851" s="5" t="s">
        <v>2993</v>
      </c>
      <c r="N851" s="5" t="s">
        <v>2994</v>
      </c>
      <c r="O851" s="5" t="s">
        <v>3888</v>
      </c>
      <c r="P851" s="5" t="s">
        <v>3889</v>
      </c>
      <c r="Q851" s="5" t="s">
        <v>3890</v>
      </c>
      <c r="R851" s="5" t="s">
        <v>3891</v>
      </c>
      <c r="S851" s="5"/>
      <c r="T851" s="5"/>
      <c r="U851" s="5"/>
      <c r="V851" s="5"/>
      <c r="W851" s="5"/>
      <c r="X851" s="5"/>
      <c r="Y851" s="5"/>
      <c r="Z851" s="5"/>
      <c r="AA851" s="5"/>
      <c r="AB851" s="5"/>
      <c r="AC851" s="5"/>
      <c r="AD851" s="5"/>
      <c r="AE851" s="5"/>
      <c r="AF851" s="5"/>
      <c r="AG851" s="14" t="s">
        <v>55</v>
      </c>
      <c r="AH851" s="14" t="s">
        <v>1603</v>
      </c>
      <c r="AI851" s="14" t="s">
        <v>1604</v>
      </c>
      <c r="AJ851" s="5"/>
      <c r="AK851" s="5"/>
    </row>
    <row r="852" spans="1:37">
      <c r="A852" s="5" t="s">
        <v>3899</v>
      </c>
      <c r="B852" s="5" t="s">
        <v>3886</v>
      </c>
      <c r="C852" s="6" t="s">
        <v>3900</v>
      </c>
      <c r="D852" s="6" t="s">
        <v>239</v>
      </c>
      <c r="E852" s="6" t="s">
        <v>2015</v>
      </c>
      <c r="F852" s="6" t="s">
        <v>46</v>
      </c>
      <c r="G852" s="6" t="s">
        <v>3901</v>
      </c>
      <c r="H852" s="7">
        <v>71.540000000000006</v>
      </c>
      <c r="I852" s="19" t="s">
        <v>1589</v>
      </c>
      <c r="J852" s="19" t="s">
        <v>2696</v>
      </c>
      <c r="K852" s="5" t="s">
        <v>2991</v>
      </c>
      <c r="L852" s="5" t="s">
        <v>2992</v>
      </c>
      <c r="M852" s="5" t="s">
        <v>2993</v>
      </c>
      <c r="N852" s="5" t="s">
        <v>2994</v>
      </c>
      <c r="O852" s="5" t="s">
        <v>3888</v>
      </c>
      <c r="P852" s="5" t="s">
        <v>3889</v>
      </c>
      <c r="Q852" s="5" t="s">
        <v>3890</v>
      </c>
      <c r="R852" s="5" t="s">
        <v>3891</v>
      </c>
      <c r="AG852" s="14" t="s">
        <v>55</v>
      </c>
      <c r="AH852" s="14" t="s">
        <v>1603</v>
      </c>
      <c r="AI852" s="14" t="s">
        <v>1604</v>
      </c>
    </row>
    <row r="853" spans="1:37">
      <c r="A853" s="5" t="s">
        <v>3902</v>
      </c>
      <c r="B853" s="5" t="s">
        <v>3886</v>
      </c>
      <c r="C853" s="6" t="s">
        <v>43</v>
      </c>
      <c r="D853" s="6" t="s">
        <v>239</v>
      </c>
      <c r="E853" s="6" t="s">
        <v>2047</v>
      </c>
      <c r="F853" s="6" t="s">
        <v>46</v>
      </c>
      <c r="G853" s="6" t="s">
        <v>3903</v>
      </c>
      <c r="H853" s="7">
        <v>71.540000000000006</v>
      </c>
      <c r="I853" s="19" t="s">
        <v>1589</v>
      </c>
      <c r="J853" s="19" t="s">
        <v>2696</v>
      </c>
      <c r="K853" s="5" t="s">
        <v>2991</v>
      </c>
      <c r="L853" s="5" t="s">
        <v>2992</v>
      </c>
      <c r="M853" s="5" t="s">
        <v>2993</v>
      </c>
      <c r="N853" s="5" t="s">
        <v>2994</v>
      </c>
      <c r="O853" s="5" t="s">
        <v>3888</v>
      </c>
      <c r="P853" s="5" t="s">
        <v>3889</v>
      </c>
      <c r="Q853" s="5" t="s">
        <v>3890</v>
      </c>
      <c r="R853" s="5" t="s">
        <v>3891</v>
      </c>
      <c r="AG853" s="14" t="s">
        <v>55</v>
      </c>
      <c r="AH853" s="14" t="s">
        <v>1603</v>
      </c>
      <c r="AI853" s="14" t="s">
        <v>1604</v>
      </c>
    </row>
    <row r="854" spans="1:37">
      <c r="A854" s="5" t="s">
        <v>3904</v>
      </c>
      <c r="B854" s="5" t="s">
        <v>3886</v>
      </c>
      <c r="C854" s="6" t="s">
        <v>43</v>
      </c>
      <c r="D854" s="6" t="s">
        <v>239</v>
      </c>
      <c r="E854" s="6" t="s">
        <v>2839</v>
      </c>
      <c r="F854" s="6" t="s">
        <v>46</v>
      </c>
      <c r="G854" s="6" t="s">
        <v>3905</v>
      </c>
      <c r="H854" s="7">
        <v>71.540000000000006</v>
      </c>
      <c r="I854" s="19" t="s">
        <v>1589</v>
      </c>
      <c r="J854" s="19" t="s">
        <v>2696</v>
      </c>
      <c r="K854" s="5" t="s">
        <v>2991</v>
      </c>
      <c r="L854" s="5" t="s">
        <v>2992</v>
      </c>
      <c r="M854" s="5" t="s">
        <v>2993</v>
      </c>
      <c r="N854" s="5" t="s">
        <v>2994</v>
      </c>
      <c r="O854" s="5" t="s">
        <v>3888</v>
      </c>
      <c r="P854" s="5" t="s">
        <v>3889</v>
      </c>
      <c r="Q854" s="5" t="s">
        <v>3890</v>
      </c>
      <c r="R854" s="5" t="s">
        <v>3891</v>
      </c>
      <c r="AG854" s="14" t="s">
        <v>55</v>
      </c>
      <c r="AH854" s="14" t="s">
        <v>1603</v>
      </c>
      <c r="AI854" s="14" t="s">
        <v>1604</v>
      </c>
    </row>
    <row r="855" spans="1:37">
      <c r="A855" s="5" t="s">
        <v>3906</v>
      </c>
      <c r="B855" s="5" t="s">
        <v>3886</v>
      </c>
      <c r="C855" s="6" t="s">
        <v>43</v>
      </c>
      <c r="D855" s="6" t="s">
        <v>239</v>
      </c>
      <c r="E855" s="6" t="s">
        <v>1540</v>
      </c>
      <c r="F855" s="6" t="s">
        <v>46</v>
      </c>
      <c r="G855" s="6" t="s">
        <v>3907</v>
      </c>
      <c r="H855" s="7">
        <v>71.540000000000006</v>
      </c>
      <c r="I855" s="19" t="s">
        <v>1589</v>
      </c>
      <c r="J855" s="19" t="s">
        <v>2696</v>
      </c>
      <c r="K855" s="5" t="s">
        <v>2991</v>
      </c>
      <c r="L855" s="5" t="s">
        <v>2992</v>
      </c>
      <c r="M855" s="5" t="s">
        <v>2993</v>
      </c>
      <c r="N855" s="5" t="s">
        <v>2994</v>
      </c>
      <c r="O855" s="5" t="s">
        <v>3888</v>
      </c>
      <c r="P855" s="5" t="s">
        <v>3889</v>
      </c>
      <c r="Q855" s="5" t="s">
        <v>3890</v>
      </c>
      <c r="R855" s="5" t="s">
        <v>3891</v>
      </c>
      <c r="AG855" s="14" t="s">
        <v>55</v>
      </c>
      <c r="AH855" s="14" t="s">
        <v>1603</v>
      </c>
      <c r="AI855" s="14" t="s">
        <v>1604</v>
      </c>
    </row>
    <row r="856" spans="1:37">
      <c r="A856" s="5" t="s">
        <v>3908</v>
      </c>
      <c r="B856" s="5" t="s">
        <v>3886</v>
      </c>
      <c r="C856" s="6" t="s">
        <v>43</v>
      </c>
      <c r="D856" s="6" t="s">
        <v>239</v>
      </c>
      <c r="E856" s="6" t="s">
        <v>2065</v>
      </c>
      <c r="F856" s="6" t="s">
        <v>46</v>
      </c>
      <c r="G856" s="6" t="s">
        <v>3909</v>
      </c>
      <c r="H856" s="7">
        <v>71.540000000000006</v>
      </c>
      <c r="I856" s="19" t="s">
        <v>1589</v>
      </c>
      <c r="J856" s="19" t="s">
        <v>2696</v>
      </c>
      <c r="K856" s="5" t="s">
        <v>2991</v>
      </c>
      <c r="L856" s="5" t="s">
        <v>2992</v>
      </c>
      <c r="M856" s="5" t="s">
        <v>2993</v>
      </c>
      <c r="N856" s="5" t="s">
        <v>2994</v>
      </c>
      <c r="O856" s="5" t="s">
        <v>3888</v>
      </c>
      <c r="P856" s="5" t="s">
        <v>3889</v>
      </c>
      <c r="Q856" s="5" t="s">
        <v>3890</v>
      </c>
      <c r="R856" s="5" t="s">
        <v>3891</v>
      </c>
      <c r="AG856" s="14" t="s">
        <v>55</v>
      </c>
      <c r="AH856" s="14" t="s">
        <v>1603</v>
      </c>
      <c r="AI856" s="14" t="s">
        <v>1604</v>
      </c>
    </row>
    <row r="857" spans="1:37">
      <c r="A857" s="5" t="s">
        <v>3910</v>
      </c>
      <c r="B857" s="5" t="s">
        <v>3886</v>
      </c>
      <c r="C857" s="6" t="s">
        <v>43</v>
      </c>
      <c r="D857" s="6" t="s">
        <v>239</v>
      </c>
      <c r="E857" s="6" t="s">
        <v>757</v>
      </c>
      <c r="F857" s="6" t="s">
        <v>46</v>
      </c>
      <c r="G857" s="6" t="s">
        <v>3911</v>
      </c>
      <c r="H857" s="7">
        <v>71.540000000000006</v>
      </c>
      <c r="I857" s="19" t="s">
        <v>1589</v>
      </c>
      <c r="J857" s="19" t="s">
        <v>2696</v>
      </c>
      <c r="K857" s="5" t="s">
        <v>2991</v>
      </c>
      <c r="L857" s="5" t="s">
        <v>2992</v>
      </c>
      <c r="M857" s="5" t="s">
        <v>2993</v>
      </c>
      <c r="N857" s="5" t="s">
        <v>2994</v>
      </c>
      <c r="O857" s="5" t="s">
        <v>3888</v>
      </c>
      <c r="P857" s="5" t="s">
        <v>3889</v>
      </c>
      <c r="Q857" s="5" t="s">
        <v>3890</v>
      </c>
      <c r="R857" s="5" t="s">
        <v>3891</v>
      </c>
      <c r="AG857" s="14" t="s">
        <v>49</v>
      </c>
      <c r="AH857" s="14" t="s">
        <v>1603</v>
      </c>
      <c r="AI857" s="14" t="s">
        <v>1604</v>
      </c>
    </row>
    <row r="858" spans="1:37">
      <c r="A858" s="6" t="s">
        <v>3912</v>
      </c>
      <c r="B858" s="6" t="s">
        <v>3913</v>
      </c>
      <c r="C858" s="6" t="s">
        <v>43</v>
      </c>
      <c r="D858" s="6" t="s">
        <v>239</v>
      </c>
      <c r="E858" s="6" t="s">
        <v>2047</v>
      </c>
      <c r="F858" s="6" t="s">
        <v>46</v>
      </c>
      <c r="G858" s="6" t="s">
        <v>3914</v>
      </c>
      <c r="I858" s="19" t="s">
        <v>48</v>
      </c>
      <c r="J858" s="19" t="s">
        <v>48</v>
      </c>
      <c r="K858" s="6"/>
      <c r="L858" s="6"/>
      <c r="M858" s="6"/>
      <c r="N858" s="6"/>
      <c r="O858" s="6"/>
      <c r="P858" s="6"/>
      <c r="Q858" s="6"/>
      <c r="R858" s="6"/>
      <c r="S858" s="6"/>
      <c r="T858" s="6"/>
      <c r="U858" s="6"/>
      <c r="V858" s="6"/>
      <c r="W858" s="6"/>
      <c r="X858" s="6"/>
      <c r="Y858" s="6"/>
      <c r="Z858" s="6"/>
      <c r="AA858" s="6"/>
      <c r="AB858" s="6"/>
      <c r="AC858" s="6"/>
      <c r="AD858" s="6"/>
      <c r="AE858" s="6"/>
      <c r="AF858" s="6"/>
      <c r="AG858" s="15" t="s">
        <v>55</v>
      </c>
      <c r="AH858" s="15"/>
      <c r="AI858" s="15"/>
      <c r="AJ858" s="6"/>
      <c r="AK858" s="6"/>
    </row>
    <row r="859" spans="1:37" s="6" customFormat="1">
      <c r="A859" s="5" t="s">
        <v>3915</v>
      </c>
      <c r="B859" s="5" t="s">
        <v>3916</v>
      </c>
      <c r="C859" s="6" t="s">
        <v>43</v>
      </c>
      <c r="D859" s="6" t="s">
        <v>239</v>
      </c>
      <c r="E859" s="6" t="s">
        <v>2139</v>
      </c>
      <c r="F859" s="6" t="s">
        <v>46</v>
      </c>
      <c r="G859" s="6" t="s">
        <v>3917</v>
      </c>
      <c r="H859" s="7">
        <v>87.37</v>
      </c>
      <c r="I859" s="19" t="s">
        <v>1589</v>
      </c>
      <c r="J859" s="19" t="s">
        <v>2696</v>
      </c>
      <c r="K859" s="5" t="s">
        <v>3023</v>
      </c>
      <c r="L859" s="5" t="s">
        <v>3024</v>
      </c>
      <c r="M859" s="5" t="s">
        <v>3025</v>
      </c>
      <c r="N859" s="5" t="s">
        <v>3026</v>
      </c>
      <c r="O859" s="5" t="s">
        <v>3918</v>
      </c>
      <c r="P859" s="5" t="s">
        <v>3919</v>
      </c>
      <c r="Q859" s="5" t="s">
        <v>3920</v>
      </c>
      <c r="R859" s="5" t="s">
        <v>3921</v>
      </c>
      <c r="S859" s="5"/>
      <c r="T859" s="5"/>
      <c r="U859" s="5"/>
      <c r="V859" s="5"/>
      <c r="W859" s="5"/>
      <c r="X859" s="5"/>
      <c r="Y859" s="5"/>
      <c r="Z859" s="5"/>
      <c r="AA859" s="5"/>
      <c r="AB859" s="5"/>
      <c r="AC859" s="5"/>
      <c r="AD859" s="5"/>
      <c r="AE859" s="5"/>
      <c r="AF859" s="5"/>
      <c r="AG859" s="14" t="s">
        <v>55</v>
      </c>
      <c r="AH859" s="14" t="s">
        <v>1603</v>
      </c>
      <c r="AI859" s="14" t="s">
        <v>1604</v>
      </c>
      <c r="AJ859" s="5"/>
      <c r="AK859" s="5"/>
    </row>
    <row r="860" spans="1:37">
      <c r="A860" s="5" t="s">
        <v>3922</v>
      </c>
      <c r="B860" s="5" t="s">
        <v>3916</v>
      </c>
      <c r="C860" s="6" t="s">
        <v>43</v>
      </c>
      <c r="D860" s="6" t="s">
        <v>239</v>
      </c>
      <c r="E860" s="6" t="s">
        <v>2047</v>
      </c>
      <c r="F860" s="6" t="s">
        <v>46</v>
      </c>
      <c r="G860" s="6" t="s">
        <v>3923</v>
      </c>
      <c r="H860" s="7">
        <v>87.37</v>
      </c>
      <c r="I860" s="19" t="s">
        <v>1589</v>
      </c>
      <c r="J860" s="19" t="s">
        <v>2696</v>
      </c>
      <c r="K860" s="5" t="s">
        <v>3023</v>
      </c>
      <c r="L860" s="5" t="s">
        <v>3024</v>
      </c>
      <c r="M860" s="5" t="s">
        <v>3025</v>
      </c>
      <c r="N860" s="5" t="s">
        <v>3026</v>
      </c>
      <c r="O860" s="5" t="s">
        <v>3918</v>
      </c>
      <c r="P860" s="5" t="s">
        <v>3919</v>
      </c>
      <c r="Q860" s="5" t="s">
        <v>3920</v>
      </c>
      <c r="R860" s="5" t="s">
        <v>3921</v>
      </c>
      <c r="AG860" s="14" t="s">
        <v>55</v>
      </c>
      <c r="AH860" s="14" t="s">
        <v>1603</v>
      </c>
      <c r="AI860" s="14" t="s">
        <v>1604</v>
      </c>
    </row>
    <row r="861" spans="1:37">
      <c r="A861" s="5" t="s">
        <v>3924</v>
      </c>
      <c r="B861" s="5" t="s">
        <v>3916</v>
      </c>
      <c r="C861" s="6" t="s">
        <v>43</v>
      </c>
      <c r="D861" s="6" t="s">
        <v>239</v>
      </c>
      <c r="E861" s="6" t="s">
        <v>2070</v>
      </c>
      <c r="F861" s="6" t="s">
        <v>46</v>
      </c>
      <c r="G861" s="6" t="s">
        <v>3925</v>
      </c>
      <c r="H861" s="7">
        <v>87.37</v>
      </c>
      <c r="I861" s="19" t="s">
        <v>1589</v>
      </c>
      <c r="J861" s="19" t="s">
        <v>2696</v>
      </c>
      <c r="K861" s="5" t="s">
        <v>3023</v>
      </c>
      <c r="L861" s="5" t="s">
        <v>3024</v>
      </c>
      <c r="M861" s="5" t="s">
        <v>3025</v>
      </c>
      <c r="N861" s="5" t="s">
        <v>3026</v>
      </c>
      <c r="O861" s="5" t="s">
        <v>3918</v>
      </c>
      <c r="P861" s="5" t="s">
        <v>3919</v>
      </c>
      <c r="Q861" s="5" t="s">
        <v>3920</v>
      </c>
      <c r="R861" s="5" t="s">
        <v>3921</v>
      </c>
      <c r="AG861" s="14" t="s">
        <v>55</v>
      </c>
      <c r="AH861" s="14" t="s">
        <v>1603</v>
      </c>
      <c r="AI861" s="14" t="s">
        <v>1604</v>
      </c>
    </row>
    <row r="862" spans="1:37">
      <c r="A862" s="5" t="s">
        <v>3926</v>
      </c>
      <c r="B862" s="5" t="s">
        <v>3916</v>
      </c>
      <c r="C862" s="6" t="s">
        <v>43</v>
      </c>
      <c r="D862" s="6" t="s">
        <v>239</v>
      </c>
      <c r="E862" s="6" t="s">
        <v>2839</v>
      </c>
      <c r="F862" s="6" t="s">
        <v>46</v>
      </c>
      <c r="G862" s="6" t="s">
        <v>3927</v>
      </c>
      <c r="H862" s="7">
        <v>87.37</v>
      </c>
      <c r="I862" s="19" t="s">
        <v>1589</v>
      </c>
      <c r="J862" s="19" t="s">
        <v>2696</v>
      </c>
      <c r="K862" s="5" t="s">
        <v>3023</v>
      </c>
      <c r="L862" s="5" t="s">
        <v>3024</v>
      </c>
      <c r="M862" s="5" t="s">
        <v>3025</v>
      </c>
      <c r="N862" s="5" t="s">
        <v>3026</v>
      </c>
      <c r="O862" s="5" t="s">
        <v>3918</v>
      </c>
      <c r="P862" s="5" t="s">
        <v>3919</v>
      </c>
      <c r="Q862" s="5" t="s">
        <v>3920</v>
      </c>
      <c r="R862" s="5" t="s">
        <v>3921</v>
      </c>
      <c r="AG862" s="14" t="s">
        <v>55</v>
      </c>
      <c r="AH862" s="14" t="s">
        <v>1603</v>
      </c>
      <c r="AI862" s="14" t="s">
        <v>1604</v>
      </c>
    </row>
    <row r="863" spans="1:37">
      <c r="A863" s="5" t="s">
        <v>3928</v>
      </c>
      <c r="B863" s="5" t="s">
        <v>3916</v>
      </c>
      <c r="C863" s="6" t="s">
        <v>43</v>
      </c>
      <c r="D863" s="6" t="s">
        <v>239</v>
      </c>
      <c r="E863" s="6" t="s">
        <v>1540</v>
      </c>
      <c r="F863" s="6" t="s">
        <v>46</v>
      </c>
      <c r="G863" s="6" t="s">
        <v>3929</v>
      </c>
      <c r="H863" s="7">
        <v>87.37</v>
      </c>
      <c r="I863" s="19" t="s">
        <v>1589</v>
      </c>
      <c r="J863" s="19" t="s">
        <v>2696</v>
      </c>
      <c r="K863" s="5" t="s">
        <v>3023</v>
      </c>
      <c r="L863" s="5" t="s">
        <v>3024</v>
      </c>
      <c r="M863" s="5" t="s">
        <v>3025</v>
      </c>
      <c r="N863" s="5" t="s">
        <v>3026</v>
      </c>
      <c r="O863" s="5" t="s">
        <v>3918</v>
      </c>
      <c r="P863" s="5" t="s">
        <v>3919</v>
      </c>
      <c r="Q863" s="5" t="s">
        <v>3920</v>
      </c>
      <c r="R863" s="5" t="s">
        <v>3921</v>
      </c>
      <c r="AG863" s="14" t="s">
        <v>55</v>
      </c>
      <c r="AH863" s="14" t="s">
        <v>1603</v>
      </c>
      <c r="AI863" s="14" t="s">
        <v>1604</v>
      </c>
    </row>
    <row r="864" spans="1:37">
      <c r="A864" s="5" t="s">
        <v>3930</v>
      </c>
      <c r="B864" s="5" t="s">
        <v>3916</v>
      </c>
      <c r="C864" s="6" t="s">
        <v>43</v>
      </c>
      <c r="D864" s="6" t="s">
        <v>239</v>
      </c>
      <c r="E864" s="6" t="s">
        <v>2065</v>
      </c>
      <c r="F864" s="6" t="s">
        <v>46</v>
      </c>
      <c r="G864" s="6" t="s">
        <v>3931</v>
      </c>
      <c r="H864" s="7">
        <v>87.37</v>
      </c>
      <c r="I864" s="19" t="s">
        <v>1589</v>
      </c>
      <c r="J864" s="19" t="s">
        <v>2696</v>
      </c>
      <c r="K864" s="5" t="s">
        <v>3023</v>
      </c>
      <c r="L864" s="5" t="s">
        <v>3024</v>
      </c>
      <c r="M864" s="5" t="s">
        <v>3025</v>
      </c>
      <c r="N864" s="5" t="s">
        <v>3026</v>
      </c>
      <c r="O864" s="5" t="s">
        <v>3918</v>
      </c>
      <c r="P864" s="5" t="s">
        <v>3919</v>
      </c>
      <c r="Q864" s="5" t="s">
        <v>3920</v>
      </c>
      <c r="R864" s="5" t="s">
        <v>3921</v>
      </c>
      <c r="AG864" s="14" t="s">
        <v>55</v>
      </c>
      <c r="AH864" s="14" t="s">
        <v>1603</v>
      </c>
      <c r="AI864" s="14" t="s">
        <v>1604</v>
      </c>
    </row>
    <row r="865" spans="1:37">
      <c r="A865" s="6" t="s">
        <v>3932</v>
      </c>
      <c r="B865" s="6" t="s">
        <v>3933</v>
      </c>
      <c r="C865" s="6" t="s">
        <v>2951</v>
      </c>
      <c r="D865" s="6" t="s">
        <v>239</v>
      </c>
      <c r="E865" s="6" t="s">
        <v>2047</v>
      </c>
      <c r="F865" s="6" t="s">
        <v>46</v>
      </c>
      <c r="G865" s="6" t="s">
        <v>3934</v>
      </c>
      <c r="I865" s="19" t="s">
        <v>48</v>
      </c>
      <c r="J865" s="19" t="s">
        <v>48</v>
      </c>
      <c r="K865" s="6"/>
      <c r="L865" s="6"/>
      <c r="M865" s="6"/>
      <c r="N865" s="6"/>
      <c r="O865" s="6"/>
      <c r="P865" s="6"/>
      <c r="Q865" s="6"/>
      <c r="R865" s="6"/>
      <c r="S865" s="6"/>
      <c r="T865" s="6"/>
      <c r="U865" s="6"/>
      <c r="V865" s="6"/>
      <c r="W865" s="6"/>
      <c r="X865" s="6"/>
      <c r="Y865" s="6"/>
      <c r="Z865" s="6"/>
      <c r="AA865" s="6"/>
      <c r="AB865" s="6"/>
      <c r="AC865" s="6"/>
      <c r="AD865" s="6"/>
      <c r="AE865" s="6"/>
      <c r="AF865" s="6"/>
      <c r="AG865" s="15" t="s">
        <v>55</v>
      </c>
      <c r="AH865" s="15"/>
      <c r="AI865" s="15"/>
      <c r="AJ865" s="6"/>
      <c r="AK865" s="6"/>
    </row>
    <row r="866" spans="1:37" s="6" customFormat="1">
      <c r="A866" s="5" t="s">
        <v>3935</v>
      </c>
      <c r="B866" s="5" t="s">
        <v>3936</v>
      </c>
      <c r="C866" s="6" t="s">
        <v>43</v>
      </c>
      <c r="D866" s="6" t="s">
        <v>239</v>
      </c>
      <c r="E866" s="6" t="s">
        <v>2047</v>
      </c>
      <c r="F866" s="6" t="s">
        <v>46</v>
      </c>
      <c r="G866" s="6" t="s">
        <v>3937</v>
      </c>
      <c r="H866" s="7">
        <v>88.44</v>
      </c>
      <c r="I866" s="19" t="s">
        <v>1589</v>
      </c>
      <c r="J866" s="19" t="s">
        <v>2696</v>
      </c>
      <c r="K866" s="5" t="s">
        <v>3052</v>
      </c>
      <c r="L866" s="5" t="s">
        <v>3053</v>
      </c>
      <c r="M866" s="5" t="s">
        <v>3054</v>
      </c>
      <c r="N866" s="5" t="s">
        <v>3055</v>
      </c>
      <c r="O866" s="5" t="s">
        <v>3938</v>
      </c>
      <c r="P866" s="5" t="s">
        <v>3939</v>
      </c>
      <c r="Q866" s="5" t="s">
        <v>3940</v>
      </c>
      <c r="R866" s="5" t="s">
        <v>3941</v>
      </c>
      <c r="S866" s="5"/>
      <c r="T866" s="5"/>
      <c r="U866" s="5"/>
      <c r="V866" s="5"/>
      <c r="W866" s="5"/>
      <c r="X866" s="5"/>
      <c r="Y866" s="5"/>
      <c r="Z866" s="5"/>
      <c r="AA866" s="5"/>
      <c r="AB866" s="5"/>
      <c r="AC866" s="5"/>
      <c r="AD866" s="5"/>
      <c r="AE866" s="5"/>
      <c r="AF866" s="5"/>
      <c r="AG866" s="14" t="s">
        <v>55</v>
      </c>
      <c r="AH866" s="14" t="s">
        <v>1603</v>
      </c>
      <c r="AI866" s="14" t="s">
        <v>1604</v>
      </c>
      <c r="AJ866" s="5"/>
      <c r="AK866" s="5"/>
    </row>
    <row r="867" spans="1:37">
      <c r="A867" s="5" t="s">
        <v>3942</v>
      </c>
      <c r="B867" s="5" t="s">
        <v>3936</v>
      </c>
      <c r="C867" s="6" t="s">
        <v>43</v>
      </c>
      <c r="D867" s="6" t="s">
        <v>239</v>
      </c>
      <c r="E867" s="6" t="s">
        <v>2065</v>
      </c>
      <c r="F867" s="6" t="s">
        <v>46</v>
      </c>
      <c r="G867" s="6" t="s">
        <v>3943</v>
      </c>
      <c r="H867" s="7">
        <v>88.44</v>
      </c>
      <c r="I867" s="19" t="s">
        <v>1589</v>
      </c>
      <c r="J867" s="19" t="s">
        <v>2696</v>
      </c>
      <c r="K867" s="5" t="s">
        <v>3052</v>
      </c>
      <c r="L867" s="5" t="s">
        <v>3053</v>
      </c>
      <c r="M867" s="5" t="s">
        <v>3054</v>
      </c>
      <c r="N867" s="5" t="s">
        <v>3055</v>
      </c>
      <c r="O867" s="5" t="s">
        <v>3938</v>
      </c>
      <c r="P867" s="5" t="s">
        <v>3939</v>
      </c>
      <c r="Q867" s="5" t="s">
        <v>3940</v>
      </c>
      <c r="R867" s="5" t="s">
        <v>3941</v>
      </c>
      <c r="AG867" s="14" t="s">
        <v>55</v>
      </c>
      <c r="AH867" s="14" t="s">
        <v>1603</v>
      </c>
      <c r="AI867" s="14" t="s">
        <v>1604</v>
      </c>
    </row>
    <row r="868" spans="1:37">
      <c r="A868" s="6" t="s">
        <v>3944</v>
      </c>
      <c r="B868" s="6" t="s">
        <v>3945</v>
      </c>
      <c r="C868" s="6" t="s">
        <v>43</v>
      </c>
      <c r="D868" s="6" t="s">
        <v>239</v>
      </c>
      <c r="E868" s="6" t="s">
        <v>2047</v>
      </c>
      <c r="F868" s="6" t="s">
        <v>46</v>
      </c>
      <c r="G868" s="6" t="s">
        <v>3946</v>
      </c>
      <c r="I868" s="19" t="s">
        <v>48</v>
      </c>
      <c r="J868" s="19" t="s">
        <v>48</v>
      </c>
      <c r="K868" s="6"/>
      <c r="L868" s="6"/>
      <c r="M868" s="6"/>
      <c r="N868" s="6"/>
      <c r="O868" s="6"/>
      <c r="P868" s="6"/>
      <c r="Q868" s="6"/>
      <c r="R868" s="6"/>
      <c r="S868" s="6"/>
      <c r="T868" s="6"/>
      <c r="U868" s="6"/>
      <c r="V868" s="6"/>
      <c r="W868" s="6"/>
      <c r="X868" s="6"/>
      <c r="Y868" s="6"/>
      <c r="Z868" s="6"/>
      <c r="AA868" s="6"/>
      <c r="AB868" s="6"/>
      <c r="AC868" s="6"/>
      <c r="AD868" s="6"/>
      <c r="AE868" s="6"/>
      <c r="AF868" s="6"/>
      <c r="AG868" s="15" t="s">
        <v>55</v>
      </c>
      <c r="AH868" s="15"/>
      <c r="AI868" s="15"/>
      <c r="AJ868" s="6"/>
      <c r="AK868" s="6"/>
    </row>
    <row r="869" spans="1:37" s="6" customFormat="1">
      <c r="A869" s="6" t="s">
        <v>3947</v>
      </c>
      <c r="B869" s="6" t="s">
        <v>3948</v>
      </c>
      <c r="C869" s="6" t="s">
        <v>1782</v>
      </c>
      <c r="D869" s="6" t="s">
        <v>239</v>
      </c>
      <c r="E869" s="6" t="s">
        <v>2047</v>
      </c>
      <c r="F869" s="6" t="s">
        <v>46</v>
      </c>
      <c r="G869" s="6" t="s">
        <v>3949</v>
      </c>
      <c r="H869" s="7"/>
      <c r="I869" s="19" t="s">
        <v>48</v>
      </c>
      <c r="J869" s="19" t="s">
        <v>48</v>
      </c>
      <c r="AG869" s="15" t="s">
        <v>55</v>
      </c>
      <c r="AH869" s="15"/>
      <c r="AI869" s="15"/>
    </row>
    <row r="870" spans="1:37" s="6" customFormat="1">
      <c r="A870" s="6" t="s">
        <v>3950</v>
      </c>
      <c r="B870" s="6" t="s">
        <v>3948</v>
      </c>
      <c r="C870" s="6" t="s">
        <v>1782</v>
      </c>
      <c r="D870" s="6" t="s">
        <v>239</v>
      </c>
      <c r="E870" s="6" t="s">
        <v>2065</v>
      </c>
      <c r="F870" s="6" t="s">
        <v>46</v>
      </c>
      <c r="G870" s="6" t="s">
        <v>3951</v>
      </c>
      <c r="H870" s="7"/>
      <c r="I870" s="19" t="s">
        <v>48</v>
      </c>
      <c r="J870" s="19" t="s">
        <v>48</v>
      </c>
      <c r="AG870" s="15" t="s">
        <v>55</v>
      </c>
      <c r="AH870" s="15"/>
      <c r="AI870" s="15"/>
    </row>
    <row r="871" spans="1:37" s="6" customFormat="1">
      <c r="A871" s="5" t="s">
        <v>3952</v>
      </c>
      <c r="B871" s="5" t="s">
        <v>3953</v>
      </c>
      <c r="C871" s="6" t="s">
        <v>43</v>
      </c>
      <c r="D871" s="6" t="s">
        <v>239</v>
      </c>
      <c r="E871" s="6" t="s">
        <v>1540</v>
      </c>
      <c r="F871" s="6" t="s">
        <v>46</v>
      </c>
      <c r="G871" s="6" t="s">
        <v>3322</v>
      </c>
      <c r="H871" s="7">
        <v>73.39</v>
      </c>
      <c r="I871" s="19" t="s">
        <v>1589</v>
      </c>
      <c r="J871" s="19" t="s">
        <v>2254</v>
      </c>
      <c r="K871" s="5" t="s">
        <v>3069</v>
      </c>
      <c r="L871" s="5" t="s">
        <v>3070</v>
      </c>
      <c r="M871" s="5" t="s">
        <v>3071</v>
      </c>
      <c r="N871" s="5" t="s">
        <v>3072</v>
      </c>
      <c r="O871" s="5" t="s">
        <v>3954</v>
      </c>
      <c r="P871" s="5" t="s">
        <v>3955</v>
      </c>
      <c r="Q871" s="5" t="s">
        <v>3956</v>
      </c>
      <c r="R871" s="5" t="s">
        <v>3957</v>
      </c>
      <c r="S871" s="5"/>
      <c r="T871" s="5"/>
      <c r="U871" s="5"/>
      <c r="V871" s="5"/>
      <c r="W871" s="5"/>
      <c r="X871" s="5"/>
      <c r="Y871" s="5" t="s">
        <v>2980</v>
      </c>
      <c r="Z871" s="5"/>
      <c r="AA871" s="5"/>
      <c r="AB871" s="5"/>
      <c r="AC871" s="5"/>
      <c r="AD871" s="5"/>
      <c r="AE871" s="5"/>
      <c r="AF871" s="5"/>
      <c r="AG871" s="14" t="s">
        <v>55</v>
      </c>
      <c r="AH871" s="14" t="s">
        <v>1603</v>
      </c>
      <c r="AI871" s="14" t="s">
        <v>2264</v>
      </c>
      <c r="AJ871" s="5"/>
      <c r="AK871" s="5"/>
    </row>
    <row r="872" spans="1:37">
      <c r="A872" s="6" t="s">
        <v>3958</v>
      </c>
      <c r="B872" s="6" t="s">
        <v>3959</v>
      </c>
      <c r="C872" s="6" t="s">
        <v>43</v>
      </c>
      <c r="D872" s="6" t="s">
        <v>239</v>
      </c>
      <c r="E872" s="6" t="s">
        <v>2065</v>
      </c>
      <c r="F872" s="6" t="s">
        <v>46</v>
      </c>
      <c r="G872" s="6" t="s">
        <v>3960</v>
      </c>
      <c r="I872" s="19" t="s">
        <v>48</v>
      </c>
      <c r="J872" s="19" t="s">
        <v>48</v>
      </c>
      <c r="K872" s="6"/>
      <c r="L872" s="6"/>
      <c r="M872" s="6"/>
      <c r="N872" s="6"/>
      <c r="O872" s="6"/>
      <c r="P872" s="6"/>
      <c r="Q872" s="6"/>
      <c r="R872" s="6"/>
      <c r="S872" s="6"/>
      <c r="T872" s="6"/>
      <c r="U872" s="6"/>
      <c r="V872" s="6"/>
      <c r="W872" s="6"/>
      <c r="X872" s="6"/>
      <c r="Y872" s="6"/>
      <c r="Z872" s="6"/>
      <c r="AA872" s="6"/>
      <c r="AB872" s="6"/>
      <c r="AC872" s="6"/>
      <c r="AD872" s="6"/>
      <c r="AE872" s="6"/>
      <c r="AF872" s="6"/>
      <c r="AG872" s="15" t="s">
        <v>55</v>
      </c>
      <c r="AH872" s="15"/>
      <c r="AI872" s="15"/>
      <c r="AJ872" s="6"/>
      <c r="AK872" s="6"/>
    </row>
    <row r="873" spans="1:37" s="6" customFormat="1">
      <c r="A873" s="6" t="s">
        <v>3961</v>
      </c>
      <c r="B873" s="6" t="s">
        <v>3959</v>
      </c>
      <c r="C873" s="6" t="s">
        <v>43</v>
      </c>
      <c r="D873" s="6" t="s">
        <v>239</v>
      </c>
      <c r="E873" s="6" t="s">
        <v>2047</v>
      </c>
      <c r="F873" s="6" t="s">
        <v>46</v>
      </c>
      <c r="G873" s="6" t="s">
        <v>3962</v>
      </c>
      <c r="H873" s="7"/>
      <c r="I873" s="19" t="s">
        <v>48</v>
      </c>
      <c r="J873" s="19" t="s">
        <v>48</v>
      </c>
      <c r="AG873" s="15" t="s">
        <v>55</v>
      </c>
      <c r="AH873" s="15"/>
      <c r="AI873" s="15"/>
    </row>
    <row r="874" spans="1:37" s="6" customFormat="1">
      <c r="A874" s="6" t="s">
        <v>3963</v>
      </c>
      <c r="B874" s="6" t="s">
        <v>3959</v>
      </c>
      <c r="C874" s="6" t="s">
        <v>43</v>
      </c>
      <c r="D874" s="6" t="s">
        <v>239</v>
      </c>
      <c r="E874" s="6" t="s">
        <v>2065</v>
      </c>
      <c r="F874" s="6" t="s">
        <v>46</v>
      </c>
      <c r="G874" s="6" t="s">
        <v>3964</v>
      </c>
      <c r="H874" s="7"/>
      <c r="I874" s="19" t="s">
        <v>48</v>
      </c>
      <c r="J874" s="19" t="s">
        <v>48</v>
      </c>
      <c r="AG874" s="15" t="s">
        <v>55</v>
      </c>
      <c r="AH874" s="15"/>
      <c r="AI874" s="15"/>
    </row>
    <row r="875" spans="1:37" s="6" customFormat="1">
      <c r="A875" s="6" t="s">
        <v>3965</v>
      </c>
      <c r="B875" s="6" t="s">
        <v>3966</v>
      </c>
      <c r="C875" s="6" t="s">
        <v>43</v>
      </c>
      <c r="D875" s="6" t="s">
        <v>239</v>
      </c>
      <c r="E875" s="6" t="s">
        <v>2047</v>
      </c>
      <c r="F875" s="6" t="s">
        <v>46</v>
      </c>
      <c r="G875" s="6" t="s">
        <v>3967</v>
      </c>
      <c r="H875" s="7"/>
      <c r="I875" s="19" t="s">
        <v>48</v>
      </c>
      <c r="J875" s="19" t="s">
        <v>48</v>
      </c>
      <c r="AG875" s="15" t="s">
        <v>55</v>
      </c>
      <c r="AH875" s="15"/>
      <c r="AI875" s="15"/>
    </row>
    <row r="876" spans="1:37" s="6" customFormat="1">
      <c r="A876" s="6" t="s">
        <v>3968</v>
      </c>
      <c r="B876" s="6" t="s">
        <v>3969</v>
      </c>
      <c r="C876" s="6" t="s">
        <v>43</v>
      </c>
      <c r="D876" s="6" t="s">
        <v>239</v>
      </c>
      <c r="E876" s="6" t="s">
        <v>2047</v>
      </c>
      <c r="F876" s="6" t="s">
        <v>46</v>
      </c>
      <c r="G876" s="6" t="s">
        <v>3970</v>
      </c>
      <c r="H876" s="7"/>
      <c r="I876" s="19" t="s">
        <v>48</v>
      </c>
      <c r="J876" s="19" t="s">
        <v>48</v>
      </c>
      <c r="AG876" s="15" t="s">
        <v>55</v>
      </c>
      <c r="AH876" s="15"/>
      <c r="AI876" s="15"/>
    </row>
    <row r="877" spans="1:37" s="6" customFormat="1">
      <c r="A877" s="6" t="s">
        <v>3971</v>
      </c>
      <c r="B877" s="6" t="s">
        <v>3969</v>
      </c>
      <c r="C877" s="6" t="s">
        <v>43</v>
      </c>
      <c r="D877" s="6" t="s">
        <v>239</v>
      </c>
      <c r="E877" s="6" t="s">
        <v>2065</v>
      </c>
      <c r="F877" s="6" t="s">
        <v>46</v>
      </c>
      <c r="G877" s="6" t="s">
        <v>3972</v>
      </c>
      <c r="H877" s="7"/>
      <c r="I877" s="19" t="s">
        <v>48</v>
      </c>
      <c r="J877" s="19" t="s">
        <v>48</v>
      </c>
      <c r="AG877" s="15" t="s">
        <v>55</v>
      </c>
      <c r="AH877" s="15"/>
      <c r="AI877" s="15"/>
    </row>
    <row r="878" spans="1:37" s="6" customFormat="1">
      <c r="A878" s="5" t="s">
        <v>3973</v>
      </c>
      <c r="B878" s="5" t="s">
        <v>3974</v>
      </c>
      <c r="C878" s="6" t="s">
        <v>43</v>
      </c>
      <c r="D878" s="6" t="s">
        <v>239</v>
      </c>
      <c r="E878" s="6" t="s">
        <v>2989</v>
      </c>
      <c r="F878" s="6" t="s">
        <v>46</v>
      </c>
      <c r="G878" s="6" t="s">
        <v>3975</v>
      </c>
      <c r="H878" s="7">
        <v>91.74</v>
      </c>
      <c r="I878" s="19" t="s">
        <v>1589</v>
      </c>
      <c r="J878" s="19" t="s">
        <v>2696</v>
      </c>
      <c r="K878" s="5" t="s">
        <v>3095</v>
      </c>
      <c r="L878" s="5" t="s">
        <v>3096</v>
      </c>
      <c r="M878" s="5" t="s">
        <v>3097</v>
      </c>
      <c r="N878" s="5" t="s">
        <v>3098</v>
      </c>
      <c r="O878" s="5" t="s">
        <v>3976</v>
      </c>
      <c r="P878" s="5" t="s">
        <v>3977</v>
      </c>
      <c r="Q878" s="5" t="s">
        <v>3978</v>
      </c>
      <c r="R878" s="5" t="s">
        <v>3979</v>
      </c>
      <c r="S878" s="5"/>
      <c r="T878" s="5"/>
      <c r="U878" s="5"/>
      <c r="V878" s="5"/>
      <c r="W878" s="5"/>
      <c r="X878" s="5"/>
      <c r="Y878" s="5"/>
      <c r="Z878" s="5"/>
      <c r="AA878" s="5"/>
      <c r="AB878" s="5"/>
      <c r="AC878" s="5"/>
      <c r="AD878" s="5"/>
      <c r="AE878" s="5"/>
      <c r="AF878" s="5"/>
      <c r="AG878" s="14" t="s">
        <v>55</v>
      </c>
      <c r="AH878" s="14" t="s">
        <v>1603</v>
      </c>
      <c r="AI878" s="14" t="s">
        <v>1604</v>
      </c>
      <c r="AJ878" s="5"/>
      <c r="AK878" s="5"/>
    </row>
    <row r="879" spans="1:37">
      <c r="A879" s="5" t="s">
        <v>3980</v>
      </c>
      <c r="B879" s="5" t="s">
        <v>3974</v>
      </c>
      <c r="C879" s="6" t="s">
        <v>43</v>
      </c>
      <c r="D879" s="6" t="s">
        <v>239</v>
      </c>
      <c r="E879" s="6" t="s">
        <v>2933</v>
      </c>
      <c r="F879" s="6" t="s">
        <v>46</v>
      </c>
      <c r="G879" s="6" t="s">
        <v>3981</v>
      </c>
      <c r="H879" s="7">
        <v>91.74</v>
      </c>
      <c r="I879" s="19" t="s">
        <v>1589</v>
      </c>
      <c r="J879" s="19" t="s">
        <v>2696</v>
      </c>
      <c r="K879" s="5" t="s">
        <v>3095</v>
      </c>
      <c r="L879" s="5" t="s">
        <v>3096</v>
      </c>
      <c r="M879" s="5" t="s">
        <v>3097</v>
      </c>
      <c r="N879" s="5" t="s">
        <v>3098</v>
      </c>
      <c r="O879" s="5" t="s">
        <v>3976</v>
      </c>
      <c r="P879" s="5" t="s">
        <v>3977</v>
      </c>
      <c r="Q879" s="5" t="s">
        <v>3978</v>
      </c>
      <c r="R879" s="5" t="s">
        <v>3979</v>
      </c>
      <c r="AG879" s="14" t="s">
        <v>55</v>
      </c>
      <c r="AH879" s="14" t="s">
        <v>1603</v>
      </c>
      <c r="AI879" s="14" t="s">
        <v>1604</v>
      </c>
    </row>
    <row r="880" spans="1:37">
      <c r="A880" s="5" t="s">
        <v>3982</v>
      </c>
      <c r="B880" s="5" t="s">
        <v>3974</v>
      </c>
      <c r="C880" s="6" t="s">
        <v>43</v>
      </c>
      <c r="D880" s="6" t="s">
        <v>239</v>
      </c>
      <c r="E880" s="6" t="s">
        <v>2047</v>
      </c>
      <c r="F880" s="6" t="s">
        <v>46</v>
      </c>
      <c r="G880" s="6" t="s">
        <v>2615</v>
      </c>
      <c r="H880" s="7">
        <v>91.74</v>
      </c>
      <c r="I880" s="19" t="s">
        <v>1589</v>
      </c>
      <c r="J880" s="19" t="s">
        <v>2696</v>
      </c>
      <c r="K880" s="5" t="s">
        <v>3095</v>
      </c>
      <c r="L880" s="5" t="s">
        <v>3096</v>
      </c>
      <c r="M880" s="5" t="s">
        <v>3097</v>
      </c>
      <c r="N880" s="5" t="s">
        <v>3098</v>
      </c>
      <c r="O880" s="5" t="s">
        <v>3976</v>
      </c>
      <c r="P880" s="5" t="s">
        <v>3977</v>
      </c>
      <c r="Q880" s="5" t="s">
        <v>3978</v>
      </c>
      <c r="R880" s="5" t="s">
        <v>3979</v>
      </c>
      <c r="AG880" s="14" t="s">
        <v>55</v>
      </c>
      <c r="AH880" s="14" t="s">
        <v>1603</v>
      </c>
      <c r="AI880" s="14" t="s">
        <v>1604</v>
      </c>
    </row>
    <row r="881" spans="1:37">
      <c r="A881" s="5" t="s">
        <v>3983</v>
      </c>
      <c r="B881" s="5" t="s">
        <v>3974</v>
      </c>
      <c r="C881" s="6" t="s">
        <v>43</v>
      </c>
      <c r="D881" s="6" t="s">
        <v>239</v>
      </c>
      <c r="E881" s="6" t="s">
        <v>1693</v>
      </c>
      <c r="F881" s="6" t="s">
        <v>46</v>
      </c>
      <c r="G881" s="6" t="s">
        <v>3984</v>
      </c>
      <c r="H881" s="7">
        <v>91.74</v>
      </c>
      <c r="I881" s="19" t="s">
        <v>1589</v>
      </c>
      <c r="J881" s="19" t="s">
        <v>2696</v>
      </c>
      <c r="K881" s="5" t="s">
        <v>3095</v>
      </c>
      <c r="L881" s="5" t="s">
        <v>3096</v>
      </c>
      <c r="M881" s="5" t="s">
        <v>3097</v>
      </c>
      <c r="N881" s="5" t="s">
        <v>3098</v>
      </c>
      <c r="O881" s="5" t="s">
        <v>3976</v>
      </c>
      <c r="P881" s="5" t="s">
        <v>3977</v>
      </c>
      <c r="Q881" s="5" t="s">
        <v>3978</v>
      </c>
      <c r="R881" s="5" t="s">
        <v>3979</v>
      </c>
      <c r="AG881" s="14" t="s">
        <v>55</v>
      </c>
      <c r="AH881" s="14" t="s">
        <v>1603</v>
      </c>
      <c r="AI881" s="14" t="s">
        <v>1604</v>
      </c>
    </row>
    <row r="882" spans="1:37">
      <c r="A882" s="5" t="s">
        <v>3985</v>
      </c>
      <c r="B882" s="5" t="s">
        <v>3974</v>
      </c>
      <c r="C882" s="6" t="s">
        <v>43</v>
      </c>
      <c r="D882" s="6" t="s">
        <v>239</v>
      </c>
      <c r="E882" s="6" t="s">
        <v>2065</v>
      </c>
      <c r="F882" s="6" t="s">
        <v>46</v>
      </c>
      <c r="G882" s="6" t="s">
        <v>3986</v>
      </c>
      <c r="H882" s="7">
        <v>91.74</v>
      </c>
      <c r="I882" s="19" t="s">
        <v>1589</v>
      </c>
      <c r="J882" s="19" t="s">
        <v>2696</v>
      </c>
      <c r="K882" s="5" t="s">
        <v>3095</v>
      </c>
      <c r="L882" s="5" t="s">
        <v>3096</v>
      </c>
      <c r="M882" s="5" t="s">
        <v>3097</v>
      </c>
      <c r="N882" s="5" t="s">
        <v>3098</v>
      </c>
      <c r="O882" s="5" t="s">
        <v>3976</v>
      </c>
      <c r="P882" s="5" t="s">
        <v>3977</v>
      </c>
      <c r="Q882" s="5" t="s">
        <v>3978</v>
      </c>
      <c r="R882" s="5" t="s">
        <v>3979</v>
      </c>
      <c r="AG882" s="14" t="s">
        <v>55</v>
      </c>
      <c r="AH882" s="14" t="s">
        <v>1603</v>
      </c>
      <c r="AI882" s="14" t="s">
        <v>1604</v>
      </c>
    </row>
    <row r="883" spans="1:37">
      <c r="A883" s="6" t="s">
        <v>3987</v>
      </c>
      <c r="B883" s="6" t="s">
        <v>3988</v>
      </c>
      <c r="C883" s="6" t="s">
        <v>43</v>
      </c>
      <c r="D883" s="6" t="s">
        <v>239</v>
      </c>
      <c r="E883" s="6" t="s">
        <v>2047</v>
      </c>
      <c r="F883" s="6" t="s">
        <v>46</v>
      </c>
      <c r="G883" s="6" t="s">
        <v>3989</v>
      </c>
      <c r="I883" s="19" t="s">
        <v>48</v>
      </c>
      <c r="J883" s="19" t="s">
        <v>48</v>
      </c>
      <c r="K883" s="6"/>
      <c r="L883" s="6"/>
      <c r="M883" s="6"/>
      <c r="N883" s="6"/>
      <c r="O883" s="6"/>
      <c r="P883" s="6"/>
      <c r="Q883" s="6"/>
      <c r="R883" s="6"/>
      <c r="S883" s="6"/>
      <c r="T883" s="6"/>
      <c r="U883" s="6"/>
      <c r="V883" s="6"/>
      <c r="W883" s="6"/>
      <c r="X883" s="6"/>
      <c r="Y883" s="6"/>
      <c r="Z883" s="6"/>
      <c r="AA883" s="6"/>
      <c r="AB883" s="6"/>
      <c r="AC883" s="6"/>
      <c r="AD883" s="6"/>
      <c r="AE883" s="6"/>
      <c r="AF883" s="6"/>
      <c r="AG883" s="15" t="s">
        <v>55</v>
      </c>
      <c r="AH883" s="15"/>
      <c r="AI883" s="15"/>
      <c r="AJ883" s="6"/>
      <c r="AK883" s="6"/>
    </row>
    <row r="884" spans="1:37" s="6" customFormat="1">
      <c r="A884" s="6" t="s">
        <v>3990</v>
      </c>
      <c r="B884" s="6" t="s">
        <v>3991</v>
      </c>
      <c r="C884" s="6" t="s">
        <v>43</v>
      </c>
      <c r="D884" s="6" t="s">
        <v>239</v>
      </c>
      <c r="E884" s="6" t="s">
        <v>2047</v>
      </c>
      <c r="F884" s="6" t="s">
        <v>46</v>
      </c>
      <c r="G884" s="6" t="s">
        <v>3992</v>
      </c>
      <c r="H884" s="7"/>
      <c r="I884" s="19" t="s">
        <v>48</v>
      </c>
      <c r="J884" s="19" t="s">
        <v>48</v>
      </c>
      <c r="AG884" s="15" t="s">
        <v>55</v>
      </c>
      <c r="AH884" s="15"/>
      <c r="AI884" s="15"/>
    </row>
    <row r="885" spans="1:37" s="6" customFormat="1">
      <c r="A885" s="6" t="s">
        <v>3993</v>
      </c>
      <c r="B885" s="6" t="s">
        <v>3994</v>
      </c>
      <c r="C885" s="6" t="s">
        <v>43</v>
      </c>
      <c r="D885" s="6" t="s">
        <v>239</v>
      </c>
      <c r="E885" s="6" t="s">
        <v>240</v>
      </c>
      <c r="F885" s="6" t="s">
        <v>46</v>
      </c>
      <c r="G885" s="6" t="s">
        <v>1963</v>
      </c>
      <c r="H885" s="7"/>
      <c r="I885" s="19" t="s">
        <v>48</v>
      </c>
      <c r="J885" s="19" t="s">
        <v>48</v>
      </c>
      <c r="AG885" s="15" t="s">
        <v>55</v>
      </c>
      <c r="AH885" s="15"/>
      <c r="AI885" s="15"/>
    </row>
    <row r="886" spans="1:37" s="6" customFormat="1">
      <c r="A886" s="6" t="s">
        <v>3995</v>
      </c>
      <c r="B886" s="6" t="s">
        <v>3996</v>
      </c>
      <c r="C886" s="6" t="s">
        <v>43</v>
      </c>
      <c r="D886" s="6" t="s">
        <v>239</v>
      </c>
      <c r="E886" s="6" t="s">
        <v>1540</v>
      </c>
      <c r="F886" s="6" t="s">
        <v>46</v>
      </c>
      <c r="G886" s="6" t="s">
        <v>3997</v>
      </c>
      <c r="H886" s="7"/>
      <c r="I886" s="16" t="s">
        <v>48</v>
      </c>
      <c r="J886" s="16" t="s">
        <v>48</v>
      </c>
      <c r="AG886" s="15" t="s">
        <v>55</v>
      </c>
      <c r="AH886" s="15"/>
      <c r="AI886" s="15"/>
    </row>
    <row r="887" spans="1:37" s="6" customFormat="1">
      <c r="A887" s="6" t="s">
        <v>3998</v>
      </c>
      <c r="B887" s="6" t="s">
        <v>3999</v>
      </c>
      <c r="C887" s="6" t="s">
        <v>43</v>
      </c>
      <c r="D887" s="6" t="s">
        <v>239</v>
      </c>
      <c r="E887" s="6" t="s">
        <v>1540</v>
      </c>
      <c r="F887" s="6" t="s">
        <v>46</v>
      </c>
      <c r="G887" s="6" t="s">
        <v>4000</v>
      </c>
      <c r="H887" s="7"/>
      <c r="I887" s="16" t="s">
        <v>48</v>
      </c>
      <c r="J887" s="16" t="s">
        <v>48</v>
      </c>
      <c r="AG887" s="15" t="s">
        <v>55</v>
      </c>
      <c r="AH887" s="15"/>
      <c r="AI887" s="15"/>
    </row>
    <row r="888" spans="1:37" s="6" customFormat="1">
      <c r="A888" s="6" t="s">
        <v>4001</v>
      </c>
      <c r="B888" s="6" t="s">
        <v>4002</v>
      </c>
      <c r="C888" s="6" t="s">
        <v>43</v>
      </c>
      <c r="D888" s="6" t="s">
        <v>239</v>
      </c>
      <c r="E888" s="6" t="s">
        <v>1540</v>
      </c>
      <c r="F888" s="6" t="s">
        <v>46</v>
      </c>
      <c r="G888" s="6" t="s">
        <v>4003</v>
      </c>
      <c r="H888" s="7"/>
      <c r="I888" s="16" t="s">
        <v>48</v>
      </c>
      <c r="J888" s="16" t="s">
        <v>48</v>
      </c>
      <c r="AG888" s="15" t="s">
        <v>55</v>
      </c>
      <c r="AH888" s="15"/>
      <c r="AI888" s="15"/>
    </row>
    <row r="889" spans="1:37" s="6" customFormat="1">
      <c r="A889" s="6" t="s">
        <v>4004</v>
      </c>
      <c r="B889" s="6" t="s">
        <v>4005</v>
      </c>
      <c r="C889" s="6" t="s">
        <v>2281</v>
      </c>
      <c r="D889" s="6" t="s">
        <v>1645</v>
      </c>
      <c r="E889" s="6" t="s">
        <v>1386</v>
      </c>
      <c r="F889" s="6" t="s">
        <v>46</v>
      </c>
      <c r="G889" s="6" t="s">
        <v>4006</v>
      </c>
      <c r="H889" s="7"/>
      <c r="I889" s="16" t="s">
        <v>48</v>
      </c>
      <c r="J889" s="16" t="s">
        <v>48</v>
      </c>
      <c r="AG889" s="15" t="s">
        <v>55</v>
      </c>
      <c r="AH889" s="15"/>
      <c r="AI889" s="15"/>
    </row>
    <row r="890" spans="1:37" s="6" customFormat="1">
      <c r="A890" s="6" t="s">
        <v>4007</v>
      </c>
      <c r="B890" s="6" t="s">
        <v>4005</v>
      </c>
      <c r="C890" s="6" t="s">
        <v>2281</v>
      </c>
      <c r="D890" s="6" t="s">
        <v>1645</v>
      </c>
      <c r="E890" s="6" t="s">
        <v>2065</v>
      </c>
      <c r="F890" s="6" t="s">
        <v>46</v>
      </c>
      <c r="G890" s="6" t="s">
        <v>4008</v>
      </c>
      <c r="H890" s="7"/>
      <c r="I890" s="16" t="s">
        <v>48</v>
      </c>
      <c r="J890" s="16" t="s">
        <v>48</v>
      </c>
      <c r="AG890" s="15" t="s">
        <v>55</v>
      </c>
      <c r="AH890" s="15"/>
      <c r="AI890" s="15"/>
    </row>
    <row r="891" spans="1:37" s="6" customFormat="1">
      <c r="A891" s="6" t="s">
        <v>4009</v>
      </c>
      <c r="B891" s="6" t="s">
        <v>4010</v>
      </c>
      <c r="C891" s="6" t="s">
        <v>43</v>
      </c>
      <c r="D891" s="6" t="s">
        <v>1390</v>
      </c>
      <c r="E891" s="6" t="s">
        <v>1386</v>
      </c>
      <c r="F891" s="6" t="s">
        <v>46</v>
      </c>
      <c r="G891" s="6" t="s">
        <v>4011</v>
      </c>
      <c r="H891" s="7"/>
      <c r="I891" s="16" t="s">
        <v>48</v>
      </c>
      <c r="J891" s="16" t="s">
        <v>48</v>
      </c>
      <c r="AG891" s="15" t="s">
        <v>55</v>
      </c>
      <c r="AH891" s="15"/>
      <c r="AI891" s="15"/>
    </row>
    <row r="892" spans="1:37" s="6" customFormat="1">
      <c r="A892" s="6" t="s">
        <v>4012</v>
      </c>
      <c r="B892" s="6" t="s">
        <v>4013</v>
      </c>
      <c r="C892" s="6" t="s">
        <v>43</v>
      </c>
      <c r="D892" s="6" t="s">
        <v>239</v>
      </c>
      <c r="E892" s="6" t="s">
        <v>1540</v>
      </c>
      <c r="F892" s="6" t="s">
        <v>46</v>
      </c>
      <c r="G892" s="6" t="s">
        <v>4014</v>
      </c>
      <c r="H892" s="7"/>
      <c r="I892" s="16" t="s">
        <v>48</v>
      </c>
      <c r="J892" s="16" t="s">
        <v>48</v>
      </c>
      <c r="AG892" s="15" t="s">
        <v>55</v>
      </c>
      <c r="AH892" s="15"/>
      <c r="AI892" s="15"/>
    </row>
    <row r="893" spans="1:37" s="6" customFormat="1">
      <c r="A893" s="6" t="s">
        <v>4015</v>
      </c>
      <c r="B893" s="6" t="s">
        <v>4016</v>
      </c>
      <c r="C893" s="6" t="s">
        <v>2281</v>
      </c>
      <c r="D893" s="6" t="s">
        <v>1645</v>
      </c>
      <c r="E893" s="6" t="s">
        <v>1386</v>
      </c>
      <c r="F893" s="6" t="s">
        <v>46</v>
      </c>
      <c r="G893" s="6" t="s">
        <v>1785</v>
      </c>
      <c r="H893" s="7"/>
      <c r="I893" s="16" t="s">
        <v>48</v>
      </c>
      <c r="J893" s="16" t="s">
        <v>48</v>
      </c>
      <c r="AG893" s="15" t="s">
        <v>55</v>
      </c>
      <c r="AH893" s="15"/>
      <c r="AI893" s="15"/>
    </row>
    <row r="894" spans="1:37" s="6" customFormat="1">
      <c r="A894" s="6" t="s">
        <v>4017</v>
      </c>
      <c r="B894" s="6" t="s">
        <v>4016</v>
      </c>
      <c r="C894" s="6" t="s">
        <v>2281</v>
      </c>
      <c r="D894" s="6" t="s">
        <v>1645</v>
      </c>
      <c r="E894" s="6" t="s">
        <v>2065</v>
      </c>
      <c r="F894" s="6" t="s">
        <v>46</v>
      </c>
      <c r="G894" s="6" t="s">
        <v>4018</v>
      </c>
      <c r="H894" s="7"/>
      <c r="I894" s="16" t="s">
        <v>48</v>
      </c>
      <c r="J894" s="16" t="s">
        <v>48</v>
      </c>
      <c r="AG894" s="15" t="s">
        <v>55</v>
      </c>
      <c r="AH894" s="15"/>
      <c r="AI894" s="15"/>
    </row>
    <row r="895" spans="1:37" s="6" customFormat="1">
      <c r="A895" s="5" t="s">
        <v>4019</v>
      </c>
      <c r="B895" s="5" t="s">
        <v>4020</v>
      </c>
      <c r="C895" s="6" t="s">
        <v>2281</v>
      </c>
      <c r="D895" s="6" t="s">
        <v>1645</v>
      </c>
      <c r="E895" s="6" t="s">
        <v>2065</v>
      </c>
      <c r="F895" s="6" t="s">
        <v>46</v>
      </c>
      <c r="G895" s="6" t="s">
        <v>4021</v>
      </c>
      <c r="H895" s="7">
        <v>78.08</v>
      </c>
      <c r="I895" s="19" t="s">
        <v>2283</v>
      </c>
      <c r="J895" s="19" t="s">
        <v>2512</v>
      </c>
      <c r="K895" s="6" t="s">
        <v>2513</v>
      </c>
      <c r="L895" s="6" t="s">
        <v>2514</v>
      </c>
      <c r="M895" s="6" t="s">
        <v>2515</v>
      </c>
      <c r="N895" s="6" t="s">
        <v>2516</v>
      </c>
      <c r="O895" s="6" t="s">
        <v>4022</v>
      </c>
      <c r="P895" s="6" t="s">
        <v>4023</v>
      </c>
      <c r="Q895" s="6" t="s">
        <v>4024</v>
      </c>
      <c r="R895" s="6" t="s">
        <v>4025</v>
      </c>
      <c r="S895" s="5"/>
      <c r="T895" s="5"/>
      <c r="U895" s="5"/>
      <c r="V895" s="5"/>
      <c r="W895" s="5"/>
      <c r="X895" s="5"/>
      <c r="Y895" s="5"/>
      <c r="Z895" s="5"/>
      <c r="AA895" s="5"/>
      <c r="AB895" s="5"/>
      <c r="AC895" s="5"/>
      <c r="AD895" s="5"/>
      <c r="AE895" s="5"/>
      <c r="AF895" s="5"/>
      <c r="AG895" s="14" t="s">
        <v>55</v>
      </c>
      <c r="AH895" s="14" t="s">
        <v>1603</v>
      </c>
      <c r="AI895" s="14" t="s">
        <v>1603</v>
      </c>
      <c r="AJ895" s="5"/>
      <c r="AK895" s="5"/>
    </row>
    <row r="896" spans="1:37">
      <c r="A896" s="6" t="s">
        <v>4026</v>
      </c>
      <c r="B896" s="6" t="s">
        <v>4027</v>
      </c>
      <c r="C896" s="6" t="s">
        <v>2281</v>
      </c>
      <c r="D896" s="6" t="s">
        <v>1645</v>
      </c>
      <c r="E896" s="6" t="s">
        <v>2065</v>
      </c>
      <c r="F896" s="6" t="s">
        <v>46</v>
      </c>
      <c r="G896" s="6" t="s">
        <v>3962</v>
      </c>
      <c r="I896" s="16" t="s">
        <v>48</v>
      </c>
      <c r="J896" s="16" t="s">
        <v>48</v>
      </c>
      <c r="K896" s="6"/>
      <c r="L896" s="6"/>
      <c r="M896" s="6"/>
      <c r="N896" s="6"/>
      <c r="O896" s="6"/>
      <c r="P896" s="6"/>
      <c r="Q896" s="6"/>
      <c r="R896" s="6"/>
      <c r="S896" s="6"/>
      <c r="T896" s="6"/>
      <c r="U896" s="6"/>
      <c r="V896" s="6"/>
      <c r="W896" s="6"/>
      <c r="X896" s="6"/>
      <c r="Y896" s="6"/>
      <c r="Z896" s="6"/>
      <c r="AA896" s="6"/>
      <c r="AB896" s="6"/>
      <c r="AC896" s="6"/>
      <c r="AD896" s="6"/>
      <c r="AE896" s="6"/>
      <c r="AF896" s="6"/>
      <c r="AG896" s="15" t="s">
        <v>55</v>
      </c>
      <c r="AH896" s="15"/>
      <c r="AI896" s="15"/>
      <c r="AJ896" s="6"/>
      <c r="AK896" s="6"/>
    </row>
    <row r="897" spans="1:37" s="6" customFormat="1">
      <c r="A897" s="5" t="s">
        <v>4028</v>
      </c>
      <c r="B897" s="5" t="s">
        <v>4029</v>
      </c>
      <c r="C897" s="6" t="s">
        <v>43</v>
      </c>
      <c r="D897" s="6" t="s">
        <v>239</v>
      </c>
      <c r="E897" s="6" t="s">
        <v>1386</v>
      </c>
      <c r="F897" s="6" t="s">
        <v>46</v>
      </c>
      <c r="G897" s="6" t="s">
        <v>3664</v>
      </c>
      <c r="H897" s="7">
        <v>29.32</v>
      </c>
      <c r="I897" s="19" t="s">
        <v>1589</v>
      </c>
      <c r="J897" s="19" t="s">
        <v>2696</v>
      </c>
      <c r="K897" s="5" t="s">
        <v>2697</v>
      </c>
      <c r="L897" s="5" t="s">
        <v>2698</v>
      </c>
      <c r="M897" s="5" t="s">
        <v>2699</v>
      </c>
      <c r="N897" s="5" t="s">
        <v>2700</v>
      </c>
      <c r="O897" s="5" t="s">
        <v>4030</v>
      </c>
      <c r="P897" s="5" t="s">
        <v>4031</v>
      </c>
      <c r="Q897" s="5" t="s">
        <v>4032</v>
      </c>
      <c r="R897" s="5" t="s">
        <v>4033</v>
      </c>
      <c r="S897" s="5"/>
      <c r="T897" s="5"/>
      <c r="U897" s="5"/>
      <c r="V897" s="5"/>
      <c r="W897" s="5"/>
      <c r="X897" s="5"/>
      <c r="Y897" s="5"/>
      <c r="Z897" s="5"/>
      <c r="AA897" s="5"/>
      <c r="AB897" s="5"/>
      <c r="AC897" s="5"/>
      <c r="AD897" s="5"/>
      <c r="AE897" s="5"/>
      <c r="AF897" s="5"/>
      <c r="AG897" s="14" t="s">
        <v>55</v>
      </c>
      <c r="AH897" s="14" t="s">
        <v>1603</v>
      </c>
      <c r="AI897" s="14" t="s">
        <v>1604</v>
      </c>
      <c r="AJ897" s="5"/>
      <c r="AK897" s="5"/>
    </row>
    <row r="898" spans="1:37">
      <c r="A898" s="6" t="s">
        <v>4034</v>
      </c>
      <c r="B898" s="6" t="s">
        <v>4035</v>
      </c>
      <c r="C898" s="6" t="s">
        <v>43</v>
      </c>
      <c r="D898" s="6" t="s">
        <v>1977</v>
      </c>
      <c r="E898" s="6" t="s">
        <v>2015</v>
      </c>
      <c r="F898" s="6" t="s">
        <v>46</v>
      </c>
      <c r="G898" s="6" t="s">
        <v>4036</v>
      </c>
      <c r="I898" s="16" t="s">
        <v>48</v>
      </c>
      <c r="J898" s="16" t="s">
        <v>48</v>
      </c>
      <c r="K898" s="6"/>
      <c r="L898" s="6"/>
      <c r="M898" s="6"/>
      <c r="N898" s="6"/>
      <c r="O898" s="6"/>
      <c r="P898" s="6"/>
      <c r="Q898" s="6"/>
      <c r="R898" s="6"/>
      <c r="S898" s="6"/>
      <c r="T898" s="6"/>
      <c r="U898" s="6"/>
      <c r="V898" s="6"/>
      <c r="W898" s="6"/>
      <c r="X898" s="6"/>
      <c r="Y898" s="6"/>
      <c r="Z898" s="6"/>
      <c r="AA898" s="6"/>
      <c r="AB898" s="6"/>
      <c r="AC898" s="6"/>
      <c r="AD898" s="6"/>
      <c r="AE898" s="6"/>
      <c r="AF898" s="6"/>
      <c r="AG898" s="15" t="s">
        <v>55</v>
      </c>
      <c r="AH898" s="15"/>
      <c r="AI898" s="15"/>
      <c r="AJ898" s="6"/>
      <c r="AK898" s="6"/>
    </row>
    <row r="899" spans="1:37" s="6" customFormat="1">
      <c r="A899" s="6" t="s">
        <v>4037</v>
      </c>
      <c r="B899" s="6" t="s">
        <v>4038</v>
      </c>
      <c r="C899" s="6" t="s">
        <v>2281</v>
      </c>
      <c r="D899" s="6" t="s">
        <v>1645</v>
      </c>
      <c r="E899" s="6" t="s">
        <v>2065</v>
      </c>
      <c r="F899" s="6" t="s">
        <v>46</v>
      </c>
      <c r="G899" s="6" t="s">
        <v>4039</v>
      </c>
      <c r="H899" s="7"/>
      <c r="I899" s="16" t="s">
        <v>48</v>
      </c>
      <c r="J899" s="16" t="s">
        <v>48</v>
      </c>
      <c r="AG899" s="15" t="s">
        <v>55</v>
      </c>
      <c r="AH899" s="15"/>
      <c r="AI899" s="15"/>
    </row>
    <row r="900" spans="1:37" s="6" customFormat="1">
      <c r="A900" s="6" t="s">
        <v>4040</v>
      </c>
      <c r="B900" s="6" t="s">
        <v>4041</v>
      </c>
      <c r="C900" s="6" t="s">
        <v>2281</v>
      </c>
      <c r="D900" s="6" t="s">
        <v>1645</v>
      </c>
      <c r="E900" s="6" t="s">
        <v>2065</v>
      </c>
      <c r="F900" s="6" t="s">
        <v>46</v>
      </c>
      <c r="G900" s="6" t="s">
        <v>4042</v>
      </c>
      <c r="H900" s="7"/>
      <c r="I900" s="16" t="s">
        <v>48</v>
      </c>
      <c r="J900" s="16" t="s">
        <v>48</v>
      </c>
      <c r="AG900" s="15" t="s">
        <v>55</v>
      </c>
      <c r="AH900" s="15"/>
      <c r="AI900" s="15"/>
    </row>
    <row r="901" spans="1:37" s="6" customFormat="1">
      <c r="A901" s="5" t="s">
        <v>4043</v>
      </c>
      <c r="B901" s="5" t="s">
        <v>4044</v>
      </c>
      <c r="C901" s="6" t="s">
        <v>3712</v>
      </c>
      <c r="D901" s="6" t="s">
        <v>239</v>
      </c>
      <c r="E901" s="6" t="s">
        <v>1386</v>
      </c>
      <c r="F901" s="6" t="s">
        <v>46</v>
      </c>
      <c r="G901" s="6" t="s">
        <v>4045</v>
      </c>
      <c r="H901" s="7">
        <v>34.67</v>
      </c>
      <c r="I901" s="19" t="s">
        <v>1589</v>
      </c>
      <c r="J901" s="19" t="s">
        <v>2696</v>
      </c>
      <c r="K901" s="5" t="s">
        <v>2733</v>
      </c>
      <c r="L901" s="5" t="s">
        <v>2734</v>
      </c>
      <c r="M901" s="5" t="s">
        <v>2735</v>
      </c>
      <c r="N901" s="5" t="s">
        <v>2736</v>
      </c>
      <c r="O901" s="5" t="s">
        <v>4046</v>
      </c>
      <c r="P901" s="5" t="s">
        <v>4047</v>
      </c>
      <c r="Q901" s="5" t="s">
        <v>4048</v>
      </c>
      <c r="R901" s="5" t="s">
        <v>4049</v>
      </c>
      <c r="S901" s="5"/>
      <c r="T901" s="5"/>
      <c r="U901" s="5"/>
      <c r="V901" s="5"/>
      <c r="W901" s="5"/>
      <c r="X901" s="5"/>
      <c r="Y901" s="5"/>
      <c r="Z901" s="5"/>
      <c r="AA901" s="5"/>
      <c r="AB901" s="5"/>
      <c r="AC901" s="5"/>
      <c r="AD901" s="5"/>
      <c r="AE901" s="5"/>
      <c r="AF901" s="5"/>
      <c r="AG901" s="14" t="s">
        <v>55</v>
      </c>
      <c r="AH901" s="14" t="s">
        <v>1603</v>
      </c>
      <c r="AI901" s="14" t="s">
        <v>1604</v>
      </c>
      <c r="AJ901" s="5"/>
      <c r="AK901" s="5"/>
    </row>
    <row r="902" spans="1:37">
      <c r="A902" s="5" t="s">
        <v>4050</v>
      </c>
      <c r="B902" s="5" t="s">
        <v>4051</v>
      </c>
      <c r="C902" s="6" t="s">
        <v>43</v>
      </c>
      <c r="D902" s="6" t="s">
        <v>239</v>
      </c>
      <c r="E902" s="6" t="s">
        <v>1386</v>
      </c>
      <c r="F902" s="6" t="s">
        <v>46</v>
      </c>
      <c r="G902" s="6" t="s">
        <v>4052</v>
      </c>
      <c r="H902" s="7">
        <v>40.03</v>
      </c>
      <c r="I902" s="19" t="s">
        <v>1589</v>
      </c>
      <c r="J902" s="19" t="s">
        <v>2696</v>
      </c>
      <c r="K902" s="5" t="s">
        <v>2757</v>
      </c>
      <c r="L902" s="5" t="s">
        <v>2758</v>
      </c>
      <c r="M902" s="5" t="s">
        <v>2759</v>
      </c>
      <c r="N902" s="5" t="s">
        <v>2760</v>
      </c>
      <c r="O902" s="5" t="s">
        <v>4053</v>
      </c>
      <c r="P902" s="5" t="s">
        <v>4054</v>
      </c>
      <c r="Q902" s="5" t="s">
        <v>4055</v>
      </c>
      <c r="R902" s="5" t="s">
        <v>4056</v>
      </c>
      <c r="AG902" s="14" t="s">
        <v>55</v>
      </c>
      <c r="AH902" s="14" t="s">
        <v>1603</v>
      </c>
      <c r="AI902" s="14" t="s">
        <v>1604</v>
      </c>
    </row>
    <row r="903" spans="1:37">
      <c r="A903" s="5" t="s">
        <v>4057</v>
      </c>
      <c r="B903" s="5" t="s">
        <v>4058</v>
      </c>
      <c r="C903" s="6" t="s">
        <v>43</v>
      </c>
      <c r="D903" s="6" t="s">
        <v>1977</v>
      </c>
      <c r="E903" s="6" t="s">
        <v>1386</v>
      </c>
      <c r="F903" s="6" t="s">
        <v>46</v>
      </c>
      <c r="G903" s="6" t="s">
        <v>4059</v>
      </c>
      <c r="H903" s="7">
        <v>40.81</v>
      </c>
      <c r="I903" s="19" t="s">
        <v>1589</v>
      </c>
      <c r="J903" s="19" t="s">
        <v>2001</v>
      </c>
      <c r="K903" s="20" t="s">
        <v>2002</v>
      </c>
      <c r="L903" s="20" t="s">
        <v>2003</v>
      </c>
      <c r="M903" s="20" t="s">
        <v>2004</v>
      </c>
      <c r="N903" s="20" t="s">
        <v>2005</v>
      </c>
      <c r="O903" s="20" t="s">
        <v>4060</v>
      </c>
      <c r="P903" s="20" t="s">
        <v>4061</v>
      </c>
      <c r="Q903" s="20" t="s">
        <v>4062</v>
      </c>
      <c r="R903" s="5" t="s">
        <v>4063</v>
      </c>
      <c r="W903" s="20" t="s">
        <v>2010</v>
      </c>
      <c r="X903" s="20" t="s">
        <v>2011</v>
      </c>
      <c r="Y903" s="20" t="s">
        <v>2012</v>
      </c>
      <c r="Z903" s="20" t="s">
        <v>2013</v>
      </c>
      <c r="AG903" s="14" t="s">
        <v>55</v>
      </c>
      <c r="AH903" s="14" t="s">
        <v>1603</v>
      </c>
      <c r="AI903" s="14" t="s">
        <v>124</v>
      </c>
    </row>
    <row r="904" spans="1:37">
      <c r="A904" s="5" t="s">
        <v>4064</v>
      </c>
      <c r="B904" s="5" t="s">
        <v>4058</v>
      </c>
      <c r="C904" s="6" t="s">
        <v>43</v>
      </c>
      <c r="D904" s="6" t="s">
        <v>1977</v>
      </c>
      <c r="E904" s="6" t="s">
        <v>2015</v>
      </c>
      <c r="F904" s="6" t="s">
        <v>46</v>
      </c>
      <c r="G904" s="6" t="s">
        <v>4065</v>
      </c>
      <c r="H904" s="7">
        <v>40.81</v>
      </c>
      <c r="I904" s="19" t="s">
        <v>1589</v>
      </c>
      <c r="J904" s="19" t="s">
        <v>2001</v>
      </c>
      <c r="K904" s="20" t="s">
        <v>2002</v>
      </c>
      <c r="L904" s="20" t="s">
        <v>2003</v>
      </c>
      <c r="M904" s="20" t="s">
        <v>2004</v>
      </c>
      <c r="N904" s="20" t="s">
        <v>2005</v>
      </c>
      <c r="O904" s="20" t="s">
        <v>4060</v>
      </c>
      <c r="P904" s="20" t="s">
        <v>4066</v>
      </c>
      <c r="Q904" s="20" t="s">
        <v>4062</v>
      </c>
      <c r="R904" s="5" t="s">
        <v>4063</v>
      </c>
      <c r="W904" s="20" t="s">
        <v>2010</v>
      </c>
      <c r="X904" s="20" t="s">
        <v>2011</v>
      </c>
      <c r="Y904" s="20" t="s">
        <v>2012</v>
      </c>
      <c r="Z904" s="20" t="s">
        <v>2013</v>
      </c>
      <c r="AG904" s="14" t="s">
        <v>55</v>
      </c>
      <c r="AH904" s="14" t="s">
        <v>1603</v>
      </c>
      <c r="AI904" s="14" t="s">
        <v>124</v>
      </c>
    </row>
    <row r="905" spans="1:37">
      <c r="A905" s="5" t="s">
        <v>4067</v>
      </c>
      <c r="B905" s="5" t="s">
        <v>4068</v>
      </c>
      <c r="C905" s="6" t="s">
        <v>43</v>
      </c>
      <c r="D905" s="6" t="s">
        <v>1977</v>
      </c>
      <c r="E905" s="6" t="s">
        <v>4069</v>
      </c>
      <c r="F905" s="6" t="s">
        <v>46</v>
      </c>
      <c r="G905" s="6" t="s">
        <v>4070</v>
      </c>
      <c r="H905" s="7">
        <v>51.44</v>
      </c>
      <c r="I905" s="19" t="s">
        <v>1589</v>
      </c>
      <c r="J905" s="19" t="s">
        <v>2001</v>
      </c>
      <c r="K905" s="20" t="s">
        <v>2023</v>
      </c>
      <c r="L905" s="20" t="s">
        <v>2024</v>
      </c>
      <c r="M905" s="20" t="s">
        <v>2025</v>
      </c>
      <c r="N905" s="20" t="s">
        <v>2026</v>
      </c>
      <c r="O905" s="20" t="s">
        <v>4071</v>
      </c>
      <c r="P905" s="20" t="s">
        <v>4072</v>
      </c>
      <c r="Q905" s="20" t="s">
        <v>4073</v>
      </c>
      <c r="R905" s="5" t="s">
        <v>4074</v>
      </c>
      <c r="W905" s="20" t="s">
        <v>2010</v>
      </c>
      <c r="X905" s="20" t="s">
        <v>2011</v>
      </c>
      <c r="Y905" s="20" t="s">
        <v>2012</v>
      </c>
      <c r="Z905" s="20" t="s">
        <v>2013</v>
      </c>
      <c r="AG905" s="14" t="s">
        <v>55</v>
      </c>
      <c r="AH905" s="14" t="s">
        <v>1603</v>
      </c>
      <c r="AI905" s="14" t="s">
        <v>124</v>
      </c>
    </row>
    <row r="906" spans="1:37">
      <c r="A906" s="5" t="s">
        <v>4075</v>
      </c>
      <c r="B906" s="5" t="s">
        <v>4068</v>
      </c>
      <c r="C906" s="6" t="s">
        <v>43</v>
      </c>
      <c r="D906" s="6" t="s">
        <v>1977</v>
      </c>
      <c r="E906" s="6" t="s">
        <v>1386</v>
      </c>
      <c r="F906" s="6" t="s">
        <v>46</v>
      </c>
      <c r="G906" s="6" t="s">
        <v>4076</v>
      </c>
      <c r="H906" s="7">
        <v>51.44</v>
      </c>
      <c r="I906" s="19" t="s">
        <v>1589</v>
      </c>
      <c r="J906" s="19" t="s">
        <v>2001</v>
      </c>
      <c r="K906" s="20" t="s">
        <v>2023</v>
      </c>
      <c r="L906" s="20" t="s">
        <v>2024</v>
      </c>
      <c r="M906" s="20" t="s">
        <v>2025</v>
      </c>
      <c r="N906" s="20" t="s">
        <v>2026</v>
      </c>
      <c r="O906" s="20" t="s">
        <v>4071</v>
      </c>
      <c r="P906" s="20" t="s">
        <v>4072</v>
      </c>
      <c r="Q906" s="20" t="s">
        <v>4073</v>
      </c>
      <c r="R906" s="5" t="s">
        <v>4074</v>
      </c>
      <c r="W906" s="20" t="s">
        <v>2010</v>
      </c>
      <c r="X906" s="20" t="s">
        <v>2011</v>
      </c>
      <c r="Y906" s="20" t="s">
        <v>2012</v>
      </c>
      <c r="Z906" s="20" t="s">
        <v>2013</v>
      </c>
      <c r="AG906" s="14" t="s">
        <v>55</v>
      </c>
      <c r="AH906" s="14" t="s">
        <v>1603</v>
      </c>
      <c r="AI906" s="14" t="s">
        <v>124</v>
      </c>
    </row>
    <row r="907" spans="1:37">
      <c r="A907" s="5" t="s">
        <v>4077</v>
      </c>
      <c r="B907" s="5" t="s">
        <v>4068</v>
      </c>
      <c r="C907" s="6" t="s">
        <v>43</v>
      </c>
      <c r="D907" s="6" t="s">
        <v>1977</v>
      </c>
      <c r="E907" s="6" t="s">
        <v>2015</v>
      </c>
      <c r="F907" s="6" t="s">
        <v>46</v>
      </c>
      <c r="G907" s="6" t="s">
        <v>4078</v>
      </c>
      <c r="H907" s="26">
        <v>51.44</v>
      </c>
      <c r="I907" s="19" t="s">
        <v>1589</v>
      </c>
      <c r="J907" s="19" t="s">
        <v>2001</v>
      </c>
      <c r="K907" s="20" t="s">
        <v>2023</v>
      </c>
      <c r="L907" s="20" t="s">
        <v>2024</v>
      </c>
      <c r="M907" s="20" t="s">
        <v>2025</v>
      </c>
      <c r="N907" s="20" t="s">
        <v>2026</v>
      </c>
      <c r="O907" s="20" t="s">
        <v>4071</v>
      </c>
      <c r="P907" s="20" t="s">
        <v>4072</v>
      </c>
      <c r="Q907" s="20" t="s">
        <v>4073</v>
      </c>
      <c r="R907" s="5" t="s">
        <v>4079</v>
      </c>
      <c r="W907" s="20" t="s">
        <v>2010</v>
      </c>
      <c r="X907" s="20" t="s">
        <v>2011</v>
      </c>
      <c r="Y907" s="20" t="s">
        <v>2012</v>
      </c>
      <c r="Z907" s="20" t="s">
        <v>2013</v>
      </c>
      <c r="AG907" s="14" t="s">
        <v>55</v>
      </c>
      <c r="AH907" s="14" t="s">
        <v>1603</v>
      </c>
      <c r="AI907" s="14" t="s">
        <v>124</v>
      </c>
    </row>
    <row r="908" spans="1:37">
      <c r="A908" s="5" t="s">
        <v>4080</v>
      </c>
      <c r="B908" s="5" t="s">
        <v>4081</v>
      </c>
      <c r="C908" s="6" t="s">
        <v>43</v>
      </c>
      <c r="D908" s="6" t="s">
        <v>1977</v>
      </c>
      <c r="E908" s="6" t="s">
        <v>1386</v>
      </c>
      <c r="F908" s="6" t="s">
        <v>46</v>
      </c>
      <c r="G908" s="6" t="s">
        <v>4082</v>
      </c>
      <c r="H908" s="7">
        <v>54.21</v>
      </c>
      <c r="I908" s="19" t="s">
        <v>1589</v>
      </c>
      <c r="J908" s="19" t="s">
        <v>2001</v>
      </c>
      <c r="K908" s="20" t="s">
        <v>2036</v>
      </c>
      <c r="L908" s="20" t="s">
        <v>2037</v>
      </c>
      <c r="M908" s="20" t="s">
        <v>2038</v>
      </c>
      <c r="N908" s="20" t="s">
        <v>2039</v>
      </c>
      <c r="O908" s="20" t="s">
        <v>4083</v>
      </c>
      <c r="P908" s="20" t="s">
        <v>4084</v>
      </c>
      <c r="Q908" s="20" t="s">
        <v>4085</v>
      </c>
      <c r="R908" s="5" t="s">
        <v>4086</v>
      </c>
      <c r="W908" s="20" t="s">
        <v>2010</v>
      </c>
      <c r="X908" s="20" t="s">
        <v>2011</v>
      </c>
      <c r="Y908" s="20" t="s">
        <v>2012</v>
      </c>
      <c r="Z908" s="20" t="s">
        <v>2013</v>
      </c>
      <c r="AG908" s="14" t="s">
        <v>55</v>
      </c>
      <c r="AH908" s="14" t="s">
        <v>1603</v>
      </c>
      <c r="AI908" s="14" t="s">
        <v>124</v>
      </c>
    </row>
    <row r="909" spans="1:37">
      <c r="A909" s="5" t="s">
        <v>4087</v>
      </c>
      <c r="B909" s="5" t="s">
        <v>4088</v>
      </c>
      <c r="C909" s="6" t="s">
        <v>43</v>
      </c>
      <c r="D909" s="6" t="s">
        <v>1977</v>
      </c>
      <c r="E909" s="6" t="s">
        <v>2015</v>
      </c>
      <c r="F909" s="6" t="s">
        <v>46</v>
      </c>
      <c r="G909" s="6" t="s">
        <v>4089</v>
      </c>
      <c r="H909" s="7">
        <v>54.21</v>
      </c>
      <c r="I909" s="19" t="s">
        <v>1589</v>
      </c>
      <c r="J909" s="19" t="s">
        <v>2001</v>
      </c>
      <c r="K909" s="20" t="s">
        <v>2036</v>
      </c>
      <c r="L909" s="20" t="s">
        <v>2037</v>
      </c>
      <c r="M909" s="20" t="s">
        <v>2038</v>
      </c>
      <c r="N909" s="20" t="s">
        <v>2039</v>
      </c>
      <c r="O909" s="20" t="s">
        <v>4083</v>
      </c>
      <c r="P909" s="20" t="s">
        <v>4084</v>
      </c>
      <c r="Q909" s="20" t="s">
        <v>4085</v>
      </c>
      <c r="R909" s="5" t="s">
        <v>4086</v>
      </c>
      <c r="W909" s="20" t="s">
        <v>2010</v>
      </c>
      <c r="X909" s="20" t="s">
        <v>2011</v>
      </c>
      <c r="Y909" s="20" t="s">
        <v>2012</v>
      </c>
      <c r="Z909" s="20" t="s">
        <v>2013</v>
      </c>
      <c r="AG909" s="14" t="s">
        <v>55</v>
      </c>
      <c r="AH909" s="14" t="s">
        <v>1603</v>
      </c>
      <c r="AI909" s="14" t="s">
        <v>124</v>
      </c>
    </row>
    <row r="910" spans="1:37">
      <c r="A910" s="5" t="s">
        <v>4090</v>
      </c>
      <c r="B910" s="5" t="s">
        <v>4091</v>
      </c>
      <c r="C910" s="6" t="s">
        <v>43</v>
      </c>
      <c r="D910" s="6" t="s">
        <v>1977</v>
      </c>
      <c r="E910" s="6" t="s">
        <v>1386</v>
      </c>
      <c r="F910" s="6" t="s">
        <v>46</v>
      </c>
      <c r="G910" s="6" t="s">
        <v>4092</v>
      </c>
      <c r="H910" s="7">
        <v>93.63</v>
      </c>
      <c r="I910" s="19" t="s">
        <v>1589</v>
      </c>
      <c r="J910" s="19" t="s">
        <v>2001</v>
      </c>
      <c r="K910" s="20" t="s">
        <v>2054</v>
      </c>
      <c r="L910" s="20" t="s">
        <v>2055</v>
      </c>
      <c r="M910" s="20" t="s">
        <v>2056</v>
      </c>
      <c r="N910" s="20" t="s">
        <v>2057</v>
      </c>
      <c r="O910" s="20" t="s">
        <v>4093</v>
      </c>
      <c r="P910" s="20" t="s">
        <v>4094</v>
      </c>
      <c r="Q910" s="20" t="s">
        <v>4095</v>
      </c>
      <c r="R910" s="5" t="s">
        <v>4096</v>
      </c>
      <c r="W910" s="20" t="s">
        <v>2010</v>
      </c>
      <c r="X910" s="20" t="s">
        <v>2011</v>
      </c>
      <c r="Y910" s="20" t="s">
        <v>2012</v>
      </c>
      <c r="Z910" s="20" t="s">
        <v>2013</v>
      </c>
      <c r="AG910" s="14" t="s">
        <v>55</v>
      </c>
      <c r="AH910" s="14" t="s">
        <v>1603</v>
      </c>
      <c r="AI910" s="14" t="s">
        <v>124</v>
      </c>
    </row>
    <row r="911" spans="1:37">
      <c r="A911" s="5" t="s">
        <v>4097</v>
      </c>
      <c r="B911" s="5" t="s">
        <v>4091</v>
      </c>
      <c r="C911" s="6" t="s">
        <v>43</v>
      </c>
      <c r="D911" s="6" t="s">
        <v>1977</v>
      </c>
      <c r="E911" s="6" t="s">
        <v>2015</v>
      </c>
      <c r="F911" s="6" t="s">
        <v>46</v>
      </c>
      <c r="G911" s="6" t="s">
        <v>4098</v>
      </c>
      <c r="H911" s="7">
        <v>93.63</v>
      </c>
      <c r="I911" s="19" t="s">
        <v>1589</v>
      </c>
      <c r="J911" s="19" t="s">
        <v>2001</v>
      </c>
      <c r="K911" s="20" t="s">
        <v>2054</v>
      </c>
      <c r="L911" s="20" t="s">
        <v>2055</v>
      </c>
      <c r="M911" s="20" t="s">
        <v>2056</v>
      </c>
      <c r="N911" s="20" t="s">
        <v>2057</v>
      </c>
      <c r="O911" s="20" t="s">
        <v>4093</v>
      </c>
      <c r="P911" s="20" t="s">
        <v>4094</v>
      </c>
      <c r="Q911" s="20" t="s">
        <v>4095</v>
      </c>
      <c r="R911" s="5" t="s">
        <v>4096</v>
      </c>
      <c r="W911" s="20" t="s">
        <v>2010</v>
      </c>
      <c r="X911" s="20" t="s">
        <v>2011</v>
      </c>
      <c r="Y911" s="20" t="s">
        <v>2012</v>
      </c>
      <c r="Z911" s="20" t="s">
        <v>2013</v>
      </c>
      <c r="AG911" s="14" t="s">
        <v>55</v>
      </c>
      <c r="AH911" s="14" t="s">
        <v>1603</v>
      </c>
      <c r="AI911" s="14" t="s">
        <v>124</v>
      </c>
    </row>
    <row r="912" spans="1:37">
      <c r="A912" s="5" t="s">
        <v>4099</v>
      </c>
      <c r="B912" s="5" t="s">
        <v>4091</v>
      </c>
      <c r="C912" s="6" t="s">
        <v>43</v>
      </c>
      <c r="D912" s="6" t="s">
        <v>1977</v>
      </c>
      <c r="E912" s="6" t="s">
        <v>2065</v>
      </c>
      <c r="F912" s="6" t="s">
        <v>46</v>
      </c>
      <c r="G912" s="6" t="s">
        <v>4100</v>
      </c>
      <c r="H912" s="7">
        <v>93.63</v>
      </c>
      <c r="I912" s="19" t="s">
        <v>1589</v>
      </c>
      <c r="J912" s="19" t="s">
        <v>2001</v>
      </c>
      <c r="K912" s="20" t="s">
        <v>2054</v>
      </c>
      <c r="L912" s="20" t="s">
        <v>2055</v>
      </c>
      <c r="M912" s="20" t="s">
        <v>2056</v>
      </c>
      <c r="N912" s="20" t="s">
        <v>2057</v>
      </c>
      <c r="O912" s="20" t="s">
        <v>4093</v>
      </c>
      <c r="P912" s="20" t="s">
        <v>4094</v>
      </c>
      <c r="Q912" s="20" t="s">
        <v>4095</v>
      </c>
      <c r="R912" s="5" t="s">
        <v>4096</v>
      </c>
      <c r="W912" s="20" t="s">
        <v>2010</v>
      </c>
      <c r="X912" s="20" t="s">
        <v>2011</v>
      </c>
      <c r="Y912" s="20" t="s">
        <v>2012</v>
      </c>
      <c r="Z912" s="20" t="s">
        <v>2013</v>
      </c>
      <c r="AG912" s="14" t="s">
        <v>55</v>
      </c>
      <c r="AH912" s="14" t="s">
        <v>1603</v>
      </c>
      <c r="AI912" s="14" t="s">
        <v>124</v>
      </c>
    </row>
    <row r="913" spans="1:37">
      <c r="A913" s="5" t="s">
        <v>4101</v>
      </c>
      <c r="B913" s="5" t="s">
        <v>4102</v>
      </c>
      <c r="C913" s="6" t="s">
        <v>43</v>
      </c>
      <c r="D913" s="6" t="s">
        <v>2069</v>
      </c>
      <c r="E913" s="6" t="s">
        <v>2139</v>
      </c>
      <c r="F913" s="6" t="s">
        <v>46</v>
      </c>
      <c r="G913" s="6" t="s">
        <v>4103</v>
      </c>
      <c r="H913" s="7">
        <v>83.39</v>
      </c>
      <c r="I913" s="19" t="s">
        <v>1589</v>
      </c>
      <c r="J913" s="19" t="s">
        <v>2078</v>
      </c>
      <c r="K913" s="5" t="s">
        <v>2079</v>
      </c>
      <c r="L913" s="5" t="s">
        <v>2080</v>
      </c>
      <c r="M913" s="5" t="s">
        <v>2081</v>
      </c>
      <c r="N913" s="5" t="s">
        <v>2082</v>
      </c>
      <c r="O913" s="5" t="s">
        <v>4104</v>
      </c>
      <c r="P913" s="5" t="s">
        <v>3297</v>
      </c>
      <c r="Q913" s="5" t="s">
        <v>4105</v>
      </c>
      <c r="R913" s="5"/>
      <c r="Y913" s="5" t="s">
        <v>2086</v>
      </c>
      <c r="AG913" s="14" t="s">
        <v>55</v>
      </c>
      <c r="AH913" s="14" t="s">
        <v>1603</v>
      </c>
      <c r="AI913" s="14" t="s">
        <v>2087</v>
      </c>
    </row>
    <row r="914" spans="1:37">
      <c r="A914" s="5" t="s">
        <v>4106</v>
      </c>
      <c r="B914" s="5" t="s">
        <v>4102</v>
      </c>
      <c r="C914" s="6" t="s">
        <v>43</v>
      </c>
      <c r="D914" s="6" t="s">
        <v>2069</v>
      </c>
      <c r="E914" s="6" t="s">
        <v>2070</v>
      </c>
      <c r="F914" s="6" t="s">
        <v>46</v>
      </c>
      <c r="G914" s="6" t="s">
        <v>4107</v>
      </c>
      <c r="H914" s="7">
        <v>83.39</v>
      </c>
      <c r="I914" s="19" t="s">
        <v>1589</v>
      </c>
      <c r="J914" s="19" t="s">
        <v>2078</v>
      </c>
      <c r="K914" s="5" t="s">
        <v>2079</v>
      </c>
      <c r="L914" s="5" t="s">
        <v>2080</v>
      </c>
      <c r="M914" s="5" t="s">
        <v>2081</v>
      </c>
      <c r="N914" s="5" t="s">
        <v>2082</v>
      </c>
      <c r="O914" s="5" t="s">
        <v>4104</v>
      </c>
      <c r="P914" s="5" t="s">
        <v>3297</v>
      </c>
      <c r="Q914" s="5" t="s">
        <v>4105</v>
      </c>
      <c r="R914" s="5"/>
      <c r="Y914" s="5" t="s">
        <v>2086</v>
      </c>
      <c r="AG914" s="14" t="s">
        <v>55</v>
      </c>
      <c r="AH914" s="14" t="s">
        <v>1603</v>
      </c>
      <c r="AI914" s="14" t="s">
        <v>2087</v>
      </c>
    </row>
    <row r="915" spans="1:37">
      <c r="A915" s="5" t="s">
        <v>4108</v>
      </c>
      <c r="B915" s="5" t="s">
        <v>4102</v>
      </c>
      <c r="C915" s="6" t="s">
        <v>43</v>
      </c>
      <c r="D915" s="6" t="s">
        <v>2069</v>
      </c>
      <c r="E915" s="6" t="s">
        <v>2092</v>
      </c>
      <c r="F915" s="6" t="s">
        <v>46</v>
      </c>
      <c r="G915" s="6" t="s">
        <v>4109</v>
      </c>
      <c r="H915" s="7">
        <v>83.39</v>
      </c>
      <c r="I915" s="19" t="s">
        <v>1589</v>
      </c>
      <c r="J915" s="19" t="s">
        <v>2078</v>
      </c>
      <c r="K915" s="5" t="s">
        <v>2079</v>
      </c>
      <c r="L915" s="5" t="s">
        <v>2080</v>
      </c>
      <c r="M915" s="5" t="s">
        <v>2081</v>
      </c>
      <c r="N915" s="5" t="s">
        <v>2082</v>
      </c>
      <c r="O915" s="5" t="s">
        <v>4104</v>
      </c>
      <c r="P915" s="5" t="s">
        <v>4110</v>
      </c>
      <c r="Q915" s="5" t="s">
        <v>4105</v>
      </c>
      <c r="R915" s="5"/>
      <c r="Y915" s="5" t="s">
        <v>2086</v>
      </c>
      <c r="AG915" s="14" t="s">
        <v>55</v>
      </c>
      <c r="AH915" s="14" t="s">
        <v>1603</v>
      </c>
      <c r="AI915" s="14" t="s">
        <v>2087</v>
      </c>
    </row>
    <row r="916" spans="1:37">
      <c r="A916" s="5" t="s">
        <v>4111</v>
      </c>
      <c r="B916" s="5" t="s">
        <v>4112</v>
      </c>
      <c r="C916" s="6" t="s">
        <v>43</v>
      </c>
      <c r="D916" s="6" t="s">
        <v>2069</v>
      </c>
      <c r="E916" s="6" t="s">
        <v>2015</v>
      </c>
      <c r="F916" s="6" t="s">
        <v>46</v>
      </c>
      <c r="G916" s="6" t="s">
        <v>4113</v>
      </c>
      <c r="H916" s="7">
        <v>124.66</v>
      </c>
      <c r="I916" s="19" t="s">
        <v>1589</v>
      </c>
      <c r="J916" s="19" t="s">
        <v>2078</v>
      </c>
      <c r="K916" s="5" t="s">
        <v>2097</v>
      </c>
      <c r="L916" s="5" t="s">
        <v>2098</v>
      </c>
      <c r="M916" s="5" t="s">
        <v>2099</v>
      </c>
      <c r="N916" s="5" t="s">
        <v>2100</v>
      </c>
      <c r="O916" s="5" t="s">
        <v>4114</v>
      </c>
      <c r="P916" s="5" t="s">
        <v>4115</v>
      </c>
      <c r="Q916" s="5" t="s">
        <v>4116</v>
      </c>
      <c r="R916" s="5"/>
      <c r="Y916" s="5" t="s">
        <v>2086</v>
      </c>
      <c r="AG916" s="14" t="s">
        <v>55</v>
      </c>
      <c r="AH916" s="14" t="s">
        <v>1603</v>
      </c>
      <c r="AI916" s="14" t="s">
        <v>2087</v>
      </c>
    </row>
    <row r="917" spans="1:37">
      <c r="A917" s="5" t="s">
        <v>4117</v>
      </c>
      <c r="B917" s="5" t="s">
        <v>4112</v>
      </c>
      <c r="C917" s="6" t="s">
        <v>43</v>
      </c>
      <c r="D917" s="6" t="s">
        <v>2069</v>
      </c>
      <c r="E917" s="6" t="s">
        <v>2070</v>
      </c>
      <c r="F917" s="6" t="s">
        <v>46</v>
      </c>
      <c r="G917" s="6" t="s">
        <v>4118</v>
      </c>
      <c r="H917" s="7">
        <v>124.66</v>
      </c>
      <c r="I917" s="19" t="s">
        <v>1589</v>
      </c>
      <c r="J917" s="19" t="s">
        <v>2078</v>
      </c>
      <c r="K917" s="5" t="s">
        <v>2097</v>
      </c>
      <c r="L917" s="5" t="s">
        <v>2098</v>
      </c>
      <c r="M917" s="5" t="s">
        <v>2099</v>
      </c>
      <c r="N917" s="5" t="s">
        <v>2100</v>
      </c>
      <c r="O917" s="5" t="s">
        <v>4114</v>
      </c>
      <c r="P917" s="5" t="s">
        <v>4115</v>
      </c>
      <c r="Q917" s="5" t="s">
        <v>4116</v>
      </c>
      <c r="R917" s="5"/>
      <c r="Y917" s="5" t="s">
        <v>2086</v>
      </c>
      <c r="AG917" s="14" t="s">
        <v>55</v>
      </c>
      <c r="AH917" s="14" t="s">
        <v>1603</v>
      </c>
      <c r="AI917" s="14" t="s">
        <v>2087</v>
      </c>
    </row>
    <row r="918" spans="1:37">
      <c r="A918" s="5" t="s">
        <v>4119</v>
      </c>
      <c r="B918" s="5" t="s">
        <v>4112</v>
      </c>
      <c r="C918" s="6" t="s">
        <v>43</v>
      </c>
      <c r="D918" s="6" t="s">
        <v>2069</v>
      </c>
      <c r="E918" s="6" t="s">
        <v>1540</v>
      </c>
      <c r="F918" s="6" t="s">
        <v>46</v>
      </c>
      <c r="G918" s="6" t="s">
        <v>4120</v>
      </c>
      <c r="H918" s="7">
        <v>124.66</v>
      </c>
      <c r="I918" s="19" t="s">
        <v>1589</v>
      </c>
      <c r="J918" s="19" t="s">
        <v>2078</v>
      </c>
      <c r="K918" s="5" t="s">
        <v>2097</v>
      </c>
      <c r="L918" s="5" t="s">
        <v>2098</v>
      </c>
      <c r="M918" s="5" t="s">
        <v>2099</v>
      </c>
      <c r="N918" s="5" t="s">
        <v>2100</v>
      </c>
      <c r="O918" s="5" t="s">
        <v>4114</v>
      </c>
      <c r="P918" s="5" t="s">
        <v>4115</v>
      </c>
      <c r="Q918" s="5" t="s">
        <v>4116</v>
      </c>
      <c r="R918" s="5"/>
      <c r="Y918" s="5" t="s">
        <v>2086</v>
      </c>
      <c r="AG918" s="14" t="s">
        <v>55</v>
      </c>
      <c r="AH918" s="14" t="s">
        <v>1603</v>
      </c>
      <c r="AI918" s="14" t="s">
        <v>2087</v>
      </c>
    </row>
    <row r="919" spans="1:37">
      <c r="A919" s="6" t="s">
        <v>4121</v>
      </c>
      <c r="B919" s="6" t="s">
        <v>4122</v>
      </c>
      <c r="C919" s="6" t="s">
        <v>43</v>
      </c>
      <c r="D919" s="6" t="s">
        <v>2189</v>
      </c>
      <c r="E919" s="6" t="s">
        <v>1540</v>
      </c>
      <c r="F919" s="6" t="s">
        <v>46</v>
      </c>
      <c r="G919" s="6" t="s">
        <v>4123</v>
      </c>
      <c r="I919" s="19" t="s">
        <v>48</v>
      </c>
      <c r="J919" s="5" t="s">
        <v>48</v>
      </c>
      <c r="K919" s="6"/>
      <c r="L919" s="6"/>
      <c r="M919" s="6"/>
      <c r="N919" s="6"/>
      <c r="O919" s="6"/>
      <c r="P919" s="6"/>
      <c r="Q919" s="6"/>
      <c r="R919" s="6"/>
      <c r="S919" s="6"/>
      <c r="T919" s="6"/>
      <c r="U919" s="6"/>
      <c r="V919" s="6"/>
      <c r="W919" s="6"/>
      <c r="X919" s="6"/>
      <c r="Y919" s="6"/>
      <c r="Z919" s="6"/>
      <c r="AA919" s="6"/>
      <c r="AB919" s="6"/>
      <c r="AC919" s="6"/>
      <c r="AD919" s="6"/>
      <c r="AE919" s="6"/>
      <c r="AF919" s="6"/>
      <c r="AG919" s="15" t="s">
        <v>55</v>
      </c>
      <c r="AH919" s="15"/>
      <c r="AI919" s="15"/>
      <c r="AJ919" s="6"/>
      <c r="AK919" s="6"/>
    </row>
    <row r="920" spans="1:37" s="6" customFormat="1">
      <c r="A920" s="5" t="s">
        <v>4124</v>
      </c>
      <c r="B920" s="5" t="s">
        <v>4125</v>
      </c>
      <c r="C920" s="6" t="s">
        <v>43</v>
      </c>
      <c r="D920" s="6" t="s">
        <v>2114</v>
      </c>
      <c r="E920" s="6" t="s">
        <v>1386</v>
      </c>
      <c r="F920" s="6" t="s">
        <v>46</v>
      </c>
      <c r="G920" s="6" t="s">
        <v>4126</v>
      </c>
      <c r="H920" s="7">
        <v>46.59</v>
      </c>
      <c r="I920" s="19" t="s">
        <v>1589</v>
      </c>
      <c r="J920" s="19" t="s">
        <v>2001</v>
      </c>
      <c r="K920" s="5" t="s">
        <v>2116</v>
      </c>
      <c r="L920" s="5" t="s">
        <v>2117</v>
      </c>
      <c r="M920" s="5" t="s">
        <v>2118</v>
      </c>
      <c r="N920" s="5" t="s">
        <v>2119</v>
      </c>
      <c r="O920" s="5" t="s">
        <v>4127</v>
      </c>
      <c r="P920" s="5" t="s">
        <v>4128</v>
      </c>
      <c r="Q920" s="5" t="s">
        <v>4129</v>
      </c>
      <c r="R920" s="5"/>
      <c r="S920" s="5"/>
      <c r="T920" s="5"/>
      <c r="U920" s="5"/>
      <c r="V920" s="5"/>
      <c r="W920" s="5" t="s">
        <v>2123</v>
      </c>
      <c r="X920" s="5" t="s">
        <v>2011</v>
      </c>
      <c r="Y920" s="5" t="s">
        <v>2012</v>
      </c>
      <c r="Z920" s="5" t="s">
        <v>2013</v>
      </c>
      <c r="AA920" s="5"/>
      <c r="AB920" s="5"/>
      <c r="AC920" s="5"/>
      <c r="AD920" s="5"/>
      <c r="AE920" s="5"/>
      <c r="AF920" s="5"/>
      <c r="AG920" s="14" t="s">
        <v>55</v>
      </c>
      <c r="AH920" s="14" t="s">
        <v>1603</v>
      </c>
      <c r="AI920" s="14" t="s">
        <v>124</v>
      </c>
      <c r="AJ920" s="5"/>
      <c r="AK920" s="5"/>
    </row>
    <row r="921" spans="1:37">
      <c r="A921" s="5" t="s">
        <v>4130</v>
      </c>
      <c r="B921" s="5" t="s">
        <v>4125</v>
      </c>
      <c r="C921" s="6" t="s">
        <v>43</v>
      </c>
      <c r="D921" s="6" t="s">
        <v>2114</v>
      </c>
      <c r="E921" s="6" t="s">
        <v>2015</v>
      </c>
      <c r="F921" s="6" t="s">
        <v>46</v>
      </c>
      <c r="G921" s="6" t="s">
        <v>4131</v>
      </c>
      <c r="H921" s="7">
        <v>46.59</v>
      </c>
      <c r="I921" s="19" t="s">
        <v>1589</v>
      </c>
      <c r="J921" s="19" t="s">
        <v>2001</v>
      </c>
      <c r="K921" s="5" t="s">
        <v>2116</v>
      </c>
      <c r="L921" s="5" t="s">
        <v>2117</v>
      </c>
      <c r="M921" s="5" t="s">
        <v>2118</v>
      </c>
      <c r="N921" s="5" t="s">
        <v>2119</v>
      </c>
      <c r="O921" s="5" t="s">
        <v>4127</v>
      </c>
      <c r="P921" s="5" t="s">
        <v>4128</v>
      </c>
      <c r="Q921" s="5" t="s">
        <v>4129</v>
      </c>
      <c r="R921" s="5"/>
      <c r="W921" s="5" t="s">
        <v>2123</v>
      </c>
      <c r="X921" s="5" t="s">
        <v>2011</v>
      </c>
      <c r="Y921" s="5" t="s">
        <v>2012</v>
      </c>
      <c r="Z921" s="5" t="s">
        <v>2013</v>
      </c>
      <c r="AG921" s="14" t="s">
        <v>55</v>
      </c>
      <c r="AH921" s="14" t="s">
        <v>1603</v>
      </c>
      <c r="AI921" s="14" t="s">
        <v>124</v>
      </c>
    </row>
    <row r="922" spans="1:37">
      <c r="A922" s="6" t="s">
        <v>4132</v>
      </c>
      <c r="B922" s="6" t="s">
        <v>4133</v>
      </c>
      <c r="C922" s="6" t="s">
        <v>43</v>
      </c>
      <c r="D922" s="6" t="s">
        <v>2114</v>
      </c>
      <c r="E922" s="6" t="s">
        <v>1386</v>
      </c>
      <c r="F922" s="6" t="s">
        <v>46</v>
      </c>
      <c r="G922" s="6" t="s">
        <v>4134</v>
      </c>
      <c r="I922" s="19" t="s">
        <v>48</v>
      </c>
      <c r="J922" s="19" t="s">
        <v>48</v>
      </c>
      <c r="K922" s="6"/>
      <c r="L922" s="6"/>
      <c r="M922" s="6"/>
      <c r="N922" s="6"/>
      <c r="O922" s="6"/>
      <c r="P922" s="6"/>
      <c r="Q922" s="6"/>
      <c r="R922" s="6"/>
      <c r="S922" s="6"/>
      <c r="T922" s="6"/>
      <c r="U922" s="6"/>
      <c r="V922" s="6"/>
      <c r="W922" s="6"/>
      <c r="X922" s="6"/>
      <c r="Y922" s="6"/>
      <c r="Z922" s="6"/>
      <c r="AA922" s="6"/>
      <c r="AB922" s="6"/>
      <c r="AC922" s="6"/>
      <c r="AD922" s="6"/>
      <c r="AE922" s="6"/>
      <c r="AF922" s="6"/>
      <c r="AG922" s="15" t="s">
        <v>55</v>
      </c>
      <c r="AH922" s="15"/>
      <c r="AI922" s="15"/>
      <c r="AJ922" s="6"/>
      <c r="AK922" s="6"/>
    </row>
    <row r="923" spans="1:37" s="6" customFormat="1">
      <c r="A923" s="5" t="s">
        <v>4135</v>
      </c>
      <c r="B923" s="5" t="s">
        <v>4136</v>
      </c>
      <c r="C923" s="6" t="s">
        <v>43</v>
      </c>
      <c r="D923" s="6" t="s">
        <v>2114</v>
      </c>
      <c r="E923" s="6" t="s">
        <v>2129</v>
      </c>
      <c r="F923" s="6" t="s">
        <v>46</v>
      </c>
      <c r="G923" s="6" t="s">
        <v>4137</v>
      </c>
      <c r="H923" s="7">
        <v>60.68</v>
      </c>
      <c r="I923" s="19" t="s">
        <v>1589</v>
      </c>
      <c r="J923" s="19" t="s">
        <v>2001</v>
      </c>
      <c r="K923" s="5" t="s">
        <v>2131</v>
      </c>
      <c r="L923" s="5" t="s">
        <v>2132</v>
      </c>
      <c r="M923" s="5" t="s">
        <v>2133</v>
      </c>
      <c r="N923" s="5" t="s">
        <v>2134</v>
      </c>
      <c r="O923" s="5" t="s">
        <v>4138</v>
      </c>
      <c r="P923" s="5" t="s">
        <v>4139</v>
      </c>
      <c r="Q923" s="5" t="s">
        <v>4140</v>
      </c>
      <c r="R923" s="5"/>
      <c r="S923" s="5"/>
      <c r="T923" s="5"/>
      <c r="U923" s="5"/>
      <c r="V923" s="5"/>
      <c r="W923" s="5" t="s">
        <v>2123</v>
      </c>
      <c r="X923" s="5" t="s">
        <v>2011</v>
      </c>
      <c r="Y923" s="5" t="s">
        <v>2012</v>
      </c>
      <c r="Z923" s="5" t="s">
        <v>2013</v>
      </c>
      <c r="AA923" s="5"/>
      <c r="AB923" s="5"/>
      <c r="AC923" s="5"/>
      <c r="AD923" s="5"/>
      <c r="AE923" s="5"/>
      <c r="AF923" s="5"/>
      <c r="AG923" s="14" t="s">
        <v>55</v>
      </c>
      <c r="AH923" s="14" t="s">
        <v>1603</v>
      </c>
      <c r="AI923" s="14" t="s">
        <v>124</v>
      </c>
      <c r="AJ923" s="5"/>
      <c r="AK923" s="5"/>
    </row>
    <row r="924" spans="1:37">
      <c r="A924" s="5" t="s">
        <v>4141</v>
      </c>
      <c r="B924" s="5" t="s">
        <v>4136</v>
      </c>
      <c r="C924" s="6" t="s">
        <v>43</v>
      </c>
      <c r="D924" s="6" t="s">
        <v>2114</v>
      </c>
      <c r="E924" s="6" t="s">
        <v>1386</v>
      </c>
      <c r="F924" s="6" t="s">
        <v>46</v>
      </c>
      <c r="G924" s="6" t="s">
        <v>4142</v>
      </c>
      <c r="H924" s="7">
        <v>60.68</v>
      </c>
      <c r="I924" s="19" t="s">
        <v>1589</v>
      </c>
      <c r="J924" s="19" t="s">
        <v>2001</v>
      </c>
      <c r="K924" s="5" t="s">
        <v>2131</v>
      </c>
      <c r="L924" s="5" t="s">
        <v>2132</v>
      </c>
      <c r="M924" s="5" t="s">
        <v>2133</v>
      </c>
      <c r="N924" s="5" t="s">
        <v>2134</v>
      </c>
      <c r="O924" s="5" t="s">
        <v>4138</v>
      </c>
      <c r="P924" s="5" t="s">
        <v>4139</v>
      </c>
      <c r="Q924" s="5" t="s">
        <v>4140</v>
      </c>
      <c r="R924" s="5"/>
      <c r="W924" s="5" t="s">
        <v>2123</v>
      </c>
      <c r="X924" s="5" t="s">
        <v>2011</v>
      </c>
      <c r="Y924" s="5" t="s">
        <v>2012</v>
      </c>
      <c r="Z924" s="5" t="s">
        <v>2013</v>
      </c>
      <c r="AG924" s="14" t="s">
        <v>55</v>
      </c>
      <c r="AH924" s="14" t="s">
        <v>1603</v>
      </c>
      <c r="AI924" s="14" t="s">
        <v>124</v>
      </c>
    </row>
    <row r="925" spans="1:37">
      <c r="A925" s="5" t="s">
        <v>4143</v>
      </c>
      <c r="B925" s="5" t="s">
        <v>4136</v>
      </c>
      <c r="C925" s="6" t="s">
        <v>43</v>
      </c>
      <c r="D925" s="6" t="s">
        <v>2114</v>
      </c>
      <c r="E925" s="6" t="s">
        <v>2015</v>
      </c>
      <c r="F925" s="6" t="s">
        <v>46</v>
      </c>
      <c r="G925" s="6" t="s">
        <v>4144</v>
      </c>
      <c r="H925" s="7">
        <v>60.68</v>
      </c>
      <c r="I925" s="19" t="s">
        <v>1589</v>
      </c>
      <c r="J925" s="19" t="s">
        <v>2001</v>
      </c>
      <c r="K925" s="5" t="s">
        <v>2131</v>
      </c>
      <c r="L925" s="5" t="s">
        <v>2132</v>
      </c>
      <c r="M925" s="5" t="s">
        <v>2133</v>
      </c>
      <c r="N925" s="5" t="s">
        <v>2134</v>
      </c>
      <c r="O925" s="5" t="s">
        <v>4138</v>
      </c>
      <c r="P925" s="5" t="s">
        <v>4139</v>
      </c>
      <c r="Q925" s="5" t="s">
        <v>4140</v>
      </c>
      <c r="R925" s="5"/>
      <c r="W925" s="5" t="s">
        <v>2123</v>
      </c>
      <c r="X925" s="5" t="s">
        <v>2011</v>
      </c>
      <c r="Y925" s="5" t="s">
        <v>2012</v>
      </c>
      <c r="Z925" s="5" t="s">
        <v>2013</v>
      </c>
      <c r="AG925" s="14" t="s">
        <v>55</v>
      </c>
      <c r="AH925" s="14" t="s">
        <v>1603</v>
      </c>
      <c r="AI925" s="14" t="s">
        <v>124</v>
      </c>
    </row>
    <row r="926" spans="1:37">
      <c r="A926" s="6" t="s">
        <v>4145</v>
      </c>
      <c r="B926" s="6" t="s">
        <v>4146</v>
      </c>
      <c r="C926" s="6" t="s">
        <v>43</v>
      </c>
      <c r="D926" s="6" t="s">
        <v>2114</v>
      </c>
      <c r="E926" s="6" t="s">
        <v>1653</v>
      </c>
      <c r="F926" s="6" t="s">
        <v>46</v>
      </c>
      <c r="G926" s="6" t="s">
        <v>4147</v>
      </c>
      <c r="I926" s="19" t="s">
        <v>48</v>
      </c>
      <c r="J926" s="19" t="s">
        <v>48</v>
      </c>
      <c r="K926" s="6"/>
      <c r="L926" s="6"/>
      <c r="M926" s="6"/>
      <c r="N926" s="6"/>
      <c r="O926" s="6"/>
      <c r="P926" s="6"/>
      <c r="Q926" s="6"/>
      <c r="R926" s="6"/>
      <c r="S926" s="6"/>
      <c r="T926" s="6"/>
      <c r="U926" s="6"/>
      <c r="V926" s="6"/>
      <c r="W926" s="6"/>
      <c r="X926" s="6"/>
      <c r="Y926" s="6"/>
      <c r="Z926" s="6"/>
      <c r="AA926" s="6"/>
      <c r="AB926" s="6"/>
      <c r="AC926" s="6"/>
      <c r="AD926" s="6"/>
      <c r="AE926" s="6"/>
      <c r="AF926" s="6"/>
      <c r="AG926" s="15" t="s">
        <v>55</v>
      </c>
      <c r="AH926" s="15"/>
      <c r="AI926" s="15"/>
      <c r="AJ926" s="6"/>
      <c r="AK926" s="6"/>
    </row>
    <row r="927" spans="1:37" s="6" customFormat="1">
      <c r="A927" s="5" t="s">
        <v>4148</v>
      </c>
      <c r="B927" s="5" t="s">
        <v>4149</v>
      </c>
      <c r="C927" s="6" t="s">
        <v>43</v>
      </c>
      <c r="D927" s="6" t="s">
        <v>2114</v>
      </c>
      <c r="E927" s="6" t="s">
        <v>2139</v>
      </c>
      <c r="F927" s="6" t="s">
        <v>46</v>
      </c>
      <c r="G927" s="6" t="s">
        <v>4150</v>
      </c>
      <c r="H927" s="7">
        <v>64.06</v>
      </c>
      <c r="I927" s="19" t="s">
        <v>1589</v>
      </c>
      <c r="J927" s="19" t="s">
        <v>2001</v>
      </c>
      <c r="K927" s="6" t="s">
        <v>2148</v>
      </c>
      <c r="L927" s="6" t="s">
        <v>2149</v>
      </c>
      <c r="M927" s="6" t="s">
        <v>2150</v>
      </c>
      <c r="N927" s="6" t="s">
        <v>2151</v>
      </c>
      <c r="O927" s="6" t="s">
        <v>4151</v>
      </c>
      <c r="P927" s="6" t="s">
        <v>4152</v>
      </c>
      <c r="Q927" s="6" t="s">
        <v>4153</v>
      </c>
      <c r="R927" s="5"/>
      <c r="S927" s="5"/>
      <c r="T927" s="5"/>
      <c r="U927" s="5"/>
      <c r="V927" s="5"/>
      <c r="W927" s="20" t="s">
        <v>2010</v>
      </c>
      <c r="X927" s="20" t="s">
        <v>2011</v>
      </c>
      <c r="Y927" s="20" t="s">
        <v>2012</v>
      </c>
      <c r="Z927" s="20" t="s">
        <v>2013</v>
      </c>
      <c r="AA927" s="5"/>
      <c r="AB927" s="5"/>
      <c r="AC927" s="5"/>
      <c r="AD927" s="5"/>
      <c r="AE927" s="5"/>
      <c r="AF927" s="5"/>
      <c r="AG927" s="14" t="s">
        <v>55</v>
      </c>
      <c r="AH927" s="14" t="s">
        <v>1603</v>
      </c>
      <c r="AI927" s="14" t="s">
        <v>124</v>
      </c>
      <c r="AJ927" s="5"/>
      <c r="AK927" s="5"/>
    </row>
    <row r="928" spans="1:37">
      <c r="A928" s="5" t="s">
        <v>4154</v>
      </c>
      <c r="B928" s="5" t="s">
        <v>4149</v>
      </c>
      <c r="C928" s="6" t="s">
        <v>43</v>
      </c>
      <c r="D928" s="6" t="s">
        <v>2114</v>
      </c>
      <c r="E928" s="6" t="s">
        <v>1386</v>
      </c>
      <c r="F928" s="6" t="s">
        <v>46</v>
      </c>
      <c r="G928" s="6" t="s">
        <v>4155</v>
      </c>
      <c r="H928" s="7">
        <v>64.06</v>
      </c>
      <c r="I928" s="19" t="s">
        <v>1589</v>
      </c>
      <c r="J928" s="19" t="s">
        <v>2001</v>
      </c>
      <c r="K928" s="6" t="s">
        <v>2148</v>
      </c>
      <c r="L928" s="6" t="s">
        <v>2149</v>
      </c>
      <c r="M928" s="6" t="s">
        <v>2150</v>
      </c>
      <c r="N928" s="6" t="s">
        <v>2151</v>
      </c>
      <c r="O928" s="6" t="s">
        <v>4151</v>
      </c>
      <c r="P928" s="6" t="s">
        <v>4152</v>
      </c>
      <c r="Q928" s="6" t="s">
        <v>4153</v>
      </c>
      <c r="R928" s="5"/>
      <c r="W928" s="20" t="s">
        <v>2010</v>
      </c>
      <c r="X928" s="20" t="s">
        <v>2011</v>
      </c>
      <c r="Y928" s="20" t="s">
        <v>2012</v>
      </c>
      <c r="Z928" s="20" t="s">
        <v>2013</v>
      </c>
      <c r="AG928" s="14" t="s">
        <v>55</v>
      </c>
      <c r="AH928" s="14" t="s">
        <v>1603</v>
      </c>
      <c r="AI928" s="14" t="s">
        <v>124</v>
      </c>
    </row>
    <row r="929" spans="1:37">
      <c r="A929" s="5" t="s">
        <v>4156</v>
      </c>
      <c r="B929" s="5" t="s">
        <v>4149</v>
      </c>
      <c r="C929" s="6" t="s">
        <v>43</v>
      </c>
      <c r="D929" s="6" t="s">
        <v>2114</v>
      </c>
      <c r="E929" s="6" t="s">
        <v>2015</v>
      </c>
      <c r="F929" s="6" t="s">
        <v>46</v>
      </c>
      <c r="G929" s="6" t="s">
        <v>4157</v>
      </c>
      <c r="H929" s="7">
        <v>64.06</v>
      </c>
      <c r="I929" s="19" t="s">
        <v>1589</v>
      </c>
      <c r="J929" s="19" t="s">
        <v>2001</v>
      </c>
      <c r="K929" s="6" t="s">
        <v>2148</v>
      </c>
      <c r="L929" s="6" t="s">
        <v>2149</v>
      </c>
      <c r="M929" s="6" t="s">
        <v>2150</v>
      </c>
      <c r="N929" s="6" t="s">
        <v>2151</v>
      </c>
      <c r="O929" s="6" t="s">
        <v>4151</v>
      </c>
      <c r="P929" s="6" t="s">
        <v>4152</v>
      </c>
      <c r="Q929" s="6" t="s">
        <v>4153</v>
      </c>
      <c r="R929" s="5"/>
      <c r="W929" s="20" t="s">
        <v>2010</v>
      </c>
      <c r="X929" s="20" t="s">
        <v>2011</v>
      </c>
      <c r="Y929" s="20" t="s">
        <v>2012</v>
      </c>
      <c r="Z929" s="20" t="s">
        <v>2013</v>
      </c>
      <c r="AG929" s="14" t="s">
        <v>55</v>
      </c>
      <c r="AH929" s="14" t="s">
        <v>1603</v>
      </c>
      <c r="AI929" s="14" t="s">
        <v>124</v>
      </c>
    </row>
    <row r="930" spans="1:37">
      <c r="A930" s="6" t="s">
        <v>4158</v>
      </c>
      <c r="B930" s="6" t="s">
        <v>4159</v>
      </c>
      <c r="C930" s="6" t="s">
        <v>43</v>
      </c>
      <c r="D930" s="6" t="s">
        <v>2114</v>
      </c>
      <c r="E930" s="6" t="s">
        <v>2015</v>
      </c>
      <c r="F930" s="6" t="s">
        <v>46</v>
      </c>
      <c r="G930" s="6" t="s">
        <v>4160</v>
      </c>
      <c r="I930" s="19" t="s">
        <v>48</v>
      </c>
      <c r="J930" s="19" t="s">
        <v>48</v>
      </c>
      <c r="K930" s="6"/>
      <c r="L930" s="6"/>
      <c r="M930" s="6"/>
      <c r="N930" s="6"/>
      <c r="O930" s="6"/>
      <c r="P930" s="6"/>
      <c r="Q930" s="6"/>
      <c r="R930" s="6"/>
      <c r="S930" s="6"/>
      <c r="T930" s="6"/>
      <c r="U930" s="6"/>
      <c r="V930" s="6"/>
      <c r="W930" s="6"/>
      <c r="X930" s="6"/>
      <c r="Y930" s="6"/>
      <c r="Z930" s="6"/>
      <c r="AA930" s="6"/>
      <c r="AB930" s="6"/>
      <c r="AC930" s="6"/>
      <c r="AD930" s="6"/>
      <c r="AE930" s="6"/>
      <c r="AF930" s="6"/>
      <c r="AG930" s="15" t="s">
        <v>55</v>
      </c>
      <c r="AH930" s="15"/>
      <c r="AI930" s="15"/>
      <c r="AJ930" s="6"/>
      <c r="AK930" s="6"/>
    </row>
    <row r="931" spans="1:37" s="6" customFormat="1">
      <c r="A931" s="6" t="s">
        <v>4161</v>
      </c>
      <c r="B931" s="6" t="s">
        <v>4159</v>
      </c>
      <c r="C931" s="6" t="s">
        <v>43</v>
      </c>
      <c r="D931" s="6" t="s">
        <v>2114</v>
      </c>
      <c r="E931" s="6" t="s">
        <v>2065</v>
      </c>
      <c r="F931" s="6" t="s">
        <v>46</v>
      </c>
      <c r="G931" s="6" t="s">
        <v>4162</v>
      </c>
      <c r="H931" s="7"/>
      <c r="I931" s="19" t="s">
        <v>48</v>
      </c>
      <c r="J931" s="19" t="s">
        <v>48</v>
      </c>
      <c r="AG931" s="15" t="s">
        <v>55</v>
      </c>
      <c r="AH931" s="15"/>
      <c r="AI931" s="15"/>
    </row>
    <row r="932" spans="1:37" s="6" customFormat="1">
      <c r="A932" s="5" t="s">
        <v>4163</v>
      </c>
      <c r="B932" s="5" t="s">
        <v>4164</v>
      </c>
      <c r="C932" s="6" t="s">
        <v>43</v>
      </c>
      <c r="D932" s="6" t="s">
        <v>2114</v>
      </c>
      <c r="E932" s="6" t="s">
        <v>1386</v>
      </c>
      <c r="F932" s="6" t="s">
        <v>46</v>
      </c>
      <c r="G932" s="6" t="s">
        <v>4165</v>
      </c>
      <c r="H932" s="7">
        <v>76.23</v>
      </c>
      <c r="I932" s="19" t="s">
        <v>1589</v>
      </c>
      <c r="J932" s="19" t="s">
        <v>2162</v>
      </c>
      <c r="K932" s="5" t="s">
        <v>2163</v>
      </c>
      <c r="L932" s="5" t="s">
        <v>2164</v>
      </c>
      <c r="M932" s="5" t="s">
        <v>2165</v>
      </c>
      <c r="N932" s="5" t="s">
        <v>2166</v>
      </c>
      <c r="O932" s="5" t="s">
        <v>4166</v>
      </c>
      <c r="P932" s="5" t="s">
        <v>4167</v>
      </c>
      <c r="Q932" s="5" t="s">
        <v>4168</v>
      </c>
      <c r="R932" s="5"/>
      <c r="S932" s="5"/>
      <c r="T932" s="5"/>
      <c r="U932" s="5"/>
      <c r="V932" s="5"/>
      <c r="W932" s="5" t="s">
        <v>2170</v>
      </c>
      <c r="X932" s="5" t="s">
        <v>2171</v>
      </c>
      <c r="Y932" s="5" t="s">
        <v>2172</v>
      </c>
      <c r="Z932" s="5" t="s">
        <v>2173</v>
      </c>
      <c r="AA932" s="5"/>
      <c r="AB932" s="5"/>
      <c r="AC932" s="5"/>
      <c r="AD932" s="5"/>
      <c r="AE932" s="5"/>
      <c r="AF932" s="5"/>
      <c r="AG932" s="14" t="s">
        <v>55</v>
      </c>
      <c r="AH932" s="14" t="s">
        <v>1603</v>
      </c>
      <c r="AI932" s="14" t="s">
        <v>124</v>
      </c>
      <c r="AJ932" s="5"/>
      <c r="AK932" s="5"/>
    </row>
    <row r="933" spans="1:37">
      <c r="A933" s="5" t="s">
        <v>4169</v>
      </c>
      <c r="B933" s="5" t="s">
        <v>4170</v>
      </c>
      <c r="C933" s="6" t="s">
        <v>43</v>
      </c>
      <c r="D933" s="6" t="s">
        <v>2114</v>
      </c>
      <c r="E933" s="6" t="s">
        <v>1386</v>
      </c>
      <c r="F933" s="6" t="s">
        <v>46</v>
      </c>
      <c r="G933" s="6" t="s">
        <v>4171</v>
      </c>
      <c r="H933" s="7">
        <v>91.48</v>
      </c>
      <c r="I933" s="19" t="s">
        <v>1589</v>
      </c>
      <c r="J933" s="19" t="s">
        <v>2001</v>
      </c>
      <c r="K933" s="6" t="s">
        <v>2177</v>
      </c>
      <c r="L933" s="6" t="s">
        <v>2178</v>
      </c>
      <c r="M933" s="6" t="s">
        <v>2179</v>
      </c>
      <c r="N933" s="6" t="s">
        <v>2180</v>
      </c>
      <c r="O933" s="6" t="s">
        <v>4172</v>
      </c>
      <c r="P933" s="6" t="s">
        <v>4173</v>
      </c>
      <c r="Q933" s="6" t="s">
        <v>4174</v>
      </c>
      <c r="R933" s="5"/>
      <c r="S933" s="6"/>
      <c r="T933" s="6"/>
      <c r="U933" s="6"/>
      <c r="W933" s="20" t="s">
        <v>2010</v>
      </c>
      <c r="X933" s="20" t="s">
        <v>2011</v>
      </c>
      <c r="Y933" s="20" t="s">
        <v>2012</v>
      </c>
      <c r="Z933" s="20" t="s">
        <v>2013</v>
      </c>
      <c r="AG933" s="14" t="s">
        <v>55</v>
      </c>
      <c r="AH933" s="14" t="s">
        <v>1603</v>
      </c>
      <c r="AI933" s="14" t="s">
        <v>124</v>
      </c>
    </row>
    <row r="934" spans="1:37">
      <c r="A934" s="5" t="s">
        <v>4175</v>
      </c>
      <c r="B934" s="5" t="s">
        <v>4176</v>
      </c>
      <c r="C934" s="6" t="s">
        <v>43</v>
      </c>
      <c r="D934" s="6" t="s">
        <v>2114</v>
      </c>
      <c r="E934" s="6" t="s">
        <v>1386</v>
      </c>
      <c r="F934" s="6" t="s">
        <v>46</v>
      </c>
      <c r="G934" s="6" t="s">
        <v>4177</v>
      </c>
      <c r="H934" s="7">
        <v>132.59</v>
      </c>
      <c r="I934" s="19" t="s">
        <v>1589</v>
      </c>
      <c r="J934" s="19" t="s">
        <v>2001</v>
      </c>
      <c r="K934" s="6" t="s">
        <v>4178</v>
      </c>
      <c r="L934" s="6" t="s">
        <v>4179</v>
      </c>
      <c r="M934" s="6" t="s">
        <v>4180</v>
      </c>
      <c r="N934" s="6" t="s">
        <v>4181</v>
      </c>
      <c r="O934" s="6" t="s">
        <v>4182</v>
      </c>
      <c r="P934" s="6" t="s">
        <v>4183</v>
      </c>
      <c r="Q934" s="6" t="s">
        <v>4184</v>
      </c>
      <c r="R934" s="5"/>
      <c r="S934" s="6"/>
      <c r="T934" s="6"/>
      <c r="W934" s="20" t="s">
        <v>2010</v>
      </c>
      <c r="X934" s="20" t="s">
        <v>2011</v>
      </c>
      <c r="Y934" s="20" t="s">
        <v>2012</v>
      </c>
      <c r="Z934" s="20" t="s">
        <v>2013</v>
      </c>
      <c r="AG934" s="14" t="s">
        <v>55</v>
      </c>
      <c r="AH934" s="14" t="s">
        <v>1603</v>
      </c>
      <c r="AI934" s="14" t="s">
        <v>124</v>
      </c>
    </row>
    <row r="935" spans="1:37">
      <c r="A935" s="5" t="s">
        <v>4185</v>
      </c>
      <c r="B935" s="5" t="s">
        <v>4176</v>
      </c>
      <c r="C935" s="6" t="s">
        <v>43</v>
      </c>
      <c r="D935" s="6" t="s">
        <v>2114</v>
      </c>
      <c r="E935" s="6" t="s">
        <v>2015</v>
      </c>
      <c r="F935" s="6" t="s">
        <v>46</v>
      </c>
      <c r="G935" s="6" t="s">
        <v>4186</v>
      </c>
      <c r="H935" s="7">
        <v>132.59</v>
      </c>
      <c r="I935" s="19" t="s">
        <v>1589</v>
      </c>
      <c r="J935" s="19" t="s">
        <v>2001</v>
      </c>
      <c r="K935" s="6" t="s">
        <v>4178</v>
      </c>
      <c r="L935" s="6" t="s">
        <v>4179</v>
      </c>
      <c r="M935" s="6" t="s">
        <v>4180</v>
      </c>
      <c r="N935" s="6" t="s">
        <v>4181</v>
      </c>
      <c r="O935" s="6" t="s">
        <v>4182</v>
      </c>
      <c r="P935" s="6" t="s">
        <v>4183</v>
      </c>
      <c r="Q935" s="6" t="s">
        <v>4184</v>
      </c>
      <c r="R935" s="5"/>
      <c r="W935" s="20" t="s">
        <v>2010</v>
      </c>
      <c r="X935" s="20" t="s">
        <v>2011</v>
      </c>
      <c r="Y935" s="20" t="s">
        <v>2012</v>
      </c>
      <c r="Z935" s="20" t="s">
        <v>2013</v>
      </c>
      <c r="AG935" s="14" t="s">
        <v>55</v>
      </c>
      <c r="AH935" s="14" t="s">
        <v>1603</v>
      </c>
      <c r="AI935" s="14" t="s">
        <v>124</v>
      </c>
    </row>
    <row r="936" spans="1:37">
      <c r="A936" s="5" t="s">
        <v>4187</v>
      </c>
      <c r="B936" s="5" t="s">
        <v>4188</v>
      </c>
      <c r="C936" s="6" t="s">
        <v>43</v>
      </c>
      <c r="D936" s="6" t="s">
        <v>239</v>
      </c>
      <c r="E936" s="6" t="s">
        <v>1540</v>
      </c>
      <c r="F936" s="6" t="s">
        <v>46</v>
      </c>
      <c r="G936" s="6" t="s">
        <v>4189</v>
      </c>
      <c r="H936" s="7">
        <v>103.6</v>
      </c>
      <c r="I936" s="19" t="s">
        <v>1589</v>
      </c>
      <c r="J936" s="19" t="s">
        <v>2254</v>
      </c>
      <c r="K936" s="5" t="s">
        <v>4190</v>
      </c>
      <c r="L936" s="5" t="s">
        <v>4191</v>
      </c>
      <c r="M936" s="5" t="s">
        <v>4192</v>
      </c>
      <c r="N936" s="5" t="s">
        <v>4193</v>
      </c>
      <c r="O936" s="5" t="s">
        <v>4194</v>
      </c>
      <c r="P936" s="5" t="s">
        <v>4195</v>
      </c>
      <c r="Q936" s="5" t="s">
        <v>4196</v>
      </c>
      <c r="R936" s="5" t="s">
        <v>4197</v>
      </c>
      <c r="AG936" s="14" t="s">
        <v>55</v>
      </c>
      <c r="AH936" s="14" t="s">
        <v>1603</v>
      </c>
      <c r="AI936" s="14" t="s">
        <v>2264</v>
      </c>
    </row>
    <row r="937" spans="1:37">
      <c r="A937" s="6" t="s">
        <v>4198</v>
      </c>
      <c r="B937" s="6" t="s">
        <v>4199</v>
      </c>
      <c r="C937" s="6" t="s">
        <v>43</v>
      </c>
      <c r="D937" s="6" t="s">
        <v>239</v>
      </c>
      <c r="E937" s="6" t="s">
        <v>2070</v>
      </c>
      <c r="F937" s="6" t="s">
        <v>46</v>
      </c>
      <c r="G937" s="6" t="s">
        <v>4200</v>
      </c>
      <c r="I937" s="19" t="s">
        <v>48</v>
      </c>
      <c r="J937" s="19" t="s">
        <v>48</v>
      </c>
      <c r="K937" s="6"/>
      <c r="L937" s="6"/>
      <c r="M937" s="6"/>
      <c r="N937" s="6"/>
      <c r="O937" s="6"/>
      <c r="P937" s="6"/>
      <c r="Q937" s="6"/>
      <c r="R937" s="6"/>
      <c r="S937" s="6"/>
      <c r="T937" s="6"/>
      <c r="U937" s="6"/>
      <c r="V937" s="6"/>
      <c r="W937" s="6"/>
      <c r="X937" s="6"/>
      <c r="Y937" s="6"/>
      <c r="Z937" s="6"/>
      <c r="AA937" s="6"/>
      <c r="AB937" s="6"/>
      <c r="AC937" s="6"/>
      <c r="AD937" s="6"/>
      <c r="AE937" s="6"/>
      <c r="AF937" s="6"/>
      <c r="AG937" s="15" t="s">
        <v>55</v>
      </c>
      <c r="AH937" s="15"/>
      <c r="AI937" s="15"/>
      <c r="AJ937" s="6"/>
      <c r="AK937" s="6"/>
    </row>
    <row r="938" spans="1:37" s="6" customFormat="1">
      <c r="A938" s="5" t="s">
        <v>4201</v>
      </c>
      <c r="B938" s="5" t="s">
        <v>4202</v>
      </c>
      <c r="C938" s="6" t="s">
        <v>43</v>
      </c>
      <c r="D938" s="6" t="s">
        <v>2189</v>
      </c>
      <c r="E938" s="6" t="s">
        <v>1386</v>
      </c>
      <c r="F938" s="6" t="s">
        <v>46</v>
      </c>
      <c r="G938" s="6" t="s">
        <v>4203</v>
      </c>
      <c r="H938" s="7">
        <v>59.68</v>
      </c>
      <c r="I938" s="19" t="s">
        <v>1589</v>
      </c>
      <c r="J938" s="19" t="s">
        <v>2191</v>
      </c>
      <c r="K938" s="5" t="s">
        <v>2192</v>
      </c>
      <c r="L938" s="5" t="s">
        <v>2193</v>
      </c>
      <c r="M938" s="5" t="s">
        <v>2194</v>
      </c>
      <c r="N938" s="5" t="s">
        <v>2195</v>
      </c>
      <c r="O938" s="5" t="s">
        <v>4204</v>
      </c>
      <c r="P938" s="5" t="s">
        <v>4205</v>
      </c>
      <c r="Q938" s="5" t="s">
        <v>4206</v>
      </c>
      <c r="R938" s="5"/>
      <c r="S938" s="5"/>
      <c r="T938" s="5"/>
      <c r="U938" s="5"/>
      <c r="V938" s="5"/>
      <c r="W938" s="5"/>
      <c r="X938" s="5"/>
      <c r="Y938" s="5" t="s">
        <v>2086</v>
      </c>
      <c r="Z938" s="5"/>
      <c r="AA938" s="5"/>
      <c r="AB938" s="5"/>
      <c r="AC938" s="5"/>
      <c r="AD938" s="5"/>
      <c r="AE938" s="5"/>
      <c r="AF938" s="5"/>
      <c r="AG938" s="14" t="s">
        <v>55</v>
      </c>
      <c r="AH938" s="14" t="s">
        <v>1603</v>
      </c>
      <c r="AI938" s="14" t="s">
        <v>2087</v>
      </c>
      <c r="AJ938" s="5"/>
      <c r="AK938" s="5"/>
    </row>
    <row r="939" spans="1:37">
      <c r="A939" s="5" t="s">
        <v>4207</v>
      </c>
      <c r="B939" s="5" t="s">
        <v>4202</v>
      </c>
      <c r="C939" s="6" t="s">
        <v>43</v>
      </c>
      <c r="D939" s="6" t="s">
        <v>2189</v>
      </c>
      <c r="E939" s="6" t="s">
        <v>2015</v>
      </c>
      <c r="F939" s="6" t="s">
        <v>46</v>
      </c>
      <c r="G939" s="6" t="s">
        <v>4208</v>
      </c>
      <c r="H939" s="7">
        <v>59.68</v>
      </c>
      <c r="I939" s="19" t="s">
        <v>1589</v>
      </c>
      <c r="J939" s="19" t="s">
        <v>2191</v>
      </c>
      <c r="K939" s="5" t="s">
        <v>2192</v>
      </c>
      <c r="L939" s="5" t="s">
        <v>2193</v>
      </c>
      <c r="M939" s="5" t="s">
        <v>2194</v>
      </c>
      <c r="N939" s="5" t="s">
        <v>2195</v>
      </c>
      <c r="O939" s="5" t="s">
        <v>4204</v>
      </c>
      <c r="P939" s="5" t="s">
        <v>4205</v>
      </c>
      <c r="Q939" s="5" t="s">
        <v>4206</v>
      </c>
      <c r="R939" s="5"/>
      <c r="Y939" s="5" t="s">
        <v>2086</v>
      </c>
      <c r="AG939" s="14" t="s">
        <v>55</v>
      </c>
      <c r="AH939" s="14" t="s">
        <v>1603</v>
      </c>
      <c r="AI939" s="14" t="s">
        <v>2087</v>
      </c>
    </row>
    <row r="940" spans="1:37">
      <c r="A940" s="5" t="s">
        <v>4209</v>
      </c>
      <c r="B940" s="5" t="s">
        <v>4210</v>
      </c>
      <c r="C940" s="6" t="s">
        <v>43</v>
      </c>
      <c r="D940" s="6" t="s">
        <v>2189</v>
      </c>
      <c r="E940" s="6" t="s">
        <v>2015</v>
      </c>
      <c r="F940" s="6" t="s">
        <v>46</v>
      </c>
      <c r="G940" s="6" t="s">
        <v>4211</v>
      </c>
      <c r="H940" s="7">
        <v>60.2</v>
      </c>
      <c r="I940" s="19" t="s">
        <v>1589</v>
      </c>
      <c r="J940" s="19" t="s">
        <v>2191</v>
      </c>
      <c r="K940" s="5" t="s">
        <v>3364</v>
      </c>
      <c r="L940" s="5" t="s">
        <v>3365</v>
      </c>
      <c r="M940" s="5" t="s">
        <v>3366</v>
      </c>
      <c r="N940" s="5" t="s">
        <v>3367</v>
      </c>
      <c r="O940" s="5" t="s">
        <v>4212</v>
      </c>
      <c r="P940" s="5" t="s">
        <v>4213</v>
      </c>
      <c r="Q940" s="5" t="s">
        <v>4214</v>
      </c>
      <c r="R940" s="5"/>
      <c r="AG940" s="14" t="s">
        <v>55</v>
      </c>
      <c r="AH940" s="14" t="s">
        <v>1603</v>
      </c>
      <c r="AI940" s="14" t="s">
        <v>2087</v>
      </c>
    </row>
    <row r="941" spans="1:37">
      <c r="A941" s="5" t="s">
        <v>4215</v>
      </c>
      <c r="B941" s="5" t="s">
        <v>4216</v>
      </c>
      <c r="C941" s="6" t="s">
        <v>43</v>
      </c>
      <c r="D941" s="6" t="s">
        <v>2189</v>
      </c>
      <c r="E941" s="6" t="s">
        <v>2015</v>
      </c>
      <c r="F941" s="6" t="s">
        <v>46</v>
      </c>
      <c r="G941" s="6" t="s">
        <v>4217</v>
      </c>
      <c r="H941" s="7">
        <v>70.53</v>
      </c>
      <c r="I941" s="19" t="s">
        <v>1589</v>
      </c>
      <c r="J941" s="19" t="s">
        <v>2191</v>
      </c>
      <c r="K941" s="5" t="s">
        <v>2218</v>
      </c>
      <c r="L941" s="5" t="s">
        <v>2219</v>
      </c>
      <c r="M941" s="5" t="s">
        <v>2220</v>
      </c>
      <c r="N941" s="5" t="s">
        <v>2221</v>
      </c>
      <c r="O941" s="5" t="s">
        <v>4218</v>
      </c>
      <c r="P941" s="5" t="s">
        <v>4219</v>
      </c>
      <c r="Q941" s="5" t="s">
        <v>4220</v>
      </c>
      <c r="R941" s="5"/>
      <c r="AG941" s="14" t="s">
        <v>55</v>
      </c>
      <c r="AH941" s="14" t="s">
        <v>1603</v>
      </c>
      <c r="AI941" s="14" t="s">
        <v>2087</v>
      </c>
    </row>
    <row r="942" spans="1:37">
      <c r="A942" s="5" t="s">
        <v>4221</v>
      </c>
      <c r="B942" s="5" t="s">
        <v>4216</v>
      </c>
      <c r="C942" s="6" t="s">
        <v>43</v>
      </c>
      <c r="D942" s="6" t="s">
        <v>2189</v>
      </c>
      <c r="E942" s="6" t="s">
        <v>2070</v>
      </c>
      <c r="F942" s="6" t="s">
        <v>46</v>
      </c>
      <c r="G942" s="6" t="s">
        <v>4222</v>
      </c>
      <c r="H942" s="7">
        <v>70.53</v>
      </c>
      <c r="I942" s="19" t="s">
        <v>1589</v>
      </c>
      <c r="J942" s="19" t="s">
        <v>2191</v>
      </c>
      <c r="K942" s="5" t="s">
        <v>2218</v>
      </c>
      <c r="L942" s="5" t="s">
        <v>2219</v>
      </c>
      <c r="M942" s="5" t="s">
        <v>2220</v>
      </c>
      <c r="N942" s="5" t="s">
        <v>2221</v>
      </c>
      <c r="O942" s="5" t="s">
        <v>4218</v>
      </c>
      <c r="P942" s="5" t="s">
        <v>4219</v>
      </c>
      <c r="Q942" s="5" t="s">
        <v>4220</v>
      </c>
      <c r="R942" s="5"/>
      <c r="AG942" s="14" t="s">
        <v>55</v>
      </c>
      <c r="AH942" s="14" t="s">
        <v>1603</v>
      </c>
      <c r="AI942" s="14" t="s">
        <v>2087</v>
      </c>
    </row>
    <row r="943" spans="1:37">
      <c r="A943" s="5" t="s">
        <v>4223</v>
      </c>
      <c r="B943" s="5" t="s">
        <v>4216</v>
      </c>
      <c r="C943" s="6" t="s">
        <v>43</v>
      </c>
      <c r="D943" s="6" t="s">
        <v>2189</v>
      </c>
      <c r="E943" s="6" t="s">
        <v>1540</v>
      </c>
      <c r="F943" s="6" t="s">
        <v>46</v>
      </c>
      <c r="G943" s="6" t="s">
        <v>4224</v>
      </c>
      <c r="H943" s="7">
        <v>70.53</v>
      </c>
      <c r="I943" s="19" t="s">
        <v>1589</v>
      </c>
      <c r="J943" s="19" t="s">
        <v>2191</v>
      </c>
      <c r="K943" s="5" t="s">
        <v>2218</v>
      </c>
      <c r="L943" s="5" t="s">
        <v>2219</v>
      </c>
      <c r="M943" s="5" t="s">
        <v>2220</v>
      </c>
      <c r="N943" s="5" t="s">
        <v>2221</v>
      </c>
      <c r="O943" s="5" t="s">
        <v>4218</v>
      </c>
      <c r="P943" s="5" t="s">
        <v>4219</v>
      </c>
      <c r="Q943" s="5" t="s">
        <v>4220</v>
      </c>
      <c r="R943" s="5"/>
      <c r="AG943" s="14" t="s">
        <v>55</v>
      </c>
      <c r="AH943" s="14" t="s">
        <v>1603</v>
      </c>
      <c r="AI943" s="14" t="s">
        <v>2087</v>
      </c>
    </row>
    <row r="944" spans="1:37">
      <c r="A944" s="5" t="s">
        <v>4225</v>
      </c>
      <c r="B944" s="5" t="s">
        <v>4216</v>
      </c>
      <c r="C944" s="6" t="s">
        <v>43</v>
      </c>
      <c r="D944" s="6" t="s">
        <v>2189</v>
      </c>
      <c r="E944" s="6" t="s">
        <v>2092</v>
      </c>
      <c r="F944" s="6" t="s">
        <v>46</v>
      </c>
      <c r="G944" s="6" t="s">
        <v>3036</v>
      </c>
      <c r="H944" s="7">
        <v>70.53</v>
      </c>
      <c r="I944" s="19" t="s">
        <v>1589</v>
      </c>
      <c r="J944" s="19" t="s">
        <v>2191</v>
      </c>
      <c r="K944" s="5" t="s">
        <v>2218</v>
      </c>
      <c r="L944" s="5" t="s">
        <v>2219</v>
      </c>
      <c r="M944" s="5" t="s">
        <v>2220</v>
      </c>
      <c r="N944" s="5" t="s">
        <v>2221</v>
      </c>
      <c r="O944" s="5" t="s">
        <v>4218</v>
      </c>
      <c r="P944" s="5" t="s">
        <v>4219</v>
      </c>
      <c r="Q944" s="5" t="s">
        <v>4220</v>
      </c>
      <c r="R944" s="5"/>
      <c r="AG944" s="14" t="s">
        <v>55</v>
      </c>
      <c r="AH944" s="14" t="s">
        <v>1603</v>
      </c>
      <c r="AI944" s="14" t="s">
        <v>2087</v>
      </c>
    </row>
    <row r="945" spans="1:50">
      <c r="A945" s="5" t="s">
        <v>4226</v>
      </c>
      <c r="B945" s="5" t="s">
        <v>4227</v>
      </c>
      <c r="C945" s="6" t="s">
        <v>43</v>
      </c>
      <c r="D945" s="6" t="s">
        <v>2189</v>
      </c>
      <c r="E945" s="6" t="s">
        <v>2070</v>
      </c>
      <c r="F945" s="6" t="s">
        <v>46</v>
      </c>
      <c r="G945" s="6" t="s">
        <v>4228</v>
      </c>
      <c r="H945" s="7">
        <v>93.4</v>
      </c>
      <c r="I945" s="19" t="s">
        <v>1589</v>
      </c>
      <c r="J945" s="19" t="s">
        <v>2191</v>
      </c>
      <c r="K945" s="5" t="s">
        <v>2242</v>
      </c>
      <c r="L945" s="5" t="s">
        <v>2243</v>
      </c>
      <c r="M945" s="5" t="s">
        <v>2244</v>
      </c>
      <c r="N945" s="5" t="s">
        <v>2245</v>
      </c>
      <c r="O945" s="5" t="s">
        <v>4229</v>
      </c>
      <c r="P945" s="5" t="s">
        <v>4230</v>
      </c>
      <c r="Q945" s="5" t="s">
        <v>4231</v>
      </c>
      <c r="R945" s="5"/>
      <c r="Y945" s="5" t="s">
        <v>2086</v>
      </c>
      <c r="AG945" s="14" t="s">
        <v>55</v>
      </c>
      <c r="AH945" s="14" t="s">
        <v>1603</v>
      </c>
      <c r="AI945" s="14" t="s">
        <v>2087</v>
      </c>
    </row>
    <row r="946" spans="1:50">
      <c r="A946" s="5" t="s">
        <v>4232</v>
      </c>
      <c r="B946" s="5" t="s">
        <v>4227</v>
      </c>
      <c r="C946" s="6" t="s">
        <v>43</v>
      </c>
      <c r="D946" s="6" t="s">
        <v>2189</v>
      </c>
      <c r="E946" s="6" t="s">
        <v>1540</v>
      </c>
      <c r="F946" s="6" t="s">
        <v>46</v>
      </c>
      <c r="G946" s="6" t="s">
        <v>4233</v>
      </c>
      <c r="H946" s="7">
        <v>93.4</v>
      </c>
      <c r="I946" s="19" t="s">
        <v>1589</v>
      </c>
      <c r="J946" s="19" t="s">
        <v>2191</v>
      </c>
      <c r="K946" s="5" t="s">
        <v>2242</v>
      </c>
      <c r="L946" s="5" t="s">
        <v>2243</v>
      </c>
      <c r="M946" s="5" t="s">
        <v>2244</v>
      </c>
      <c r="N946" s="5" t="s">
        <v>2245</v>
      </c>
      <c r="O946" s="5" t="s">
        <v>4229</v>
      </c>
      <c r="P946" s="5" t="s">
        <v>4230</v>
      </c>
      <c r="Q946" s="5" t="s">
        <v>4231</v>
      </c>
      <c r="R946" s="5"/>
      <c r="Y946" s="5" t="s">
        <v>2086</v>
      </c>
      <c r="AG946" s="14" t="s">
        <v>55</v>
      </c>
      <c r="AH946" s="14" t="s">
        <v>1603</v>
      </c>
      <c r="AI946" s="14" t="s">
        <v>2087</v>
      </c>
    </row>
    <row r="947" spans="1:50">
      <c r="A947" s="5" t="s">
        <v>4234</v>
      </c>
      <c r="B947" s="5" t="s">
        <v>4235</v>
      </c>
      <c r="C947" s="6" t="s">
        <v>43</v>
      </c>
      <c r="D947" s="6" t="s">
        <v>239</v>
      </c>
      <c r="E947" s="6" t="s">
        <v>1540</v>
      </c>
      <c r="F947" s="6" t="s">
        <v>46</v>
      </c>
      <c r="G947" s="6" t="s">
        <v>4224</v>
      </c>
      <c r="H947" s="7">
        <v>85</v>
      </c>
      <c r="I947" s="19" t="s">
        <v>1589</v>
      </c>
      <c r="J947" s="19" t="s">
        <v>2254</v>
      </c>
      <c r="K947" s="5" t="s">
        <v>2255</v>
      </c>
      <c r="L947" s="5" t="s">
        <v>2256</v>
      </c>
      <c r="M947" s="5" t="s">
        <v>2257</v>
      </c>
      <c r="N947" s="5" t="s">
        <v>2258</v>
      </c>
      <c r="O947" s="5" t="s">
        <v>4236</v>
      </c>
      <c r="P947" s="5" t="s">
        <v>4237</v>
      </c>
      <c r="Q947" s="5" t="s">
        <v>4238</v>
      </c>
      <c r="R947" s="5" t="s">
        <v>4239</v>
      </c>
      <c r="Y947" s="5" t="s">
        <v>2263</v>
      </c>
      <c r="AG947" s="14" t="s">
        <v>55</v>
      </c>
      <c r="AH947" s="14" t="s">
        <v>1603</v>
      </c>
      <c r="AI947" s="14" t="s">
        <v>2264</v>
      </c>
    </row>
    <row r="948" spans="1:50">
      <c r="A948" s="5" t="s">
        <v>4240</v>
      </c>
      <c r="B948" s="5" t="s">
        <v>4241</v>
      </c>
      <c r="C948" s="6" t="s">
        <v>4242</v>
      </c>
      <c r="D948" s="6" t="s">
        <v>2189</v>
      </c>
      <c r="E948" s="6" t="s">
        <v>1540</v>
      </c>
      <c r="F948" s="6" t="s">
        <v>46</v>
      </c>
      <c r="G948" s="6" t="s">
        <v>4243</v>
      </c>
      <c r="H948" s="7">
        <v>110</v>
      </c>
      <c r="I948" s="19" t="s">
        <v>1589</v>
      </c>
      <c r="J948" s="19" t="s">
        <v>2191</v>
      </c>
      <c r="K948" s="5" t="s">
        <v>4244</v>
      </c>
      <c r="L948" s="5" t="s">
        <v>4245</v>
      </c>
      <c r="M948" s="5" t="s">
        <v>4246</v>
      </c>
      <c r="N948" s="5" t="s">
        <v>4247</v>
      </c>
      <c r="O948" s="5" t="s">
        <v>4248</v>
      </c>
      <c r="P948" s="5" t="s">
        <v>4249</v>
      </c>
      <c r="Q948" s="5" t="s">
        <v>4250</v>
      </c>
      <c r="R948" s="5"/>
      <c r="AG948" s="14" t="s">
        <v>55</v>
      </c>
      <c r="AH948" s="14" t="s">
        <v>1603</v>
      </c>
      <c r="AI948" s="14" t="s">
        <v>2087</v>
      </c>
    </row>
    <row r="949" spans="1:50">
      <c r="A949" s="5" t="s">
        <v>4251</v>
      </c>
      <c r="B949" s="5" t="s">
        <v>4252</v>
      </c>
      <c r="C949" s="6" t="s">
        <v>43</v>
      </c>
      <c r="D949" s="6" t="s">
        <v>239</v>
      </c>
      <c r="E949" s="6" t="s">
        <v>1540</v>
      </c>
      <c r="F949" s="6" t="s">
        <v>46</v>
      </c>
      <c r="G949" s="6" t="s">
        <v>3929</v>
      </c>
      <c r="H949" s="7">
        <v>88.75</v>
      </c>
      <c r="I949" s="19" t="s">
        <v>1589</v>
      </c>
      <c r="J949" s="19" t="s">
        <v>2254</v>
      </c>
      <c r="K949" s="5" t="s">
        <v>2271</v>
      </c>
      <c r="L949" s="5" t="s">
        <v>2272</v>
      </c>
      <c r="M949" s="5" t="s">
        <v>2273</v>
      </c>
      <c r="N949" s="5" t="s">
        <v>2274</v>
      </c>
      <c r="O949" s="5" t="s">
        <v>4253</v>
      </c>
      <c r="P949" s="5" t="s">
        <v>4254</v>
      </c>
      <c r="Q949" s="5" t="s">
        <v>4255</v>
      </c>
      <c r="R949" s="5" t="s">
        <v>4256</v>
      </c>
      <c r="Y949" s="5" t="s">
        <v>2263</v>
      </c>
      <c r="AG949" s="14" t="s">
        <v>55</v>
      </c>
      <c r="AH949" s="14" t="s">
        <v>1603</v>
      </c>
      <c r="AI949" s="14" t="s">
        <v>2264</v>
      </c>
    </row>
    <row r="950" spans="1:50">
      <c r="A950" s="5" t="s">
        <v>4257</v>
      </c>
      <c r="B950" s="5" t="s">
        <v>4258</v>
      </c>
      <c r="C950" s="6" t="s">
        <v>2281</v>
      </c>
      <c r="D950" s="6" t="s">
        <v>1645</v>
      </c>
      <c r="E950" s="6" t="s">
        <v>1386</v>
      </c>
      <c r="F950" s="6" t="s">
        <v>46</v>
      </c>
      <c r="G950" s="6" t="s">
        <v>4259</v>
      </c>
      <c r="H950" s="7">
        <v>96.8</v>
      </c>
      <c r="I950" s="19" t="s">
        <v>2283</v>
      </c>
      <c r="J950" s="19" t="s">
        <v>2284</v>
      </c>
      <c r="K950" s="6" t="s">
        <v>2285</v>
      </c>
      <c r="L950" s="6" t="s">
        <v>2286</v>
      </c>
      <c r="M950" s="6" t="s">
        <v>2287</v>
      </c>
      <c r="N950" s="6" t="s">
        <v>2288</v>
      </c>
      <c r="O950" s="6" t="s">
        <v>4260</v>
      </c>
      <c r="P950" s="6" t="s">
        <v>4261</v>
      </c>
      <c r="Q950" s="6" t="s">
        <v>4262</v>
      </c>
      <c r="R950" s="6" t="s">
        <v>4263</v>
      </c>
      <c r="AG950" s="14" t="s">
        <v>55</v>
      </c>
      <c r="AH950" s="14" t="s">
        <v>1603</v>
      </c>
      <c r="AI950" s="14" t="s">
        <v>1603</v>
      </c>
    </row>
    <row r="951" spans="1:50">
      <c r="A951" s="5" t="s">
        <v>4264</v>
      </c>
      <c r="B951" s="5" t="s">
        <v>4265</v>
      </c>
      <c r="C951" s="6" t="s">
        <v>43</v>
      </c>
      <c r="D951" s="6" t="s">
        <v>1645</v>
      </c>
      <c r="E951" s="6" t="s">
        <v>1386</v>
      </c>
      <c r="F951" s="6" t="s">
        <v>46</v>
      </c>
      <c r="G951" s="6" t="s">
        <v>4266</v>
      </c>
      <c r="H951" s="7">
        <v>172.04</v>
      </c>
      <c r="I951" s="19" t="s">
        <v>2283</v>
      </c>
      <c r="J951" s="19" t="s">
        <v>2284</v>
      </c>
      <c r="K951" s="6" t="s">
        <v>4267</v>
      </c>
      <c r="L951" s="6" t="s">
        <v>4268</v>
      </c>
      <c r="M951" s="6" t="s">
        <v>4269</v>
      </c>
      <c r="N951" s="6" t="s">
        <v>4270</v>
      </c>
      <c r="O951" s="6" t="s">
        <v>4271</v>
      </c>
      <c r="P951" s="6" t="s">
        <v>4272</v>
      </c>
      <c r="Q951" s="6" t="s">
        <v>4273</v>
      </c>
      <c r="R951" s="6" t="s">
        <v>4274</v>
      </c>
      <c r="AG951" s="14" t="s">
        <v>55</v>
      </c>
      <c r="AH951" s="14" t="s">
        <v>1603</v>
      </c>
      <c r="AI951" s="14" t="s">
        <v>1603</v>
      </c>
    </row>
    <row r="952" spans="1:50">
      <c r="A952" s="5" t="s">
        <v>4275</v>
      </c>
      <c r="B952" s="5" t="s">
        <v>4276</v>
      </c>
      <c r="C952" s="6" t="s">
        <v>43</v>
      </c>
      <c r="D952" s="6" t="s">
        <v>1645</v>
      </c>
      <c r="E952" s="6" t="s">
        <v>1386</v>
      </c>
      <c r="F952" s="6" t="s">
        <v>46</v>
      </c>
      <c r="G952" s="6" t="s">
        <v>4277</v>
      </c>
      <c r="H952" s="7">
        <v>172.04</v>
      </c>
      <c r="I952" s="19" t="s">
        <v>2283</v>
      </c>
      <c r="J952" s="19" t="s">
        <v>2284</v>
      </c>
      <c r="K952" s="6" t="s">
        <v>4278</v>
      </c>
      <c r="L952" s="6" t="s">
        <v>4279</v>
      </c>
      <c r="M952" s="6" t="s">
        <v>4280</v>
      </c>
      <c r="N952" s="6" t="s">
        <v>4281</v>
      </c>
      <c r="O952" s="6" t="s">
        <v>4282</v>
      </c>
      <c r="P952" s="6" t="s">
        <v>4283</v>
      </c>
      <c r="Q952" s="6" t="s">
        <v>4284</v>
      </c>
      <c r="R952" s="6" t="s">
        <v>4285</v>
      </c>
      <c r="AG952" s="14" t="s">
        <v>55</v>
      </c>
      <c r="AH952" s="14" t="s">
        <v>1603</v>
      </c>
      <c r="AI952" s="14" t="s">
        <v>1603</v>
      </c>
    </row>
    <row r="953" spans="1:50">
      <c r="A953" s="5" t="s">
        <v>4286</v>
      </c>
      <c r="B953" s="5" t="s">
        <v>4276</v>
      </c>
      <c r="C953" s="6" t="s">
        <v>43</v>
      </c>
      <c r="D953" s="6" t="s">
        <v>1645</v>
      </c>
      <c r="E953" s="6" t="s">
        <v>2461</v>
      </c>
      <c r="F953" s="6" t="s">
        <v>46</v>
      </c>
      <c r="G953" s="6" t="s">
        <v>4287</v>
      </c>
      <c r="H953" s="7">
        <v>172.04</v>
      </c>
      <c r="I953" s="19" t="s">
        <v>2283</v>
      </c>
      <c r="J953" s="19" t="s">
        <v>2284</v>
      </c>
      <c r="K953" s="6" t="s">
        <v>4278</v>
      </c>
      <c r="L953" s="6" t="s">
        <v>4279</v>
      </c>
      <c r="M953" s="6" t="s">
        <v>4280</v>
      </c>
      <c r="N953" s="6" t="s">
        <v>4281</v>
      </c>
      <c r="O953" s="6" t="s">
        <v>4282</v>
      </c>
      <c r="P953" s="6" t="s">
        <v>4283</v>
      </c>
      <c r="Q953" s="6" t="s">
        <v>4284</v>
      </c>
      <c r="R953" s="6" t="s">
        <v>4285</v>
      </c>
      <c r="AG953" s="14" t="s">
        <v>55</v>
      </c>
      <c r="AH953" s="14" t="s">
        <v>1603</v>
      </c>
      <c r="AI953" s="14" t="s">
        <v>1603</v>
      </c>
    </row>
    <row r="954" spans="1:50">
      <c r="A954" s="5" t="s">
        <v>4288</v>
      </c>
      <c r="B954" s="5" t="s">
        <v>4289</v>
      </c>
      <c r="C954" s="6" t="s">
        <v>4290</v>
      </c>
      <c r="D954" s="6" t="s">
        <v>1645</v>
      </c>
      <c r="E954" s="6" t="s">
        <v>1386</v>
      </c>
      <c r="F954" s="6" t="s">
        <v>46</v>
      </c>
      <c r="G954" s="6" t="s">
        <v>4291</v>
      </c>
      <c r="H954" s="7">
        <v>142.44999999999999</v>
      </c>
      <c r="I954" s="19" t="s">
        <v>2283</v>
      </c>
      <c r="J954" s="19" t="s">
        <v>2284</v>
      </c>
      <c r="K954" s="6" t="s">
        <v>4292</v>
      </c>
      <c r="L954" s="6" t="s">
        <v>4293</v>
      </c>
      <c r="M954" s="6" t="s">
        <v>4294</v>
      </c>
      <c r="N954" s="6" t="s">
        <v>4295</v>
      </c>
      <c r="O954" s="6" t="s">
        <v>4296</v>
      </c>
      <c r="P954" s="6" t="s">
        <v>4297</v>
      </c>
      <c r="Q954" s="6" t="s">
        <v>4298</v>
      </c>
      <c r="R954" s="6" t="s">
        <v>4299</v>
      </c>
      <c r="AG954" s="14" t="s">
        <v>55</v>
      </c>
      <c r="AH954" s="14" t="s">
        <v>1603</v>
      </c>
      <c r="AI954" s="14" t="s">
        <v>1603</v>
      </c>
    </row>
    <row r="955" spans="1:50">
      <c r="A955" s="5" t="s">
        <v>4300</v>
      </c>
      <c r="B955" s="5" t="s">
        <v>4301</v>
      </c>
      <c r="C955" s="6" t="s">
        <v>43</v>
      </c>
      <c r="D955" s="6" t="s">
        <v>1645</v>
      </c>
      <c r="E955" s="6" t="s">
        <v>1386</v>
      </c>
      <c r="F955" s="6" t="s">
        <v>46</v>
      </c>
      <c r="G955" s="6" t="s">
        <v>4302</v>
      </c>
      <c r="H955" s="7">
        <v>185.46</v>
      </c>
      <c r="I955" s="19" t="s">
        <v>2283</v>
      </c>
      <c r="J955" s="19" t="s">
        <v>2284</v>
      </c>
      <c r="K955" s="6" t="s">
        <v>4303</v>
      </c>
      <c r="L955" s="6" t="s">
        <v>4304</v>
      </c>
      <c r="M955" s="6" t="s">
        <v>4305</v>
      </c>
      <c r="N955" s="6" t="s">
        <v>4306</v>
      </c>
      <c r="O955" s="6" t="s">
        <v>4307</v>
      </c>
      <c r="P955" s="6" t="s">
        <v>4308</v>
      </c>
      <c r="Q955" s="6" t="s">
        <v>4309</v>
      </c>
      <c r="R955" s="6" t="s">
        <v>4310</v>
      </c>
      <c r="AG955" s="14" t="s">
        <v>55</v>
      </c>
      <c r="AH955" s="14" t="s">
        <v>1603</v>
      </c>
      <c r="AI955" s="14" t="s">
        <v>1603</v>
      </c>
    </row>
    <row r="956" spans="1:50">
      <c r="A956" s="5" t="s">
        <v>4311</v>
      </c>
      <c r="B956" s="5" t="s">
        <v>4312</v>
      </c>
      <c r="C956" s="6" t="s">
        <v>2281</v>
      </c>
      <c r="D956" s="6" t="s">
        <v>1645</v>
      </c>
      <c r="E956" s="6" t="s">
        <v>1386</v>
      </c>
      <c r="F956" s="6" t="s">
        <v>46</v>
      </c>
      <c r="G956" s="6" t="s">
        <v>4313</v>
      </c>
      <c r="H956" s="7">
        <v>115.12</v>
      </c>
      <c r="I956" s="19" t="s">
        <v>2283</v>
      </c>
      <c r="J956" s="19" t="s">
        <v>2284</v>
      </c>
      <c r="K956" s="6" t="s">
        <v>2366</v>
      </c>
      <c r="L956" s="6" t="s">
        <v>2367</v>
      </c>
      <c r="M956" s="6" t="s">
        <v>2368</v>
      </c>
      <c r="N956" s="6" t="s">
        <v>2369</v>
      </c>
      <c r="O956" s="6" t="s">
        <v>4314</v>
      </c>
      <c r="P956" s="6" t="s">
        <v>4315</v>
      </c>
      <c r="Q956" s="6" t="s">
        <v>4316</v>
      </c>
      <c r="R956" s="6" t="s">
        <v>4317</v>
      </c>
      <c r="AG956" s="14" t="s">
        <v>55</v>
      </c>
      <c r="AH956" s="14" t="s">
        <v>1603</v>
      </c>
      <c r="AI956" s="14" t="s">
        <v>1603</v>
      </c>
    </row>
    <row r="957" spans="1:50">
      <c r="A957" s="5" t="s">
        <v>4318</v>
      </c>
      <c r="B957" s="5" t="s">
        <v>4319</v>
      </c>
      <c r="C957" s="6" t="s">
        <v>43</v>
      </c>
      <c r="D957" s="6" t="s">
        <v>1645</v>
      </c>
      <c r="E957" s="6" t="s">
        <v>1386</v>
      </c>
      <c r="F957" s="6" t="s">
        <v>46</v>
      </c>
      <c r="G957" s="6" t="s">
        <v>4320</v>
      </c>
      <c r="H957" s="7">
        <v>153.54</v>
      </c>
      <c r="I957" s="19" t="s">
        <v>2283</v>
      </c>
      <c r="J957" s="19" t="s">
        <v>2380</v>
      </c>
      <c r="K957" s="23" t="s">
        <v>4321</v>
      </c>
      <c r="L957" s="23" t="s">
        <v>4322</v>
      </c>
      <c r="M957" s="23" t="s">
        <v>4323</v>
      </c>
      <c r="N957" s="23" t="s">
        <v>4324</v>
      </c>
      <c r="O957" s="23" t="s">
        <v>4325</v>
      </c>
      <c r="P957" s="23" t="s">
        <v>4326</v>
      </c>
      <c r="Q957" s="23" t="s">
        <v>4327</v>
      </c>
      <c r="R957" s="23" t="s">
        <v>4328</v>
      </c>
      <c r="S957" s="23"/>
      <c r="T957" s="23"/>
      <c r="U957" s="23"/>
      <c r="V957" s="23"/>
      <c r="W957" s="23"/>
      <c r="X957" s="23"/>
      <c r="Y957" s="23"/>
      <c r="Z957" s="23"/>
      <c r="AA957" s="23"/>
      <c r="AB957" s="23"/>
      <c r="AC957" s="23"/>
      <c r="AD957" s="23"/>
      <c r="AE957" s="23"/>
      <c r="AF957" s="23"/>
      <c r="AG957" s="14" t="s">
        <v>55</v>
      </c>
      <c r="AH957" s="14" t="s">
        <v>1603</v>
      </c>
      <c r="AI957" s="14" t="s">
        <v>1603</v>
      </c>
      <c r="AJ957" s="23"/>
      <c r="AK957" s="23"/>
    </row>
    <row r="958" spans="1:50">
      <c r="A958" s="5" t="s">
        <v>4329</v>
      </c>
      <c r="B958" s="5" t="s">
        <v>4330</v>
      </c>
      <c r="C958" s="6" t="s">
        <v>43</v>
      </c>
      <c r="D958" s="6" t="s">
        <v>1645</v>
      </c>
      <c r="E958" s="6" t="s">
        <v>1386</v>
      </c>
      <c r="F958" s="6" t="s">
        <v>46</v>
      </c>
      <c r="G958" s="6" t="s">
        <v>4331</v>
      </c>
      <c r="H958" s="7">
        <v>168.48</v>
      </c>
      <c r="I958" s="19" t="s">
        <v>2283</v>
      </c>
      <c r="J958" s="19" t="s">
        <v>2380</v>
      </c>
      <c r="K958" s="23" t="s">
        <v>4321</v>
      </c>
      <c r="L958" s="23" t="s">
        <v>4322</v>
      </c>
      <c r="M958" s="23" t="s">
        <v>4323</v>
      </c>
      <c r="N958" s="23" t="s">
        <v>4324</v>
      </c>
      <c r="O958" s="23" t="s">
        <v>4325</v>
      </c>
      <c r="P958" s="23" t="s">
        <v>4326</v>
      </c>
      <c r="Q958" s="23" t="s">
        <v>4327</v>
      </c>
      <c r="R958" s="23" t="s">
        <v>4328</v>
      </c>
      <c r="S958" s="23"/>
      <c r="T958" s="23"/>
      <c r="U958" s="23"/>
      <c r="V958" s="23"/>
      <c r="W958" s="23"/>
      <c r="X958" s="23"/>
      <c r="Y958" s="23"/>
      <c r="Z958" s="23"/>
      <c r="AA958" s="23"/>
      <c r="AB958" s="23"/>
      <c r="AC958" s="23"/>
      <c r="AD958" s="23"/>
      <c r="AE958" s="23"/>
      <c r="AF958" s="23"/>
      <c r="AG958" s="14" t="s">
        <v>55</v>
      </c>
      <c r="AH958" s="14" t="s">
        <v>1603</v>
      </c>
      <c r="AI958" s="14" t="s">
        <v>1603</v>
      </c>
      <c r="AJ958" s="23"/>
      <c r="AK958" s="23"/>
      <c r="AL958" s="23"/>
      <c r="AM958" s="23"/>
      <c r="AN958" s="23"/>
      <c r="AO958" s="23"/>
      <c r="AP958" s="23"/>
      <c r="AQ958" s="23"/>
      <c r="AR958" s="23"/>
      <c r="AS958" s="23"/>
      <c r="AT958" s="23"/>
      <c r="AU958" s="23"/>
      <c r="AV958" s="23"/>
      <c r="AW958" s="23"/>
      <c r="AX958" s="23"/>
    </row>
    <row r="959" spans="1:50">
      <c r="A959" s="5" t="s">
        <v>4332</v>
      </c>
      <c r="B959" s="5" t="s">
        <v>4330</v>
      </c>
      <c r="C959" s="6" t="s">
        <v>43</v>
      </c>
      <c r="D959" s="6" t="s">
        <v>1645</v>
      </c>
      <c r="E959" s="6" t="s">
        <v>2461</v>
      </c>
      <c r="F959" s="6" t="s">
        <v>46</v>
      </c>
      <c r="G959" s="6" t="s">
        <v>4333</v>
      </c>
      <c r="H959" s="7">
        <v>168.48</v>
      </c>
      <c r="I959" s="19" t="s">
        <v>2283</v>
      </c>
      <c r="J959" s="19" t="s">
        <v>2380</v>
      </c>
      <c r="K959" s="23" t="s">
        <v>4321</v>
      </c>
      <c r="L959" s="23" t="s">
        <v>4322</v>
      </c>
      <c r="M959" s="23" t="s">
        <v>4323</v>
      </c>
      <c r="N959" s="23" t="s">
        <v>4324</v>
      </c>
      <c r="O959" s="23" t="s">
        <v>4334</v>
      </c>
      <c r="P959" s="23" t="s">
        <v>4335</v>
      </c>
      <c r="Q959" s="23" t="s">
        <v>4336</v>
      </c>
      <c r="R959" s="23" t="s">
        <v>4337</v>
      </c>
      <c r="S959" s="23"/>
      <c r="T959" s="23"/>
      <c r="U959" s="23"/>
      <c r="V959" s="23"/>
      <c r="W959" s="23"/>
      <c r="X959" s="23"/>
      <c r="Y959" s="23"/>
      <c r="Z959" s="23"/>
      <c r="AA959" s="23"/>
      <c r="AB959" s="23"/>
      <c r="AC959" s="23"/>
      <c r="AD959" s="23"/>
      <c r="AE959" s="23"/>
      <c r="AF959" s="23"/>
      <c r="AG959" s="14" t="s">
        <v>55</v>
      </c>
      <c r="AH959" s="14" t="s">
        <v>1603</v>
      </c>
      <c r="AI959" s="14" t="s">
        <v>1603</v>
      </c>
      <c r="AJ959" s="23"/>
      <c r="AK959" s="23"/>
      <c r="AL959" s="23"/>
      <c r="AM959" s="23"/>
      <c r="AN959" s="23"/>
      <c r="AO959" s="23"/>
      <c r="AP959" s="23"/>
      <c r="AQ959" s="23"/>
      <c r="AR959" s="23"/>
      <c r="AS959" s="23"/>
      <c r="AT959" s="23"/>
      <c r="AU959" s="23"/>
      <c r="AV959" s="23"/>
      <c r="AW959" s="23"/>
      <c r="AX959" s="23"/>
    </row>
    <row r="960" spans="1:50">
      <c r="A960" s="5" t="s">
        <v>4338</v>
      </c>
      <c r="B960" s="5" t="s">
        <v>4339</v>
      </c>
      <c r="C960" s="6" t="s">
        <v>2281</v>
      </c>
      <c r="D960" s="6" t="s">
        <v>1645</v>
      </c>
      <c r="E960" s="6" t="s">
        <v>2065</v>
      </c>
      <c r="F960" s="6" t="s">
        <v>46</v>
      </c>
      <c r="G960" s="6" t="s">
        <v>4340</v>
      </c>
      <c r="H960" s="7">
        <v>84.08</v>
      </c>
      <c r="I960" s="19" t="s">
        <v>2283</v>
      </c>
      <c r="J960" s="19" t="s">
        <v>2512</v>
      </c>
      <c r="K960" s="6" t="s">
        <v>2513</v>
      </c>
      <c r="L960" s="6" t="s">
        <v>2514</v>
      </c>
      <c r="M960" s="6" t="s">
        <v>2515</v>
      </c>
      <c r="N960" s="6" t="s">
        <v>2516</v>
      </c>
      <c r="O960" s="6" t="s">
        <v>4341</v>
      </c>
      <c r="P960" s="6" t="s">
        <v>4342</v>
      </c>
      <c r="Q960" s="6" t="s">
        <v>4343</v>
      </c>
      <c r="R960" s="6" t="s">
        <v>4344</v>
      </c>
      <c r="AG960" s="14" t="s">
        <v>55</v>
      </c>
      <c r="AH960" s="14" t="s">
        <v>1603</v>
      </c>
      <c r="AI960" s="14" t="s">
        <v>1603</v>
      </c>
      <c r="AL960" s="23"/>
      <c r="AM960" s="23"/>
      <c r="AN960" s="23"/>
      <c r="AO960" s="23"/>
      <c r="AP960" s="23"/>
      <c r="AQ960" s="23"/>
      <c r="AR960" s="23"/>
      <c r="AS960" s="23"/>
      <c r="AT960" s="23"/>
      <c r="AU960" s="23"/>
      <c r="AV960" s="23"/>
      <c r="AW960" s="23"/>
      <c r="AX960" s="23"/>
    </row>
    <row r="961" spans="1:37">
      <c r="A961" s="5" t="s">
        <v>4345</v>
      </c>
      <c r="B961" s="5" t="s">
        <v>4346</v>
      </c>
      <c r="C961" s="6" t="s">
        <v>4290</v>
      </c>
      <c r="D961" s="6" t="s">
        <v>1645</v>
      </c>
      <c r="E961" s="6" t="s">
        <v>1386</v>
      </c>
      <c r="F961" s="6" t="s">
        <v>46</v>
      </c>
      <c r="G961" s="6" t="s">
        <v>4347</v>
      </c>
      <c r="H961" s="7">
        <v>94.82</v>
      </c>
      <c r="I961" s="19" t="s">
        <v>2283</v>
      </c>
      <c r="J961" s="19" t="s">
        <v>2481</v>
      </c>
      <c r="K961" s="23" t="s">
        <v>4348</v>
      </c>
      <c r="L961" s="23" t="s">
        <v>4349</v>
      </c>
      <c r="M961" s="23" t="s">
        <v>4350</v>
      </c>
      <c r="N961" s="23" t="s">
        <v>4351</v>
      </c>
      <c r="O961" s="23" t="s">
        <v>4352</v>
      </c>
      <c r="P961" s="23" t="s">
        <v>4353</v>
      </c>
      <c r="Q961" s="23" t="s">
        <v>4354</v>
      </c>
      <c r="R961" s="23" t="s">
        <v>4355</v>
      </c>
      <c r="S961" s="23"/>
      <c r="T961" s="23"/>
      <c r="U961" s="23"/>
      <c r="V961" s="23"/>
      <c r="W961" s="23"/>
      <c r="X961" s="23"/>
      <c r="Y961" s="23"/>
      <c r="Z961" s="23"/>
      <c r="AA961" s="23"/>
      <c r="AB961" s="23"/>
      <c r="AC961" s="23"/>
      <c r="AD961" s="23"/>
      <c r="AE961" s="23"/>
      <c r="AF961" s="23"/>
      <c r="AG961" s="14" t="s">
        <v>55</v>
      </c>
      <c r="AH961" s="14" t="s">
        <v>1603</v>
      </c>
      <c r="AI961" s="14" t="s">
        <v>1603</v>
      </c>
      <c r="AJ961" s="23"/>
      <c r="AK961" s="23"/>
    </row>
    <row r="962" spans="1:37">
      <c r="A962" s="5" t="s">
        <v>4356</v>
      </c>
      <c r="B962" s="5" t="s">
        <v>4357</v>
      </c>
      <c r="C962" s="6" t="s">
        <v>2281</v>
      </c>
      <c r="D962" s="6" t="s">
        <v>1645</v>
      </c>
      <c r="E962" s="6" t="s">
        <v>1386</v>
      </c>
      <c r="F962" s="6" t="s">
        <v>46</v>
      </c>
      <c r="G962" s="6" t="s">
        <v>4358</v>
      </c>
      <c r="H962" s="7">
        <v>101.02</v>
      </c>
      <c r="I962" s="19" t="s">
        <v>2283</v>
      </c>
      <c r="J962" s="19" t="s">
        <v>2512</v>
      </c>
      <c r="K962" s="6" t="s">
        <v>2616</v>
      </c>
      <c r="L962" s="6" t="s">
        <v>2617</v>
      </c>
      <c r="M962" s="6" t="s">
        <v>2618</v>
      </c>
      <c r="N962" s="6" t="s">
        <v>2619</v>
      </c>
      <c r="O962" s="6" t="s">
        <v>4359</v>
      </c>
      <c r="P962" s="6" t="s">
        <v>4360</v>
      </c>
      <c r="Q962" s="6" t="s">
        <v>4361</v>
      </c>
      <c r="R962" s="6" t="s">
        <v>4362</v>
      </c>
      <c r="AG962" s="14" t="s">
        <v>55</v>
      </c>
      <c r="AH962" s="14" t="s">
        <v>1603</v>
      </c>
      <c r="AI962" s="14" t="s">
        <v>1603</v>
      </c>
    </row>
    <row r="963" spans="1:37">
      <c r="A963" s="5" t="s">
        <v>4363</v>
      </c>
      <c r="B963" s="5" t="s">
        <v>4357</v>
      </c>
      <c r="C963" s="6" t="s">
        <v>2281</v>
      </c>
      <c r="D963" s="6" t="s">
        <v>1645</v>
      </c>
      <c r="E963" s="6" t="s">
        <v>2065</v>
      </c>
      <c r="F963" s="6" t="s">
        <v>46</v>
      </c>
      <c r="G963" s="6" t="s">
        <v>4364</v>
      </c>
      <c r="H963" s="7">
        <v>101.02</v>
      </c>
      <c r="I963" s="19" t="s">
        <v>2283</v>
      </c>
      <c r="J963" s="19" t="s">
        <v>2512</v>
      </c>
      <c r="K963" s="6" t="s">
        <v>2616</v>
      </c>
      <c r="L963" s="6" t="s">
        <v>2617</v>
      </c>
      <c r="M963" s="6" t="s">
        <v>2618</v>
      </c>
      <c r="N963" s="6" t="s">
        <v>2619</v>
      </c>
      <c r="O963" s="6" t="s">
        <v>4359</v>
      </c>
      <c r="P963" s="6" t="s">
        <v>4360</v>
      </c>
      <c r="Q963" s="6" t="s">
        <v>4361</v>
      </c>
      <c r="R963" s="6" t="s">
        <v>4362</v>
      </c>
      <c r="AG963" s="14" t="s">
        <v>55</v>
      </c>
      <c r="AH963" s="14" t="s">
        <v>1603</v>
      </c>
      <c r="AI963" s="14" t="s">
        <v>1603</v>
      </c>
    </row>
    <row r="964" spans="1:37">
      <c r="A964" s="5" t="s">
        <v>4365</v>
      </c>
      <c r="B964" s="5" t="s">
        <v>4366</v>
      </c>
      <c r="C964" s="6" t="s">
        <v>43</v>
      </c>
      <c r="D964" s="6" t="s">
        <v>1645</v>
      </c>
      <c r="E964" s="6" t="s">
        <v>1386</v>
      </c>
      <c r="F964" s="6" t="s">
        <v>46</v>
      </c>
      <c r="G964" s="6" t="s">
        <v>4367</v>
      </c>
      <c r="H964" s="7">
        <v>144.44999999999999</v>
      </c>
      <c r="I964" s="19" t="s">
        <v>2283</v>
      </c>
      <c r="J964" s="19" t="s">
        <v>2636</v>
      </c>
      <c r="K964" s="5" t="s">
        <v>4368</v>
      </c>
      <c r="L964" s="5" t="s">
        <v>4369</v>
      </c>
      <c r="M964" s="5" t="s">
        <v>4370</v>
      </c>
      <c r="N964" s="5" t="s">
        <v>4371</v>
      </c>
      <c r="O964" s="5" t="s">
        <v>4372</v>
      </c>
      <c r="P964" s="5" t="s">
        <v>4373</v>
      </c>
      <c r="Q964" s="5" t="s">
        <v>4374</v>
      </c>
      <c r="R964" s="5" t="s">
        <v>4375</v>
      </c>
      <c r="AG964" s="14" t="s">
        <v>55</v>
      </c>
      <c r="AH964" s="14" t="s">
        <v>1603</v>
      </c>
      <c r="AI964" s="14" t="s">
        <v>1603</v>
      </c>
    </row>
    <row r="965" spans="1:37">
      <c r="A965" s="5" t="s">
        <v>4376</v>
      </c>
      <c r="B965" s="5" t="s">
        <v>4366</v>
      </c>
      <c r="C965" s="6" t="s">
        <v>43</v>
      </c>
      <c r="D965" s="6" t="s">
        <v>1645</v>
      </c>
      <c r="E965" s="6" t="s">
        <v>2015</v>
      </c>
      <c r="F965" s="6" t="s">
        <v>46</v>
      </c>
      <c r="G965" s="6" t="s">
        <v>4377</v>
      </c>
      <c r="H965" s="7">
        <v>144.44999999999999</v>
      </c>
      <c r="I965" s="19" t="s">
        <v>2283</v>
      </c>
      <c r="J965" s="19" t="s">
        <v>2636</v>
      </c>
      <c r="K965" s="5" t="s">
        <v>4368</v>
      </c>
      <c r="L965" s="5" t="s">
        <v>4369</v>
      </c>
      <c r="M965" s="5" t="s">
        <v>4370</v>
      </c>
      <c r="N965" s="5" t="s">
        <v>4371</v>
      </c>
      <c r="O965" s="5" t="s">
        <v>4372</v>
      </c>
      <c r="P965" s="5" t="s">
        <v>4373</v>
      </c>
      <c r="Q965" s="5" t="s">
        <v>4374</v>
      </c>
      <c r="R965" s="5" t="s">
        <v>4375</v>
      </c>
      <c r="AG965" s="14" t="s">
        <v>55</v>
      </c>
      <c r="AH965" s="14" t="s">
        <v>1603</v>
      </c>
      <c r="AI965" s="14" t="s">
        <v>1603</v>
      </c>
    </row>
    <row r="966" spans="1:37">
      <c r="A966" s="5" t="s">
        <v>4378</v>
      </c>
      <c r="B966" s="5" t="s">
        <v>4379</v>
      </c>
      <c r="C966" s="6" t="s">
        <v>43</v>
      </c>
      <c r="D966" s="6" t="s">
        <v>1645</v>
      </c>
      <c r="E966" s="6" t="s">
        <v>1386</v>
      </c>
      <c r="F966" s="6" t="s">
        <v>46</v>
      </c>
      <c r="G966" s="6" t="s">
        <v>4380</v>
      </c>
      <c r="H966" s="7">
        <v>166.47</v>
      </c>
      <c r="I966" s="19" t="s">
        <v>2283</v>
      </c>
      <c r="J966" s="19" t="s">
        <v>2636</v>
      </c>
      <c r="K966" s="5" t="s">
        <v>4381</v>
      </c>
      <c r="L966" s="5" t="s">
        <v>4382</v>
      </c>
      <c r="M966" s="5" t="s">
        <v>4383</v>
      </c>
      <c r="N966" s="5" t="s">
        <v>4384</v>
      </c>
      <c r="O966" s="5" t="s">
        <v>4385</v>
      </c>
      <c r="P966" s="5" t="s">
        <v>4386</v>
      </c>
      <c r="Q966" s="5" t="s">
        <v>4387</v>
      </c>
      <c r="R966" s="5" t="s">
        <v>4388</v>
      </c>
      <c r="AG966" s="14" t="s">
        <v>55</v>
      </c>
      <c r="AH966" s="14" t="s">
        <v>1603</v>
      </c>
      <c r="AI966" s="14" t="s">
        <v>1603</v>
      </c>
    </row>
    <row r="967" spans="1:37">
      <c r="A967" s="5" t="s">
        <v>4389</v>
      </c>
      <c r="B967" s="5" t="s">
        <v>4379</v>
      </c>
      <c r="C967" s="6" t="s">
        <v>43</v>
      </c>
      <c r="D967" s="6" t="s">
        <v>1645</v>
      </c>
      <c r="E967" s="6" t="s">
        <v>2015</v>
      </c>
      <c r="F967" s="6" t="s">
        <v>46</v>
      </c>
      <c r="G967" s="6" t="s">
        <v>4390</v>
      </c>
      <c r="H967" s="7">
        <v>166.47</v>
      </c>
      <c r="I967" s="19" t="s">
        <v>2283</v>
      </c>
      <c r="J967" s="19" t="s">
        <v>2636</v>
      </c>
      <c r="K967" s="5" t="s">
        <v>4381</v>
      </c>
      <c r="L967" s="5" t="s">
        <v>4382</v>
      </c>
      <c r="M967" s="5" t="s">
        <v>4383</v>
      </c>
      <c r="N967" s="5" t="s">
        <v>4384</v>
      </c>
      <c r="O967" s="5" t="s">
        <v>4385</v>
      </c>
      <c r="P967" s="5" t="s">
        <v>4386</v>
      </c>
      <c r="Q967" s="5" t="s">
        <v>4387</v>
      </c>
      <c r="R967" s="5" t="s">
        <v>4388</v>
      </c>
      <c r="AG967" s="14" t="s">
        <v>55</v>
      </c>
      <c r="AH967" s="14" t="s">
        <v>1603</v>
      </c>
      <c r="AI967" s="14" t="s">
        <v>1603</v>
      </c>
    </row>
    <row r="968" spans="1:37">
      <c r="A968" s="5" t="s">
        <v>4391</v>
      </c>
      <c r="B968" s="5" t="s">
        <v>4392</v>
      </c>
      <c r="C968" s="6" t="s">
        <v>43</v>
      </c>
      <c r="D968" s="6" t="s">
        <v>1645</v>
      </c>
      <c r="E968" s="6" t="s">
        <v>1386</v>
      </c>
      <c r="F968" s="6" t="s">
        <v>46</v>
      </c>
      <c r="G968" s="6" t="s">
        <v>4393</v>
      </c>
      <c r="H968" s="7">
        <v>158.77000000000001</v>
      </c>
      <c r="I968" s="19" t="s">
        <v>2283</v>
      </c>
      <c r="J968" s="19" t="s">
        <v>2636</v>
      </c>
      <c r="K968" s="5" t="s">
        <v>4394</v>
      </c>
      <c r="L968" s="5" t="s">
        <v>4395</v>
      </c>
      <c r="M968" s="5" t="s">
        <v>4396</v>
      </c>
      <c r="N968" s="5" t="s">
        <v>4397</v>
      </c>
      <c r="O968" s="5" t="s">
        <v>4398</v>
      </c>
      <c r="P968" s="5" t="s">
        <v>4399</v>
      </c>
      <c r="Q968" s="5" t="s">
        <v>4400</v>
      </c>
      <c r="R968" s="5" t="s">
        <v>4401</v>
      </c>
      <c r="AG968" s="14" t="s">
        <v>55</v>
      </c>
      <c r="AH968" s="14" t="s">
        <v>1603</v>
      </c>
      <c r="AI968" s="14" t="s">
        <v>1603</v>
      </c>
    </row>
    <row r="969" spans="1:37">
      <c r="A969" s="5" t="s">
        <v>4402</v>
      </c>
      <c r="B969" s="5" t="s">
        <v>4403</v>
      </c>
      <c r="C969" s="6" t="s">
        <v>43</v>
      </c>
      <c r="D969" s="6" t="s">
        <v>1645</v>
      </c>
      <c r="E969" s="6" t="s">
        <v>1386</v>
      </c>
      <c r="F969" s="6" t="s">
        <v>46</v>
      </c>
      <c r="G969" s="6" t="s">
        <v>4404</v>
      </c>
      <c r="H969" s="7">
        <v>182.6</v>
      </c>
      <c r="I969" s="19" t="s">
        <v>2283</v>
      </c>
      <c r="J969" s="19" t="s">
        <v>2636</v>
      </c>
      <c r="K969" s="5" t="s">
        <v>4405</v>
      </c>
      <c r="L969" s="5" t="s">
        <v>4406</v>
      </c>
      <c r="M969" s="5" t="s">
        <v>4407</v>
      </c>
      <c r="N969" s="5" t="s">
        <v>4408</v>
      </c>
      <c r="O969" s="5" t="s">
        <v>4409</v>
      </c>
      <c r="P969" s="5" t="s">
        <v>4410</v>
      </c>
      <c r="Q969" s="5" t="s">
        <v>4411</v>
      </c>
      <c r="R969" s="5" t="s">
        <v>4412</v>
      </c>
      <c r="AG969" s="14" t="s">
        <v>55</v>
      </c>
      <c r="AH969" s="14" t="s">
        <v>1603</v>
      </c>
      <c r="AI969" s="14" t="s">
        <v>1603</v>
      </c>
    </row>
    <row r="970" spans="1:37">
      <c r="A970" s="5" t="s">
        <v>4413</v>
      </c>
      <c r="B970" s="5" t="s">
        <v>4414</v>
      </c>
      <c r="C970" s="6" t="s">
        <v>43</v>
      </c>
      <c r="D970" s="6" t="s">
        <v>1645</v>
      </c>
      <c r="E970" s="6" t="s">
        <v>2015</v>
      </c>
      <c r="F970" s="6" t="s">
        <v>46</v>
      </c>
      <c r="G970" s="6" t="s">
        <v>4415</v>
      </c>
      <c r="H970" s="7">
        <v>180</v>
      </c>
      <c r="I970" s="19" t="s">
        <v>2283</v>
      </c>
      <c r="J970" s="19" t="s">
        <v>2636</v>
      </c>
      <c r="K970" s="5" t="s">
        <v>4416</v>
      </c>
      <c r="L970" s="5" t="s">
        <v>4417</v>
      </c>
      <c r="M970" s="5" t="s">
        <v>4418</v>
      </c>
      <c r="N970" s="5" t="s">
        <v>4419</v>
      </c>
      <c r="O970" s="5" t="s">
        <v>4420</v>
      </c>
      <c r="P970" s="5" t="s">
        <v>4421</v>
      </c>
      <c r="Q970" s="5" t="s">
        <v>4422</v>
      </c>
      <c r="R970" s="5" t="s">
        <v>4423</v>
      </c>
      <c r="AG970" s="14" t="s">
        <v>55</v>
      </c>
      <c r="AH970" s="14" t="s">
        <v>1603</v>
      </c>
      <c r="AI970" s="14" t="s">
        <v>1603</v>
      </c>
    </row>
    <row r="971" spans="1:37">
      <c r="A971" s="5" t="s">
        <v>4424</v>
      </c>
      <c r="B971" s="5" t="s">
        <v>4425</v>
      </c>
      <c r="C971" s="6" t="s">
        <v>43</v>
      </c>
      <c r="D971" s="6" t="s">
        <v>1390</v>
      </c>
      <c r="E971" s="6" t="s">
        <v>1386</v>
      </c>
      <c r="F971" s="6" t="s">
        <v>46</v>
      </c>
      <c r="G971" s="6" t="s">
        <v>4426</v>
      </c>
      <c r="H971" s="7">
        <v>46.12</v>
      </c>
      <c r="I971" s="19" t="s">
        <v>1589</v>
      </c>
      <c r="J971" s="19" t="s">
        <v>2650</v>
      </c>
      <c r="K971" s="20" t="s">
        <v>2651</v>
      </c>
      <c r="L971" s="20" t="s">
        <v>2652</v>
      </c>
      <c r="M971" s="20" t="s">
        <v>2653</v>
      </c>
      <c r="N971" s="20" t="s">
        <v>2654</v>
      </c>
      <c r="O971" s="20" t="s">
        <v>4427</v>
      </c>
      <c r="P971" s="20" t="s">
        <v>4428</v>
      </c>
      <c r="Q971" s="20" t="s">
        <v>4429</v>
      </c>
      <c r="R971" s="5" t="s">
        <v>4430</v>
      </c>
      <c r="W971" s="20" t="s">
        <v>2010</v>
      </c>
      <c r="X971" s="20" t="s">
        <v>2011</v>
      </c>
      <c r="Y971" s="20" t="s">
        <v>2012</v>
      </c>
      <c r="Z971" s="20" t="s">
        <v>2013</v>
      </c>
      <c r="AG971" s="14" t="s">
        <v>55</v>
      </c>
      <c r="AH971" s="14" t="s">
        <v>1603</v>
      </c>
      <c r="AI971" s="14" t="s">
        <v>124</v>
      </c>
    </row>
    <row r="972" spans="1:37">
      <c r="A972" s="5" t="s">
        <v>4431</v>
      </c>
      <c r="B972" s="5" t="s">
        <v>4432</v>
      </c>
      <c r="C972" s="6" t="s">
        <v>43</v>
      </c>
      <c r="D972" s="6" t="s">
        <v>1390</v>
      </c>
      <c r="E972" s="6" t="s">
        <v>1386</v>
      </c>
      <c r="F972" s="6" t="s">
        <v>46</v>
      </c>
      <c r="G972" s="6" t="s">
        <v>2710</v>
      </c>
      <c r="H972" s="7">
        <v>60.45</v>
      </c>
      <c r="I972" s="19" t="s">
        <v>1589</v>
      </c>
      <c r="J972" s="19" t="s">
        <v>2650</v>
      </c>
      <c r="K972" s="20" t="s">
        <v>2662</v>
      </c>
      <c r="L972" s="20" t="s">
        <v>2663</v>
      </c>
      <c r="M972" s="20" t="s">
        <v>2664</v>
      </c>
      <c r="N972" s="20" t="s">
        <v>2665</v>
      </c>
      <c r="O972" s="20" t="s">
        <v>4433</v>
      </c>
      <c r="P972" s="20" t="s">
        <v>4434</v>
      </c>
      <c r="Q972" s="20" t="s">
        <v>4435</v>
      </c>
      <c r="R972" s="5" t="s">
        <v>4436</v>
      </c>
      <c r="W972" s="20" t="s">
        <v>2010</v>
      </c>
      <c r="X972" s="20" t="s">
        <v>2011</v>
      </c>
      <c r="Y972" s="20" t="s">
        <v>2012</v>
      </c>
      <c r="Z972" s="20" t="s">
        <v>2013</v>
      </c>
      <c r="AG972" s="14" t="s">
        <v>55</v>
      </c>
      <c r="AH972" s="14" t="s">
        <v>1603</v>
      </c>
      <c r="AI972" s="14" t="s">
        <v>124</v>
      </c>
    </row>
    <row r="973" spans="1:37">
      <c r="A973" s="5" t="s">
        <v>4437</v>
      </c>
      <c r="B973" s="5" t="s">
        <v>4438</v>
      </c>
      <c r="C973" s="6" t="s">
        <v>43</v>
      </c>
      <c r="D973" s="6" t="s">
        <v>1390</v>
      </c>
      <c r="E973" s="6" t="s">
        <v>1386</v>
      </c>
      <c r="F973" s="6" t="s">
        <v>46</v>
      </c>
      <c r="G973" s="6" t="s">
        <v>4439</v>
      </c>
      <c r="H973" s="7">
        <v>58.06</v>
      </c>
      <c r="I973" s="19" t="s">
        <v>1589</v>
      </c>
      <c r="J973" s="19" t="s">
        <v>2650</v>
      </c>
      <c r="K973" s="5" t="s">
        <v>2674</v>
      </c>
      <c r="L973" s="5" t="s">
        <v>2675</v>
      </c>
      <c r="M973" s="5" t="s">
        <v>2676</v>
      </c>
      <c r="N973" s="5" t="s">
        <v>2677</v>
      </c>
      <c r="O973" s="5" t="s">
        <v>4440</v>
      </c>
      <c r="P973" s="5" t="s">
        <v>4441</v>
      </c>
      <c r="Q973" s="5" t="s">
        <v>4442</v>
      </c>
      <c r="R973" s="5" t="s">
        <v>4443</v>
      </c>
      <c r="AG973" s="14" t="s">
        <v>55</v>
      </c>
      <c r="AH973" s="14" t="s">
        <v>1603</v>
      </c>
      <c r="AI973" s="14" t="s">
        <v>2087</v>
      </c>
    </row>
    <row r="974" spans="1:37">
      <c r="A974" s="5" t="s">
        <v>4444</v>
      </c>
      <c r="B974" s="5" t="s">
        <v>4445</v>
      </c>
      <c r="C974" s="6" t="s">
        <v>43</v>
      </c>
      <c r="D974" s="6" t="s">
        <v>1390</v>
      </c>
      <c r="E974" s="6" t="s">
        <v>1386</v>
      </c>
      <c r="F974" s="6" t="s">
        <v>46</v>
      </c>
      <c r="G974" s="6" t="s">
        <v>4446</v>
      </c>
      <c r="H974" s="7">
        <v>70.61</v>
      </c>
      <c r="I974" s="19" t="s">
        <v>1589</v>
      </c>
      <c r="J974" s="19" t="s">
        <v>2650</v>
      </c>
      <c r="K974" s="5" t="s">
        <v>2685</v>
      </c>
      <c r="L974" s="5" t="s">
        <v>2686</v>
      </c>
      <c r="M974" s="5" t="s">
        <v>2687</v>
      </c>
      <c r="N974" s="5" t="s">
        <v>2688</v>
      </c>
      <c r="O974" s="5" t="s">
        <v>4447</v>
      </c>
      <c r="P974" s="5" t="s">
        <v>4448</v>
      </c>
      <c r="Q974" s="5" t="s">
        <v>4449</v>
      </c>
      <c r="R974" s="5" t="s">
        <v>4450</v>
      </c>
      <c r="AG974" s="14" t="s">
        <v>55</v>
      </c>
      <c r="AH974" s="14" t="s">
        <v>1603</v>
      </c>
      <c r="AI974" s="14" t="s">
        <v>2087</v>
      </c>
    </row>
    <row r="975" spans="1:37">
      <c r="A975" s="5" t="s">
        <v>4451</v>
      </c>
      <c r="B975" s="5" t="s">
        <v>4452</v>
      </c>
      <c r="C975" s="6" t="s">
        <v>43</v>
      </c>
      <c r="D975" s="6" t="s">
        <v>239</v>
      </c>
      <c r="E975" s="6" t="s">
        <v>1386</v>
      </c>
      <c r="F975" s="6" t="s">
        <v>46</v>
      </c>
      <c r="G975" s="6" t="s">
        <v>4453</v>
      </c>
      <c r="H975" s="7">
        <v>31.57</v>
      </c>
      <c r="I975" s="19" t="s">
        <v>1589</v>
      </c>
      <c r="J975" s="19" t="s">
        <v>2696</v>
      </c>
      <c r="K975" s="5" t="s">
        <v>2697</v>
      </c>
      <c r="L975" s="5" t="s">
        <v>2698</v>
      </c>
      <c r="M975" s="5" t="s">
        <v>2699</v>
      </c>
      <c r="N975" s="5" t="s">
        <v>2700</v>
      </c>
      <c r="O975" s="5" t="s">
        <v>4454</v>
      </c>
      <c r="P975" s="5" t="s">
        <v>4455</v>
      </c>
      <c r="Q975" s="5" t="s">
        <v>4456</v>
      </c>
      <c r="R975" s="5" t="s">
        <v>4457</v>
      </c>
      <c r="AG975" s="14" t="s">
        <v>55</v>
      </c>
      <c r="AH975" s="14" t="s">
        <v>1603</v>
      </c>
      <c r="AI975" s="14" t="s">
        <v>1604</v>
      </c>
    </row>
    <row r="976" spans="1:37">
      <c r="A976" s="6" t="s">
        <v>4458</v>
      </c>
      <c r="B976" s="6" t="s">
        <v>4459</v>
      </c>
      <c r="C976" s="6" t="s">
        <v>43</v>
      </c>
      <c r="D976" s="6" t="s">
        <v>239</v>
      </c>
      <c r="E976" s="6" t="s">
        <v>1540</v>
      </c>
      <c r="F976" s="6" t="s">
        <v>46</v>
      </c>
      <c r="G976" s="6" t="s">
        <v>4460</v>
      </c>
      <c r="I976" s="6" t="s">
        <v>48</v>
      </c>
      <c r="J976" s="6" t="s">
        <v>48</v>
      </c>
      <c r="K976" s="6"/>
      <c r="L976" s="6"/>
      <c r="M976" s="6"/>
      <c r="N976" s="6"/>
      <c r="O976" s="6"/>
      <c r="P976" s="6"/>
      <c r="Q976" s="6"/>
      <c r="R976" s="6"/>
      <c r="S976" s="6"/>
      <c r="T976" s="6"/>
      <c r="U976" s="6"/>
      <c r="V976" s="6"/>
      <c r="W976" s="6"/>
      <c r="X976" s="6"/>
      <c r="Y976" s="6"/>
      <c r="Z976" s="6"/>
      <c r="AA976" s="6"/>
      <c r="AB976" s="6"/>
      <c r="AC976" s="6"/>
      <c r="AD976" s="6"/>
      <c r="AE976" s="6"/>
      <c r="AF976" s="6"/>
      <c r="AG976" s="15" t="s">
        <v>55</v>
      </c>
      <c r="AH976" s="15"/>
      <c r="AI976" s="15"/>
      <c r="AJ976" s="6"/>
      <c r="AK976" s="6"/>
    </row>
    <row r="977" spans="1:37" s="6" customFormat="1">
      <c r="A977" s="6" t="s">
        <v>4461</v>
      </c>
      <c r="B977" s="6" t="s">
        <v>4462</v>
      </c>
      <c r="C977" s="6" t="s">
        <v>43</v>
      </c>
      <c r="D977" s="6" t="s">
        <v>239</v>
      </c>
      <c r="E977" s="6" t="s">
        <v>2065</v>
      </c>
      <c r="F977" s="6" t="s">
        <v>46</v>
      </c>
      <c r="G977" s="6" t="s">
        <v>4463</v>
      </c>
      <c r="H977" s="7"/>
      <c r="I977" s="6" t="s">
        <v>48</v>
      </c>
      <c r="J977" s="6" t="s">
        <v>48</v>
      </c>
      <c r="AG977" s="15" t="s">
        <v>55</v>
      </c>
      <c r="AH977" s="15"/>
      <c r="AI977" s="15"/>
    </row>
    <row r="978" spans="1:37" s="6" customFormat="1">
      <c r="A978" s="6" t="s">
        <v>4464</v>
      </c>
      <c r="B978" s="6" t="s">
        <v>4465</v>
      </c>
      <c r="C978" s="6" t="s">
        <v>43</v>
      </c>
      <c r="D978" s="6" t="s">
        <v>239</v>
      </c>
      <c r="E978" s="6" t="s">
        <v>2047</v>
      </c>
      <c r="F978" s="6" t="s">
        <v>46</v>
      </c>
      <c r="G978" s="6" t="s">
        <v>4466</v>
      </c>
      <c r="H978" s="7"/>
      <c r="I978" s="6" t="s">
        <v>48</v>
      </c>
      <c r="J978" s="6" t="s">
        <v>48</v>
      </c>
      <c r="AG978" s="15" t="s">
        <v>55</v>
      </c>
      <c r="AH978" s="15"/>
      <c r="AI978" s="15"/>
    </row>
    <row r="979" spans="1:37" s="6" customFormat="1">
      <c r="A979" s="5" t="s">
        <v>4467</v>
      </c>
      <c r="B979" s="5" t="s">
        <v>4468</v>
      </c>
      <c r="C979" s="6" t="s">
        <v>43</v>
      </c>
      <c r="D979" s="6" t="s">
        <v>239</v>
      </c>
      <c r="E979" s="6" t="s">
        <v>1540</v>
      </c>
      <c r="F979" s="6" t="s">
        <v>46</v>
      </c>
      <c r="G979" s="6" t="s">
        <v>4469</v>
      </c>
      <c r="H979" s="7">
        <v>117.6</v>
      </c>
      <c r="I979" s="19" t="s">
        <v>1589</v>
      </c>
      <c r="J979" s="19" t="s">
        <v>2696</v>
      </c>
      <c r="K979" s="5" t="s">
        <v>3696</v>
      </c>
      <c r="L979" s="5" t="s">
        <v>3697</v>
      </c>
      <c r="M979" s="5" t="s">
        <v>3698</v>
      </c>
      <c r="N979" s="5" t="s">
        <v>3699</v>
      </c>
      <c r="O979" s="5" t="s">
        <v>4470</v>
      </c>
      <c r="P979" s="5" t="s">
        <v>4471</v>
      </c>
      <c r="Q979" s="5" t="s">
        <v>4472</v>
      </c>
      <c r="R979" s="5" t="s">
        <v>4473</v>
      </c>
      <c r="S979" s="5"/>
      <c r="T979" s="5"/>
      <c r="U979" s="5"/>
      <c r="V979" s="5"/>
      <c r="W979" s="5"/>
      <c r="X979" s="5"/>
      <c r="Y979" s="5"/>
      <c r="Z979" s="5"/>
      <c r="AA979" s="5"/>
      <c r="AB979" s="5"/>
      <c r="AC979" s="5"/>
      <c r="AD979" s="5"/>
      <c r="AE979" s="5"/>
      <c r="AF979" s="5"/>
      <c r="AG979" s="14" t="s">
        <v>55</v>
      </c>
      <c r="AH979" s="14" t="s">
        <v>1603</v>
      </c>
      <c r="AI979" s="14" t="s">
        <v>1604</v>
      </c>
      <c r="AJ979" s="5"/>
      <c r="AK979" s="5"/>
    </row>
    <row r="980" spans="1:37">
      <c r="A980" s="5" t="s">
        <v>4474</v>
      </c>
      <c r="B980" s="5" t="s">
        <v>4468</v>
      </c>
      <c r="C980" s="6" t="s">
        <v>43</v>
      </c>
      <c r="D980" s="6" t="s">
        <v>239</v>
      </c>
      <c r="E980" s="6" t="s">
        <v>2065</v>
      </c>
      <c r="F980" s="6" t="s">
        <v>46</v>
      </c>
      <c r="G980" s="6" t="s">
        <v>4475</v>
      </c>
      <c r="H980" s="7">
        <v>117.6</v>
      </c>
      <c r="I980" s="19" t="s">
        <v>1589</v>
      </c>
      <c r="J980" s="19" t="s">
        <v>2696</v>
      </c>
      <c r="K980" s="5" t="s">
        <v>3696</v>
      </c>
      <c r="L980" s="5" t="s">
        <v>3697</v>
      </c>
      <c r="M980" s="5" t="s">
        <v>3698</v>
      </c>
      <c r="N980" s="5" t="s">
        <v>3699</v>
      </c>
      <c r="O980" s="5" t="s">
        <v>4470</v>
      </c>
      <c r="P980" s="5" t="s">
        <v>4471</v>
      </c>
      <c r="Q980" s="5" t="s">
        <v>4472</v>
      </c>
      <c r="R980" s="5" t="s">
        <v>4473</v>
      </c>
      <c r="AG980" s="14" t="s">
        <v>55</v>
      </c>
      <c r="AH980" s="14" t="s">
        <v>1603</v>
      </c>
      <c r="AI980" s="14" t="s">
        <v>1604</v>
      </c>
    </row>
    <row r="981" spans="1:37">
      <c r="A981" s="6" t="s">
        <v>4476</v>
      </c>
      <c r="B981" s="6" t="s">
        <v>4477</v>
      </c>
      <c r="C981" s="6" t="s">
        <v>4478</v>
      </c>
      <c r="D981" s="6" t="s">
        <v>239</v>
      </c>
      <c r="E981" s="6" t="s">
        <v>2047</v>
      </c>
      <c r="F981" s="6" t="s">
        <v>46</v>
      </c>
      <c r="G981" s="6" t="s">
        <v>4479</v>
      </c>
      <c r="I981" s="19" t="s">
        <v>48</v>
      </c>
      <c r="J981" s="19" t="s">
        <v>48</v>
      </c>
      <c r="K981" s="6"/>
      <c r="L981" s="6"/>
      <c r="M981" s="6"/>
      <c r="N981" s="6"/>
      <c r="O981" s="6"/>
      <c r="P981" s="6"/>
      <c r="Q981" s="6"/>
      <c r="R981" s="6"/>
      <c r="S981" s="6"/>
      <c r="T981" s="6"/>
      <c r="U981" s="6"/>
      <c r="V981" s="6"/>
      <c r="W981" s="6"/>
      <c r="X981" s="6"/>
      <c r="Y981" s="6"/>
      <c r="Z981" s="6"/>
      <c r="AA981" s="6"/>
      <c r="AB981" s="6"/>
      <c r="AC981" s="6"/>
      <c r="AD981" s="6"/>
      <c r="AE981" s="6"/>
      <c r="AF981" s="6"/>
      <c r="AG981" s="15" t="s">
        <v>55</v>
      </c>
      <c r="AH981" s="15"/>
      <c r="AI981" s="15"/>
      <c r="AJ981" s="6"/>
      <c r="AK981" s="6"/>
    </row>
    <row r="982" spans="1:37" s="6" customFormat="1">
      <c r="A982" s="5" t="s">
        <v>4480</v>
      </c>
      <c r="B982" s="5" t="s">
        <v>4481</v>
      </c>
      <c r="C982" s="6" t="s">
        <v>43</v>
      </c>
      <c r="D982" s="6" t="s">
        <v>239</v>
      </c>
      <c r="E982" s="6" t="s">
        <v>1386</v>
      </c>
      <c r="F982" s="6" t="s">
        <v>46</v>
      </c>
      <c r="G982" s="6" t="s">
        <v>4482</v>
      </c>
      <c r="H982" s="7">
        <v>35.96</v>
      </c>
      <c r="I982" s="19" t="s">
        <v>1589</v>
      </c>
      <c r="J982" s="19" t="s">
        <v>2696</v>
      </c>
      <c r="K982" s="5" t="s">
        <v>2733</v>
      </c>
      <c r="L982" s="5" t="s">
        <v>2734</v>
      </c>
      <c r="M982" s="5" t="s">
        <v>2735</v>
      </c>
      <c r="N982" s="5" t="s">
        <v>2736</v>
      </c>
      <c r="O982" s="5" t="s">
        <v>4483</v>
      </c>
      <c r="P982" s="5" t="s">
        <v>4484</v>
      </c>
      <c r="Q982" s="5" t="s">
        <v>4485</v>
      </c>
      <c r="R982" s="5" t="s">
        <v>4486</v>
      </c>
      <c r="S982" s="5"/>
      <c r="T982" s="5"/>
      <c r="U982" s="5"/>
      <c r="V982" s="5"/>
      <c r="W982" s="5"/>
      <c r="X982" s="5"/>
      <c r="Y982" s="5"/>
      <c r="Z982" s="5"/>
      <c r="AA982" s="5"/>
      <c r="AB982" s="5"/>
      <c r="AC982" s="5"/>
      <c r="AD982" s="5"/>
      <c r="AE982" s="5"/>
      <c r="AF982" s="5"/>
      <c r="AG982" s="14" t="s">
        <v>55</v>
      </c>
      <c r="AH982" s="14" t="s">
        <v>1603</v>
      </c>
      <c r="AI982" s="14" t="s">
        <v>1604</v>
      </c>
      <c r="AJ982" s="5"/>
      <c r="AK982" s="5"/>
    </row>
    <row r="983" spans="1:37">
      <c r="A983" s="5" t="s">
        <v>4487</v>
      </c>
      <c r="B983" s="5" t="s">
        <v>4481</v>
      </c>
      <c r="C983" s="6" t="s">
        <v>43</v>
      </c>
      <c r="D983" s="6" t="s">
        <v>239</v>
      </c>
      <c r="E983" s="6" t="s">
        <v>2047</v>
      </c>
      <c r="F983" s="6" t="s">
        <v>46</v>
      </c>
      <c r="G983" s="6" t="s">
        <v>4488</v>
      </c>
      <c r="H983" s="7">
        <v>35.96</v>
      </c>
      <c r="I983" s="19" t="s">
        <v>1589</v>
      </c>
      <c r="J983" s="19" t="s">
        <v>2696</v>
      </c>
      <c r="K983" s="5" t="s">
        <v>2733</v>
      </c>
      <c r="L983" s="5" t="s">
        <v>2734</v>
      </c>
      <c r="M983" s="5" t="s">
        <v>2735</v>
      </c>
      <c r="N983" s="5" t="s">
        <v>2736</v>
      </c>
      <c r="O983" s="5" t="s">
        <v>4483</v>
      </c>
      <c r="P983" s="5" t="s">
        <v>4484</v>
      </c>
      <c r="Q983" s="5" t="s">
        <v>4485</v>
      </c>
      <c r="R983" s="5" t="s">
        <v>4486</v>
      </c>
      <c r="AG983" s="14" t="s">
        <v>55</v>
      </c>
      <c r="AH983" s="14" t="s">
        <v>1603</v>
      </c>
      <c r="AI983" s="14" t="s">
        <v>1604</v>
      </c>
    </row>
    <row r="984" spans="1:37">
      <c r="A984" s="6" t="s">
        <v>4489</v>
      </c>
      <c r="B984" s="6" t="s">
        <v>4490</v>
      </c>
      <c r="C984" s="6" t="s">
        <v>43</v>
      </c>
      <c r="D984" s="6" t="s">
        <v>239</v>
      </c>
      <c r="E984" s="6" t="s">
        <v>2065</v>
      </c>
      <c r="F984" s="6" t="s">
        <v>46</v>
      </c>
      <c r="G984" s="6" t="s">
        <v>4491</v>
      </c>
      <c r="I984" s="19" t="s">
        <v>48</v>
      </c>
      <c r="J984" s="19" t="s">
        <v>48</v>
      </c>
      <c r="K984" s="6"/>
      <c r="L984" s="6"/>
      <c r="M984" s="6"/>
      <c r="N984" s="6"/>
      <c r="O984" s="6"/>
      <c r="P984" s="6"/>
      <c r="Q984" s="6"/>
      <c r="R984" s="6"/>
      <c r="S984" s="6"/>
      <c r="T984" s="6"/>
      <c r="U984" s="6"/>
      <c r="V984" s="6"/>
      <c r="W984" s="6"/>
      <c r="X984" s="6"/>
      <c r="Y984" s="6"/>
      <c r="Z984" s="6"/>
      <c r="AA984" s="6"/>
      <c r="AB984" s="6"/>
      <c r="AC984" s="6"/>
      <c r="AD984" s="6"/>
      <c r="AE984" s="6"/>
      <c r="AF984" s="6"/>
      <c r="AG984" s="15" t="s">
        <v>55</v>
      </c>
      <c r="AH984" s="15"/>
      <c r="AI984" s="15"/>
      <c r="AJ984" s="6"/>
      <c r="AK984" s="6"/>
    </row>
    <row r="985" spans="1:37" s="6" customFormat="1">
      <c r="A985" s="5" t="s">
        <v>4492</v>
      </c>
      <c r="B985" s="5" t="s">
        <v>4493</v>
      </c>
      <c r="C985" s="6" t="s">
        <v>43</v>
      </c>
      <c r="D985" s="6" t="s">
        <v>239</v>
      </c>
      <c r="E985" s="6" t="s">
        <v>1386</v>
      </c>
      <c r="F985" s="6" t="s">
        <v>46</v>
      </c>
      <c r="G985" s="6" t="s">
        <v>1350</v>
      </c>
      <c r="H985" s="7">
        <v>41.51</v>
      </c>
      <c r="I985" s="19" t="s">
        <v>1589</v>
      </c>
      <c r="J985" s="19" t="s">
        <v>2696</v>
      </c>
      <c r="K985" s="5" t="s">
        <v>2757</v>
      </c>
      <c r="L985" s="5" t="s">
        <v>2758</v>
      </c>
      <c r="M985" s="5" t="s">
        <v>2759</v>
      </c>
      <c r="N985" s="5" t="s">
        <v>2760</v>
      </c>
      <c r="O985" s="5" t="s">
        <v>4494</v>
      </c>
      <c r="P985" s="5" t="s">
        <v>4495</v>
      </c>
      <c r="Q985" s="5" t="s">
        <v>4496</v>
      </c>
      <c r="R985" s="5" t="s">
        <v>4497</v>
      </c>
      <c r="S985" s="5"/>
      <c r="T985" s="5"/>
      <c r="U985" s="5"/>
      <c r="V985" s="5"/>
      <c r="W985" s="5"/>
      <c r="X985" s="5"/>
      <c r="Y985" s="5"/>
      <c r="Z985" s="5"/>
      <c r="AA985" s="5"/>
      <c r="AB985" s="5"/>
      <c r="AC985" s="5"/>
      <c r="AD985" s="5"/>
      <c r="AE985" s="5"/>
      <c r="AF985" s="5"/>
      <c r="AG985" s="14" t="s">
        <v>55</v>
      </c>
      <c r="AH985" s="14" t="s">
        <v>1603</v>
      </c>
      <c r="AI985" s="14" t="s">
        <v>1604</v>
      </c>
      <c r="AJ985" s="5"/>
      <c r="AK985" s="5"/>
    </row>
    <row r="986" spans="1:37">
      <c r="A986" s="5" t="s">
        <v>4498</v>
      </c>
      <c r="B986" s="5" t="s">
        <v>4493</v>
      </c>
      <c r="C986" s="6" t="s">
        <v>1935</v>
      </c>
      <c r="D986" s="6" t="s">
        <v>239</v>
      </c>
      <c r="E986" s="6" t="s">
        <v>2015</v>
      </c>
      <c r="F986" s="6" t="s">
        <v>46</v>
      </c>
      <c r="G986" s="6" t="s">
        <v>4499</v>
      </c>
      <c r="H986" s="7">
        <v>41.51</v>
      </c>
      <c r="I986" s="19" t="s">
        <v>1589</v>
      </c>
      <c r="J986" s="19" t="s">
        <v>2696</v>
      </c>
      <c r="K986" s="5" t="s">
        <v>2757</v>
      </c>
      <c r="L986" s="5" t="s">
        <v>2758</v>
      </c>
      <c r="M986" s="5" t="s">
        <v>2759</v>
      </c>
      <c r="N986" s="5" t="s">
        <v>2760</v>
      </c>
      <c r="O986" s="5" t="s">
        <v>4494</v>
      </c>
      <c r="P986" s="5" t="s">
        <v>4495</v>
      </c>
      <c r="Q986" s="5" t="s">
        <v>4496</v>
      </c>
      <c r="R986" s="5" t="s">
        <v>4497</v>
      </c>
      <c r="AG986" s="14" t="s">
        <v>55</v>
      </c>
      <c r="AH986" s="14" t="s">
        <v>1603</v>
      </c>
      <c r="AI986" s="14" t="s">
        <v>1604</v>
      </c>
    </row>
    <row r="987" spans="1:37">
      <c r="A987" s="5" t="s">
        <v>4500</v>
      </c>
      <c r="B987" s="5" t="s">
        <v>4493</v>
      </c>
      <c r="C987" s="6" t="s">
        <v>43</v>
      </c>
      <c r="D987" s="6" t="s">
        <v>239</v>
      </c>
      <c r="E987" s="6" t="s">
        <v>2047</v>
      </c>
      <c r="F987" s="6" t="s">
        <v>46</v>
      </c>
      <c r="G987" s="6" t="s">
        <v>4501</v>
      </c>
      <c r="H987" s="7">
        <v>41.51</v>
      </c>
      <c r="I987" s="19" t="s">
        <v>1589</v>
      </c>
      <c r="J987" s="19" t="s">
        <v>2696</v>
      </c>
      <c r="K987" s="5" t="s">
        <v>2757</v>
      </c>
      <c r="L987" s="5" t="s">
        <v>2758</v>
      </c>
      <c r="M987" s="5" t="s">
        <v>2759</v>
      </c>
      <c r="N987" s="5" t="s">
        <v>2760</v>
      </c>
      <c r="O987" s="5" t="s">
        <v>4494</v>
      </c>
      <c r="P987" s="5" t="s">
        <v>4495</v>
      </c>
      <c r="Q987" s="5" t="s">
        <v>4496</v>
      </c>
      <c r="R987" s="5" t="s">
        <v>4497</v>
      </c>
      <c r="AG987" s="14" t="s">
        <v>55</v>
      </c>
      <c r="AH987" s="14" t="s">
        <v>1603</v>
      </c>
      <c r="AI987" s="14" t="s">
        <v>1604</v>
      </c>
    </row>
    <row r="988" spans="1:37">
      <c r="A988" s="5" t="s">
        <v>4502</v>
      </c>
      <c r="B988" s="5" t="s">
        <v>4503</v>
      </c>
      <c r="C988" s="6" t="s">
        <v>43</v>
      </c>
      <c r="D988" s="6" t="s">
        <v>239</v>
      </c>
      <c r="E988" s="6" t="s">
        <v>2047</v>
      </c>
      <c r="F988" s="6" t="s">
        <v>46</v>
      </c>
      <c r="G988" s="6" t="s">
        <v>4504</v>
      </c>
      <c r="H988" s="7">
        <v>53.67</v>
      </c>
      <c r="I988" s="19" t="s">
        <v>1589</v>
      </c>
      <c r="J988" s="19" t="s">
        <v>2696</v>
      </c>
      <c r="K988" s="5" t="s">
        <v>2774</v>
      </c>
      <c r="L988" s="5" t="s">
        <v>2775</v>
      </c>
      <c r="M988" s="5" t="s">
        <v>2776</v>
      </c>
      <c r="N988" s="5" t="s">
        <v>2777</v>
      </c>
      <c r="O988" s="5" t="s">
        <v>4505</v>
      </c>
      <c r="P988" s="5" t="s">
        <v>4506</v>
      </c>
      <c r="Q988" s="5" t="s">
        <v>4507</v>
      </c>
      <c r="R988" s="5" t="s">
        <v>4508</v>
      </c>
      <c r="AG988" s="14" t="s">
        <v>55</v>
      </c>
      <c r="AH988" s="14" t="s">
        <v>1603</v>
      </c>
      <c r="AI988" s="14" t="s">
        <v>1604</v>
      </c>
    </row>
    <row r="989" spans="1:37">
      <c r="A989" s="5" t="s">
        <v>4509</v>
      </c>
      <c r="B989" s="5" t="s">
        <v>4503</v>
      </c>
      <c r="C989" s="6" t="s">
        <v>43</v>
      </c>
      <c r="D989" s="6" t="s">
        <v>239</v>
      </c>
      <c r="E989" s="6" t="s">
        <v>2065</v>
      </c>
      <c r="F989" s="6" t="s">
        <v>46</v>
      </c>
      <c r="G989" s="6" t="s">
        <v>4510</v>
      </c>
      <c r="H989" s="7">
        <v>53.67</v>
      </c>
      <c r="I989" s="19" t="s">
        <v>1589</v>
      </c>
      <c r="J989" s="19" t="s">
        <v>2696</v>
      </c>
      <c r="K989" s="5" t="s">
        <v>2774</v>
      </c>
      <c r="L989" s="5" t="s">
        <v>2775</v>
      </c>
      <c r="M989" s="5" t="s">
        <v>2776</v>
      </c>
      <c r="N989" s="5" t="s">
        <v>2777</v>
      </c>
      <c r="O989" s="5" t="s">
        <v>4505</v>
      </c>
      <c r="P989" s="5" t="s">
        <v>4506</v>
      </c>
      <c r="Q989" s="5" t="s">
        <v>4507</v>
      </c>
      <c r="R989" s="5" t="s">
        <v>4508</v>
      </c>
      <c r="AG989" s="14" t="s">
        <v>55</v>
      </c>
      <c r="AH989" s="14" t="s">
        <v>1603</v>
      </c>
      <c r="AI989" s="14" t="s">
        <v>1604</v>
      </c>
    </row>
    <row r="990" spans="1:37">
      <c r="A990" s="5" t="s">
        <v>4511</v>
      </c>
      <c r="B990" s="5" t="s">
        <v>4512</v>
      </c>
      <c r="C990" s="6" t="s">
        <v>43</v>
      </c>
      <c r="D990" s="6" t="s">
        <v>239</v>
      </c>
      <c r="E990" s="6" t="s">
        <v>1386</v>
      </c>
      <c r="F990" s="6" t="s">
        <v>46</v>
      </c>
      <c r="G990" s="6" t="s">
        <v>4513</v>
      </c>
      <c r="H990" s="7">
        <v>54.82</v>
      </c>
      <c r="I990" s="19" t="s">
        <v>1589</v>
      </c>
      <c r="J990" s="19" t="s">
        <v>2696</v>
      </c>
      <c r="K990" s="5" t="s">
        <v>2790</v>
      </c>
      <c r="L990" s="5" t="s">
        <v>2791</v>
      </c>
      <c r="M990" s="5" t="s">
        <v>2792</v>
      </c>
      <c r="N990" s="5" t="s">
        <v>2793</v>
      </c>
      <c r="O990" s="5" t="s">
        <v>4514</v>
      </c>
      <c r="P990" s="5" t="s">
        <v>4515</v>
      </c>
      <c r="Q990" s="5" t="s">
        <v>4516</v>
      </c>
      <c r="R990" s="5" t="s">
        <v>4517</v>
      </c>
      <c r="AG990" s="14" t="s">
        <v>55</v>
      </c>
      <c r="AH990" s="14" t="s">
        <v>1603</v>
      </c>
      <c r="AI990" s="14" t="s">
        <v>1604</v>
      </c>
    </row>
    <row r="991" spans="1:37">
      <c r="A991" s="6" t="s">
        <v>4518</v>
      </c>
      <c r="B991" s="6" t="s">
        <v>4519</v>
      </c>
      <c r="C991" s="6" t="s">
        <v>43</v>
      </c>
      <c r="D991" s="6" t="s">
        <v>239</v>
      </c>
      <c r="E991" s="6" t="s">
        <v>2047</v>
      </c>
      <c r="F991" s="6" t="s">
        <v>46</v>
      </c>
      <c r="G991" s="6" t="s">
        <v>4520</v>
      </c>
      <c r="I991" s="19" t="s">
        <v>48</v>
      </c>
      <c r="J991" s="19" t="s">
        <v>48</v>
      </c>
      <c r="K991" s="6"/>
      <c r="L991" s="6"/>
      <c r="M991" s="6"/>
      <c r="N991" s="6"/>
      <c r="O991" s="6"/>
      <c r="P991" s="6"/>
      <c r="Q991" s="6"/>
      <c r="R991" s="6"/>
      <c r="S991" s="6"/>
      <c r="T991" s="6"/>
      <c r="U991" s="6"/>
      <c r="V991" s="6"/>
      <c r="W991" s="6"/>
      <c r="X991" s="6"/>
      <c r="Y991" s="6"/>
      <c r="Z991" s="6"/>
      <c r="AA991" s="6"/>
      <c r="AB991" s="6"/>
      <c r="AC991" s="6"/>
      <c r="AD991" s="6"/>
      <c r="AE991" s="6"/>
      <c r="AF991" s="6"/>
      <c r="AG991" s="15" t="s">
        <v>55</v>
      </c>
      <c r="AH991" s="15"/>
      <c r="AI991" s="15"/>
      <c r="AJ991" s="6"/>
      <c r="AK991" s="6"/>
    </row>
    <row r="992" spans="1:37" s="6" customFormat="1">
      <c r="A992" s="5" t="s">
        <v>4521</v>
      </c>
      <c r="B992" s="5" t="s">
        <v>4522</v>
      </c>
      <c r="C992" s="6" t="s">
        <v>43</v>
      </c>
      <c r="D992" s="6" t="s">
        <v>239</v>
      </c>
      <c r="E992" s="6" t="s">
        <v>2139</v>
      </c>
      <c r="F992" s="6" t="s">
        <v>46</v>
      </c>
      <c r="G992" s="6" t="s">
        <v>4523</v>
      </c>
      <c r="H992" s="7">
        <v>56.52</v>
      </c>
      <c r="I992" s="19" t="s">
        <v>1589</v>
      </c>
      <c r="J992" s="19" t="s">
        <v>2696</v>
      </c>
      <c r="K992" s="5" t="s">
        <v>2809</v>
      </c>
      <c r="L992" s="5" t="s">
        <v>2810</v>
      </c>
      <c r="M992" s="5" t="s">
        <v>2811</v>
      </c>
      <c r="N992" s="5" t="s">
        <v>2812</v>
      </c>
      <c r="O992" s="5" t="s">
        <v>4524</v>
      </c>
      <c r="P992" s="5" t="s">
        <v>4525</v>
      </c>
      <c r="Q992" s="5" t="s">
        <v>4526</v>
      </c>
      <c r="R992" s="5" t="s">
        <v>4527</v>
      </c>
      <c r="S992" s="5"/>
      <c r="T992" s="5"/>
      <c r="U992" s="5"/>
      <c r="V992" s="5"/>
      <c r="W992" s="5"/>
      <c r="X992" s="5"/>
      <c r="Y992" s="5"/>
      <c r="Z992" s="5"/>
      <c r="AA992" s="5"/>
      <c r="AB992" s="5"/>
      <c r="AC992" s="5"/>
      <c r="AD992" s="5"/>
      <c r="AE992" s="5"/>
      <c r="AF992" s="5"/>
      <c r="AG992" s="14" t="s">
        <v>55</v>
      </c>
      <c r="AH992" s="14" t="s">
        <v>1603</v>
      </c>
      <c r="AI992" s="14" t="s">
        <v>1604</v>
      </c>
      <c r="AJ992" s="5"/>
      <c r="AK992" s="5"/>
    </row>
    <row r="993" spans="1:37">
      <c r="A993" s="5" t="s">
        <v>4528</v>
      </c>
      <c r="B993" s="5" t="s">
        <v>4522</v>
      </c>
      <c r="C993" s="6" t="s">
        <v>43</v>
      </c>
      <c r="D993" s="6" t="s">
        <v>239</v>
      </c>
      <c r="E993" s="6" t="s">
        <v>2047</v>
      </c>
      <c r="F993" s="6" t="s">
        <v>46</v>
      </c>
      <c r="G993" s="6" t="s">
        <v>4529</v>
      </c>
      <c r="H993" s="7">
        <v>56.52</v>
      </c>
      <c r="I993" s="19" t="s">
        <v>1589</v>
      </c>
      <c r="J993" s="19" t="s">
        <v>2696</v>
      </c>
      <c r="K993" s="5" t="s">
        <v>2809</v>
      </c>
      <c r="L993" s="5" t="s">
        <v>2810</v>
      </c>
      <c r="M993" s="5" t="s">
        <v>2811</v>
      </c>
      <c r="N993" s="5" t="s">
        <v>2812</v>
      </c>
      <c r="O993" s="5" t="s">
        <v>4524</v>
      </c>
      <c r="P993" s="5" t="s">
        <v>4525</v>
      </c>
      <c r="Q993" s="5" t="s">
        <v>4526</v>
      </c>
      <c r="R993" s="5" t="s">
        <v>4527</v>
      </c>
      <c r="AG993" s="14" t="s">
        <v>55</v>
      </c>
      <c r="AH993" s="14" t="s">
        <v>1603</v>
      </c>
      <c r="AI993" s="14" t="s">
        <v>1604</v>
      </c>
    </row>
    <row r="994" spans="1:37">
      <c r="A994" s="5" t="s">
        <v>4530</v>
      </c>
      <c r="B994" s="5" t="s">
        <v>4522</v>
      </c>
      <c r="C994" s="6" t="s">
        <v>2831</v>
      </c>
      <c r="D994" s="6" t="s">
        <v>239</v>
      </c>
      <c r="E994" s="6" t="s">
        <v>2839</v>
      </c>
      <c r="F994" s="6" t="s">
        <v>46</v>
      </c>
      <c r="G994" s="6" t="s">
        <v>4531</v>
      </c>
      <c r="H994" s="7">
        <v>56.52</v>
      </c>
      <c r="I994" s="19" t="s">
        <v>1589</v>
      </c>
      <c r="J994" s="19" t="s">
        <v>2696</v>
      </c>
      <c r="K994" s="5" t="s">
        <v>2809</v>
      </c>
      <c r="L994" s="5" t="s">
        <v>2810</v>
      </c>
      <c r="M994" s="5" t="s">
        <v>2811</v>
      </c>
      <c r="N994" s="5" t="s">
        <v>2812</v>
      </c>
      <c r="O994" s="5" t="s">
        <v>4524</v>
      </c>
      <c r="P994" s="5" t="s">
        <v>4525</v>
      </c>
      <c r="Q994" s="5" t="s">
        <v>4526</v>
      </c>
      <c r="R994" s="5" t="s">
        <v>4527</v>
      </c>
      <c r="AG994" s="14" t="s">
        <v>55</v>
      </c>
      <c r="AH994" s="14" t="s">
        <v>1603</v>
      </c>
      <c r="AI994" s="14" t="s">
        <v>1604</v>
      </c>
    </row>
    <row r="995" spans="1:37">
      <c r="A995" s="5" t="s">
        <v>4532</v>
      </c>
      <c r="B995" s="5" t="s">
        <v>4522</v>
      </c>
      <c r="C995" s="6" t="s">
        <v>43</v>
      </c>
      <c r="D995" s="6" t="s">
        <v>239</v>
      </c>
      <c r="E995" s="6" t="s">
        <v>1693</v>
      </c>
      <c r="F995" s="6" t="s">
        <v>46</v>
      </c>
      <c r="G995" s="6" t="s">
        <v>1544</v>
      </c>
      <c r="H995" s="7">
        <v>56.52</v>
      </c>
      <c r="I995" s="19" t="s">
        <v>1589</v>
      </c>
      <c r="J995" s="19" t="s">
        <v>2696</v>
      </c>
      <c r="K995" s="5" t="s">
        <v>2809</v>
      </c>
      <c r="L995" s="5" t="s">
        <v>2810</v>
      </c>
      <c r="M995" s="5" t="s">
        <v>2811</v>
      </c>
      <c r="N995" s="5" t="s">
        <v>2812</v>
      </c>
      <c r="O995" s="5" t="s">
        <v>4524</v>
      </c>
      <c r="P995" s="5" t="s">
        <v>4525</v>
      </c>
      <c r="Q995" s="5" t="s">
        <v>4526</v>
      </c>
      <c r="R995" s="5" t="s">
        <v>4527</v>
      </c>
      <c r="AG995" s="14" t="s">
        <v>55</v>
      </c>
      <c r="AH995" s="14" t="s">
        <v>1603</v>
      </c>
      <c r="AI995" s="14" t="s">
        <v>1604</v>
      </c>
    </row>
    <row r="996" spans="1:37">
      <c r="A996" s="5" t="s">
        <v>4533</v>
      </c>
      <c r="B996" s="5" t="s">
        <v>4522</v>
      </c>
      <c r="C996" s="6" t="s">
        <v>43</v>
      </c>
      <c r="D996" s="6" t="s">
        <v>239</v>
      </c>
      <c r="E996" s="6" t="s">
        <v>2065</v>
      </c>
      <c r="F996" s="6" t="s">
        <v>46</v>
      </c>
      <c r="G996" s="6" t="s">
        <v>4534</v>
      </c>
      <c r="H996" s="7">
        <v>56.52</v>
      </c>
      <c r="I996" s="19" t="s">
        <v>1589</v>
      </c>
      <c r="J996" s="19" t="s">
        <v>2696</v>
      </c>
      <c r="K996" s="5" t="s">
        <v>2809</v>
      </c>
      <c r="L996" s="5" t="s">
        <v>2810</v>
      </c>
      <c r="M996" s="5" t="s">
        <v>2811</v>
      </c>
      <c r="N996" s="5" t="s">
        <v>2812</v>
      </c>
      <c r="O996" s="5" t="s">
        <v>4524</v>
      </c>
      <c r="P996" s="5" t="s">
        <v>4525</v>
      </c>
      <c r="Q996" s="5" t="s">
        <v>4526</v>
      </c>
      <c r="R996" s="5" t="s">
        <v>4527</v>
      </c>
      <c r="AG996" s="14" t="s">
        <v>55</v>
      </c>
      <c r="AH996" s="14" t="s">
        <v>1603</v>
      </c>
      <c r="AI996" s="14" t="s">
        <v>1604</v>
      </c>
    </row>
    <row r="997" spans="1:37">
      <c r="A997" s="5" t="s">
        <v>4535</v>
      </c>
      <c r="B997" s="5" t="s">
        <v>4536</v>
      </c>
      <c r="C997" s="6" t="s">
        <v>43</v>
      </c>
      <c r="D997" s="6" t="s">
        <v>239</v>
      </c>
      <c r="E997" s="6" t="s">
        <v>2139</v>
      </c>
      <c r="F997" s="6" t="s">
        <v>46</v>
      </c>
      <c r="G997" s="6" t="s">
        <v>4537</v>
      </c>
      <c r="H997" s="7">
        <v>69.92</v>
      </c>
      <c r="I997" s="19" t="s">
        <v>1589</v>
      </c>
      <c r="J997" s="19" t="s">
        <v>2696</v>
      </c>
      <c r="K997" s="5" t="s">
        <v>2857</v>
      </c>
      <c r="L997" s="5" t="s">
        <v>2858</v>
      </c>
      <c r="M997" s="5" t="s">
        <v>2859</v>
      </c>
      <c r="N997" s="5" t="s">
        <v>2860</v>
      </c>
      <c r="O997" s="5" t="s">
        <v>4538</v>
      </c>
      <c r="P997" s="5" t="s">
        <v>4539</v>
      </c>
      <c r="Q997" s="5" t="s">
        <v>4540</v>
      </c>
      <c r="R997" s="5" t="s">
        <v>4541</v>
      </c>
      <c r="AG997" s="14" t="s">
        <v>55</v>
      </c>
      <c r="AH997" s="14" t="s">
        <v>1603</v>
      </c>
      <c r="AI997" s="14" t="s">
        <v>1604</v>
      </c>
    </row>
    <row r="998" spans="1:37">
      <c r="A998" s="5" t="s">
        <v>4542</v>
      </c>
      <c r="B998" s="5" t="s">
        <v>4536</v>
      </c>
      <c r="C998" s="6" t="s">
        <v>43</v>
      </c>
      <c r="D998" s="6" t="s">
        <v>239</v>
      </c>
      <c r="E998" s="6" t="s">
        <v>2047</v>
      </c>
      <c r="F998" s="6" t="s">
        <v>46</v>
      </c>
      <c r="G998" s="6" t="s">
        <v>4543</v>
      </c>
      <c r="H998" s="7">
        <v>69.92</v>
      </c>
      <c r="I998" s="19" t="s">
        <v>1589</v>
      </c>
      <c r="J998" s="19" t="s">
        <v>2696</v>
      </c>
      <c r="K998" s="5" t="s">
        <v>2857</v>
      </c>
      <c r="L998" s="5" t="s">
        <v>2858</v>
      </c>
      <c r="M998" s="5" t="s">
        <v>2859</v>
      </c>
      <c r="N998" s="5" t="s">
        <v>2860</v>
      </c>
      <c r="O998" s="5" t="s">
        <v>4538</v>
      </c>
      <c r="P998" s="5" t="s">
        <v>4539</v>
      </c>
      <c r="Q998" s="5" t="s">
        <v>4540</v>
      </c>
      <c r="R998" s="5" t="s">
        <v>4541</v>
      </c>
      <c r="AG998" s="14" t="s">
        <v>55</v>
      </c>
      <c r="AH998" s="14" t="s">
        <v>1603</v>
      </c>
      <c r="AI998" s="14" t="s">
        <v>1604</v>
      </c>
    </row>
    <row r="999" spans="1:37">
      <c r="A999" s="5" t="s">
        <v>4544</v>
      </c>
      <c r="B999" s="5" t="s">
        <v>4545</v>
      </c>
      <c r="C999" s="6" t="s">
        <v>43</v>
      </c>
      <c r="D999" s="6" t="s">
        <v>239</v>
      </c>
      <c r="E999" s="6" t="s">
        <v>2047</v>
      </c>
      <c r="F999" s="6" t="s">
        <v>46</v>
      </c>
      <c r="G999" s="6" t="s">
        <v>4546</v>
      </c>
      <c r="H999" s="7">
        <v>71.150000000000006</v>
      </c>
      <c r="I999" s="19" t="s">
        <v>1589</v>
      </c>
      <c r="J999" s="19" t="s">
        <v>2696</v>
      </c>
      <c r="K999" s="5" t="s">
        <v>2878</v>
      </c>
      <c r="L999" s="5" t="s">
        <v>2879</v>
      </c>
      <c r="M999" s="5" t="s">
        <v>2880</v>
      </c>
      <c r="N999" s="5" t="s">
        <v>2881</v>
      </c>
      <c r="O999" s="5" t="s">
        <v>4547</v>
      </c>
      <c r="P999" s="5" t="s">
        <v>4548</v>
      </c>
      <c r="Q999" s="5" t="s">
        <v>4549</v>
      </c>
      <c r="R999" s="5" t="s">
        <v>4550</v>
      </c>
      <c r="AG999" s="14" t="s">
        <v>55</v>
      </c>
      <c r="AH999" s="14" t="s">
        <v>1603</v>
      </c>
      <c r="AI999" s="14" t="s">
        <v>1604</v>
      </c>
    </row>
    <row r="1000" spans="1:37">
      <c r="A1000" s="5" t="s">
        <v>4551</v>
      </c>
      <c r="B1000" s="5" t="s">
        <v>4552</v>
      </c>
      <c r="C1000" s="6" t="s">
        <v>43</v>
      </c>
      <c r="D1000" s="6" t="s">
        <v>239</v>
      </c>
      <c r="E1000" s="6" t="s">
        <v>2047</v>
      </c>
      <c r="F1000" s="6" t="s">
        <v>46</v>
      </c>
      <c r="G1000" s="6" t="s">
        <v>3903</v>
      </c>
      <c r="H1000" s="7">
        <v>74.84</v>
      </c>
      <c r="I1000" s="19" t="s">
        <v>1589</v>
      </c>
      <c r="J1000" s="19" t="s">
        <v>2696</v>
      </c>
      <c r="K1000" s="5" t="s">
        <v>2903</v>
      </c>
      <c r="L1000" s="5" t="s">
        <v>2904</v>
      </c>
      <c r="M1000" s="5" t="s">
        <v>2905</v>
      </c>
      <c r="N1000" s="5" t="s">
        <v>2906</v>
      </c>
      <c r="O1000" s="5" t="s">
        <v>4553</v>
      </c>
      <c r="P1000" s="5" t="s">
        <v>4554</v>
      </c>
      <c r="Q1000" s="5" t="s">
        <v>4555</v>
      </c>
      <c r="R1000" s="5" t="s">
        <v>4556</v>
      </c>
      <c r="AG1000" s="14" t="s">
        <v>55</v>
      </c>
      <c r="AH1000" s="14" t="s">
        <v>1603</v>
      </c>
      <c r="AI1000" s="14" t="s">
        <v>1604</v>
      </c>
    </row>
    <row r="1001" spans="1:37">
      <c r="A1001" s="5" t="s">
        <v>4557</v>
      </c>
      <c r="B1001" s="5" t="s">
        <v>4558</v>
      </c>
      <c r="C1001" s="6" t="s">
        <v>4559</v>
      </c>
      <c r="D1001" s="6" t="s">
        <v>239</v>
      </c>
      <c r="E1001" s="6" t="s">
        <v>2047</v>
      </c>
      <c r="F1001" s="6" t="s">
        <v>46</v>
      </c>
      <c r="G1001" s="6" t="s">
        <v>4560</v>
      </c>
      <c r="H1001" s="7">
        <v>74.84</v>
      </c>
      <c r="I1001" s="19" t="s">
        <v>1589</v>
      </c>
      <c r="J1001" s="19" t="s">
        <v>2696</v>
      </c>
      <c r="K1001" s="5" t="s">
        <v>2935</v>
      </c>
      <c r="L1001" s="5" t="s">
        <v>2936</v>
      </c>
      <c r="M1001" s="5" t="s">
        <v>2937</v>
      </c>
      <c r="N1001" s="5" t="s">
        <v>2938</v>
      </c>
      <c r="O1001" s="5" t="s">
        <v>4561</v>
      </c>
      <c r="P1001" s="5" t="s">
        <v>4562</v>
      </c>
      <c r="Q1001" s="5" t="s">
        <v>4563</v>
      </c>
      <c r="R1001" s="5" t="s">
        <v>4564</v>
      </c>
      <c r="AG1001" s="14" t="s">
        <v>55</v>
      </c>
      <c r="AH1001" s="14" t="s">
        <v>1603</v>
      </c>
      <c r="AI1001" s="14" t="s">
        <v>1604</v>
      </c>
    </row>
    <row r="1002" spans="1:37">
      <c r="A1002" s="5" t="s">
        <v>4565</v>
      </c>
      <c r="B1002" s="5" t="s">
        <v>4558</v>
      </c>
      <c r="C1002" s="6" t="s">
        <v>4559</v>
      </c>
      <c r="D1002" s="6" t="s">
        <v>239</v>
      </c>
      <c r="E1002" s="6" t="s">
        <v>2065</v>
      </c>
      <c r="F1002" s="6" t="s">
        <v>46</v>
      </c>
      <c r="G1002" s="6" t="s">
        <v>4566</v>
      </c>
      <c r="H1002" s="7">
        <v>74.84</v>
      </c>
      <c r="I1002" s="19" t="s">
        <v>1589</v>
      </c>
      <c r="J1002" s="19" t="s">
        <v>2696</v>
      </c>
      <c r="K1002" s="5" t="s">
        <v>2935</v>
      </c>
      <c r="L1002" s="5" t="s">
        <v>2936</v>
      </c>
      <c r="M1002" s="5" t="s">
        <v>2937</v>
      </c>
      <c r="N1002" s="5" t="s">
        <v>2938</v>
      </c>
      <c r="O1002" s="5" t="s">
        <v>4561</v>
      </c>
      <c r="P1002" s="5" t="s">
        <v>4562</v>
      </c>
      <c r="Q1002" s="5" t="s">
        <v>4563</v>
      </c>
      <c r="R1002" s="5" t="s">
        <v>4564</v>
      </c>
      <c r="AG1002" s="14" t="s">
        <v>55</v>
      </c>
      <c r="AH1002" s="14" t="s">
        <v>1603</v>
      </c>
      <c r="AI1002" s="14" t="s">
        <v>1604</v>
      </c>
    </row>
    <row r="1003" spans="1:37">
      <c r="A1003" s="5" t="s">
        <v>4567</v>
      </c>
      <c r="B1003" s="5" t="s">
        <v>4568</v>
      </c>
      <c r="C1003" s="6" t="s">
        <v>43</v>
      </c>
      <c r="D1003" s="6" t="s">
        <v>239</v>
      </c>
      <c r="E1003" s="6" t="s">
        <v>1540</v>
      </c>
      <c r="F1003" s="6" t="s">
        <v>46</v>
      </c>
      <c r="G1003" s="6" t="s">
        <v>4569</v>
      </c>
      <c r="H1003" s="7">
        <v>81.400000000000006</v>
      </c>
      <c r="I1003" s="19" t="s">
        <v>1589</v>
      </c>
      <c r="J1003" s="19" t="s">
        <v>2254</v>
      </c>
      <c r="K1003" s="5" t="s">
        <v>2972</v>
      </c>
      <c r="L1003" s="5" t="s">
        <v>2973</v>
      </c>
      <c r="M1003" s="5" t="s">
        <v>2974</v>
      </c>
      <c r="N1003" s="5" t="s">
        <v>2975</v>
      </c>
      <c r="O1003" s="5" t="s">
        <v>4570</v>
      </c>
      <c r="P1003" s="5" t="s">
        <v>4571</v>
      </c>
      <c r="Q1003" s="5" t="s">
        <v>4572</v>
      </c>
      <c r="R1003" s="5" t="s">
        <v>4573</v>
      </c>
      <c r="Y1003" s="5" t="s">
        <v>2980</v>
      </c>
      <c r="AG1003" s="14" t="s">
        <v>55</v>
      </c>
      <c r="AH1003" s="14" t="s">
        <v>1603</v>
      </c>
      <c r="AI1003" s="14" t="s">
        <v>2264</v>
      </c>
    </row>
    <row r="1004" spans="1:37">
      <c r="A1004" s="5" t="s">
        <v>4574</v>
      </c>
      <c r="B1004" s="5" t="s">
        <v>4575</v>
      </c>
      <c r="C1004" s="6" t="s">
        <v>43</v>
      </c>
      <c r="D1004" s="6" t="s">
        <v>239</v>
      </c>
      <c r="E1004" s="6" t="s">
        <v>2989</v>
      </c>
      <c r="F1004" s="6" t="s">
        <v>46</v>
      </c>
      <c r="G1004" s="6" t="s">
        <v>4576</v>
      </c>
      <c r="H1004" s="7">
        <v>83.47</v>
      </c>
      <c r="I1004" s="19" t="s">
        <v>1589</v>
      </c>
      <c r="J1004" s="19" t="s">
        <v>2696</v>
      </c>
      <c r="K1004" s="5" t="s">
        <v>2991</v>
      </c>
      <c r="L1004" s="5" t="s">
        <v>2992</v>
      </c>
      <c r="M1004" s="5" t="s">
        <v>2993</v>
      </c>
      <c r="N1004" s="5" t="s">
        <v>2994</v>
      </c>
      <c r="O1004" s="5" t="s">
        <v>4577</v>
      </c>
      <c r="P1004" s="5" t="s">
        <v>4578</v>
      </c>
      <c r="Q1004" s="5" t="s">
        <v>4579</v>
      </c>
      <c r="R1004" s="5" t="s">
        <v>4580</v>
      </c>
      <c r="AG1004" s="14" t="s">
        <v>55</v>
      </c>
      <c r="AH1004" s="14" t="s">
        <v>1603</v>
      </c>
      <c r="AI1004" s="14" t="s">
        <v>1604</v>
      </c>
    </row>
    <row r="1005" spans="1:37">
      <c r="A1005" s="6" t="s">
        <v>4581</v>
      </c>
      <c r="B1005" s="6" t="s">
        <v>4582</v>
      </c>
      <c r="C1005" s="6" t="s">
        <v>43</v>
      </c>
      <c r="D1005" s="6" t="s">
        <v>239</v>
      </c>
      <c r="E1005" s="6" t="s">
        <v>2047</v>
      </c>
      <c r="F1005" s="6" t="s">
        <v>46</v>
      </c>
      <c r="G1005" s="6" t="s">
        <v>4583</v>
      </c>
      <c r="I1005" s="16" t="s">
        <v>48</v>
      </c>
      <c r="J1005" s="16" t="s">
        <v>48</v>
      </c>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15" t="s">
        <v>55</v>
      </c>
      <c r="AH1005" s="15"/>
      <c r="AI1005" s="15"/>
      <c r="AJ1005" s="6"/>
      <c r="AK1005" s="6"/>
    </row>
    <row r="1006" spans="1:37" s="6" customFormat="1">
      <c r="A1006" s="6" t="s">
        <v>4584</v>
      </c>
      <c r="B1006" s="6" t="s">
        <v>4582</v>
      </c>
      <c r="C1006" s="6" t="s">
        <v>43</v>
      </c>
      <c r="D1006" s="6" t="s">
        <v>239</v>
      </c>
      <c r="E1006" s="6" t="s">
        <v>2065</v>
      </c>
      <c r="F1006" s="6" t="s">
        <v>46</v>
      </c>
      <c r="G1006" s="6" t="s">
        <v>4585</v>
      </c>
      <c r="H1006" s="7"/>
      <c r="I1006" s="16" t="s">
        <v>48</v>
      </c>
      <c r="J1006" s="16" t="s">
        <v>48</v>
      </c>
      <c r="AG1006" s="15" t="s">
        <v>55</v>
      </c>
      <c r="AH1006" s="15"/>
      <c r="AI1006" s="15"/>
    </row>
    <row r="1007" spans="1:37" s="6" customFormat="1">
      <c r="A1007" s="5" t="s">
        <v>4586</v>
      </c>
      <c r="B1007" s="5" t="s">
        <v>4575</v>
      </c>
      <c r="C1007" s="6" t="s">
        <v>4587</v>
      </c>
      <c r="D1007" s="6" t="s">
        <v>239</v>
      </c>
      <c r="E1007" s="6" t="s">
        <v>2047</v>
      </c>
      <c r="F1007" s="6" t="s">
        <v>46</v>
      </c>
      <c r="G1007" s="6" t="s">
        <v>4588</v>
      </c>
      <c r="H1007" s="7">
        <v>83.47</v>
      </c>
      <c r="I1007" s="19" t="s">
        <v>1589</v>
      </c>
      <c r="J1007" s="19" t="s">
        <v>2696</v>
      </c>
      <c r="K1007" s="5" t="s">
        <v>2991</v>
      </c>
      <c r="L1007" s="5" t="s">
        <v>2992</v>
      </c>
      <c r="M1007" s="5" t="s">
        <v>2993</v>
      </c>
      <c r="N1007" s="5" t="s">
        <v>2994</v>
      </c>
      <c r="O1007" s="5" t="s">
        <v>4577</v>
      </c>
      <c r="P1007" s="5" t="s">
        <v>4578</v>
      </c>
      <c r="Q1007" s="5" t="s">
        <v>4579</v>
      </c>
      <c r="R1007" s="5" t="s">
        <v>4580</v>
      </c>
      <c r="S1007" s="5"/>
      <c r="T1007" s="5"/>
      <c r="U1007" s="5"/>
      <c r="V1007" s="5"/>
      <c r="W1007" s="5"/>
      <c r="X1007" s="5"/>
      <c r="Y1007" s="5"/>
      <c r="Z1007" s="5"/>
      <c r="AA1007" s="5"/>
      <c r="AB1007" s="5"/>
      <c r="AC1007" s="5"/>
      <c r="AD1007" s="5"/>
      <c r="AE1007" s="5"/>
      <c r="AF1007" s="5"/>
      <c r="AG1007" s="14" t="s">
        <v>55</v>
      </c>
      <c r="AH1007" s="14" t="s">
        <v>1603</v>
      </c>
      <c r="AI1007" s="14" t="s">
        <v>1604</v>
      </c>
      <c r="AJ1007" s="5"/>
      <c r="AK1007" s="5"/>
    </row>
    <row r="1008" spans="1:37">
      <c r="A1008" s="5" t="s">
        <v>4589</v>
      </c>
      <c r="B1008" s="5" t="s">
        <v>4575</v>
      </c>
      <c r="C1008" s="6" t="s">
        <v>4587</v>
      </c>
      <c r="D1008" s="6" t="s">
        <v>239</v>
      </c>
      <c r="E1008" s="6" t="s">
        <v>2065</v>
      </c>
      <c r="F1008" s="6" t="s">
        <v>46</v>
      </c>
      <c r="G1008" s="6" t="s">
        <v>4590</v>
      </c>
      <c r="H1008" s="7">
        <v>83.47</v>
      </c>
      <c r="I1008" s="19" t="s">
        <v>1589</v>
      </c>
      <c r="J1008" s="19" t="s">
        <v>2696</v>
      </c>
      <c r="K1008" s="5" t="s">
        <v>2991</v>
      </c>
      <c r="L1008" s="5" t="s">
        <v>2992</v>
      </c>
      <c r="M1008" s="5" t="s">
        <v>2993</v>
      </c>
      <c r="N1008" s="5" t="s">
        <v>2994</v>
      </c>
      <c r="O1008" s="5" t="s">
        <v>4577</v>
      </c>
      <c r="P1008" s="5" t="s">
        <v>4578</v>
      </c>
      <c r="Q1008" s="5" t="s">
        <v>4579</v>
      </c>
      <c r="R1008" s="5" t="s">
        <v>4580</v>
      </c>
      <c r="AG1008" s="14" t="s">
        <v>55</v>
      </c>
      <c r="AH1008" s="14" t="s">
        <v>1603</v>
      </c>
      <c r="AI1008" s="14" t="s">
        <v>1604</v>
      </c>
    </row>
    <row r="1009" spans="1:37">
      <c r="A1009" s="5" t="s">
        <v>4591</v>
      </c>
      <c r="B1009" s="5" t="s">
        <v>4592</v>
      </c>
      <c r="C1009" s="6" t="s">
        <v>4593</v>
      </c>
      <c r="D1009" s="6" t="s">
        <v>239</v>
      </c>
      <c r="E1009" s="6" t="s">
        <v>2989</v>
      </c>
      <c r="F1009" s="6" t="s">
        <v>46</v>
      </c>
      <c r="G1009" s="6" t="s">
        <v>4594</v>
      </c>
      <c r="H1009" s="7">
        <v>101.95</v>
      </c>
      <c r="I1009" s="19" t="s">
        <v>1589</v>
      </c>
      <c r="J1009" s="19" t="s">
        <v>2696</v>
      </c>
      <c r="K1009" s="5" t="s">
        <v>3023</v>
      </c>
      <c r="L1009" s="5" t="s">
        <v>3024</v>
      </c>
      <c r="M1009" s="5" t="s">
        <v>3025</v>
      </c>
      <c r="N1009" s="5" t="s">
        <v>3026</v>
      </c>
      <c r="O1009" s="5" t="s">
        <v>4595</v>
      </c>
      <c r="P1009" s="5" t="s">
        <v>4596</v>
      </c>
      <c r="Q1009" s="5" t="s">
        <v>4597</v>
      </c>
      <c r="R1009" s="5" t="s">
        <v>4598</v>
      </c>
      <c r="AG1009" s="14" t="s">
        <v>55</v>
      </c>
      <c r="AH1009" s="14" t="s">
        <v>1603</v>
      </c>
      <c r="AI1009" s="14" t="s">
        <v>1604</v>
      </c>
    </row>
    <row r="1010" spans="1:37">
      <c r="A1010" s="6" t="s">
        <v>4599</v>
      </c>
      <c r="B1010" s="6" t="s">
        <v>4600</v>
      </c>
      <c r="C1010" s="6" t="s">
        <v>43</v>
      </c>
      <c r="D1010" s="6" t="s">
        <v>239</v>
      </c>
      <c r="E1010" s="6" t="s">
        <v>2047</v>
      </c>
      <c r="F1010" s="6" t="s">
        <v>46</v>
      </c>
      <c r="G1010" s="6" t="s">
        <v>4601</v>
      </c>
      <c r="I1010" s="19" t="s">
        <v>48</v>
      </c>
      <c r="J1010" s="19" t="s">
        <v>48</v>
      </c>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15" t="s">
        <v>55</v>
      </c>
      <c r="AH1010" s="15"/>
      <c r="AI1010" s="15"/>
      <c r="AJ1010" s="6"/>
      <c r="AK1010" s="6"/>
    </row>
    <row r="1011" spans="1:37" s="6" customFormat="1">
      <c r="A1011" s="5" t="s">
        <v>4602</v>
      </c>
      <c r="B1011" s="5" t="s">
        <v>4592</v>
      </c>
      <c r="C1011" s="6" t="s">
        <v>4593</v>
      </c>
      <c r="D1011" s="6" t="s">
        <v>239</v>
      </c>
      <c r="E1011" s="6" t="s">
        <v>2047</v>
      </c>
      <c r="F1011" s="6" t="s">
        <v>46</v>
      </c>
      <c r="G1011" s="6" t="s">
        <v>4603</v>
      </c>
      <c r="H1011" s="7">
        <v>101.95</v>
      </c>
      <c r="I1011" s="19" t="s">
        <v>1589</v>
      </c>
      <c r="J1011" s="19" t="s">
        <v>2696</v>
      </c>
      <c r="K1011" s="5" t="s">
        <v>3023</v>
      </c>
      <c r="L1011" s="5" t="s">
        <v>3024</v>
      </c>
      <c r="M1011" s="5" t="s">
        <v>3025</v>
      </c>
      <c r="N1011" s="5" t="s">
        <v>3026</v>
      </c>
      <c r="O1011" s="5" t="s">
        <v>4595</v>
      </c>
      <c r="P1011" s="5" t="s">
        <v>4596</v>
      </c>
      <c r="Q1011" s="5" t="s">
        <v>4597</v>
      </c>
      <c r="R1011" s="5" t="s">
        <v>4598</v>
      </c>
      <c r="S1011" s="5"/>
      <c r="T1011" s="5"/>
      <c r="U1011" s="5"/>
      <c r="V1011" s="5"/>
      <c r="W1011" s="5"/>
      <c r="X1011" s="5"/>
      <c r="Y1011" s="5"/>
      <c r="Z1011" s="5"/>
      <c r="AA1011" s="5"/>
      <c r="AB1011" s="5"/>
      <c r="AC1011" s="5"/>
      <c r="AD1011" s="5"/>
      <c r="AE1011" s="5"/>
      <c r="AF1011" s="5"/>
      <c r="AG1011" s="14" t="s">
        <v>55</v>
      </c>
      <c r="AH1011" s="14" t="s">
        <v>1603</v>
      </c>
      <c r="AI1011" s="14" t="s">
        <v>1604</v>
      </c>
      <c r="AJ1011" s="5"/>
      <c r="AK1011" s="5"/>
    </row>
    <row r="1012" spans="1:37">
      <c r="A1012" s="5" t="s">
        <v>4604</v>
      </c>
      <c r="B1012" s="5" t="s">
        <v>4592</v>
      </c>
      <c r="C1012" s="6" t="s">
        <v>4593</v>
      </c>
      <c r="D1012" s="6" t="s">
        <v>239</v>
      </c>
      <c r="E1012" s="6" t="s">
        <v>2070</v>
      </c>
      <c r="F1012" s="6" t="s">
        <v>46</v>
      </c>
      <c r="G1012" s="6" t="s">
        <v>4605</v>
      </c>
      <c r="H1012" s="7">
        <v>101.95</v>
      </c>
      <c r="I1012" s="19" t="s">
        <v>1589</v>
      </c>
      <c r="J1012" s="19" t="s">
        <v>2696</v>
      </c>
      <c r="K1012" s="5" t="s">
        <v>3023</v>
      </c>
      <c r="L1012" s="5" t="s">
        <v>3024</v>
      </c>
      <c r="M1012" s="5" t="s">
        <v>3025</v>
      </c>
      <c r="N1012" s="5" t="s">
        <v>3026</v>
      </c>
      <c r="O1012" s="5" t="s">
        <v>4595</v>
      </c>
      <c r="P1012" s="5" t="s">
        <v>4596</v>
      </c>
      <c r="Q1012" s="5" t="s">
        <v>4597</v>
      </c>
      <c r="R1012" s="5" t="s">
        <v>4598</v>
      </c>
      <c r="AG1012" s="14" t="s">
        <v>55</v>
      </c>
      <c r="AH1012" s="14" t="s">
        <v>1603</v>
      </c>
      <c r="AI1012" s="14" t="s">
        <v>1604</v>
      </c>
    </row>
    <row r="1013" spans="1:37">
      <c r="A1013" s="5" t="s">
        <v>4606</v>
      </c>
      <c r="B1013" s="5" t="s">
        <v>4592</v>
      </c>
      <c r="C1013" s="6" t="s">
        <v>43</v>
      </c>
      <c r="D1013" s="6" t="s">
        <v>239</v>
      </c>
      <c r="E1013" s="6" t="s">
        <v>1540</v>
      </c>
      <c r="F1013" s="6" t="s">
        <v>46</v>
      </c>
      <c r="G1013" s="6" t="s">
        <v>4607</v>
      </c>
      <c r="H1013" s="7">
        <v>101.95</v>
      </c>
      <c r="I1013" s="19" t="s">
        <v>1589</v>
      </c>
      <c r="J1013" s="19" t="s">
        <v>2696</v>
      </c>
      <c r="K1013" s="5" t="s">
        <v>3023</v>
      </c>
      <c r="L1013" s="5" t="s">
        <v>3024</v>
      </c>
      <c r="M1013" s="5" t="s">
        <v>3025</v>
      </c>
      <c r="N1013" s="5" t="s">
        <v>3026</v>
      </c>
      <c r="O1013" s="5" t="s">
        <v>4595</v>
      </c>
      <c r="P1013" s="5" t="s">
        <v>4596</v>
      </c>
      <c r="Q1013" s="5" t="s">
        <v>4597</v>
      </c>
      <c r="R1013" s="5" t="s">
        <v>4598</v>
      </c>
      <c r="AG1013" s="14" t="s">
        <v>55</v>
      </c>
      <c r="AH1013" s="14" t="s">
        <v>1603</v>
      </c>
      <c r="AI1013" s="14" t="s">
        <v>1604</v>
      </c>
    </row>
    <row r="1014" spans="1:37">
      <c r="A1014" s="5" t="s">
        <v>4608</v>
      </c>
      <c r="B1014" s="5" t="s">
        <v>4592</v>
      </c>
      <c r="C1014" s="6" t="s">
        <v>43</v>
      </c>
      <c r="D1014" s="6" t="s">
        <v>239</v>
      </c>
      <c r="E1014" s="6" t="s">
        <v>2065</v>
      </c>
      <c r="F1014" s="6" t="s">
        <v>46</v>
      </c>
      <c r="G1014" s="6" t="s">
        <v>4609</v>
      </c>
      <c r="H1014" s="7">
        <v>101.95</v>
      </c>
      <c r="I1014" s="19" t="s">
        <v>1589</v>
      </c>
      <c r="J1014" s="19" t="s">
        <v>2696</v>
      </c>
      <c r="K1014" s="5" t="s">
        <v>3023</v>
      </c>
      <c r="L1014" s="5" t="s">
        <v>3024</v>
      </c>
      <c r="M1014" s="5" t="s">
        <v>3025</v>
      </c>
      <c r="N1014" s="5" t="s">
        <v>3026</v>
      </c>
      <c r="O1014" s="5" t="s">
        <v>4595</v>
      </c>
      <c r="P1014" s="5" t="s">
        <v>4596</v>
      </c>
      <c r="Q1014" s="5" t="s">
        <v>4597</v>
      </c>
      <c r="R1014" s="5" t="s">
        <v>4598</v>
      </c>
      <c r="AG1014" s="14" t="s">
        <v>55</v>
      </c>
      <c r="AH1014" s="14" t="s">
        <v>1603</v>
      </c>
      <c r="AI1014" s="14" t="s">
        <v>1604</v>
      </c>
    </row>
    <row r="1015" spans="1:37">
      <c r="A1015" s="6" t="s">
        <v>4610</v>
      </c>
      <c r="B1015" s="6" t="s">
        <v>4611</v>
      </c>
      <c r="C1015" s="6" t="s">
        <v>43</v>
      </c>
      <c r="D1015" s="6" t="s">
        <v>239</v>
      </c>
      <c r="E1015" s="6" t="s">
        <v>2065</v>
      </c>
      <c r="F1015" s="6" t="s">
        <v>46</v>
      </c>
      <c r="G1015" s="6" t="s">
        <v>4612</v>
      </c>
      <c r="I1015" s="6" t="s">
        <v>48</v>
      </c>
      <c r="J1015" s="6" t="s">
        <v>48</v>
      </c>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15" t="s">
        <v>55</v>
      </c>
      <c r="AH1015" s="15"/>
      <c r="AI1015" s="15"/>
      <c r="AJ1015" s="6"/>
      <c r="AK1015" s="6"/>
    </row>
    <row r="1016" spans="1:37" s="6" customFormat="1">
      <c r="A1016" s="5" t="s">
        <v>4613</v>
      </c>
      <c r="B1016" s="5" t="s">
        <v>4614</v>
      </c>
      <c r="C1016" s="6" t="s">
        <v>43</v>
      </c>
      <c r="D1016" s="6" t="s">
        <v>239</v>
      </c>
      <c r="E1016" s="6" t="s">
        <v>1540</v>
      </c>
      <c r="F1016" s="6" t="s">
        <v>46</v>
      </c>
      <c r="G1016" s="6" t="s">
        <v>4615</v>
      </c>
      <c r="H1016" s="7">
        <v>85.62</v>
      </c>
      <c r="I1016" s="19" t="s">
        <v>1589</v>
      </c>
      <c r="J1016" s="19" t="s">
        <v>2254</v>
      </c>
      <c r="K1016" s="5" t="s">
        <v>3069</v>
      </c>
      <c r="L1016" s="5" t="s">
        <v>3070</v>
      </c>
      <c r="M1016" s="5" t="s">
        <v>3071</v>
      </c>
      <c r="N1016" s="5" t="s">
        <v>3072</v>
      </c>
      <c r="O1016" s="5" t="s">
        <v>4616</v>
      </c>
      <c r="P1016" s="5" t="s">
        <v>4617</v>
      </c>
      <c r="Q1016" s="5" t="s">
        <v>4618</v>
      </c>
      <c r="R1016" s="5" t="s">
        <v>4619</v>
      </c>
      <c r="S1016" s="5"/>
      <c r="T1016" s="5"/>
      <c r="U1016" s="5"/>
      <c r="V1016" s="5"/>
      <c r="W1016" s="5"/>
      <c r="X1016" s="5"/>
      <c r="Y1016" s="5" t="s">
        <v>2980</v>
      </c>
      <c r="Z1016" s="5"/>
      <c r="AA1016" s="5"/>
      <c r="AB1016" s="5"/>
      <c r="AC1016" s="5"/>
      <c r="AD1016" s="5"/>
      <c r="AE1016" s="5"/>
      <c r="AF1016" s="5"/>
      <c r="AG1016" s="14" t="s">
        <v>55</v>
      </c>
      <c r="AH1016" s="14" t="s">
        <v>1603</v>
      </c>
      <c r="AI1016" s="14" t="s">
        <v>2264</v>
      </c>
      <c r="AJ1016" s="5"/>
      <c r="AK1016" s="5"/>
    </row>
    <row r="1017" spans="1:37">
      <c r="A1017" s="6" t="s">
        <v>4620</v>
      </c>
      <c r="B1017" s="6" t="s">
        <v>4621</v>
      </c>
      <c r="C1017" s="6" t="s">
        <v>43</v>
      </c>
      <c r="D1017" s="6" t="s">
        <v>239</v>
      </c>
      <c r="E1017" s="6" t="s">
        <v>2047</v>
      </c>
      <c r="F1017" s="6" t="s">
        <v>46</v>
      </c>
      <c r="G1017" s="6" t="s">
        <v>4622</v>
      </c>
      <c r="I1017" s="6" t="s">
        <v>48</v>
      </c>
      <c r="J1017" s="6" t="s">
        <v>48</v>
      </c>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15" t="s">
        <v>55</v>
      </c>
      <c r="AH1017" s="15"/>
      <c r="AI1017" s="15"/>
      <c r="AJ1017" s="6"/>
      <c r="AK1017" s="6"/>
    </row>
    <row r="1018" spans="1:37" s="6" customFormat="1">
      <c r="A1018" s="5" t="s">
        <v>4623</v>
      </c>
      <c r="B1018" s="5" t="s">
        <v>4624</v>
      </c>
      <c r="C1018" s="6" t="s">
        <v>43</v>
      </c>
      <c r="D1018" s="6" t="s">
        <v>239</v>
      </c>
      <c r="E1018" s="6" t="s">
        <v>2989</v>
      </c>
      <c r="F1018" s="6" t="s">
        <v>46</v>
      </c>
      <c r="G1018" s="6" t="s">
        <v>4625</v>
      </c>
      <c r="H1018" s="7">
        <v>107.03</v>
      </c>
      <c r="I1018" s="19" t="s">
        <v>1589</v>
      </c>
      <c r="J1018" s="19" t="s">
        <v>2696</v>
      </c>
      <c r="K1018" s="5" t="s">
        <v>3095</v>
      </c>
      <c r="L1018" s="5" t="s">
        <v>3096</v>
      </c>
      <c r="M1018" s="5" t="s">
        <v>3097</v>
      </c>
      <c r="N1018" s="5" t="s">
        <v>3098</v>
      </c>
      <c r="O1018" s="5" t="s">
        <v>4626</v>
      </c>
      <c r="P1018" s="5" t="s">
        <v>4627</v>
      </c>
      <c r="Q1018" s="5" t="s">
        <v>4628</v>
      </c>
      <c r="R1018" s="5" t="s">
        <v>4629</v>
      </c>
      <c r="S1018" s="5"/>
      <c r="T1018" s="5"/>
      <c r="U1018" s="5"/>
      <c r="V1018" s="5"/>
      <c r="W1018" s="5"/>
      <c r="X1018" s="5"/>
      <c r="Y1018" s="5"/>
      <c r="Z1018" s="5"/>
      <c r="AA1018" s="5"/>
      <c r="AB1018" s="5"/>
      <c r="AC1018" s="5"/>
      <c r="AD1018" s="5"/>
      <c r="AE1018" s="5"/>
      <c r="AF1018" s="5"/>
      <c r="AG1018" s="14" t="s">
        <v>55</v>
      </c>
      <c r="AH1018" s="14" t="s">
        <v>1603</v>
      </c>
      <c r="AI1018" s="14" t="s">
        <v>1604</v>
      </c>
      <c r="AJ1018" s="5"/>
      <c r="AK1018" s="5"/>
    </row>
    <row r="1019" spans="1:37">
      <c r="A1019" s="5" t="s">
        <v>4630</v>
      </c>
      <c r="B1019" s="5" t="s">
        <v>4624</v>
      </c>
      <c r="C1019" s="6" t="s">
        <v>43</v>
      </c>
      <c r="D1019" s="6" t="s">
        <v>239</v>
      </c>
      <c r="E1019" s="6" t="s">
        <v>2047</v>
      </c>
      <c r="F1019" s="6" t="s">
        <v>46</v>
      </c>
      <c r="G1019" s="6" t="s">
        <v>1785</v>
      </c>
      <c r="H1019" s="7">
        <v>107.03</v>
      </c>
      <c r="I1019" s="19" t="s">
        <v>1589</v>
      </c>
      <c r="J1019" s="19" t="s">
        <v>2696</v>
      </c>
      <c r="K1019" s="5" t="s">
        <v>3095</v>
      </c>
      <c r="L1019" s="5" t="s">
        <v>3096</v>
      </c>
      <c r="M1019" s="5" t="s">
        <v>3097</v>
      </c>
      <c r="N1019" s="5" t="s">
        <v>3098</v>
      </c>
      <c r="O1019" s="5" t="s">
        <v>4626</v>
      </c>
      <c r="P1019" s="5" t="s">
        <v>4627</v>
      </c>
      <c r="Q1019" s="5" t="s">
        <v>4628</v>
      </c>
      <c r="R1019" s="5" t="s">
        <v>4629</v>
      </c>
      <c r="AG1019" s="14" t="s">
        <v>55</v>
      </c>
      <c r="AH1019" s="14" t="s">
        <v>1603</v>
      </c>
      <c r="AI1019" s="14" t="s">
        <v>1604</v>
      </c>
    </row>
    <row r="1020" spans="1:37">
      <c r="A1020" s="5" t="s">
        <v>4631</v>
      </c>
      <c r="B1020" s="5" t="s">
        <v>4624</v>
      </c>
      <c r="C1020" s="6" t="s">
        <v>43</v>
      </c>
      <c r="D1020" s="6" t="s">
        <v>239</v>
      </c>
      <c r="E1020" s="6" t="s">
        <v>2065</v>
      </c>
      <c r="F1020" s="6" t="s">
        <v>46</v>
      </c>
      <c r="G1020" s="6" t="s">
        <v>3379</v>
      </c>
      <c r="H1020" s="7">
        <v>107.03</v>
      </c>
      <c r="I1020" s="19" t="s">
        <v>1589</v>
      </c>
      <c r="J1020" s="19" t="s">
        <v>2696</v>
      </c>
      <c r="K1020" s="5" t="s">
        <v>3095</v>
      </c>
      <c r="L1020" s="5" t="s">
        <v>3096</v>
      </c>
      <c r="M1020" s="5" t="s">
        <v>3097</v>
      </c>
      <c r="N1020" s="5" t="s">
        <v>3098</v>
      </c>
      <c r="O1020" s="5" t="s">
        <v>4626</v>
      </c>
      <c r="P1020" s="5" t="s">
        <v>4627</v>
      </c>
      <c r="Q1020" s="5" t="s">
        <v>4628</v>
      </c>
      <c r="R1020" s="5" t="s">
        <v>4629</v>
      </c>
      <c r="AG1020" s="14" t="s">
        <v>55</v>
      </c>
      <c r="AH1020" s="14" t="s">
        <v>1603</v>
      </c>
      <c r="AI1020" s="14" t="s">
        <v>1604</v>
      </c>
    </row>
    <row r="1021" spans="1:37">
      <c r="A1021" s="6" t="s">
        <v>4632</v>
      </c>
      <c r="B1021" s="6" t="s">
        <v>4633</v>
      </c>
      <c r="C1021" s="6" t="s">
        <v>43</v>
      </c>
      <c r="D1021" s="6" t="s">
        <v>1390</v>
      </c>
      <c r="E1021" s="6" t="s">
        <v>1386</v>
      </c>
      <c r="F1021" s="6" t="s">
        <v>46</v>
      </c>
      <c r="G1021" s="6" t="s">
        <v>4634</v>
      </c>
      <c r="I1021" s="19" t="s">
        <v>48</v>
      </c>
      <c r="J1021" s="19" t="s">
        <v>48</v>
      </c>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15" t="s">
        <v>55</v>
      </c>
      <c r="AH1021" s="15"/>
      <c r="AI1021" s="15"/>
      <c r="AJ1021" s="6"/>
      <c r="AK1021" s="6"/>
    </row>
    <row r="1022" spans="1:37" s="6" customFormat="1">
      <c r="A1022" s="6" t="s">
        <v>4635</v>
      </c>
      <c r="B1022" s="6" t="s">
        <v>4636</v>
      </c>
      <c r="C1022" s="6" t="s">
        <v>43</v>
      </c>
      <c r="D1022" s="6" t="s">
        <v>239</v>
      </c>
      <c r="E1022" s="6" t="s">
        <v>1653</v>
      </c>
      <c r="F1022" s="6" t="s">
        <v>46</v>
      </c>
      <c r="G1022" s="6" t="s">
        <v>4637</v>
      </c>
      <c r="H1022" s="7"/>
      <c r="I1022" s="19" t="s">
        <v>48</v>
      </c>
      <c r="J1022" s="19" t="s">
        <v>48</v>
      </c>
      <c r="AG1022" s="15" t="s">
        <v>55</v>
      </c>
      <c r="AH1022" s="15"/>
      <c r="AI1022" s="15"/>
    </row>
    <row r="1023" spans="1:37" s="6" customFormat="1">
      <c r="A1023" s="5" t="s">
        <v>4638</v>
      </c>
      <c r="B1023" s="5" t="s">
        <v>4639</v>
      </c>
      <c r="C1023" s="6" t="s">
        <v>4587</v>
      </c>
      <c r="D1023" s="6" t="s">
        <v>239</v>
      </c>
      <c r="E1023" s="6" t="s">
        <v>2047</v>
      </c>
      <c r="F1023" s="6" t="s">
        <v>46</v>
      </c>
      <c r="G1023" s="6" t="s">
        <v>4640</v>
      </c>
      <c r="H1023" s="7">
        <v>86.45</v>
      </c>
      <c r="I1023" s="19" t="s">
        <v>1589</v>
      </c>
      <c r="J1023" s="19" t="s">
        <v>2696</v>
      </c>
      <c r="K1023" s="5" t="s">
        <v>2991</v>
      </c>
      <c r="L1023" s="5" t="s">
        <v>2992</v>
      </c>
      <c r="M1023" s="5" t="s">
        <v>2993</v>
      </c>
      <c r="N1023" s="5" t="s">
        <v>2994</v>
      </c>
      <c r="O1023" s="5" t="s">
        <v>4641</v>
      </c>
      <c r="P1023" s="5" t="s">
        <v>4642</v>
      </c>
      <c r="Q1023" s="5" t="s">
        <v>4643</v>
      </c>
      <c r="R1023" s="5" t="s">
        <v>4644</v>
      </c>
      <c r="S1023" s="5"/>
      <c r="T1023" s="5"/>
      <c r="U1023" s="5"/>
      <c r="V1023" s="5"/>
      <c r="W1023" s="5"/>
      <c r="X1023" s="5"/>
      <c r="Y1023" s="5"/>
      <c r="Z1023" s="5"/>
      <c r="AA1023" s="5"/>
      <c r="AB1023" s="5"/>
      <c r="AC1023" s="5"/>
      <c r="AD1023" s="5"/>
      <c r="AE1023" s="5"/>
      <c r="AF1023" s="5"/>
      <c r="AG1023" s="14" t="s">
        <v>55</v>
      </c>
      <c r="AH1023" s="14" t="s">
        <v>1603</v>
      </c>
      <c r="AI1023" s="14" t="s">
        <v>1604</v>
      </c>
      <c r="AJ1023" s="5"/>
      <c r="AK1023" s="5"/>
    </row>
    <row r="1024" spans="1:37">
      <c r="A1024" s="6" t="s">
        <v>4645</v>
      </c>
      <c r="B1024" s="6" t="s">
        <v>4646</v>
      </c>
      <c r="C1024" s="6" t="s">
        <v>43</v>
      </c>
      <c r="D1024" s="6" t="s">
        <v>1977</v>
      </c>
      <c r="E1024" s="6" t="s">
        <v>2015</v>
      </c>
      <c r="F1024" s="6" t="s">
        <v>46</v>
      </c>
      <c r="G1024" s="6" t="s">
        <v>4647</v>
      </c>
      <c r="I1024" s="16" t="s">
        <v>48</v>
      </c>
      <c r="J1024" s="16" t="s">
        <v>48</v>
      </c>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15" t="s">
        <v>55</v>
      </c>
      <c r="AH1024" s="15"/>
      <c r="AI1024" s="15"/>
      <c r="AJ1024" s="6"/>
      <c r="AK1024" s="6"/>
    </row>
    <row r="1025" spans="1:37" s="6" customFormat="1">
      <c r="A1025" s="5" t="s">
        <v>4648</v>
      </c>
      <c r="B1025" s="5" t="s">
        <v>4649</v>
      </c>
      <c r="C1025" s="6" t="s">
        <v>43</v>
      </c>
      <c r="D1025" s="6" t="s">
        <v>2114</v>
      </c>
      <c r="E1025" s="6" t="s">
        <v>1386</v>
      </c>
      <c r="F1025" s="6" t="s">
        <v>46</v>
      </c>
      <c r="G1025" s="6" t="s">
        <v>4650</v>
      </c>
      <c r="H1025" s="7">
        <v>49.91</v>
      </c>
      <c r="I1025" s="19" t="s">
        <v>1589</v>
      </c>
      <c r="J1025" s="19" t="s">
        <v>2001</v>
      </c>
      <c r="K1025" s="5" t="s">
        <v>2116</v>
      </c>
      <c r="L1025" s="5" t="s">
        <v>2117</v>
      </c>
      <c r="M1025" s="5" t="s">
        <v>2118</v>
      </c>
      <c r="N1025" s="5" t="s">
        <v>2119</v>
      </c>
      <c r="O1025" s="5" t="s">
        <v>4651</v>
      </c>
      <c r="P1025" s="5" t="s">
        <v>4652</v>
      </c>
      <c r="Q1025" s="5" t="s">
        <v>4653</v>
      </c>
      <c r="R1025" s="5"/>
      <c r="S1025" s="5"/>
      <c r="T1025" s="5"/>
      <c r="U1025" s="5"/>
      <c r="V1025" s="5"/>
      <c r="W1025" s="5" t="s">
        <v>2123</v>
      </c>
      <c r="X1025" s="5" t="s">
        <v>2011</v>
      </c>
      <c r="Y1025" s="5" t="s">
        <v>2012</v>
      </c>
      <c r="Z1025" s="5" t="s">
        <v>2013</v>
      </c>
      <c r="AA1025" s="5"/>
      <c r="AB1025" s="5"/>
      <c r="AC1025" s="5"/>
      <c r="AD1025" s="5"/>
      <c r="AE1025" s="5"/>
      <c r="AF1025" s="5"/>
      <c r="AG1025" s="14" t="s">
        <v>55</v>
      </c>
      <c r="AH1025" s="14" t="s">
        <v>1603</v>
      </c>
      <c r="AI1025" s="14" t="s">
        <v>124</v>
      </c>
      <c r="AJ1025" s="5"/>
      <c r="AK1025" s="5"/>
    </row>
    <row r="1026" spans="1:37">
      <c r="A1026" s="5" t="s">
        <v>4654</v>
      </c>
      <c r="B1026" s="5" t="s">
        <v>4655</v>
      </c>
      <c r="C1026" s="6" t="s">
        <v>43</v>
      </c>
      <c r="D1026" s="6" t="s">
        <v>2114</v>
      </c>
      <c r="E1026" s="6" t="s">
        <v>1386</v>
      </c>
      <c r="F1026" s="6" t="s">
        <v>46</v>
      </c>
      <c r="G1026" s="6" t="s">
        <v>4656</v>
      </c>
      <c r="H1026" s="7">
        <v>68.64</v>
      </c>
      <c r="I1026" s="19" t="s">
        <v>1589</v>
      </c>
      <c r="J1026" s="19" t="s">
        <v>2001</v>
      </c>
      <c r="K1026" s="6" t="s">
        <v>2148</v>
      </c>
      <c r="L1026" s="6" t="s">
        <v>2149</v>
      </c>
      <c r="M1026" s="6" t="s">
        <v>2150</v>
      </c>
      <c r="N1026" s="6" t="s">
        <v>2151</v>
      </c>
      <c r="O1026" s="6" t="s">
        <v>4657</v>
      </c>
      <c r="P1026" s="6" t="s">
        <v>4658</v>
      </c>
      <c r="Q1026" s="6" t="s">
        <v>4659</v>
      </c>
      <c r="R1026" s="5"/>
      <c r="W1026" s="20" t="s">
        <v>2010</v>
      </c>
      <c r="X1026" s="20" t="s">
        <v>2011</v>
      </c>
      <c r="Y1026" s="20" t="s">
        <v>2012</v>
      </c>
      <c r="Z1026" s="20" t="s">
        <v>2013</v>
      </c>
      <c r="AG1026" s="14" t="s">
        <v>55</v>
      </c>
      <c r="AH1026" s="14" t="s">
        <v>1603</v>
      </c>
      <c r="AI1026" s="14" t="s">
        <v>124</v>
      </c>
    </row>
    <row r="1027" spans="1:37">
      <c r="A1027" s="5" t="s">
        <v>4660</v>
      </c>
      <c r="B1027" s="5" t="s">
        <v>4661</v>
      </c>
      <c r="C1027" s="6" t="s">
        <v>43</v>
      </c>
      <c r="D1027" s="6" t="s">
        <v>2189</v>
      </c>
      <c r="E1027" s="6" t="s">
        <v>2015</v>
      </c>
      <c r="F1027" s="6" t="s">
        <v>46</v>
      </c>
      <c r="G1027" s="6" t="s">
        <v>4662</v>
      </c>
      <c r="H1027" s="7">
        <v>75.569999999999993</v>
      </c>
      <c r="I1027" s="19" t="s">
        <v>1589</v>
      </c>
      <c r="J1027" s="19" t="s">
        <v>2191</v>
      </c>
      <c r="K1027" s="5" t="s">
        <v>2218</v>
      </c>
      <c r="L1027" s="5" t="s">
        <v>2219</v>
      </c>
      <c r="M1027" s="5" t="s">
        <v>2220</v>
      </c>
      <c r="N1027" s="5" t="s">
        <v>2221</v>
      </c>
      <c r="O1027" s="5" t="s">
        <v>4663</v>
      </c>
      <c r="P1027" s="5" t="s">
        <v>4664</v>
      </c>
      <c r="Q1027" s="5" t="s">
        <v>4665</v>
      </c>
      <c r="R1027" s="5"/>
      <c r="AG1027" s="14" t="s">
        <v>55</v>
      </c>
      <c r="AH1027" s="14" t="s">
        <v>1603</v>
      </c>
      <c r="AI1027" s="14" t="s">
        <v>2087</v>
      </c>
    </row>
    <row r="1028" spans="1:37">
      <c r="A1028" s="5" t="s">
        <v>4666</v>
      </c>
      <c r="B1028" s="5" t="s">
        <v>4661</v>
      </c>
      <c r="C1028" s="6" t="s">
        <v>43</v>
      </c>
      <c r="D1028" s="6" t="s">
        <v>2189</v>
      </c>
      <c r="E1028" s="6" t="s">
        <v>1540</v>
      </c>
      <c r="F1028" s="6" t="s">
        <v>46</v>
      </c>
      <c r="G1028" s="6" t="s">
        <v>4667</v>
      </c>
      <c r="H1028" s="7">
        <v>75.569999999999993</v>
      </c>
      <c r="I1028" s="19" t="s">
        <v>1589</v>
      </c>
      <c r="J1028" s="19" t="s">
        <v>2191</v>
      </c>
      <c r="K1028" s="5" t="s">
        <v>2218</v>
      </c>
      <c r="L1028" s="5" t="s">
        <v>2219</v>
      </c>
      <c r="M1028" s="5" t="s">
        <v>2220</v>
      </c>
      <c r="N1028" s="5" t="s">
        <v>2221</v>
      </c>
      <c r="O1028" s="5" t="s">
        <v>4663</v>
      </c>
      <c r="P1028" s="5" t="s">
        <v>4664</v>
      </c>
      <c r="Q1028" s="5" t="s">
        <v>4665</v>
      </c>
      <c r="R1028" s="5"/>
      <c r="AG1028" s="14" t="s">
        <v>55</v>
      </c>
      <c r="AH1028" s="14" t="s">
        <v>1603</v>
      </c>
      <c r="AI1028" s="14" t="s">
        <v>2087</v>
      </c>
    </row>
    <row r="1029" spans="1:37">
      <c r="A1029" s="5" t="s">
        <v>4668</v>
      </c>
      <c r="B1029" s="5" t="s">
        <v>4669</v>
      </c>
      <c r="C1029" s="6" t="s">
        <v>2281</v>
      </c>
      <c r="D1029" s="6" t="s">
        <v>1645</v>
      </c>
      <c r="E1029" s="6" t="s">
        <v>1386</v>
      </c>
      <c r="F1029" s="6" t="s">
        <v>46</v>
      </c>
      <c r="G1029" s="6" t="s">
        <v>4670</v>
      </c>
      <c r="H1029" s="7">
        <v>123.23</v>
      </c>
      <c r="I1029" s="19" t="s">
        <v>2283</v>
      </c>
      <c r="J1029" s="19" t="s">
        <v>2284</v>
      </c>
      <c r="K1029" s="6" t="s">
        <v>2366</v>
      </c>
      <c r="L1029" s="6" t="s">
        <v>2367</v>
      </c>
      <c r="M1029" s="6" t="s">
        <v>2368</v>
      </c>
      <c r="N1029" s="6" t="s">
        <v>2369</v>
      </c>
      <c r="O1029" s="6" t="s">
        <v>4671</v>
      </c>
      <c r="P1029" s="6" t="s">
        <v>4672</v>
      </c>
      <c r="Q1029" s="6" t="s">
        <v>4673</v>
      </c>
      <c r="R1029" s="6" t="s">
        <v>4674</v>
      </c>
      <c r="AG1029" s="14" t="s">
        <v>55</v>
      </c>
      <c r="AH1029" s="14" t="s">
        <v>1603</v>
      </c>
      <c r="AI1029" s="14" t="s">
        <v>1603</v>
      </c>
    </row>
    <row r="1030" spans="1:37">
      <c r="A1030" s="5" t="s">
        <v>4675</v>
      </c>
      <c r="B1030" s="5" t="s">
        <v>4676</v>
      </c>
      <c r="C1030" s="6" t="s">
        <v>2281</v>
      </c>
      <c r="D1030" s="6" t="s">
        <v>1645</v>
      </c>
      <c r="E1030" s="6" t="s">
        <v>2065</v>
      </c>
      <c r="F1030" s="6" t="s">
        <v>46</v>
      </c>
      <c r="G1030" s="6" t="s">
        <v>4677</v>
      </c>
      <c r="H1030" s="7">
        <v>90.09</v>
      </c>
      <c r="I1030" s="19" t="s">
        <v>2283</v>
      </c>
      <c r="J1030" s="19" t="s">
        <v>2512</v>
      </c>
      <c r="K1030" s="6" t="s">
        <v>2513</v>
      </c>
      <c r="L1030" s="6" t="s">
        <v>2514</v>
      </c>
      <c r="M1030" s="6" t="s">
        <v>2515</v>
      </c>
      <c r="N1030" s="6" t="s">
        <v>2516</v>
      </c>
      <c r="O1030" s="6" t="s">
        <v>4678</v>
      </c>
      <c r="P1030" s="6" t="s">
        <v>4679</v>
      </c>
      <c r="Q1030" s="6" t="s">
        <v>4680</v>
      </c>
      <c r="R1030" s="6" t="s">
        <v>4681</v>
      </c>
      <c r="AG1030" s="14" t="s">
        <v>55</v>
      </c>
      <c r="AH1030" s="14" t="s">
        <v>1603</v>
      </c>
      <c r="AI1030" s="14" t="s">
        <v>1603</v>
      </c>
    </row>
    <row r="1031" spans="1:37">
      <c r="A1031" s="5" t="s">
        <v>4682</v>
      </c>
      <c r="B1031" s="5" t="s">
        <v>4683</v>
      </c>
      <c r="C1031" s="6" t="s">
        <v>2281</v>
      </c>
      <c r="D1031" s="6" t="s">
        <v>1645</v>
      </c>
      <c r="E1031" s="6" t="s">
        <v>2065</v>
      </c>
      <c r="F1031" s="6" t="s">
        <v>46</v>
      </c>
      <c r="G1031" s="6" t="s">
        <v>4684</v>
      </c>
      <c r="H1031" s="7">
        <v>108.04</v>
      </c>
      <c r="I1031" s="19" t="s">
        <v>2283</v>
      </c>
      <c r="J1031" s="19" t="s">
        <v>2512</v>
      </c>
      <c r="K1031" s="6" t="s">
        <v>2616</v>
      </c>
      <c r="L1031" s="6" t="s">
        <v>2617</v>
      </c>
      <c r="M1031" s="6" t="s">
        <v>2618</v>
      </c>
      <c r="N1031" s="6" t="s">
        <v>2619</v>
      </c>
      <c r="O1031" s="6" t="s">
        <v>4685</v>
      </c>
      <c r="P1031" s="6" t="s">
        <v>4686</v>
      </c>
      <c r="Q1031" s="6" t="s">
        <v>4687</v>
      </c>
      <c r="R1031" s="6" t="s">
        <v>4688</v>
      </c>
      <c r="AG1031" s="14" t="s">
        <v>55</v>
      </c>
      <c r="AH1031" s="14" t="s">
        <v>1603</v>
      </c>
      <c r="AI1031" s="14" t="s">
        <v>1603</v>
      </c>
    </row>
    <row r="1032" spans="1:37">
      <c r="A1032" s="5" t="s">
        <v>4689</v>
      </c>
      <c r="B1032" s="5" t="s">
        <v>4690</v>
      </c>
      <c r="C1032" s="6" t="s">
        <v>43</v>
      </c>
      <c r="D1032" s="6" t="s">
        <v>1390</v>
      </c>
      <c r="E1032" s="6" t="s">
        <v>1386</v>
      </c>
      <c r="F1032" s="6" t="s">
        <v>46</v>
      </c>
      <c r="G1032" s="6" t="s">
        <v>4691</v>
      </c>
      <c r="H1032" s="7">
        <v>49.42</v>
      </c>
      <c r="I1032" s="19" t="s">
        <v>1589</v>
      </c>
      <c r="J1032" s="19" t="s">
        <v>2650</v>
      </c>
      <c r="K1032" s="20" t="s">
        <v>2651</v>
      </c>
      <c r="L1032" s="20" t="s">
        <v>2652</v>
      </c>
      <c r="M1032" s="20" t="s">
        <v>2653</v>
      </c>
      <c r="N1032" s="20" t="s">
        <v>2654</v>
      </c>
      <c r="O1032" s="20" t="s">
        <v>4692</v>
      </c>
      <c r="P1032" s="20" t="s">
        <v>4693</v>
      </c>
      <c r="Q1032" s="20" t="s">
        <v>4694</v>
      </c>
      <c r="R1032" s="5" t="s">
        <v>4695</v>
      </c>
      <c r="W1032" s="20" t="s">
        <v>2010</v>
      </c>
      <c r="X1032" s="20" t="s">
        <v>2011</v>
      </c>
      <c r="Y1032" s="20" t="s">
        <v>2012</v>
      </c>
      <c r="Z1032" s="20" t="s">
        <v>2013</v>
      </c>
      <c r="AG1032" s="14" t="s">
        <v>55</v>
      </c>
      <c r="AH1032" s="14" t="s">
        <v>1603</v>
      </c>
      <c r="AI1032" s="14" t="s">
        <v>124</v>
      </c>
    </row>
    <row r="1033" spans="1:37">
      <c r="A1033" s="6" t="s">
        <v>4696</v>
      </c>
      <c r="B1033" s="6" t="s">
        <v>4697</v>
      </c>
      <c r="C1033" s="6" t="s">
        <v>43</v>
      </c>
      <c r="D1033" s="6" t="s">
        <v>239</v>
      </c>
      <c r="E1033" s="6" t="s">
        <v>2047</v>
      </c>
      <c r="F1033" s="6" t="s">
        <v>46</v>
      </c>
      <c r="G1033" s="6" t="s">
        <v>4698</v>
      </c>
      <c r="I1033" s="6" t="s">
        <v>48</v>
      </c>
      <c r="J1033" s="6" t="s">
        <v>48</v>
      </c>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15" t="s">
        <v>55</v>
      </c>
      <c r="AH1033" s="15"/>
      <c r="AI1033" s="15"/>
      <c r="AJ1033" s="6"/>
      <c r="AK1033" s="6"/>
    </row>
    <row r="1034" spans="1:37" s="6" customFormat="1">
      <c r="A1034" s="5" t="s">
        <v>4699</v>
      </c>
      <c r="B1034" s="5" t="s">
        <v>4700</v>
      </c>
      <c r="C1034" s="6" t="s">
        <v>43</v>
      </c>
      <c r="D1034" s="6" t="s">
        <v>239</v>
      </c>
      <c r="E1034" s="6" t="s">
        <v>1386</v>
      </c>
      <c r="F1034" s="6" t="s">
        <v>46</v>
      </c>
      <c r="G1034" s="6" t="s">
        <v>4701</v>
      </c>
      <c r="H1034" s="7">
        <v>44.48</v>
      </c>
      <c r="I1034" s="19" t="s">
        <v>1589</v>
      </c>
      <c r="J1034" s="19" t="s">
        <v>2696</v>
      </c>
      <c r="K1034" s="5" t="s">
        <v>2757</v>
      </c>
      <c r="L1034" s="5" t="s">
        <v>2758</v>
      </c>
      <c r="M1034" s="5" t="s">
        <v>2759</v>
      </c>
      <c r="N1034" s="5" t="s">
        <v>2760</v>
      </c>
      <c r="O1034" s="5" t="s">
        <v>4702</v>
      </c>
      <c r="P1034" s="5" t="s">
        <v>4703</v>
      </c>
      <c r="Q1034" s="5" t="s">
        <v>4704</v>
      </c>
      <c r="R1034" s="5" t="s">
        <v>4705</v>
      </c>
      <c r="S1034" s="5"/>
      <c r="T1034" s="5"/>
      <c r="U1034" s="5"/>
      <c r="V1034" s="5"/>
      <c r="W1034" s="5"/>
      <c r="X1034" s="5"/>
      <c r="Y1034" s="5"/>
      <c r="Z1034" s="5"/>
      <c r="AA1034" s="5"/>
      <c r="AB1034" s="5"/>
      <c r="AC1034" s="5"/>
      <c r="AD1034" s="5"/>
      <c r="AE1034" s="5"/>
      <c r="AF1034" s="5"/>
      <c r="AG1034" s="14" t="s">
        <v>55</v>
      </c>
      <c r="AH1034" s="14" t="s">
        <v>1603</v>
      </c>
      <c r="AI1034" s="14" t="s">
        <v>1604</v>
      </c>
      <c r="AJ1034" s="5"/>
      <c r="AK1034" s="5"/>
    </row>
    <row r="1035" spans="1:37">
      <c r="A1035" s="6" t="s">
        <v>4706</v>
      </c>
      <c r="B1035" s="6" t="s">
        <v>4707</v>
      </c>
      <c r="C1035" s="6" t="s">
        <v>4708</v>
      </c>
      <c r="D1035" s="6" t="s">
        <v>1977</v>
      </c>
      <c r="E1035" s="6" t="s">
        <v>1386</v>
      </c>
      <c r="F1035" s="6" t="s">
        <v>46</v>
      </c>
      <c r="G1035" s="6" t="s">
        <v>4709</v>
      </c>
      <c r="I1035" s="16" t="s">
        <v>48</v>
      </c>
      <c r="J1035" s="16" t="s">
        <v>48</v>
      </c>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15" t="s">
        <v>55</v>
      </c>
      <c r="AH1035" s="15"/>
      <c r="AI1035" s="15"/>
      <c r="AJ1035" s="6"/>
      <c r="AK1035" s="6"/>
    </row>
    <row r="1036" spans="1:37" s="6" customFormat="1">
      <c r="A1036" s="6" t="s">
        <v>4710</v>
      </c>
      <c r="B1036" s="6" t="s">
        <v>4711</v>
      </c>
      <c r="C1036" s="6" t="s">
        <v>43</v>
      </c>
      <c r="D1036" s="6" t="s">
        <v>2114</v>
      </c>
      <c r="E1036" s="6" t="s">
        <v>1386</v>
      </c>
      <c r="F1036" s="6" t="s">
        <v>46</v>
      </c>
      <c r="G1036" s="6" t="s">
        <v>4712</v>
      </c>
      <c r="H1036" s="7"/>
      <c r="I1036" s="19" t="s">
        <v>48</v>
      </c>
      <c r="J1036" s="19" t="s">
        <v>48</v>
      </c>
      <c r="AG1036" s="15" t="s">
        <v>55</v>
      </c>
      <c r="AH1036" s="15"/>
      <c r="AI1036" s="15"/>
    </row>
    <row r="1037" spans="1:37" s="6" customFormat="1">
      <c r="A1037" s="5" t="s">
        <v>4713</v>
      </c>
      <c r="B1037" s="5" t="s">
        <v>4714</v>
      </c>
      <c r="C1037" s="6" t="s">
        <v>43</v>
      </c>
      <c r="D1037" s="6" t="s">
        <v>239</v>
      </c>
      <c r="E1037" s="6" t="s">
        <v>2047</v>
      </c>
      <c r="F1037" s="6" t="s">
        <v>46</v>
      </c>
      <c r="G1037" s="6" t="s">
        <v>4715</v>
      </c>
      <c r="H1037" s="7">
        <v>3.85</v>
      </c>
      <c r="I1037" s="19" t="s">
        <v>1589</v>
      </c>
      <c r="J1037" s="19" t="s">
        <v>2696</v>
      </c>
      <c r="K1037" s="5" t="s">
        <v>2733</v>
      </c>
      <c r="L1037" s="5" t="s">
        <v>2734</v>
      </c>
      <c r="M1037" s="5" t="s">
        <v>2735</v>
      </c>
      <c r="N1037" s="5" t="s">
        <v>2736</v>
      </c>
      <c r="O1037" s="5" t="s">
        <v>4716</v>
      </c>
      <c r="P1037" s="5" t="s">
        <v>4717</v>
      </c>
      <c r="Q1037" s="5" t="s">
        <v>4718</v>
      </c>
      <c r="R1037" s="5" t="s">
        <v>4719</v>
      </c>
      <c r="S1037" s="5"/>
      <c r="T1037" s="5"/>
      <c r="U1037" s="5"/>
      <c r="V1037" s="5"/>
      <c r="W1037" s="5"/>
      <c r="X1037" s="5"/>
      <c r="Y1037" s="5"/>
      <c r="Z1037" s="5"/>
      <c r="AA1037" s="5"/>
      <c r="AB1037" s="5"/>
      <c r="AC1037" s="5"/>
      <c r="AD1037" s="5"/>
      <c r="AE1037" s="5"/>
      <c r="AF1037" s="5"/>
      <c r="AG1037" s="14" t="s">
        <v>55</v>
      </c>
      <c r="AH1037" s="14" t="s">
        <v>1603</v>
      </c>
      <c r="AI1037" s="14" t="s">
        <v>1604</v>
      </c>
      <c r="AJ1037" s="5"/>
      <c r="AK1037" s="5"/>
    </row>
    <row r="1038" spans="1:37">
      <c r="A1038" s="6" t="s">
        <v>4720</v>
      </c>
      <c r="B1038" s="6" t="s">
        <v>4721</v>
      </c>
      <c r="C1038" s="6" t="s">
        <v>43</v>
      </c>
      <c r="D1038" s="6" t="s">
        <v>239</v>
      </c>
      <c r="E1038" s="6" t="s">
        <v>1386</v>
      </c>
      <c r="F1038" s="6" t="s">
        <v>46</v>
      </c>
      <c r="G1038" s="6" t="s">
        <v>4722</v>
      </c>
      <c r="I1038" s="16" t="s">
        <v>48</v>
      </c>
      <c r="J1038" s="16" t="s">
        <v>48</v>
      </c>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15" t="s">
        <v>55</v>
      </c>
      <c r="AH1038" s="15"/>
      <c r="AI1038" s="15"/>
      <c r="AJ1038" s="6"/>
      <c r="AK1038" s="6"/>
    </row>
    <row r="1039" spans="1:37" s="6" customFormat="1">
      <c r="A1039" s="6" t="s">
        <v>4723</v>
      </c>
      <c r="B1039" s="6" t="s">
        <v>4724</v>
      </c>
      <c r="C1039" s="6" t="s">
        <v>43</v>
      </c>
      <c r="D1039" s="6" t="s">
        <v>239</v>
      </c>
      <c r="E1039" s="6" t="s">
        <v>1540</v>
      </c>
      <c r="F1039" s="6" t="s">
        <v>46</v>
      </c>
      <c r="G1039" s="6" t="s">
        <v>4725</v>
      </c>
      <c r="H1039" s="7"/>
      <c r="I1039" s="16" t="s">
        <v>48</v>
      </c>
      <c r="J1039" s="16" t="s">
        <v>48</v>
      </c>
      <c r="AG1039" s="15" t="s">
        <v>55</v>
      </c>
      <c r="AH1039" s="15"/>
      <c r="AI1039" s="15"/>
    </row>
    <row r="1040" spans="1:37" s="6" customFormat="1">
      <c r="A1040" s="6" t="s">
        <v>4726</v>
      </c>
      <c r="B1040" s="6" t="s">
        <v>4727</v>
      </c>
      <c r="C1040" s="6" t="s">
        <v>43</v>
      </c>
      <c r="D1040" s="6" t="s">
        <v>239</v>
      </c>
      <c r="E1040" s="6" t="s">
        <v>1540</v>
      </c>
      <c r="F1040" s="6" t="s">
        <v>46</v>
      </c>
      <c r="G1040" s="6" t="s">
        <v>4728</v>
      </c>
      <c r="H1040" s="7"/>
      <c r="I1040" s="16" t="s">
        <v>48</v>
      </c>
      <c r="J1040" s="16" t="s">
        <v>48</v>
      </c>
      <c r="AG1040" s="15" t="s">
        <v>55</v>
      </c>
      <c r="AH1040" s="15"/>
      <c r="AI1040" s="15"/>
    </row>
    <row r="1041" spans="1:37" s="6" customFormat="1">
      <c r="A1041" s="6" t="s">
        <v>4729</v>
      </c>
      <c r="B1041" s="6" t="s">
        <v>4730</v>
      </c>
      <c r="C1041" s="6" t="s">
        <v>2281</v>
      </c>
      <c r="D1041" s="6" t="s">
        <v>1645</v>
      </c>
      <c r="E1041" s="6" t="s">
        <v>2065</v>
      </c>
      <c r="F1041" s="6" t="s">
        <v>46</v>
      </c>
      <c r="G1041" s="6" t="s">
        <v>4731</v>
      </c>
      <c r="H1041" s="7"/>
      <c r="I1041" s="16" t="s">
        <v>48</v>
      </c>
      <c r="J1041" s="16" t="s">
        <v>48</v>
      </c>
      <c r="AG1041" s="15" t="s">
        <v>55</v>
      </c>
      <c r="AH1041" s="15"/>
      <c r="AI1041" s="15"/>
    </row>
    <row r="1042" spans="1:37" s="6" customFormat="1">
      <c r="A1042" s="6" t="s">
        <v>4732</v>
      </c>
      <c r="B1042" s="6" t="s">
        <v>4733</v>
      </c>
      <c r="C1042" s="6" t="s">
        <v>4734</v>
      </c>
      <c r="D1042" s="6" t="s">
        <v>1645</v>
      </c>
      <c r="E1042" s="6" t="s">
        <v>2065</v>
      </c>
      <c r="F1042" s="6" t="s">
        <v>46</v>
      </c>
      <c r="G1042" s="6" t="s">
        <v>1544</v>
      </c>
      <c r="H1042" s="7"/>
      <c r="I1042" s="16" t="s">
        <v>48</v>
      </c>
      <c r="J1042" s="16" t="s">
        <v>48</v>
      </c>
      <c r="AG1042" s="15" t="s">
        <v>55</v>
      </c>
      <c r="AH1042" s="15"/>
      <c r="AI1042" s="15"/>
    </row>
    <row r="1043" spans="1:37" s="6" customFormat="1">
      <c r="A1043" s="6" t="s">
        <v>4735</v>
      </c>
      <c r="B1043" s="6" t="s">
        <v>4736</v>
      </c>
      <c r="C1043" s="6" t="s">
        <v>4734</v>
      </c>
      <c r="D1043" s="6" t="s">
        <v>1645</v>
      </c>
      <c r="E1043" s="6" t="s">
        <v>2065</v>
      </c>
      <c r="F1043" s="6" t="s">
        <v>46</v>
      </c>
      <c r="G1043" s="6" t="s">
        <v>4737</v>
      </c>
      <c r="H1043" s="7"/>
      <c r="I1043" s="16" t="s">
        <v>48</v>
      </c>
      <c r="J1043" s="16" t="s">
        <v>48</v>
      </c>
      <c r="AG1043" s="15" t="s">
        <v>55</v>
      </c>
      <c r="AH1043" s="15"/>
      <c r="AI1043" s="15"/>
    </row>
    <row r="1044" spans="1:37" s="6" customFormat="1">
      <c r="A1044" s="6" t="s">
        <v>4738</v>
      </c>
      <c r="B1044" s="6" t="s">
        <v>4739</v>
      </c>
      <c r="C1044" s="6" t="s">
        <v>43</v>
      </c>
      <c r="D1044" s="6" t="s">
        <v>1977</v>
      </c>
      <c r="E1044" s="6" t="s">
        <v>1386</v>
      </c>
      <c r="F1044" s="6" t="s">
        <v>46</v>
      </c>
      <c r="G1044" s="6" t="s">
        <v>4740</v>
      </c>
      <c r="H1044" s="7"/>
      <c r="I1044" s="19" t="s">
        <v>48</v>
      </c>
      <c r="J1044" s="19" t="s">
        <v>48</v>
      </c>
      <c r="AG1044" s="15" t="s">
        <v>55</v>
      </c>
      <c r="AH1044" s="15"/>
      <c r="AI1044" s="15"/>
    </row>
    <row r="1045" spans="1:37" s="6" customFormat="1">
      <c r="A1045" s="6" t="s">
        <v>4741</v>
      </c>
      <c r="B1045" s="6" t="s">
        <v>4742</v>
      </c>
      <c r="C1045" s="6" t="s">
        <v>2281</v>
      </c>
      <c r="D1045" s="6" t="s">
        <v>1645</v>
      </c>
      <c r="E1045" s="6" t="s">
        <v>1671</v>
      </c>
      <c r="F1045" s="6" t="s">
        <v>46</v>
      </c>
      <c r="G1045" s="6" t="s">
        <v>4670</v>
      </c>
      <c r="H1045" s="7"/>
      <c r="I1045" s="19" t="s">
        <v>48</v>
      </c>
      <c r="J1045" s="19" t="s">
        <v>48</v>
      </c>
      <c r="AG1045" s="15" t="s">
        <v>55</v>
      </c>
      <c r="AH1045" s="15"/>
      <c r="AI1045" s="15"/>
    </row>
    <row r="1046" spans="1:37" s="6" customFormat="1">
      <c r="A1046" s="5" t="s">
        <v>4743</v>
      </c>
      <c r="B1046" s="5" t="s">
        <v>4744</v>
      </c>
      <c r="C1046" s="6" t="s">
        <v>43</v>
      </c>
      <c r="D1046" s="6" t="s">
        <v>1977</v>
      </c>
      <c r="E1046" s="6" t="s">
        <v>1386</v>
      </c>
      <c r="F1046" s="6" t="s">
        <v>46</v>
      </c>
      <c r="G1046" s="6" t="s">
        <v>4745</v>
      </c>
      <c r="H1046" s="7">
        <v>46.64</v>
      </c>
      <c r="I1046" s="19" t="s">
        <v>1589</v>
      </c>
      <c r="J1046" s="19" t="s">
        <v>2001</v>
      </c>
      <c r="K1046" s="20" t="s">
        <v>2002</v>
      </c>
      <c r="L1046" s="20" t="s">
        <v>2003</v>
      </c>
      <c r="M1046" s="20" t="s">
        <v>2004</v>
      </c>
      <c r="N1046" s="20" t="s">
        <v>2005</v>
      </c>
      <c r="O1046" s="20" t="s">
        <v>4746</v>
      </c>
      <c r="P1046" s="20" t="s">
        <v>4061</v>
      </c>
      <c r="Q1046" s="20" t="s">
        <v>4747</v>
      </c>
      <c r="R1046" s="5" t="s">
        <v>4748</v>
      </c>
      <c r="S1046" s="5"/>
      <c r="T1046" s="5"/>
      <c r="U1046" s="5"/>
      <c r="V1046" s="5"/>
      <c r="W1046" s="20" t="s">
        <v>2010</v>
      </c>
      <c r="X1046" s="20" t="s">
        <v>2011</v>
      </c>
      <c r="Y1046" s="20" t="s">
        <v>2012</v>
      </c>
      <c r="Z1046" s="20" t="s">
        <v>2013</v>
      </c>
      <c r="AA1046" s="5"/>
      <c r="AB1046" s="5"/>
      <c r="AC1046" s="5"/>
      <c r="AD1046" s="5"/>
      <c r="AE1046" s="5"/>
      <c r="AF1046" s="5"/>
      <c r="AG1046" s="14" t="s">
        <v>55</v>
      </c>
      <c r="AH1046" s="14" t="s">
        <v>1603</v>
      </c>
      <c r="AI1046" s="14" t="s">
        <v>124</v>
      </c>
      <c r="AJ1046" s="5"/>
      <c r="AK1046" s="5"/>
    </row>
    <row r="1047" spans="1:37">
      <c r="A1047" s="5" t="s">
        <v>4749</v>
      </c>
      <c r="B1047" s="5" t="s">
        <v>4744</v>
      </c>
      <c r="C1047" s="6" t="s">
        <v>43</v>
      </c>
      <c r="D1047" s="6" t="s">
        <v>1977</v>
      </c>
      <c r="E1047" s="6" t="s">
        <v>2015</v>
      </c>
      <c r="F1047" s="6" t="s">
        <v>46</v>
      </c>
      <c r="G1047" s="6" t="s">
        <v>3245</v>
      </c>
      <c r="H1047" s="7">
        <v>46.64</v>
      </c>
      <c r="I1047" s="19" t="s">
        <v>1589</v>
      </c>
      <c r="J1047" s="19" t="s">
        <v>2001</v>
      </c>
      <c r="K1047" s="20" t="s">
        <v>2002</v>
      </c>
      <c r="L1047" s="20" t="s">
        <v>2003</v>
      </c>
      <c r="M1047" s="20" t="s">
        <v>2004</v>
      </c>
      <c r="N1047" s="20" t="s">
        <v>2005</v>
      </c>
      <c r="O1047" s="20" t="s">
        <v>4746</v>
      </c>
      <c r="P1047" s="20" t="s">
        <v>4066</v>
      </c>
      <c r="Q1047" s="20" t="s">
        <v>4747</v>
      </c>
      <c r="R1047" s="5" t="s">
        <v>4748</v>
      </c>
      <c r="W1047" s="20" t="s">
        <v>2010</v>
      </c>
      <c r="X1047" s="20" t="s">
        <v>2011</v>
      </c>
      <c r="Y1047" s="20" t="s">
        <v>2012</v>
      </c>
      <c r="Z1047" s="20" t="s">
        <v>2013</v>
      </c>
      <c r="AG1047" s="14" t="s">
        <v>55</v>
      </c>
      <c r="AH1047" s="14" t="s">
        <v>1603</v>
      </c>
      <c r="AI1047" s="14" t="s">
        <v>124</v>
      </c>
    </row>
    <row r="1048" spans="1:37">
      <c r="A1048" s="5" t="s">
        <v>4750</v>
      </c>
      <c r="B1048" s="5" t="s">
        <v>4751</v>
      </c>
      <c r="C1048" s="6" t="s">
        <v>43</v>
      </c>
      <c r="D1048" s="6" t="s">
        <v>1977</v>
      </c>
      <c r="E1048" s="6" t="s">
        <v>2139</v>
      </c>
      <c r="F1048" s="6" t="s">
        <v>46</v>
      </c>
      <c r="G1048" s="6" t="s">
        <v>4070</v>
      </c>
      <c r="H1048" s="7">
        <v>58.78</v>
      </c>
      <c r="I1048" s="19" t="s">
        <v>1589</v>
      </c>
      <c r="J1048" s="19" t="s">
        <v>2001</v>
      </c>
      <c r="K1048" s="20" t="s">
        <v>2023</v>
      </c>
      <c r="L1048" s="20" t="s">
        <v>2024</v>
      </c>
      <c r="M1048" s="20" t="s">
        <v>2025</v>
      </c>
      <c r="N1048" s="20" t="s">
        <v>2026</v>
      </c>
      <c r="O1048" s="20" t="s">
        <v>4752</v>
      </c>
      <c r="P1048" s="20" t="s">
        <v>4753</v>
      </c>
      <c r="Q1048" s="20" t="s">
        <v>4754</v>
      </c>
      <c r="R1048" s="5" t="s">
        <v>4079</v>
      </c>
      <c r="W1048" s="20" t="s">
        <v>2010</v>
      </c>
      <c r="X1048" s="20" t="s">
        <v>2011</v>
      </c>
      <c r="Y1048" s="20" t="s">
        <v>2012</v>
      </c>
      <c r="Z1048" s="20" t="s">
        <v>2013</v>
      </c>
      <c r="AG1048" s="14" t="s">
        <v>55</v>
      </c>
      <c r="AH1048" s="14" t="s">
        <v>1603</v>
      </c>
      <c r="AI1048" s="14" t="s">
        <v>124</v>
      </c>
    </row>
    <row r="1049" spans="1:37">
      <c r="A1049" s="5" t="s">
        <v>4755</v>
      </c>
      <c r="B1049" s="5" t="s">
        <v>4751</v>
      </c>
      <c r="C1049" s="6" t="s">
        <v>43</v>
      </c>
      <c r="D1049" s="6" t="s">
        <v>1977</v>
      </c>
      <c r="E1049" s="6" t="s">
        <v>2827</v>
      </c>
      <c r="F1049" s="6" t="s">
        <v>46</v>
      </c>
      <c r="G1049" s="6" t="s">
        <v>3392</v>
      </c>
      <c r="H1049" s="7">
        <v>58.78</v>
      </c>
      <c r="I1049" s="19" t="s">
        <v>1589</v>
      </c>
      <c r="J1049" s="19" t="s">
        <v>2001</v>
      </c>
      <c r="K1049" s="20" t="s">
        <v>2023</v>
      </c>
      <c r="L1049" s="20" t="s">
        <v>2024</v>
      </c>
      <c r="M1049" s="20" t="s">
        <v>2025</v>
      </c>
      <c r="N1049" s="20" t="s">
        <v>2026</v>
      </c>
      <c r="O1049" s="20" t="s">
        <v>4752</v>
      </c>
      <c r="P1049" s="20" t="s">
        <v>4753</v>
      </c>
      <c r="Q1049" s="20" t="s">
        <v>4754</v>
      </c>
      <c r="R1049" s="5" t="s">
        <v>4079</v>
      </c>
      <c r="W1049" s="20" t="s">
        <v>2010</v>
      </c>
      <c r="X1049" s="20" t="s">
        <v>2011</v>
      </c>
      <c r="Y1049" s="20" t="s">
        <v>2012</v>
      </c>
      <c r="Z1049" s="20" t="s">
        <v>2013</v>
      </c>
      <c r="AG1049" s="14" t="s">
        <v>55</v>
      </c>
      <c r="AH1049" s="14" t="s">
        <v>1603</v>
      </c>
      <c r="AI1049" s="14" t="s">
        <v>124</v>
      </c>
    </row>
    <row r="1050" spans="1:37">
      <c r="A1050" s="5" t="s">
        <v>4756</v>
      </c>
      <c r="B1050" s="5" t="s">
        <v>4751</v>
      </c>
      <c r="C1050" s="6" t="s">
        <v>43</v>
      </c>
      <c r="D1050" s="6" t="s">
        <v>1977</v>
      </c>
      <c r="E1050" s="6" t="s">
        <v>1386</v>
      </c>
      <c r="F1050" s="6" t="s">
        <v>46</v>
      </c>
      <c r="G1050" s="6" t="s">
        <v>4757</v>
      </c>
      <c r="H1050" s="7">
        <v>58.78</v>
      </c>
      <c r="I1050" s="19" t="s">
        <v>1589</v>
      </c>
      <c r="J1050" s="19" t="s">
        <v>2001</v>
      </c>
      <c r="K1050" s="20" t="s">
        <v>2023</v>
      </c>
      <c r="L1050" s="20" t="s">
        <v>2024</v>
      </c>
      <c r="M1050" s="20" t="s">
        <v>2025</v>
      </c>
      <c r="N1050" s="20" t="s">
        <v>2026</v>
      </c>
      <c r="O1050" s="20" t="s">
        <v>4752</v>
      </c>
      <c r="P1050" s="20" t="s">
        <v>4753</v>
      </c>
      <c r="Q1050" s="20" t="s">
        <v>4754</v>
      </c>
      <c r="R1050" s="5" t="s">
        <v>4079</v>
      </c>
      <c r="W1050" s="20" t="s">
        <v>2010</v>
      </c>
      <c r="X1050" s="20" t="s">
        <v>2011</v>
      </c>
      <c r="Y1050" s="20" t="s">
        <v>2012</v>
      </c>
      <c r="Z1050" s="20" t="s">
        <v>2013</v>
      </c>
      <c r="AG1050" s="14" t="s">
        <v>55</v>
      </c>
      <c r="AH1050" s="14" t="s">
        <v>1603</v>
      </c>
      <c r="AI1050" s="14" t="s">
        <v>124</v>
      </c>
    </row>
    <row r="1051" spans="1:37">
      <c r="A1051" s="5" t="s">
        <v>4758</v>
      </c>
      <c r="B1051" s="5" t="s">
        <v>4751</v>
      </c>
      <c r="C1051" s="6" t="s">
        <v>43</v>
      </c>
      <c r="D1051" s="6" t="s">
        <v>1977</v>
      </c>
      <c r="E1051" s="6" t="s">
        <v>2015</v>
      </c>
      <c r="F1051" s="6" t="s">
        <v>46</v>
      </c>
      <c r="G1051" s="6" t="s">
        <v>4759</v>
      </c>
      <c r="H1051" s="7">
        <v>57.78</v>
      </c>
      <c r="I1051" s="19" t="s">
        <v>1589</v>
      </c>
      <c r="J1051" s="19" t="s">
        <v>2001</v>
      </c>
      <c r="K1051" s="20" t="s">
        <v>2023</v>
      </c>
      <c r="L1051" s="20" t="s">
        <v>2024</v>
      </c>
      <c r="M1051" s="20" t="s">
        <v>2025</v>
      </c>
      <c r="N1051" s="20" t="s">
        <v>2026</v>
      </c>
      <c r="O1051" s="20" t="s">
        <v>4752</v>
      </c>
      <c r="P1051" s="20" t="s">
        <v>4753</v>
      </c>
      <c r="Q1051" s="20" t="s">
        <v>4754</v>
      </c>
      <c r="R1051" s="5" t="s">
        <v>4079</v>
      </c>
      <c r="W1051" s="20" t="s">
        <v>2010</v>
      </c>
      <c r="X1051" s="20" t="s">
        <v>2011</v>
      </c>
      <c r="Y1051" s="20" t="s">
        <v>2012</v>
      </c>
      <c r="Z1051" s="20" t="s">
        <v>2013</v>
      </c>
      <c r="AG1051" s="14" t="s">
        <v>55</v>
      </c>
      <c r="AH1051" s="14" t="s">
        <v>1603</v>
      </c>
      <c r="AI1051" s="14" t="s">
        <v>124</v>
      </c>
    </row>
    <row r="1052" spans="1:37">
      <c r="A1052" s="5" t="s">
        <v>4760</v>
      </c>
      <c r="B1052" s="5" t="s">
        <v>4761</v>
      </c>
      <c r="C1052" s="6" t="s">
        <v>4762</v>
      </c>
      <c r="D1052" s="6" t="s">
        <v>1977</v>
      </c>
      <c r="E1052" s="6" t="s">
        <v>1386</v>
      </c>
      <c r="F1052" s="6" t="s">
        <v>46</v>
      </c>
      <c r="G1052" s="6" t="s">
        <v>4763</v>
      </c>
      <c r="H1052" s="7">
        <v>61.95</v>
      </c>
      <c r="I1052" s="19" t="s">
        <v>1589</v>
      </c>
      <c r="J1052" s="19" t="s">
        <v>2001</v>
      </c>
      <c r="K1052" s="20" t="s">
        <v>2036</v>
      </c>
      <c r="L1052" s="20" t="s">
        <v>2037</v>
      </c>
      <c r="M1052" s="20" t="s">
        <v>2038</v>
      </c>
      <c r="N1052" s="20" t="s">
        <v>2039</v>
      </c>
      <c r="O1052" s="20" t="s">
        <v>4764</v>
      </c>
      <c r="P1052" s="20" t="s">
        <v>4765</v>
      </c>
      <c r="Q1052" s="20" t="s">
        <v>4766</v>
      </c>
      <c r="R1052" s="5" t="s">
        <v>4767</v>
      </c>
      <c r="W1052" s="20" t="s">
        <v>2010</v>
      </c>
      <c r="X1052" s="20" t="s">
        <v>2011</v>
      </c>
      <c r="Y1052" s="20" t="s">
        <v>2012</v>
      </c>
      <c r="Z1052" s="20" t="s">
        <v>2013</v>
      </c>
      <c r="AG1052" s="14" t="s">
        <v>55</v>
      </c>
      <c r="AH1052" s="14" t="s">
        <v>1603</v>
      </c>
      <c r="AI1052" s="14" t="s">
        <v>124</v>
      </c>
    </row>
    <row r="1053" spans="1:37">
      <c r="A1053" s="5" t="s">
        <v>4768</v>
      </c>
      <c r="B1053" s="5" t="s">
        <v>4761</v>
      </c>
      <c r="C1053" s="6" t="s">
        <v>4762</v>
      </c>
      <c r="D1053" s="6" t="s">
        <v>1977</v>
      </c>
      <c r="E1053" s="6" t="s">
        <v>2015</v>
      </c>
      <c r="F1053" s="6" t="s">
        <v>46</v>
      </c>
      <c r="G1053" s="6" t="s">
        <v>4769</v>
      </c>
      <c r="H1053" s="7">
        <v>61.95</v>
      </c>
      <c r="I1053" s="19" t="s">
        <v>1589</v>
      </c>
      <c r="J1053" s="19" t="s">
        <v>2001</v>
      </c>
      <c r="K1053" s="20" t="s">
        <v>4770</v>
      </c>
      <c r="L1053" s="20" t="s">
        <v>4771</v>
      </c>
      <c r="M1053" s="20" t="s">
        <v>4772</v>
      </c>
      <c r="N1053" s="20" t="s">
        <v>4773</v>
      </c>
      <c r="O1053" s="20" t="s">
        <v>4764</v>
      </c>
      <c r="P1053" s="20" t="s">
        <v>4765</v>
      </c>
      <c r="Q1053" s="20" t="s">
        <v>4766</v>
      </c>
      <c r="R1053" s="5" t="s">
        <v>4767</v>
      </c>
      <c r="W1053" s="20" t="s">
        <v>2010</v>
      </c>
      <c r="X1053" s="20" t="s">
        <v>2011</v>
      </c>
      <c r="Y1053" s="20" t="s">
        <v>2012</v>
      </c>
      <c r="Z1053" s="20" t="s">
        <v>2013</v>
      </c>
      <c r="AG1053" s="14" t="s">
        <v>55</v>
      </c>
      <c r="AH1053" s="14" t="s">
        <v>1603</v>
      </c>
      <c r="AI1053" s="14" t="s">
        <v>124</v>
      </c>
    </row>
    <row r="1054" spans="1:37">
      <c r="A1054" s="5" t="s">
        <v>4774</v>
      </c>
      <c r="B1054" s="5" t="s">
        <v>4775</v>
      </c>
      <c r="C1054" s="6" t="s">
        <v>43</v>
      </c>
      <c r="D1054" s="6" t="s">
        <v>1977</v>
      </c>
      <c r="E1054" s="6" t="s">
        <v>1386</v>
      </c>
      <c r="F1054" s="6" t="s">
        <v>46</v>
      </c>
      <c r="G1054" s="6" t="s">
        <v>4776</v>
      </c>
      <c r="H1054" s="7">
        <v>107</v>
      </c>
      <c r="I1054" s="19" t="s">
        <v>1589</v>
      </c>
      <c r="J1054" s="19" t="s">
        <v>2001</v>
      </c>
      <c r="K1054" s="20" t="s">
        <v>2054</v>
      </c>
      <c r="L1054" s="20" t="s">
        <v>2055</v>
      </c>
      <c r="M1054" s="20" t="s">
        <v>2056</v>
      </c>
      <c r="N1054" s="20" t="s">
        <v>2057</v>
      </c>
      <c r="O1054" s="20" t="s">
        <v>4777</v>
      </c>
      <c r="P1054" s="20" t="s">
        <v>4778</v>
      </c>
      <c r="Q1054" s="20" t="s">
        <v>4779</v>
      </c>
      <c r="R1054" s="5" t="s">
        <v>4780</v>
      </c>
      <c r="W1054" s="20" t="s">
        <v>2010</v>
      </c>
      <c r="X1054" s="20" t="s">
        <v>2011</v>
      </c>
      <c r="Y1054" s="20" t="s">
        <v>2012</v>
      </c>
      <c r="Z1054" s="20" t="s">
        <v>2013</v>
      </c>
      <c r="AG1054" s="14" t="s">
        <v>55</v>
      </c>
      <c r="AH1054" s="14" t="s">
        <v>1603</v>
      </c>
      <c r="AI1054" s="14" t="s">
        <v>124</v>
      </c>
    </row>
    <row r="1055" spans="1:37">
      <c r="A1055" s="5" t="s">
        <v>4781</v>
      </c>
      <c r="B1055" s="5" t="s">
        <v>4775</v>
      </c>
      <c r="C1055" s="6" t="s">
        <v>43</v>
      </c>
      <c r="D1055" s="6" t="s">
        <v>1977</v>
      </c>
      <c r="E1055" s="6" t="s">
        <v>2015</v>
      </c>
      <c r="F1055" s="6" t="s">
        <v>46</v>
      </c>
      <c r="G1055" s="6" t="s">
        <v>4782</v>
      </c>
      <c r="H1055" s="7">
        <v>107</v>
      </c>
      <c r="I1055" s="19" t="s">
        <v>1589</v>
      </c>
      <c r="J1055" s="19" t="s">
        <v>2001</v>
      </c>
      <c r="K1055" s="20" t="s">
        <v>2054</v>
      </c>
      <c r="L1055" s="20" t="s">
        <v>2055</v>
      </c>
      <c r="M1055" s="20" t="s">
        <v>2056</v>
      </c>
      <c r="N1055" s="20" t="s">
        <v>2057</v>
      </c>
      <c r="O1055" s="20" t="s">
        <v>4777</v>
      </c>
      <c r="P1055" s="20" t="s">
        <v>4778</v>
      </c>
      <c r="Q1055" s="20" t="s">
        <v>4779</v>
      </c>
      <c r="R1055" s="5" t="s">
        <v>4780</v>
      </c>
      <c r="W1055" s="20" t="s">
        <v>2010</v>
      </c>
      <c r="X1055" s="20" t="s">
        <v>2011</v>
      </c>
      <c r="Y1055" s="20" t="s">
        <v>2012</v>
      </c>
      <c r="Z1055" s="20" t="s">
        <v>2013</v>
      </c>
      <c r="AG1055" s="14" t="s">
        <v>55</v>
      </c>
      <c r="AH1055" s="14" t="s">
        <v>1603</v>
      </c>
      <c r="AI1055" s="14" t="s">
        <v>124</v>
      </c>
    </row>
    <row r="1056" spans="1:37">
      <c r="A1056" s="6" t="s">
        <v>4783</v>
      </c>
      <c r="B1056" s="6" t="s">
        <v>4784</v>
      </c>
      <c r="C1056" s="6" t="s">
        <v>3161</v>
      </c>
      <c r="D1056" s="6" t="s">
        <v>2069</v>
      </c>
      <c r="E1056" s="6" t="s">
        <v>1540</v>
      </c>
      <c r="F1056" s="6" t="s">
        <v>46</v>
      </c>
      <c r="G1056" s="6" t="s">
        <v>4785</v>
      </c>
      <c r="I1056" s="6" t="s">
        <v>48</v>
      </c>
      <c r="J1056" s="6" t="s">
        <v>48</v>
      </c>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15" t="s">
        <v>55</v>
      </c>
      <c r="AH1056" s="15"/>
      <c r="AI1056" s="15"/>
      <c r="AJ1056" s="6"/>
      <c r="AK1056" s="6"/>
    </row>
    <row r="1057" spans="1:37" s="6" customFormat="1">
      <c r="A1057" s="5" t="s">
        <v>4786</v>
      </c>
      <c r="B1057" s="5" t="s">
        <v>4787</v>
      </c>
      <c r="C1057" s="6" t="s">
        <v>43</v>
      </c>
      <c r="D1057" s="6" t="s">
        <v>2069</v>
      </c>
      <c r="E1057" s="6" t="s">
        <v>2070</v>
      </c>
      <c r="F1057" s="6" t="s">
        <v>46</v>
      </c>
      <c r="G1057" s="6" t="s">
        <v>4788</v>
      </c>
      <c r="H1057" s="7">
        <v>95.3</v>
      </c>
      <c r="I1057" s="19" t="s">
        <v>1589</v>
      </c>
      <c r="J1057" s="19" t="s">
        <v>2078</v>
      </c>
      <c r="K1057" s="5" t="s">
        <v>2079</v>
      </c>
      <c r="L1057" s="5" t="s">
        <v>2080</v>
      </c>
      <c r="M1057" s="5" t="s">
        <v>2081</v>
      </c>
      <c r="N1057" s="5" t="s">
        <v>2082</v>
      </c>
      <c r="O1057" s="5" t="s">
        <v>4789</v>
      </c>
      <c r="P1057" s="5" t="s">
        <v>4110</v>
      </c>
      <c r="Q1057" s="5" t="s">
        <v>4790</v>
      </c>
      <c r="R1057" s="5"/>
      <c r="S1057" s="5"/>
      <c r="T1057" s="5"/>
      <c r="U1057" s="5"/>
      <c r="V1057" s="5"/>
      <c r="W1057" s="5"/>
      <c r="X1057" s="5"/>
      <c r="Y1057" s="5" t="s">
        <v>2086</v>
      </c>
      <c r="Z1057" s="5"/>
      <c r="AA1057" s="5"/>
      <c r="AB1057" s="5"/>
      <c r="AC1057" s="5"/>
      <c r="AD1057" s="5"/>
      <c r="AE1057" s="5"/>
      <c r="AF1057" s="5"/>
      <c r="AG1057" s="14" t="s">
        <v>55</v>
      </c>
      <c r="AH1057" s="14" t="s">
        <v>1603</v>
      </c>
      <c r="AI1057" s="14" t="s">
        <v>2087</v>
      </c>
      <c r="AJ1057" s="5"/>
      <c r="AK1057" s="5"/>
    </row>
    <row r="1058" spans="1:37">
      <c r="A1058" s="5" t="s">
        <v>4791</v>
      </c>
      <c r="B1058" s="5" t="s">
        <v>4787</v>
      </c>
      <c r="C1058" s="6" t="s">
        <v>43</v>
      </c>
      <c r="D1058" s="6" t="s">
        <v>2069</v>
      </c>
      <c r="E1058" s="6" t="s">
        <v>1540</v>
      </c>
      <c r="F1058" s="6" t="s">
        <v>46</v>
      </c>
      <c r="G1058" s="6" t="s">
        <v>4792</v>
      </c>
      <c r="H1058" s="7">
        <v>95.3</v>
      </c>
      <c r="I1058" s="19" t="s">
        <v>1589</v>
      </c>
      <c r="J1058" s="19" t="s">
        <v>2078</v>
      </c>
      <c r="K1058" s="5" t="s">
        <v>2079</v>
      </c>
      <c r="L1058" s="5" t="s">
        <v>2080</v>
      </c>
      <c r="M1058" s="5" t="s">
        <v>2081</v>
      </c>
      <c r="N1058" s="5" t="s">
        <v>2082</v>
      </c>
      <c r="O1058" s="5" t="s">
        <v>4789</v>
      </c>
      <c r="P1058" s="5" t="s">
        <v>4793</v>
      </c>
      <c r="Q1058" s="5" t="s">
        <v>4790</v>
      </c>
      <c r="R1058" s="5"/>
      <c r="Y1058" s="5" t="s">
        <v>2086</v>
      </c>
      <c r="AG1058" s="14" t="s">
        <v>55</v>
      </c>
      <c r="AH1058" s="14" t="s">
        <v>1603</v>
      </c>
      <c r="AI1058" s="14" t="s">
        <v>2087</v>
      </c>
    </row>
    <row r="1059" spans="1:37">
      <c r="A1059" s="5" t="s">
        <v>4794</v>
      </c>
      <c r="B1059" s="5" t="s">
        <v>4795</v>
      </c>
      <c r="C1059" s="6" t="s">
        <v>43</v>
      </c>
      <c r="D1059" s="6" t="s">
        <v>2069</v>
      </c>
      <c r="E1059" s="6" t="s">
        <v>1540</v>
      </c>
      <c r="F1059" s="6" t="s">
        <v>46</v>
      </c>
      <c r="G1059" s="6" t="s">
        <v>4796</v>
      </c>
      <c r="H1059" s="7">
        <v>142.47</v>
      </c>
      <c r="I1059" s="19" t="s">
        <v>1589</v>
      </c>
      <c r="J1059" s="19" t="s">
        <v>2078</v>
      </c>
      <c r="K1059" s="5" t="s">
        <v>2097</v>
      </c>
      <c r="L1059" s="5" t="s">
        <v>2098</v>
      </c>
      <c r="M1059" s="5" t="s">
        <v>2099</v>
      </c>
      <c r="N1059" s="5" t="s">
        <v>2100</v>
      </c>
      <c r="O1059" s="5" t="s">
        <v>4797</v>
      </c>
      <c r="P1059" s="5" t="s">
        <v>4798</v>
      </c>
      <c r="Q1059" s="5" t="s">
        <v>4799</v>
      </c>
      <c r="R1059" s="5"/>
      <c r="Y1059" s="5" t="s">
        <v>2086</v>
      </c>
      <c r="AG1059" s="14" t="s">
        <v>55</v>
      </c>
      <c r="AH1059" s="14" t="s">
        <v>1603</v>
      </c>
      <c r="AI1059" s="14" t="s">
        <v>2087</v>
      </c>
    </row>
    <row r="1060" spans="1:37">
      <c r="A1060" s="5" t="s">
        <v>4800</v>
      </c>
      <c r="B1060" s="5" t="s">
        <v>4801</v>
      </c>
      <c r="C1060" s="6" t="s">
        <v>43</v>
      </c>
      <c r="D1060" s="6" t="s">
        <v>2114</v>
      </c>
      <c r="E1060" s="6" t="s">
        <v>1386</v>
      </c>
      <c r="F1060" s="6" t="s">
        <v>46</v>
      </c>
      <c r="G1060" s="6" t="s">
        <v>4802</v>
      </c>
      <c r="H1060" s="7">
        <v>53.24</v>
      </c>
      <c r="I1060" s="19" t="s">
        <v>1589</v>
      </c>
      <c r="J1060" s="19" t="s">
        <v>2001</v>
      </c>
      <c r="K1060" s="5" t="s">
        <v>2116</v>
      </c>
      <c r="L1060" s="5" t="s">
        <v>2117</v>
      </c>
      <c r="M1060" s="5" t="s">
        <v>2118</v>
      </c>
      <c r="N1060" s="5" t="s">
        <v>2119</v>
      </c>
      <c r="O1060" s="5" t="s">
        <v>4803</v>
      </c>
      <c r="P1060" s="5" t="s">
        <v>4804</v>
      </c>
      <c r="Q1060" s="5" t="s">
        <v>4805</v>
      </c>
      <c r="R1060" s="5"/>
      <c r="W1060" s="5" t="s">
        <v>2123</v>
      </c>
      <c r="X1060" s="5" t="s">
        <v>2011</v>
      </c>
      <c r="Y1060" s="5" t="s">
        <v>2012</v>
      </c>
      <c r="Z1060" s="5" t="s">
        <v>2013</v>
      </c>
      <c r="AG1060" s="14" t="s">
        <v>55</v>
      </c>
      <c r="AH1060" s="14" t="s">
        <v>1603</v>
      </c>
      <c r="AI1060" s="14" t="s">
        <v>124</v>
      </c>
    </row>
    <row r="1061" spans="1:37">
      <c r="A1061" s="5" t="s">
        <v>4806</v>
      </c>
      <c r="B1061" s="5" t="s">
        <v>4801</v>
      </c>
      <c r="C1061" s="6" t="s">
        <v>43</v>
      </c>
      <c r="D1061" s="6" t="s">
        <v>2114</v>
      </c>
      <c r="E1061" s="6" t="s">
        <v>2015</v>
      </c>
      <c r="F1061" s="6" t="s">
        <v>46</v>
      </c>
      <c r="G1061" s="6" t="s">
        <v>4802</v>
      </c>
      <c r="H1061" s="7">
        <v>53.24</v>
      </c>
      <c r="I1061" s="19" t="s">
        <v>1589</v>
      </c>
      <c r="J1061" s="19" t="s">
        <v>2001</v>
      </c>
      <c r="K1061" s="5" t="s">
        <v>2116</v>
      </c>
      <c r="L1061" s="5" t="s">
        <v>2117</v>
      </c>
      <c r="M1061" s="5" t="s">
        <v>2118</v>
      </c>
      <c r="N1061" s="5" t="s">
        <v>2119</v>
      </c>
      <c r="O1061" s="5" t="s">
        <v>4803</v>
      </c>
      <c r="P1061" s="5" t="s">
        <v>4804</v>
      </c>
      <c r="Q1061" s="5" t="s">
        <v>4805</v>
      </c>
      <c r="R1061" s="5"/>
      <c r="W1061" s="5" t="s">
        <v>2123</v>
      </c>
      <c r="X1061" s="5" t="s">
        <v>2011</v>
      </c>
      <c r="Y1061" s="5" t="s">
        <v>2012</v>
      </c>
      <c r="Z1061" s="5" t="s">
        <v>2013</v>
      </c>
      <c r="AG1061" s="14" t="s">
        <v>55</v>
      </c>
      <c r="AH1061" s="14" t="s">
        <v>1603</v>
      </c>
      <c r="AI1061" s="14" t="s">
        <v>124</v>
      </c>
    </row>
    <row r="1062" spans="1:37">
      <c r="A1062" s="5" t="s">
        <v>4807</v>
      </c>
      <c r="B1062" s="5" t="s">
        <v>4808</v>
      </c>
      <c r="C1062" s="6" t="s">
        <v>43</v>
      </c>
      <c r="D1062" s="6" t="s">
        <v>2114</v>
      </c>
      <c r="E1062" s="6" t="s">
        <v>2129</v>
      </c>
      <c r="F1062" s="6" t="s">
        <v>46</v>
      </c>
      <c r="G1062" s="6" t="s">
        <v>4809</v>
      </c>
      <c r="H1062" s="7">
        <v>69.34</v>
      </c>
      <c r="I1062" s="19" t="s">
        <v>1589</v>
      </c>
      <c r="J1062" s="19" t="s">
        <v>2001</v>
      </c>
      <c r="K1062" s="5" t="s">
        <v>2131</v>
      </c>
      <c r="L1062" s="5" t="s">
        <v>2132</v>
      </c>
      <c r="M1062" s="5" t="s">
        <v>2133</v>
      </c>
      <c r="N1062" s="5" t="s">
        <v>2134</v>
      </c>
      <c r="O1062" s="5" t="s">
        <v>4810</v>
      </c>
      <c r="P1062" s="5" t="s">
        <v>4811</v>
      </c>
      <c r="Q1062" s="5" t="s">
        <v>4812</v>
      </c>
      <c r="R1062" s="5"/>
      <c r="W1062" s="5" t="s">
        <v>2123</v>
      </c>
      <c r="X1062" s="5" t="s">
        <v>2011</v>
      </c>
      <c r="Y1062" s="5" t="s">
        <v>2012</v>
      </c>
      <c r="Z1062" s="5" t="s">
        <v>2013</v>
      </c>
      <c r="AG1062" s="14" t="s">
        <v>55</v>
      </c>
      <c r="AH1062" s="14" t="s">
        <v>1603</v>
      </c>
      <c r="AI1062" s="14" t="s">
        <v>124</v>
      </c>
    </row>
    <row r="1063" spans="1:37">
      <c r="A1063" s="5" t="s">
        <v>4813</v>
      </c>
      <c r="B1063" s="5" t="s">
        <v>4808</v>
      </c>
      <c r="C1063" s="6" t="s">
        <v>43</v>
      </c>
      <c r="D1063" s="6" t="s">
        <v>2114</v>
      </c>
      <c r="E1063" s="6" t="s">
        <v>1386</v>
      </c>
      <c r="F1063" s="6" t="s">
        <v>46</v>
      </c>
      <c r="G1063" s="6" t="s">
        <v>4814</v>
      </c>
      <c r="H1063" s="7">
        <v>69.34</v>
      </c>
      <c r="I1063" s="19" t="s">
        <v>1589</v>
      </c>
      <c r="J1063" s="19" t="s">
        <v>2001</v>
      </c>
      <c r="K1063" s="5" t="s">
        <v>2131</v>
      </c>
      <c r="L1063" s="5" t="s">
        <v>2132</v>
      </c>
      <c r="M1063" s="5" t="s">
        <v>2133</v>
      </c>
      <c r="N1063" s="5" t="s">
        <v>2134</v>
      </c>
      <c r="O1063" s="5" t="s">
        <v>4810</v>
      </c>
      <c r="P1063" s="5" t="s">
        <v>4811</v>
      </c>
      <c r="Q1063" s="5" t="s">
        <v>4812</v>
      </c>
      <c r="R1063" s="5"/>
      <c r="W1063" s="5" t="s">
        <v>2123</v>
      </c>
      <c r="X1063" s="5" t="s">
        <v>2011</v>
      </c>
      <c r="Y1063" s="5" t="s">
        <v>2012</v>
      </c>
      <c r="Z1063" s="5" t="s">
        <v>2013</v>
      </c>
      <c r="AG1063" s="14" t="s">
        <v>55</v>
      </c>
      <c r="AH1063" s="14" t="s">
        <v>1603</v>
      </c>
      <c r="AI1063" s="14" t="s">
        <v>124</v>
      </c>
    </row>
    <row r="1064" spans="1:37">
      <c r="A1064" s="5" t="s">
        <v>4815</v>
      </c>
      <c r="B1064" s="5" t="s">
        <v>4808</v>
      </c>
      <c r="C1064" s="6" t="s">
        <v>43</v>
      </c>
      <c r="D1064" s="6" t="s">
        <v>2114</v>
      </c>
      <c r="E1064" s="6" t="s">
        <v>2015</v>
      </c>
      <c r="F1064" s="6" t="s">
        <v>46</v>
      </c>
      <c r="G1064" s="6" t="s">
        <v>4816</v>
      </c>
      <c r="H1064" s="7">
        <v>69.34</v>
      </c>
      <c r="I1064" s="19" t="s">
        <v>1589</v>
      </c>
      <c r="J1064" s="19" t="s">
        <v>2001</v>
      </c>
      <c r="K1064" s="5" t="s">
        <v>2131</v>
      </c>
      <c r="L1064" s="5" t="s">
        <v>2132</v>
      </c>
      <c r="M1064" s="5" t="s">
        <v>2133</v>
      </c>
      <c r="N1064" s="5" t="s">
        <v>2134</v>
      </c>
      <c r="O1064" s="5" t="s">
        <v>4810</v>
      </c>
      <c r="P1064" s="5" t="s">
        <v>4811</v>
      </c>
      <c r="Q1064" s="5" t="s">
        <v>4812</v>
      </c>
      <c r="R1064" s="5"/>
      <c r="W1064" s="5" t="s">
        <v>2123</v>
      </c>
      <c r="X1064" s="5" t="s">
        <v>2011</v>
      </c>
      <c r="Y1064" s="5" t="s">
        <v>2012</v>
      </c>
      <c r="Z1064" s="5" t="s">
        <v>2013</v>
      </c>
      <c r="AG1064" s="14" t="s">
        <v>55</v>
      </c>
      <c r="AH1064" s="14" t="s">
        <v>1603</v>
      </c>
      <c r="AI1064" s="14" t="s">
        <v>124</v>
      </c>
    </row>
    <row r="1065" spans="1:37">
      <c r="A1065" s="5" t="s">
        <v>4817</v>
      </c>
      <c r="B1065" s="5" t="s">
        <v>4808</v>
      </c>
      <c r="C1065" s="6" t="s">
        <v>43</v>
      </c>
      <c r="D1065" s="6" t="s">
        <v>2114</v>
      </c>
      <c r="E1065" s="6" t="s">
        <v>503</v>
      </c>
      <c r="F1065" s="6" t="s">
        <v>46</v>
      </c>
      <c r="G1065" s="6" t="s">
        <v>4818</v>
      </c>
      <c r="H1065" s="7">
        <v>69.34</v>
      </c>
      <c r="I1065" s="19" t="s">
        <v>1589</v>
      </c>
      <c r="J1065" s="19" t="s">
        <v>2001</v>
      </c>
      <c r="K1065" s="5" t="s">
        <v>2131</v>
      </c>
      <c r="L1065" s="5" t="s">
        <v>2132</v>
      </c>
      <c r="M1065" s="5" t="s">
        <v>2133</v>
      </c>
      <c r="N1065" s="5" t="s">
        <v>2134</v>
      </c>
      <c r="O1065" s="5" t="s">
        <v>4810</v>
      </c>
      <c r="P1065" s="5" t="s">
        <v>4811</v>
      </c>
      <c r="Q1065" s="5" t="s">
        <v>4812</v>
      </c>
      <c r="R1065" s="5"/>
      <c r="W1065" s="5" t="s">
        <v>2123</v>
      </c>
      <c r="X1065" s="5" t="s">
        <v>2011</v>
      </c>
      <c r="Y1065" s="5" t="s">
        <v>2012</v>
      </c>
      <c r="Z1065" s="5" t="s">
        <v>2013</v>
      </c>
      <c r="AG1065" s="14" t="s">
        <v>55</v>
      </c>
      <c r="AH1065" s="14" t="s">
        <v>1603</v>
      </c>
      <c r="AI1065" s="14" t="s">
        <v>124</v>
      </c>
    </row>
    <row r="1066" spans="1:37">
      <c r="A1066" s="5" t="s">
        <v>4819</v>
      </c>
      <c r="B1066" s="5" t="s">
        <v>4820</v>
      </c>
      <c r="C1066" s="6" t="s">
        <v>43</v>
      </c>
      <c r="D1066" s="6" t="s">
        <v>2114</v>
      </c>
      <c r="E1066" s="6" t="s">
        <v>1386</v>
      </c>
      <c r="F1066" s="6" t="s">
        <v>46</v>
      </c>
      <c r="G1066" s="6" t="s">
        <v>4821</v>
      </c>
      <c r="H1066" s="7">
        <v>73.22</v>
      </c>
      <c r="I1066" s="19" t="s">
        <v>1589</v>
      </c>
      <c r="J1066" s="19" t="s">
        <v>2001</v>
      </c>
      <c r="K1066" s="6" t="s">
        <v>2148</v>
      </c>
      <c r="L1066" s="6" t="s">
        <v>2149</v>
      </c>
      <c r="M1066" s="6" t="s">
        <v>2150</v>
      </c>
      <c r="N1066" s="6" t="s">
        <v>2151</v>
      </c>
      <c r="O1066" s="6" t="s">
        <v>4822</v>
      </c>
      <c r="P1066" s="6" t="s">
        <v>4823</v>
      </c>
      <c r="Q1066" s="6" t="s">
        <v>4824</v>
      </c>
      <c r="R1066" s="5"/>
      <c r="W1066" s="20" t="s">
        <v>2010</v>
      </c>
      <c r="X1066" s="20" t="s">
        <v>2011</v>
      </c>
      <c r="Y1066" s="20" t="s">
        <v>2012</v>
      </c>
      <c r="Z1066" s="20" t="s">
        <v>2013</v>
      </c>
      <c r="AG1066" s="14" t="s">
        <v>55</v>
      </c>
      <c r="AH1066" s="14" t="s">
        <v>1603</v>
      </c>
      <c r="AI1066" s="14" t="s">
        <v>124</v>
      </c>
    </row>
    <row r="1067" spans="1:37">
      <c r="A1067" s="5" t="s">
        <v>4825</v>
      </c>
      <c r="B1067" s="5" t="s">
        <v>4820</v>
      </c>
      <c r="C1067" s="6" t="s">
        <v>43</v>
      </c>
      <c r="D1067" s="6" t="s">
        <v>2114</v>
      </c>
      <c r="E1067" s="6" t="s">
        <v>2015</v>
      </c>
      <c r="F1067" s="6" t="s">
        <v>46</v>
      </c>
      <c r="G1067" s="6" t="s">
        <v>4826</v>
      </c>
      <c r="H1067" s="7">
        <v>73.22</v>
      </c>
      <c r="I1067" s="19" t="s">
        <v>1589</v>
      </c>
      <c r="J1067" s="19" t="s">
        <v>2001</v>
      </c>
      <c r="K1067" s="6" t="s">
        <v>2148</v>
      </c>
      <c r="L1067" s="6" t="s">
        <v>2149</v>
      </c>
      <c r="M1067" s="6" t="s">
        <v>2150</v>
      </c>
      <c r="N1067" s="6" t="s">
        <v>2151</v>
      </c>
      <c r="O1067" s="6" t="s">
        <v>4822</v>
      </c>
      <c r="P1067" s="6" t="s">
        <v>4823</v>
      </c>
      <c r="Q1067" s="6" t="s">
        <v>4824</v>
      </c>
      <c r="R1067" s="5"/>
      <c r="W1067" s="20" t="s">
        <v>2010</v>
      </c>
      <c r="X1067" s="20" t="s">
        <v>2011</v>
      </c>
      <c r="Y1067" s="20" t="s">
        <v>2012</v>
      </c>
      <c r="Z1067" s="20" t="s">
        <v>2013</v>
      </c>
      <c r="AG1067" s="14" t="s">
        <v>55</v>
      </c>
      <c r="AH1067" s="14" t="s">
        <v>1603</v>
      </c>
      <c r="AI1067" s="14" t="s">
        <v>124</v>
      </c>
    </row>
    <row r="1068" spans="1:37">
      <c r="A1068" s="5" t="s">
        <v>4827</v>
      </c>
      <c r="B1068" s="5" t="s">
        <v>4820</v>
      </c>
      <c r="C1068" s="6" t="s">
        <v>43</v>
      </c>
      <c r="D1068" s="6" t="s">
        <v>2114</v>
      </c>
      <c r="E1068" s="6" t="s">
        <v>1693</v>
      </c>
      <c r="F1068" s="6" t="s">
        <v>46</v>
      </c>
      <c r="G1068" s="6" t="s">
        <v>4828</v>
      </c>
      <c r="H1068" s="7">
        <v>73.22</v>
      </c>
      <c r="I1068" s="19" t="s">
        <v>1589</v>
      </c>
      <c r="J1068" s="19" t="s">
        <v>2001</v>
      </c>
      <c r="K1068" s="6" t="s">
        <v>2148</v>
      </c>
      <c r="L1068" s="6" t="s">
        <v>2149</v>
      </c>
      <c r="M1068" s="6" t="s">
        <v>2150</v>
      </c>
      <c r="N1068" s="6" t="s">
        <v>2151</v>
      </c>
      <c r="O1068" s="6" t="s">
        <v>4822</v>
      </c>
      <c r="P1068" s="6" t="s">
        <v>4823</v>
      </c>
      <c r="Q1068" s="6" t="s">
        <v>4824</v>
      </c>
      <c r="R1068" s="5"/>
      <c r="W1068" s="20" t="s">
        <v>2010</v>
      </c>
      <c r="X1068" s="20" t="s">
        <v>2011</v>
      </c>
      <c r="Y1068" s="20" t="s">
        <v>2012</v>
      </c>
      <c r="Z1068" s="20" t="s">
        <v>2013</v>
      </c>
      <c r="AG1068" s="14" t="s">
        <v>55</v>
      </c>
      <c r="AH1068" s="14" t="s">
        <v>1603</v>
      </c>
      <c r="AI1068" s="14" t="s">
        <v>124</v>
      </c>
    </row>
    <row r="1069" spans="1:37">
      <c r="A1069" s="5" t="s">
        <v>4829</v>
      </c>
      <c r="B1069" s="5" t="s">
        <v>4830</v>
      </c>
      <c r="C1069" s="6" t="s">
        <v>43</v>
      </c>
      <c r="D1069" s="6" t="s">
        <v>2114</v>
      </c>
      <c r="E1069" s="6" t="s">
        <v>2139</v>
      </c>
      <c r="F1069" s="6" t="s">
        <v>46</v>
      </c>
      <c r="G1069" s="6" t="s">
        <v>4390</v>
      </c>
      <c r="H1069" s="7">
        <v>104.55</v>
      </c>
      <c r="I1069" s="19" t="s">
        <v>1589</v>
      </c>
      <c r="J1069" s="19" t="s">
        <v>2001</v>
      </c>
      <c r="K1069" s="6" t="s">
        <v>2177</v>
      </c>
      <c r="L1069" s="6" t="s">
        <v>2178</v>
      </c>
      <c r="M1069" s="6" t="s">
        <v>2179</v>
      </c>
      <c r="N1069" s="6" t="s">
        <v>2180</v>
      </c>
      <c r="O1069" s="6" t="s">
        <v>4831</v>
      </c>
      <c r="P1069" s="6" t="s">
        <v>4832</v>
      </c>
      <c r="Q1069" s="6" t="s">
        <v>4833</v>
      </c>
      <c r="R1069" s="5"/>
      <c r="S1069" s="6"/>
      <c r="T1069" s="6"/>
      <c r="U1069" s="6"/>
      <c r="W1069" s="20" t="s">
        <v>2010</v>
      </c>
      <c r="X1069" s="20" t="s">
        <v>2011</v>
      </c>
      <c r="Y1069" s="20" t="s">
        <v>2012</v>
      </c>
      <c r="Z1069" s="20" t="s">
        <v>2013</v>
      </c>
      <c r="AG1069" s="14" t="s">
        <v>55</v>
      </c>
      <c r="AH1069" s="14" t="s">
        <v>1603</v>
      </c>
      <c r="AI1069" s="14" t="s">
        <v>124</v>
      </c>
    </row>
    <row r="1070" spans="1:37">
      <c r="A1070" s="5" t="s">
        <v>4834</v>
      </c>
      <c r="B1070" s="5" t="s">
        <v>4830</v>
      </c>
      <c r="C1070" s="6" t="s">
        <v>43</v>
      </c>
      <c r="D1070" s="6" t="s">
        <v>2114</v>
      </c>
      <c r="E1070" s="6" t="s">
        <v>1386</v>
      </c>
      <c r="F1070" s="6" t="s">
        <v>46</v>
      </c>
      <c r="G1070" s="6" t="s">
        <v>4835</v>
      </c>
      <c r="H1070" s="7">
        <v>104.55</v>
      </c>
      <c r="I1070" s="19" t="s">
        <v>1589</v>
      </c>
      <c r="J1070" s="19" t="s">
        <v>2001</v>
      </c>
      <c r="K1070" s="6" t="s">
        <v>2177</v>
      </c>
      <c r="L1070" s="6" t="s">
        <v>2178</v>
      </c>
      <c r="M1070" s="6" t="s">
        <v>2179</v>
      </c>
      <c r="N1070" s="6" t="s">
        <v>2180</v>
      </c>
      <c r="O1070" s="6" t="s">
        <v>4831</v>
      </c>
      <c r="P1070" s="6" t="s">
        <v>4832</v>
      </c>
      <c r="Q1070" s="6" t="s">
        <v>4833</v>
      </c>
      <c r="R1070" s="5"/>
      <c r="S1070" s="6"/>
      <c r="T1070" s="6"/>
      <c r="U1070" s="6"/>
      <c r="W1070" s="20" t="s">
        <v>2010</v>
      </c>
      <c r="X1070" s="20" t="s">
        <v>2011</v>
      </c>
      <c r="Y1070" s="20" t="s">
        <v>2012</v>
      </c>
      <c r="Z1070" s="20" t="s">
        <v>2013</v>
      </c>
      <c r="AG1070" s="14" t="s">
        <v>55</v>
      </c>
      <c r="AH1070" s="14" t="s">
        <v>1603</v>
      </c>
      <c r="AI1070" s="14" t="s">
        <v>124</v>
      </c>
    </row>
    <row r="1071" spans="1:37">
      <c r="A1071" s="5" t="s">
        <v>4836</v>
      </c>
      <c r="B1071" s="5" t="s">
        <v>4837</v>
      </c>
      <c r="C1071" s="6" t="s">
        <v>43</v>
      </c>
      <c r="D1071" s="6" t="s">
        <v>2189</v>
      </c>
      <c r="E1071" s="6" t="s">
        <v>1386</v>
      </c>
      <c r="F1071" s="6" t="s">
        <v>46</v>
      </c>
      <c r="G1071" s="6" t="s">
        <v>4838</v>
      </c>
      <c r="H1071" s="7">
        <v>68.2</v>
      </c>
      <c r="I1071" s="19" t="s">
        <v>1589</v>
      </c>
      <c r="J1071" s="19" t="s">
        <v>2191</v>
      </c>
      <c r="K1071" s="5" t="s">
        <v>2192</v>
      </c>
      <c r="L1071" s="5" t="s">
        <v>2193</v>
      </c>
      <c r="M1071" s="5" t="s">
        <v>2194</v>
      </c>
      <c r="N1071" s="5" t="s">
        <v>2195</v>
      </c>
      <c r="O1071" s="5" t="s">
        <v>4839</v>
      </c>
      <c r="P1071" s="5" t="s">
        <v>4840</v>
      </c>
      <c r="Q1071" s="5" t="s">
        <v>4841</v>
      </c>
      <c r="R1071" s="5"/>
      <c r="Y1071" s="5" t="s">
        <v>2086</v>
      </c>
      <c r="AG1071" s="14" t="s">
        <v>55</v>
      </c>
      <c r="AH1071" s="14" t="s">
        <v>1603</v>
      </c>
      <c r="AI1071" s="14" t="s">
        <v>2087</v>
      </c>
    </row>
    <row r="1072" spans="1:37">
      <c r="A1072" s="5" t="s">
        <v>4842</v>
      </c>
      <c r="B1072" s="5" t="s">
        <v>4837</v>
      </c>
      <c r="C1072" s="6" t="s">
        <v>43</v>
      </c>
      <c r="D1072" s="6" t="s">
        <v>2189</v>
      </c>
      <c r="E1072" s="6" t="s">
        <v>2015</v>
      </c>
      <c r="F1072" s="6" t="s">
        <v>46</v>
      </c>
      <c r="G1072" s="6" t="s">
        <v>4843</v>
      </c>
      <c r="H1072" s="7">
        <v>68.2</v>
      </c>
      <c r="I1072" s="19" t="s">
        <v>1589</v>
      </c>
      <c r="J1072" s="19" t="s">
        <v>2191</v>
      </c>
      <c r="K1072" s="5" t="s">
        <v>2192</v>
      </c>
      <c r="L1072" s="5" t="s">
        <v>2193</v>
      </c>
      <c r="M1072" s="5" t="s">
        <v>2194</v>
      </c>
      <c r="N1072" s="5" t="s">
        <v>2195</v>
      </c>
      <c r="O1072" s="5" t="s">
        <v>4839</v>
      </c>
      <c r="P1072" s="5" t="s">
        <v>4840</v>
      </c>
      <c r="Q1072" s="5" t="s">
        <v>4841</v>
      </c>
      <c r="R1072" s="5"/>
      <c r="Y1072" s="5" t="s">
        <v>2086</v>
      </c>
      <c r="AG1072" s="14" t="s">
        <v>55</v>
      </c>
      <c r="AH1072" s="14" t="s">
        <v>1603</v>
      </c>
      <c r="AI1072" s="14" t="s">
        <v>2087</v>
      </c>
    </row>
    <row r="1073" spans="1:50">
      <c r="A1073" s="5" t="s">
        <v>4844</v>
      </c>
      <c r="B1073" s="5" t="s">
        <v>4845</v>
      </c>
      <c r="C1073" s="6" t="s">
        <v>43</v>
      </c>
      <c r="D1073" s="6" t="s">
        <v>2189</v>
      </c>
      <c r="E1073" s="6" t="s">
        <v>2015</v>
      </c>
      <c r="F1073" s="6" t="s">
        <v>46</v>
      </c>
      <c r="G1073" s="6" t="s">
        <v>4846</v>
      </c>
      <c r="H1073" s="7">
        <v>80.61</v>
      </c>
      <c r="I1073" s="19" t="s">
        <v>1589</v>
      </c>
      <c r="J1073" s="19" t="s">
        <v>2191</v>
      </c>
      <c r="K1073" s="5" t="s">
        <v>2218</v>
      </c>
      <c r="L1073" s="5" t="s">
        <v>2219</v>
      </c>
      <c r="M1073" s="5" t="s">
        <v>2220</v>
      </c>
      <c r="N1073" s="5" t="s">
        <v>2221</v>
      </c>
      <c r="O1073" s="5" t="s">
        <v>4847</v>
      </c>
      <c r="P1073" s="5" t="s">
        <v>4848</v>
      </c>
      <c r="Q1073" s="5" t="s">
        <v>4849</v>
      </c>
      <c r="R1073" s="5"/>
      <c r="AG1073" s="14" t="s">
        <v>55</v>
      </c>
      <c r="AH1073" s="14" t="s">
        <v>1603</v>
      </c>
      <c r="AI1073" s="14" t="s">
        <v>2087</v>
      </c>
    </row>
    <row r="1074" spans="1:50">
      <c r="A1074" s="5" t="s">
        <v>4850</v>
      </c>
      <c r="B1074" s="5" t="s">
        <v>4845</v>
      </c>
      <c r="C1074" s="6" t="s">
        <v>43</v>
      </c>
      <c r="D1074" s="6" t="s">
        <v>2189</v>
      </c>
      <c r="E1074" s="6" t="s">
        <v>2070</v>
      </c>
      <c r="F1074" s="6" t="s">
        <v>46</v>
      </c>
      <c r="G1074" s="6" t="s">
        <v>4851</v>
      </c>
      <c r="H1074" s="7">
        <v>80.61</v>
      </c>
      <c r="I1074" s="19" t="s">
        <v>1589</v>
      </c>
      <c r="J1074" s="19" t="s">
        <v>2191</v>
      </c>
      <c r="K1074" s="5" t="s">
        <v>2218</v>
      </c>
      <c r="L1074" s="5" t="s">
        <v>2219</v>
      </c>
      <c r="M1074" s="5" t="s">
        <v>2220</v>
      </c>
      <c r="N1074" s="5" t="s">
        <v>2221</v>
      </c>
      <c r="O1074" s="5" t="s">
        <v>4847</v>
      </c>
      <c r="P1074" s="5" t="s">
        <v>4848</v>
      </c>
      <c r="Q1074" s="5" t="s">
        <v>4849</v>
      </c>
      <c r="R1074" s="5"/>
      <c r="AG1074" s="14" t="s">
        <v>55</v>
      </c>
      <c r="AH1074" s="14" t="s">
        <v>1603</v>
      </c>
      <c r="AI1074" s="14" t="s">
        <v>2087</v>
      </c>
    </row>
    <row r="1075" spans="1:50">
      <c r="A1075" s="5" t="s">
        <v>4852</v>
      </c>
      <c r="B1075" s="5" t="s">
        <v>4845</v>
      </c>
      <c r="C1075" s="6" t="s">
        <v>43</v>
      </c>
      <c r="D1075" s="6" t="s">
        <v>2189</v>
      </c>
      <c r="E1075" s="6" t="s">
        <v>1693</v>
      </c>
      <c r="F1075" s="6" t="s">
        <v>46</v>
      </c>
      <c r="G1075" s="6" t="s">
        <v>4853</v>
      </c>
      <c r="H1075" s="7">
        <v>80.61</v>
      </c>
      <c r="I1075" s="19" t="s">
        <v>1589</v>
      </c>
      <c r="J1075" s="19" t="s">
        <v>2191</v>
      </c>
      <c r="K1075" s="5" t="s">
        <v>2218</v>
      </c>
      <c r="L1075" s="5" t="s">
        <v>2219</v>
      </c>
      <c r="M1075" s="5" t="s">
        <v>2220</v>
      </c>
      <c r="N1075" s="5" t="s">
        <v>2221</v>
      </c>
      <c r="O1075" s="5" t="s">
        <v>4847</v>
      </c>
      <c r="P1075" s="5" t="s">
        <v>4848</v>
      </c>
      <c r="Q1075" s="5" t="s">
        <v>4849</v>
      </c>
      <c r="R1075" s="5"/>
      <c r="AG1075" s="14" t="s">
        <v>55</v>
      </c>
      <c r="AH1075" s="14" t="s">
        <v>1603</v>
      </c>
      <c r="AI1075" s="14" t="s">
        <v>2087</v>
      </c>
    </row>
    <row r="1076" spans="1:50">
      <c r="A1076" s="5" t="s">
        <v>4854</v>
      </c>
      <c r="B1076" s="5" t="s">
        <v>4845</v>
      </c>
      <c r="C1076" s="6" t="s">
        <v>43</v>
      </c>
      <c r="D1076" s="6" t="s">
        <v>2189</v>
      </c>
      <c r="E1076" s="6" t="s">
        <v>1540</v>
      </c>
      <c r="F1076" s="6" t="s">
        <v>46</v>
      </c>
      <c r="G1076" s="6" t="s">
        <v>1613</v>
      </c>
      <c r="H1076" s="7">
        <v>80.61</v>
      </c>
      <c r="I1076" s="19" t="s">
        <v>1589</v>
      </c>
      <c r="J1076" s="19" t="s">
        <v>2191</v>
      </c>
      <c r="K1076" s="5" t="s">
        <v>2218</v>
      </c>
      <c r="L1076" s="5" t="s">
        <v>2219</v>
      </c>
      <c r="M1076" s="5" t="s">
        <v>2220</v>
      </c>
      <c r="N1076" s="5" t="s">
        <v>2221</v>
      </c>
      <c r="O1076" s="5" t="s">
        <v>4847</v>
      </c>
      <c r="P1076" s="5" t="s">
        <v>4848</v>
      </c>
      <c r="Q1076" s="5" t="s">
        <v>4849</v>
      </c>
      <c r="R1076" s="5"/>
      <c r="AG1076" s="14" t="s">
        <v>55</v>
      </c>
      <c r="AH1076" s="14" t="s">
        <v>1603</v>
      </c>
      <c r="AI1076" s="14" t="s">
        <v>2087</v>
      </c>
    </row>
    <row r="1077" spans="1:50">
      <c r="A1077" s="5" t="s">
        <v>4855</v>
      </c>
      <c r="B1077" s="5" t="s">
        <v>4856</v>
      </c>
      <c r="C1077" s="6" t="s">
        <v>43</v>
      </c>
      <c r="D1077" s="6" t="s">
        <v>2189</v>
      </c>
      <c r="E1077" s="6" t="s">
        <v>2070</v>
      </c>
      <c r="F1077" s="6" t="s">
        <v>46</v>
      </c>
      <c r="G1077" s="6" t="s">
        <v>4857</v>
      </c>
      <c r="H1077" s="7">
        <v>106.74</v>
      </c>
      <c r="I1077" s="19" t="s">
        <v>1589</v>
      </c>
      <c r="J1077" s="19" t="s">
        <v>2191</v>
      </c>
      <c r="K1077" s="5" t="s">
        <v>2242</v>
      </c>
      <c r="L1077" s="5" t="s">
        <v>2243</v>
      </c>
      <c r="M1077" s="5" t="s">
        <v>2244</v>
      </c>
      <c r="N1077" s="5" t="s">
        <v>2245</v>
      </c>
      <c r="O1077" s="5" t="s">
        <v>4858</v>
      </c>
      <c r="P1077" s="5" t="s">
        <v>4859</v>
      </c>
      <c r="Q1077" s="5" t="s">
        <v>4860</v>
      </c>
      <c r="R1077" s="5"/>
      <c r="Y1077" s="5" t="s">
        <v>2086</v>
      </c>
      <c r="AG1077" s="14" t="s">
        <v>55</v>
      </c>
      <c r="AH1077" s="14" t="s">
        <v>1603</v>
      </c>
      <c r="AI1077" s="14" t="s">
        <v>2087</v>
      </c>
    </row>
    <row r="1078" spans="1:50">
      <c r="A1078" s="6" t="s">
        <v>4861</v>
      </c>
      <c r="B1078" s="6" t="s">
        <v>4862</v>
      </c>
      <c r="C1078" s="6" t="s">
        <v>43</v>
      </c>
      <c r="D1078" s="6" t="s">
        <v>2189</v>
      </c>
      <c r="E1078" s="6" t="s">
        <v>2070</v>
      </c>
      <c r="F1078" s="6" t="s">
        <v>46</v>
      </c>
      <c r="G1078" s="6" t="s">
        <v>4863</v>
      </c>
      <c r="I1078" s="16" t="s">
        <v>48</v>
      </c>
      <c r="J1078" s="16" t="s">
        <v>48</v>
      </c>
      <c r="K1078" s="6"/>
      <c r="L1078" s="6"/>
      <c r="M1078" s="6"/>
      <c r="N1078" s="6"/>
      <c r="O1078" s="6"/>
      <c r="P1078" s="6"/>
      <c r="Q1078" s="6"/>
      <c r="R1078" s="6"/>
      <c r="S1078" s="6"/>
      <c r="T1078" s="6"/>
      <c r="U1078" s="6"/>
      <c r="V1078" s="6"/>
      <c r="W1078" s="6"/>
      <c r="X1078" s="6"/>
      <c r="Y1078" s="6"/>
      <c r="Z1078" s="6"/>
      <c r="AA1078" s="6"/>
      <c r="AB1078" s="6"/>
      <c r="AC1078" s="6"/>
      <c r="AD1078" s="6"/>
      <c r="AE1078" s="6"/>
      <c r="AF1078" s="6"/>
      <c r="AG1078" s="15" t="s">
        <v>55</v>
      </c>
      <c r="AH1078" s="15"/>
      <c r="AI1078" s="15"/>
      <c r="AJ1078" s="6"/>
      <c r="AK1078" s="6"/>
    </row>
    <row r="1079" spans="1:50" s="6" customFormat="1">
      <c r="A1079" s="5" t="s">
        <v>4864</v>
      </c>
      <c r="B1079" s="5" t="s">
        <v>4865</v>
      </c>
      <c r="C1079" s="6" t="s">
        <v>43</v>
      </c>
      <c r="D1079" s="6" t="s">
        <v>1645</v>
      </c>
      <c r="E1079" s="6" t="s">
        <v>1386</v>
      </c>
      <c r="F1079" s="6" t="s">
        <v>46</v>
      </c>
      <c r="G1079" s="6" t="s">
        <v>4866</v>
      </c>
      <c r="H1079" s="7">
        <v>211.95</v>
      </c>
      <c r="I1079" s="19" t="s">
        <v>2283</v>
      </c>
      <c r="J1079" s="19" t="s">
        <v>2284</v>
      </c>
      <c r="K1079" s="6" t="s">
        <v>3436</v>
      </c>
      <c r="L1079" s="6" t="s">
        <v>3437</v>
      </c>
      <c r="M1079" s="6" t="s">
        <v>3438</v>
      </c>
      <c r="N1079" s="6" t="s">
        <v>3439</v>
      </c>
      <c r="O1079" s="6" t="s">
        <v>4867</v>
      </c>
      <c r="P1079" s="6" t="s">
        <v>4868</v>
      </c>
      <c r="Q1079" s="6" t="s">
        <v>4869</v>
      </c>
      <c r="R1079" s="6" t="s">
        <v>4870</v>
      </c>
      <c r="S1079" s="5"/>
      <c r="T1079" s="5"/>
      <c r="U1079" s="5"/>
      <c r="V1079" s="5"/>
      <c r="W1079" s="5"/>
      <c r="X1079" s="5"/>
      <c r="Y1079" s="5"/>
      <c r="Z1079" s="5"/>
      <c r="AA1079" s="5"/>
      <c r="AB1079" s="5"/>
      <c r="AC1079" s="5"/>
      <c r="AD1079" s="5"/>
      <c r="AE1079" s="5"/>
      <c r="AF1079" s="5"/>
      <c r="AG1079" s="14" t="s">
        <v>55</v>
      </c>
      <c r="AH1079" s="14" t="s">
        <v>1603</v>
      </c>
      <c r="AI1079" s="14" t="s">
        <v>1603</v>
      </c>
      <c r="AJ1079" s="5"/>
      <c r="AK1079" s="5"/>
    </row>
    <row r="1080" spans="1:50">
      <c r="A1080" s="5" t="s">
        <v>4871</v>
      </c>
      <c r="B1080" s="5" t="s">
        <v>4872</v>
      </c>
      <c r="C1080" s="6" t="s">
        <v>2281</v>
      </c>
      <c r="D1080" s="6" t="s">
        <v>1645</v>
      </c>
      <c r="E1080" s="6" t="s">
        <v>1386</v>
      </c>
      <c r="F1080" s="6" t="s">
        <v>46</v>
      </c>
      <c r="G1080" s="6" t="s">
        <v>4873</v>
      </c>
      <c r="H1080" s="7">
        <v>131.56</v>
      </c>
      <c r="I1080" s="19" t="s">
        <v>2283</v>
      </c>
      <c r="J1080" s="19" t="s">
        <v>2284</v>
      </c>
      <c r="K1080" s="6" t="s">
        <v>2366</v>
      </c>
      <c r="L1080" s="6" t="s">
        <v>2367</v>
      </c>
      <c r="M1080" s="6" t="s">
        <v>2368</v>
      </c>
      <c r="N1080" s="6" t="s">
        <v>2369</v>
      </c>
      <c r="O1080" s="6" t="s">
        <v>4874</v>
      </c>
      <c r="P1080" s="6" t="s">
        <v>4875</v>
      </c>
      <c r="Q1080" s="6" t="s">
        <v>4876</v>
      </c>
      <c r="R1080" s="6" t="s">
        <v>4877</v>
      </c>
      <c r="AG1080" s="14" t="s">
        <v>55</v>
      </c>
      <c r="AH1080" s="14" t="s">
        <v>1603</v>
      </c>
      <c r="AI1080" s="14" t="s">
        <v>1603</v>
      </c>
    </row>
    <row r="1081" spans="1:50">
      <c r="A1081" s="5" t="s">
        <v>4878</v>
      </c>
      <c r="B1081" s="5" t="s">
        <v>4879</v>
      </c>
      <c r="C1081" s="6" t="s">
        <v>43</v>
      </c>
      <c r="D1081" s="6" t="s">
        <v>1645</v>
      </c>
      <c r="E1081" s="6" t="s">
        <v>1386</v>
      </c>
      <c r="F1081" s="6" t="s">
        <v>46</v>
      </c>
      <c r="G1081" s="6" t="s">
        <v>4880</v>
      </c>
      <c r="H1081" s="7">
        <v>192.54</v>
      </c>
      <c r="I1081" s="19" t="s">
        <v>2283</v>
      </c>
      <c r="J1081" s="19" t="s">
        <v>2380</v>
      </c>
      <c r="K1081" s="23" t="s">
        <v>4881</v>
      </c>
      <c r="L1081" s="23" t="s">
        <v>4882</v>
      </c>
      <c r="M1081" s="23" t="s">
        <v>4883</v>
      </c>
      <c r="N1081" s="23" t="s">
        <v>4884</v>
      </c>
      <c r="O1081" s="23" t="s">
        <v>4885</v>
      </c>
      <c r="P1081" s="23" t="s">
        <v>4886</v>
      </c>
      <c r="Q1081" s="23" t="s">
        <v>4887</v>
      </c>
      <c r="R1081" s="23" t="s">
        <v>4888</v>
      </c>
      <c r="S1081" s="23"/>
      <c r="T1081" s="23"/>
      <c r="U1081" s="23"/>
      <c r="V1081" s="23"/>
      <c r="W1081" s="23"/>
      <c r="X1081" s="23"/>
      <c r="Y1081" s="23"/>
      <c r="Z1081" s="23"/>
      <c r="AA1081" s="23"/>
      <c r="AB1081" s="23"/>
      <c r="AC1081" s="23"/>
      <c r="AD1081" s="23"/>
      <c r="AE1081" s="23"/>
      <c r="AF1081" s="23"/>
      <c r="AG1081" s="14" t="s">
        <v>55</v>
      </c>
      <c r="AH1081" s="14" t="s">
        <v>1603</v>
      </c>
      <c r="AI1081" s="14" t="s">
        <v>1603</v>
      </c>
      <c r="AJ1081" s="23"/>
      <c r="AK1081" s="23"/>
    </row>
    <row r="1082" spans="1:50">
      <c r="A1082" s="5" t="s">
        <v>4889</v>
      </c>
      <c r="B1082" s="5" t="s">
        <v>4890</v>
      </c>
      <c r="C1082" s="6" t="s">
        <v>43</v>
      </c>
      <c r="D1082" s="6" t="s">
        <v>1645</v>
      </c>
      <c r="E1082" s="6" t="s">
        <v>1386</v>
      </c>
      <c r="F1082" s="6" t="s">
        <v>46</v>
      </c>
      <c r="G1082" s="6" t="s">
        <v>4891</v>
      </c>
      <c r="H1082" s="7">
        <v>204.07</v>
      </c>
      <c r="I1082" s="19" t="s">
        <v>2283</v>
      </c>
      <c r="J1082" s="19" t="s">
        <v>2380</v>
      </c>
      <c r="K1082" s="23" t="s">
        <v>4892</v>
      </c>
      <c r="L1082" s="23" t="s">
        <v>4893</v>
      </c>
      <c r="M1082" s="23" t="s">
        <v>4894</v>
      </c>
      <c r="N1082" s="23" t="s">
        <v>4895</v>
      </c>
      <c r="O1082" s="23" t="s">
        <v>4896</v>
      </c>
      <c r="P1082" s="23" t="s">
        <v>4897</v>
      </c>
      <c r="Q1082" s="23" t="s">
        <v>4898</v>
      </c>
      <c r="R1082" s="23" t="s">
        <v>4899</v>
      </c>
      <c r="S1082" s="23"/>
      <c r="T1082" s="23"/>
      <c r="U1082" s="23"/>
      <c r="V1082" s="23"/>
      <c r="W1082" s="23"/>
      <c r="X1082" s="23"/>
      <c r="Y1082" s="23"/>
      <c r="Z1082" s="23"/>
      <c r="AA1082" s="23"/>
      <c r="AB1082" s="23"/>
      <c r="AC1082" s="23"/>
      <c r="AD1082" s="23"/>
      <c r="AE1082" s="23"/>
      <c r="AF1082" s="23"/>
      <c r="AG1082" s="14" t="s">
        <v>55</v>
      </c>
      <c r="AH1082" s="14" t="s">
        <v>1603</v>
      </c>
      <c r="AI1082" s="14" t="s">
        <v>1603</v>
      </c>
      <c r="AJ1082" s="23"/>
      <c r="AK1082" s="23"/>
      <c r="AL1082" s="23"/>
      <c r="AM1082" s="23"/>
      <c r="AN1082" s="23"/>
      <c r="AO1082" s="23"/>
      <c r="AP1082" s="23"/>
      <c r="AQ1082" s="23"/>
      <c r="AR1082" s="23"/>
      <c r="AS1082" s="23"/>
      <c r="AT1082" s="23"/>
      <c r="AU1082" s="23"/>
      <c r="AV1082" s="23"/>
      <c r="AW1082" s="23"/>
      <c r="AX1082" s="23"/>
    </row>
    <row r="1083" spans="1:50">
      <c r="A1083" s="5" t="s">
        <v>4900</v>
      </c>
      <c r="B1083" s="5" t="s">
        <v>4901</v>
      </c>
      <c r="C1083" s="6" t="s">
        <v>43</v>
      </c>
      <c r="D1083" s="6" t="s">
        <v>239</v>
      </c>
      <c r="E1083" s="6" t="s">
        <v>2065</v>
      </c>
      <c r="F1083" s="6" t="s">
        <v>46</v>
      </c>
      <c r="G1083" s="6" t="s">
        <v>4902</v>
      </c>
      <c r="H1083" s="7">
        <v>115.46</v>
      </c>
      <c r="I1083" s="19" t="s">
        <v>2283</v>
      </c>
      <c r="J1083" s="19" t="s">
        <v>2512</v>
      </c>
      <c r="K1083" s="6" t="s">
        <v>2616</v>
      </c>
      <c r="L1083" s="6" t="s">
        <v>2617</v>
      </c>
      <c r="M1083" s="6" t="s">
        <v>2618</v>
      </c>
      <c r="N1083" s="6" t="s">
        <v>2619</v>
      </c>
      <c r="O1083" s="6" t="s">
        <v>4903</v>
      </c>
      <c r="P1083" s="6" t="s">
        <v>4904</v>
      </c>
      <c r="Q1083" s="6" t="s">
        <v>4905</v>
      </c>
      <c r="R1083" s="6" t="s">
        <v>4906</v>
      </c>
      <c r="AG1083" s="14" t="s">
        <v>55</v>
      </c>
      <c r="AH1083" s="14" t="s">
        <v>1603</v>
      </c>
      <c r="AI1083" s="14" t="s">
        <v>1603</v>
      </c>
      <c r="AL1083" s="23"/>
      <c r="AM1083" s="23"/>
      <c r="AN1083" s="23"/>
      <c r="AO1083" s="23"/>
      <c r="AP1083" s="23"/>
      <c r="AQ1083" s="23"/>
      <c r="AR1083" s="23"/>
      <c r="AS1083" s="23"/>
      <c r="AT1083" s="23"/>
      <c r="AU1083" s="23"/>
      <c r="AV1083" s="23"/>
      <c r="AW1083" s="23"/>
      <c r="AX1083" s="23"/>
    </row>
    <row r="1084" spans="1:50">
      <c r="A1084" s="5" t="s">
        <v>4907</v>
      </c>
      <c r="B1084" s="5" t="s">
        <v>4908</v>
      </c>
      <c r="C1084" s="6" t="s">
        <v>43</v>
      </c>
      <c r="D1084" s="6" t="s">
        <v>1645</v>
      </c>
      <c r="E1084" s="6" t="s">
        <v>1386</v>
      </c>
      <c r="F1084" s="6" t="s">
        <v>46</v>
      </c>
      <c r="G1084" s="6" t="s">
        <v>4909</v>
      </c>
      <c r="H1084" s="7">
        <v>165.09</v>
      </c>
      <c r="I1084" s="19" t="s">
        <v>2283</v>
      </c>
      <c r="J1084" s="19" t="s">
        <v>2636</v>
      </c>
      <c r="K1084" s="5" t="s">
        <v>4368</v>
      </c>
      <c r="L1084" s="5" t="s">
        <v>4369</v>
      </c>
      <c r="M1084" s="5" t="s">
        <v>4370</v>
      </c>
      <c r="N1084" s="5" t="s">
        <v>4371</v>
      </c>
      <c r="O1084" s="5" t="s">
        <v>4910</v>
      </c>
      <c r="P1084" s="5" t="s">
        <v>4911</v>
      </c>
      <c r="Q1084" s="5" t="s">
        <v>4912</v>
      </c>
      <c r="R1084" s="5" t="s">
        <v>4913</v>
      </c>
      <c r="AG1084" s="14" t="s">
        <v>55</v>
      </c>
      <c r="AH1084" s="14" t="s">
        <v>1603</v>
      </c>
      <c r="AI1084" s="14" t="s">
        <v>1603</v>
      </c>
    </row>
    <row r="1085" spans="1:50">
      <c r="A1085" s="5" t="s">
        <v>4914</v>
      </c>
      <c r="B1085" s="5" t="s">
        <v>4915</v>
      </c>
      <c r="C1085" s="6" t="s">
        <v>43</v>
      </c>
      <c r="D1085" s="6" t="s">
        <v>1645</v>
      </c>
      <c r="E1085" s="6" t="s">
        <v>1386</v>
      </c>
      <c r="F1085" s="6" t="s">
        <v>46</v>
      </c>
      <c r="G1085" s="6" t="s">
        <v>4916</v>
      </c>
      <c r="H1085" s="7">
        <v>181.46</v>
      </c>
      <c r="I1085" s="19" t="s">
        <v>2283</v>
      </c>
      <c r="J1085" s="19" t="s">
        <v>2636</v>
      </c>
      <c r="K1085" s="5" t="s">
        <v>4381</v>
      </c>
      <c r="L1085" s="5" t="s">
        <v>4382</v>
      </c>
      <c r="M1085" s="5" t="s">
        <v>4383</v>
      </c>
      <c r="N1085" s="5" t="s">
        <v>4384</v>
      </c>
      <c r="O1085" s="5" t="s">
        <v>4917</v>
      </c>
      <c r="P1085" s="5" t="s">
        <v>4918</v>
      </c>
      <c r="Q1085" s="5" t="s">
        <v>4919</v>
      </c>
      <c r="R1085" s="5" t="s">
        <v>4920</v>
      </c>
      <c r="AG1085" s="14" t="s">
        <v>55</v>
      </c>
      <c r="AH1085" s="14" t="s">
        <v>1603</v>
      </c>
      <c r="AI1085" s="14" t="s">
        <v>1603</v>
      </c>
    </row>
    <row r="1086" spans="1:50">
      <c r="A1086" s="5" t="s">
        <v>4921</v>
      </c>
      <c r="B1086" s="5" t="s">
        <v>4922</v>
      </c>
      <c r="C1086" s="6" t="s">
        <v>43</v>
      </c>
      <c r="D1086" s="6" t="s">
        <v>1645</v>
      </c>
      <c r="E1086" s="6" t="s">
        <v>1386</v>
      </c>
      <c r="F1086" s="6" t="s">
        <v>46</v>
      </c>
      <c r="G1086" s="6" t="s">
        <v>4923</v>
      </c>
      <c r="H1086" s="7">
        <v>170</v>
      </c>
      <c r="I1086" s="19" t="s">
        <v>2283</v>
      </c>
      <c r="J1086" s="19" t="s">
        <v>2636</v>
      </c>
      <c r="K1086" s="5" t="s">
        <v>4924</v>
      </c>
      <c r="L1086" s="5" t="s">
        <v>4925</v>
      </c>
      <c r="M1086" s="5" t="s">
        <v>4926</v>
      </c>
      <c r="N1086" s="5" t="s">
        <v>4927</v>
      </c>
      <c r="O1086" s="5" t="s">
        <v>4928</v>
      </c>
      <c r="P1086" s="5" t="s">
        <v>4929</v>
      </c>
      <c r="Q1086" s="5" t="s">
        <v>4930</v>
      </c>
      <c r="R1086" s="5" t="s">
        <v>4931</v>
      </c>
      <c r="AG1086" s="14" t="s">
        <v>55</v>
      </c>
      <c r="AH1086" s="14" t="s">
        <v>1603</v>
      </c>
      <c r="AI1086" s="14" t="s">
        <v>1603</v>
      </c>
    </row>
    <row r="1087" spans="1:50">
      <c r="A1087" s="5" t="s">
        <v>4932</v>
      </c>
      <c r="B1087" s="5" t="s">
        <v>4933</v>
      </c>
      <c r="C1087" s="6" t="s">
        <v>43</v>
      </c>
      <c r="D1087" s="6" t="s">
        <v>1645</v>
      </c>
      <c r="E1087" s="6" t="s">
        <v>1386</v>
      </c>
      <c r="F1087" s="6" t="s">
        <v>46</v>
      </c>
      <c r="G1087" s="6" t="s">
        <v>4934</v>
      </c>
      <c r="H1087" s="7">
        <v>175</v>
      </c>
      <c r="I1087" s="19" t="s">
        <v>2283</v>
      </c>
      <c r="J1087" s="19" t="s">
        <v>2636</v>
      </c>
      <c r="K1087" s="5" t="s">
        <v>4394</v>
      </c>
      <c r="L1087" s="5" t="s">
        <v>4395</v>
      </c>
      <c r="M1087" s="5" t="s">
        <v>4396</v>
      </c>
      <c r="N1087" s="5" t="s">
        <v>4397</v>
      </c>
      <c r="O1087" s="5" t="s">
        <v>4935</v>
      </c>
      <c r="P1087" s="5" t="s">
        <v>4936</v>
      </c>
      <c r="Q1087" s="5" t="s">
        <v>4937</v>
      </c>
      <c r="R1087" s="5" t="s">
        <v>4938</v>
      </c>
      <c r="AG1087" s="14" t="s">
        <v>55</v>
      </c>
      <c r="AH1087" s="14" t="s">
        <v>1603</v>
      </c>
      <c r="AI1087" s="14" t="s">
        <v>1603</v>
      </c>
    </row>
    <row r="1088" spans="1:50">
      <c r="A1088" s="5" t="s">
        <v>4939</v>
      </c>
      <c r="B1088" s="5" t="s">
        <v>4940</v>
      </c>
      <c r="C1088" s="6" t="s">
        <v>43</v>
      </c>
      <c r="D1088" s="6" t="s">
        <v>1390</v>
      </c>
      <c r="E1088" s="6" t="s">
        <v>1386</v>
      </c>
      <c r="F1088" s="6" t="s">
        <v>46</v>
      </c>
      <c r="G1088" s="6" t="s">
        <v>4941</v>
      </c>
      <c r="H1088" s="7">
        <v>52.71</v>
      </c>
      <c r="I1088" s="19" t="s">
        <v>1589</v>
      </c>
      <c r="J1088" s="19" t="s">
        <v>2650</v>
      </c>
      <c r="K1088" s="20" t="s">
        <v>2651</v>
      </c>
      <c r="L1088" s="20" t="s">
        <v>2652</v>
      </c>
      <c r="M1088" s="20" t="s">
        <v>2653</v>
      </c>
      <c r="N1088" s="20" t="s">
        <v>2654</v>
      </c>
      <c r="O1088" s="20" t="s">
        <v>4942</v>
      </c>
      <c r="P1088" s="20" t="s">
        <v>4943</v>
      </c>
      <c r="Q1088" s="20" t="s">
        <v>4944</v>
      </c>
      <c r="R1088" s="5" t="s">
        <v>4945</v>
      </c>
      <c r="W1088" s="20" t="s">
        <v>2010</v>
      </c>
      <c r="X1088" s="20" t="s">
        <v>2011</v>
      </c>
      <c r="Y1088" s="20" t="s">
        <v>2012</v>
      </c>
      <c r="Z1088" s="20" t="s">
        <v>2013</v>
      </c>
      <c r="AG1088" s="14" t="s">
        <v>55</v>
      </c>
      <c r="AH1088" s="14" t="s">
        <v>1603</v>
      </c>
      <c r="AI1088" s="14" t="s">
        <v>124</v>
      </c>
    </row>
    <row r="1089" spans="1:37">
      <c r="A1089" s="5" t="s">
        <v>4946</v>
      </c>
      <c r="B1089" s="5" t="s">
        <v>4947</v>
      </c>
      <c r="C1089" s="6" t="s">
        <v>4948</v>
      </c>
      <c r="D1089" s="6" t="s">
        <v>1390</v>
      </c>
      <c r="E1089" s="6" t="s">
        <v>1386</v>
      </c>
      <c r="F1089" s="6" t="s">
        <v>46</v>
      </c>
      <c r="G1089" s="6" t="s">
        <v>4949</v>
      </c>
      <c r="H1089" s="7">
        <v>69.08</v>
      </c>
      <c r="I1089" s="19" t="s">
        <v>1589</v>
      </c>
      <c r="J1089" s="19" t="s">
        <v>2650</v>
      </c>
      <c r="K1089" s="20" t="s">
        <v>2662</v>
      </c>
      <c r="L1089" s="20" t="s">
        <v>2663</v>
      </c>
      <c r="M1089" s="20" t="s">
        <v>2664</v>
      </c>
      <c r="N1089" s="20" t="s">
        <v>2665</v>
      </c>
      <c r="O1089" s="20" t="s">
        <v>4950</v>
      </c>
      <c r="P1089" s="20" t="s">
        <v>4951</v>
      </c>
      <c r="Q1089" s="20" t="s">
        <v>4952</v>
      </c>
      <c r="R1089" s="5" t="s">
        <v>4953</v>
      </c>
      <c r="W1089" s="20" t="s">
        <v>2010</v>
      </c>
      <c r="X1089" s="20" t="s">
        <v>2011</v>
      </c>
      <c r="Y1089" s="20" t="s">
        <v>2012</v>
      </c>
      <c r="Z1089" s="20" t="s">
        <v>2013</v>
      </c>
      <c r="AG1089" s="14" t="s">
        <v>55</v>
      </c>
      <c r="AH1089" s="14" t="s">
        <v>1603</v>
      </c>
      <c r="AI1089" s="14" t="s">
        <v>124</v>
      </c>
    </row>
    <row r="1090" spans="1:37">
      <c r="A1090" s="5" t="s">
        <v>4954</v>
      </c>
      <c r="B1090" s="5" t="s">
        <v>4955</v>
      </c>
      <c r="C1090" s="6" t="s">
        <v>43</v>
      </c>
      <c r="D1090" s="6" t="s">
        <v>1390</v>
      </c>
      <c r="E1090" s="6" t="s">
        <v>1386</v>
      </c>
      <c r="F1090" s="6" t="s">
        <v>46</v>
      </c>
      <c r="G1090" s="6" t="s">
        <v>4956</v>
      </c>
      <c r="H1090" s="7">
        <v>66.349999999999994</v>
      </c>
      <c r="I1090" s="19" t="s">
        <v>1589</v>
      </c>
      <c r="J1090" s="19" t="s">
        <v>2650</v>
      </c>
      <c r="K1090" s="5" t="s">
        <v>2674</v>
      </c>
      <c r="L1090" s="5" t="s">
        <v>2675</v>
      </c>
      <c r="M1090" s="5" t="s">
        <v>2676</v>
      </c>
      <c r="N1090" s="5" t="s">
        <v>2677</v>
      </c>
      <c r="O1090" s="5" t="s">
        <v>4957</v>
      </c>
      <c r="P1090" s="5" t="s">
        <v>4958</v>
      </c>
      <c r="Q1090" s="5" t="s">
        <v>4959</v>
      </c>
      <c r="R1090" s="5" t="s">
        <v>4960</v>
      </c>
      <c r="AG1090" s="14" t="s">
        <v>55</v>
      </c>
      <c r="AH1090" s="14" t="s">
        <v>1603</v>
      </c>
      <c r="AI1090" s="14" t="s">
        <v>2087</v>
      </c>
    </row>
    <row r="1091" spans="1:37">
      <c r="A1091" s="5" t="s">
        <v>4961</v>
      </c>
      <c r="B1091" s="5" t="s">
        <v>4962</v>
      </c>
      <c r="C1091" s="6" t="s">
        <v>4963</v>
      </c>
      <c r="D1091" s="6" t="s">
        <v>1390</v>
      </c>
      <c r="E1091" s="6" t="s">
        <v>1386</v>
      </c>
      <c r="F1091" s="6" t="s">
        <v>46</v>
      </c>
      <c r="G1091" s="6" t="s">
        <v>4964</v>
      </c>
      <c r="H1091" s="7">
        <v>80.7</v>
      </c>
      <c r="I1091" s="19" t="s">
        <v>1589</v>
      </c>
      <c r="J1091" s="19" t="s">
        <v>2650</v>
      </c>
      <c r="K1091" s="5" t="s">
        <v>2685</v>
      </c>
      <c r="L1091" s="5" t="s">
        <v>2686</v>
      </c>
      <c r="M1091" s="5" t="s">
        <v>2687</v>
      </c>
      <c r="N1091" s="5" t="s">
        <v>2688</v>
      </c>
      <c r="O1091" s="5" t="s">
        <v>4965</v>
      </c>
      <c r="P1091" s="5" t="s">
        <v>4966</v>
      </c>
      <c r="Q1091" s="5" t="s">
        <v>4967</v>
      </c>
      <c r="R1091" s="5" t="s">
        <v>4968</v>
      </c>
      <c r="AG1091" s="14" t="s">
        <v>55</v>
      </c>
      <c r="AH1091" s="14" t="s">
        <v>1603</v>
      </c>
      <c r="AI1091" s="14" t="s">
        <v>2087</v>
      </c>
    </row>
    <row r="1092" spans="1:37">
      <c r="A1092" s="5" t="s">
        <v>4969</v>
      </c>
      <c r="B1092" s="5" t="s">
        <v>4970</v>
      </c>
      <c r="C1092" s="6" t="s">
        <v>43</v>
      </c>
      <c r="D1092" s="6" t="s">
        <v>239</v>
      </c>
      <c r="E1092" s="6" t="s">
        <v>1386</v>
      </c>
      <c r="F1092" s="6" t="s">
        <v>46</v>
      </c>
      <c r="G1092" s="6" t="s">
        <v>4971</v>
      </c>
      <c r="H1092" s="7">
        <v>36.08</v>
      </c>
      <c r="I1092" s="19" t="s">
        <v>1589</v>
      </c>
      <c r="J1092" s="19" t="s">
        <v>2696</v>
      </c>
      <c r="K1092" s="5" t="s">
        <v>2697</v>
      </c>
      <c r="L1092" s="5" t="s">
        <v>2698</v>
      </c>
      <c r="M1092" s="5" t="s">
        <v>2699</v>
      </c>
      <c r="N1092" s="5" t="s">
        <v>2700</v>
      </c>
      <c r="O1092" s="5" t="s">
        <v>4972</v>
      </c>
      <c r="P1092" s="5" t="s">
        <v>4973</v>
      </c>
      <c r="Q1092" s="5" t="s">
        <v>4974</v>
      </c>
      <c r="R1092" s="5" t="s">
        <v>4975</v>
      </c>
      <c r="AG1092" s="14" t="s">
        <v>55</v>
      </c>
      <c r="AH1092" s="14" t="s">
        <v>1603</v>
      </c>
      <c r="AI1092" s="14" t="s">
        <v>1604</v>
      </c>
    </row>
    <row r="1093" spans="1:37">
      <c r="A1093" s="6" t="s">
        <v>4976</v>
      </c>
      <c r="B1093" s="6" t="s">
        <v>4977</v>
      </c>
      <c r="C1093" s="6" t="s">
        <v>4978</v>
      </c>
      <c r="D1093" s="6" t="s">
        <v>239</v>
      </c>
      <c r="E1093" s="6" t="s">
        <v>2065</v>
      </c>
      <c r="F1093" s="6" t="s">
        <v>46</v>
      </c>
      <c r="G1093" s="6" t="s">
        <v>4979</v>
      </c>
      <c r="I1093" s="6" t="s">
        <v>48</v>
      </c>
      <c r="J1093" s="6" t="s">
        <v>48</v>
      </c>
      <c r="K1093" s="6"/>
      <c r="L1093" s="6"/>
      <c r="M1093" s="6"/>
      <c r="N1093" s="6"/>
      <c r="O1093" s="6"/>
      <c r="P1093" s="6"/>
      <c r="Q1093" s="6"/>
      <c r="R1093" s="6"/>
      <c r="S1093" s="6"/>
      <c r="T1093" s="6"/>
      <c r="U1093" s="6"/>
      <c r="V1093" s="6"/>
      <c r="W1093" s="6"/>
      <c r="X1093" s="6"/>
      <c r="Y1093" s="6"/>
      <c r="Z1093" s="6"/>
      <c r="AA1093" s="6"/>
      <c r="AB1093" s="6"/>
      <c r="AC1093" s="6"/>
      <c r="AD1093" s="6"/>
      <c r="AE1093" s="6"/>
      <c r="AF1093" s="6"/>
      <c r="AG1093" s="15" t="s">
        <v>55</v>
      </c>
      <c r="AH1093" s="15"/>
      <c r="AI1093" s="15"/>
      <c r="AJ1093" s="6"/>
      <c r="AK1093" s="6"/>
    </row>
    <row r="1094" spans="1:37" s="6" customFormat="1">
      <c r="A1094" s="5" t="s">
        <v>4980</v>
      </c>
      <c r="B1094" s="5" t="s">
        <v>4981</v>
      </c>
      <c r="C1094" s="6" t="s">
        <v>43</v>
      </c>
      <c r="D1094" s="6" t="s">
        <v>239</v>
      </c>
      <c r="E1094" s="6" t="s">
        <v>1386</v>
      </c>
      <c r="F1094" s="6" t="s">
        <v>46</v>
      </c>
      <c r="G1094" s="6" t="s">
        <v>2934</v>
      </c>
      <c r="H1094" s="7">
        <v>41.1</v>
      </c>
      <c r="I1094" s="19" t="s">
        <v>1589</v>
      </c>
      <c r="J1094" s="19" t="s">
        <v>2696</v>
      </c>
      <c r="K1094" s="5" t="s">
        <v>2733</v>
      </c>
      <c r="L1094" s="5" t="s">
        <v>2734</v>
      </c>
      <c r="M1094" s="5" t="s">
        <v>2735</v>
      </c>
      <c r="N1094" s="5" t="s">
        <v>2736</v>
      </c>
      <c r="O1094" s="5" t="s">
        <v>4982</v>
      </c>
      <c r="P1094" s="5" t="s">
        <v>4983</v>
      </c>
      <c r="Q1094" s="5" t="s">
        <v>4984</v>
      </c>
      <c r="R1094" s="5" t="s">
        <v>4985</v>
      </c>
      <c r="S1094" s="5"/>
      <c r="T1094" s="5"/>
      <c r="U1094" s="5"/>
      <c r="V1094" s="5"/>
      <c r="W1094" s="5"/>
      <c r="X1094" s="5"/>
      <c r="Y1094" s="5"/>
      <c r="Z1094" s="5"/>
      <c r="AA1094" s="5"/>
      <c r="AB1094" s="5"/>
      <c r="AC1094" s="5"/>
      <c r="AD1094" s="5"/>
      <c r="AE1094" s="5"/>
      <c r="AF1094" s="5"/>
      <c r="AG1094" s="14" t="s">
        <v>55</v>
      </c>
      <c r="AH1094" s="14" t="s">
        <v>1603</v>
      </c>
      <c r="AI1094" s="14" t="s">
        <v>1604</v>
      </c>
      <c r="AJ1094" s="5"/>
      <c r="AK1094" s="5"/>
    </row>
    <row r="1095" spans="1:37">
      <c r="A1095" s="5" t="s">
        <v>4986</v>
      </c>
      <c r="B1095" s="5" t="s">
        <v>4981</v>
      </c>
      <c r="C1095" s="6" t="s">
        <v>43</v>
      </c>
      <c r="D1095" s="6" t="s">
        <v>239</v>
      </c>
      <c r="E1095" s="6" t="s">
        <v>2015</v>
      </c>
      <c r="F1095" s="6" t="s">
        <v>46</v>
      </c>
      <c r="G1095" s="6" t="s">
        <v>4987</v>
      </c>
      <c r="H1095" s="7">
        <v>41.1</v>
      </c>
      <c r="I1095" s="19" t="s">
        <v>1589</v>
      </c>
      <c r="J1095" s="19" t="s">
        <v>2696</v>
      </c>
      <c r="K1095" s="5" t="s">
        <v>2733</v>
      </c>
      <c r="L1095" s="5" t="s">
        <v>2734</v>
      </c>
      <c r="M1095" s="5" t="s">
        <v>2735</v>
      </c>
      <c r="N1095" s="5" t="s">
        <v>2736</v>
      </c>
      <c r="O1095" s="5" t="s">
        <v>4982</v>
      </c>
      <c r="P1095" s="5" t="s">
        <v>4983</v>
      </c>
      <c r="Q1095" s="5" t="s">
        <v>4984</v>
      </c>
      <c r="R1095" s="5" t="s">
        <v>4985</v>
      </c>
      <c r="AG1095" s="14" t="s">
        <v>55</v>
      </c>
      <c r="AH1095" s="14" t="s">
        <v>1603</v>
      </c>
      <c r="AI1095" s="14" t="s">
        <v>1604</v>
      </c>
    </row>
    <row r="1096" spans="1:37">
      <c r="A1096" s="5" t="s">
        <v>4988</v>
      </c>
      <c r="B1096" s="5" t="s">
        <v>4989</v>
      </c>
      <c r="C1096" s="6" t="s">
        <v>43</v>
      </c>
      <c r="D1096" s="6" t="s">
        <v>239</v>
      </c>
      <c r="E1096" s="6" t="s">
        <v>1386</v>
      </c>
      <c r="F1096" s="6" t="s">
        <v>46</v>
      </c>
      <c r="G1096" s="6" t="s">
        <v>4990</v>
      </c>
      <c r="H1096" s="7">
        <v>47.44</v>
      </c>
      <c r="I1096" s="19" t="s">
        <v>1589</v>
      </c>
      <c r="J1096" s="19" t="s">
        <v>2696</v>
      </c>
      <c r="K1096" s="5" t="s">
        <v>2757</v>
      </c>
      <c r="L1096" s="5" t="s">
        <v>2758</v>
      </c>
      <c r="M1096" s="5" t="s">
        <v>2759</v>
      </c>
      <c r="N1096" s="5" t="s">
        <v>2760</v>
      </c>
      <c r="O1096" s="5" t="s">
        <v>4991</v>
      </c>
      <c r="P1096" s="5" t="s">
        <v>4992</v>
      </c>
      <c r="Q1096" s="5" t="s">
        <v>4993</v>
      </c>
      <c r="R1096" s="5" t="s">
        <v>4994</v>
      </c>
      <c r="AG1096" s="14" t="s">
        <v>55</v>
      </c>
      <c r="AH1096" s="14" t="s">
        <v>1603</v>
      </c>
      <c r="AI1096" s="14" t="s">
        <v>1604</v>
      </c>
    </row>
    <row r="1097" spans="1:37">
      <c r="A1097" s="5" t="s">
        <v>4995</v>
      </c>
      <c r="B1097" s="5" t="s">
        <v>4989</v>
      </c>
      <c r="C1097" s="6" t="s">
        <v>1935</v>
      </c>
      <c r="D1097" s="6" t="s">
        <v>239</v>
      </c>
      <c r="E1097" s="6" t="s">
        <v>2015</v>
      </c>
      <c r="F1097" s="6" t="s">
        <v>46</v>
      </c>
      <c r="G1097" s="6" t="s">
        <v>4996</v>
      </c>
      <c r="H1097" s="7">
        <v>47.44</v>
      </c>
      <c r="I1097" s="19" t="s">
        <v>1589</v>
      </c>
      <c r="J1097" s="19" t="s">
        <v>2696</v>
      </c>
      <c r="K1097" s="5" t="s">
        <v>2757</v>
      </c>
      <c r="L1097" s="5" t="s">
        <v>2758</v>
      </c>
      <c r="M1097" s="5" t="s">
        <v>2759</v>
      </c>
      <c r="N1097" s="5" t="s">
        <v>2760</v>
      </c>
      <c r="O1097" s="5" t="s">
        <v>4991</v>
      </c>
      <c r="P1097" s="5" t="s">
        <v>4992</v>
      </c>
      <c r="Q1097" s="5" t="s">
        <v>4993</v>
      </c>
      <c r="R1097" s="5" t="s">
        <v>4994</v>
      </c>
      <c r="AG1097" s="14" t="s">
        <v>55</v>
      </c>
      <c r="AH1097" s="14" t="s">
        <v>1603</v>
      </c>
      <c r="AI1097" s="14" t="s">
        <v>1604</v>
      </c>
    </row>
    <row r="1098" spans="1:37">
      <c r="A1098" s="5" t="s">
        <v>4997</v>
      </c>
      <c r="B1098" s="5" t="s">
        <v>4989</v>
      </c>
      <c r="C1098" s="6" t="s">
        <v>43</v>
      </c>
      <c r="D1098" s="6" t="s">
        <v>239</v>
      </c>
      <c r="E1098" s="6" t="s">
        <v>2047</v>
      </c>
      <c r="F1098" s="6" t="s">
        <v>46</v>
      </c>
      <c r="G1098" s="6" t="s">
        <v>4998</v>
      </c>
      <c r="H1098" s="7">
        <v>47.44</v>
      </c>
      <c r="I1098" s="19" t="s">
        <v>1589</v>
      </c>
      <c r="J1098" s="19" t="s">
        <v>2696</v>
      </c>
      <c r="K1098" s="5" t="s">
        <v>2757</v>
      </c>
      <c r="L1098" s="5" t="s">
        <v>2758</v>
      </c>
      <c r="M1098" s="5" t="s">
        <v>2759</v>
      </c>
      <c r="N1098" s="5" t="s">
        <v>2760</v>
      </c>
      <c r="O1098" s="5" t="s">
        <v>4991</v>
      </c>
      <c r="P1098" s="5" t="s">
        <v>4992</v>
      </c>
      <c r="Q1098" s="5" t="s">
        <v>4993</v>
      </c>
      <c r="R1098" s="5" t="s">
        <v>4994</v>
      </c>
      <c r="AG1098" s="14" t="s">
        <v>55</v>
      </c>
      <c r="AH1098" s="14" t="s">
        <v>1603</v>
      </c>
      <c r="AI1098" s="14" t="s">
        <v>1604</v>
      </c>
    </row>
    <row r="1099" spans="1:37">
      <c r="A1099" s="5" t="s">
        <v>4999</v>
      </c>
      <c r="B1099" s="5" t="s">
        <v>5000</v>
      </c>
      <c r="C1099" s="6" t="s">
        <v>43</v>
      </c>
      <c r="D1099" s="6" t="s">
        <v>239</v>
      </c>
      <c r="E1099" s="6" t="s">
        <v>2047</v>
      </c>
      <c r="F1099" s="6" t="s">
        <v>46</v>
      </c>
      <c r="G1099" s="6" t="s">
        <v>5001</v>
      </c>
      <c r="H1099" s="7">
        <v>61.34</v>
      </c>
      <c r="I1099" s="19" t="s">
        <v>1589</v>
      </c>
      <c r="J1099" s="19" t="s">
        <v>2696</v>
      </c>
      <c r="K1099" s="5" t="s">
        <v>2774</v>
      </c>
      <c r="L1099" s="5" t="s">
        <v>2775</v>
      </c>
      <c r="M1099" s="5" t="s">
        <v>2776</v>
      </c>
      <c r="N1099" s="5" t="s">
        <v>2777</v>
      </c>
      <c r="O1099" s="5" t="s">
        <v>5002</v>
      </c>
      <c r="P1099" s="5" t="s">
        <v>5003</v>
      </c>
      <c r="Q1099" s="5" t="s">
        <v>5004</v>
      </c>
      <c r="R1099" s="5" t="s">
        <v>5005</v>
      </c>
      <c r="AG1099" s="14" t="s">
        <v>55</v>
      </c>
      <c r="AH1099" s="14" t="s">
        <v>1603</v>
      </c>
      <c r="AI1099" s="14" t="s">
        <v>1604</v>
      </c>
    </row>
    <row r="1100" spans="1:37">
      <c r="A1100" s="5" t="s">
        <v>5006</v>
      </c>
      <c r="B1100" s="5" t="s">
        <v>5000</v>
      </c>
      <c r="C1100" s="6" t="s">
        <v>43</v>
      </c>
      <c r="D1100" s="6" t="s">
        <v>239</v>
      </c>
      <c r="E1100" s="6" t="s">
        <v>1693</v>
      </c>
      <c r="F1100" s="6" t="s">
        <v>46</v>
      </c>
      <c r="G1100" s="6" t="s">
        <v>1941</v>
      </c>
      <c r="H1100" s="7">
        <v>61.34</v>
      </c>
      <c r="I1100" s="19" t="s">
        <v>1589</v>
      </c>
      <c r="J1100" s="19" t="s">
        <v>2696</v>
      </c>
      <c r="K1100" s="5" t="s">
        <v>2774</v>
      </c>
      <c r="L1100" s="5" t="s">
        <v>2775</v>
      </c>
      <c r="M1100" s="5" t="s">
        <v>2776</v>
      </c>
      <c r="N1100" s="5" t="s">
        <v>2777</v>
      </c>
      <c r="O1100" s="5" t="s">
        <v>5002</v>
      </c>
      <c r="P1100" s="5" t="s">
        <v>5003</v>
      </c>
      <c r="Q1100" s="5" t="s">
        <v>5004</v>
      </c>
      <c r="R1100" s="5" t="s">
        <v>5005</v>
      </c>
      <c r="AG1100" s="14" t="s">
        <v>55</v>
      </c>
      <c r="AH1100" s="14" t="s">
        <v>1603</v>
      </c>
      <c r="AI1100" s="14" t="s">
        <v>1604</v>
      </c>
    </row>
    <row r="1101" spans="1:37">
      <c r="A1101" s="5" t="s">
        <v>5007</v>
      </c>
      <c r="B1101" s="5" t="s">
        <v>5000</v>
      </c>
      <c r="C1101" s="6" t="s">
        <v>43</v>
      </c>
      <c r="D1101" s="6" t="s">
        <v>239</v>
      </c>
      <c r="E1101" s="6" t="s">
        <v>2065</v>
      </c>
      <c r="F1101" s="6" t="s">
        <v>46</v>
      </c>
      <c r="G1101" s="6" t="s">
        <v>5008</v>
      </c>
      <c r="H1101" s="7">
        <v>61.34</v>
      </c>
      <c r="I1101" s="19" t="s">
        <v>1589</v>
      </c>
      <c r="J1101" s="19" t="s">
        <v>2696</v>
      </c>
      <c r="K1101" s="5" t="s">
        <v>2774</v>
      </c>
      <c r="L1101" s="5" t="s">
        <v>2775</v>
      </c>
      <c r="M1101" s="5" t="s">
        <v>2776</v>
      </c>
      <c r="N1101" s="5" t="s">
        <v>2777</v>
      </c>
      <c r="O1101" s="5" t="s">
        <v>5002</v>
      </c>
      <c r="P1101" s="5" t="s">
        <v>5003</v>
      </c>
      <c r="Q1101" s="5" t="s">
        <v>5004</v>
      </c>
      <c r="R1101" s="5" t="s">
        <v>5005</v>
      </c>
      <c r="AG1101" s="14" t="s">
        <v>55</v>
      </c>
      <c r="AH1101" s="14" t="s">
        <v>1603</v>
      </c>
      <c r="AI1101" s="14" t="s">
        <v>1604</v>
      </c>
    </row>
    <row r="1102" spans="1:37">
      <c r="A1102" s="5" t="s">
        <v>5009</v>
      </c>
      <c r="B1102" s="5" t="s">
        <v>5010</v>
      </c>
      <c r="C1102" s="6" t="s">
        <v>43</v>
      </c>
      <c r="D1102" s="6" t="s">
        <v>239</v>
      </c>
      <c r="E1102" s="6" t="s">
        <v>1587</v>
      </c>
      <c r="F1102" s="6" t="s">
        <v>46</v>
      </c>
      <c r="G1102" s="6" t="s">
        <v>2646</v>
      </c>
      <c r="H1102" s="7">
        <v>64.599999999999994</v>
      </c>
      <c r="I1102" s="19" t="s">
        <v>1589</v>
      </c>
      <c r="J1102" s="19" t="s">
        <v>2696</v>
      </c>
      <c r="K1102" s="5" t="s">
        <v>2809</v>
      </c>
      <c r="L1102" s="5" t="s">
        <v>2810</v>
      </c>
      <c r="M1102" s="5" t="s">
        <v>2811</v>
      </c>
      <c r="N1102" s="5" t="s">
        <v>2812</v>
      </c>
      <c r="O1102" s="5" t="s">
        <v>5011</v>
      </c>
      <c r="P1102" s="5" t="s">
        <v>5012</v>
      </c>
      <c r="Q1102" s="5" t="s">
        <v>5013</v>
      </c>
      <c r="R1102" s="5" t="s">
        <v>5014</v>
      </c>
      <c r="AG1102" s="14" t="s">
        <v>55</v>
      </c>
      <c r="AH1102" s="14" t="s">
        <v>1603</v>
      </c>
      <c r="AI1102" s="14" t="s">
        <v>1604</v>
      </c>
    </row>
    <row r="1103" spans="1:37">
      <c r="A1103" s="6" t="s">
        <v>5015</v>
      </c>
      <c r="B1103" s="6" t="s">
        <v>5016</v>
      </c>
      <c r="C1103" s="6" t="s">
        <v>2822</v>
      </c>
      <c r="D1103" s="6" t="s">
        <v>239</v>
      </c>
      <c r="E1103" s="6" t="s">
        <v>2047</v>
      </c>
      <c r="F1103" s="6" t="s">
        <v>46</v>
      </c>
      <c r="G1103" s="6" t="s">
        <v>5017</v>
      </c>
      <c r="I1103" s="19" t="s">
        <v>48</v>
      </c>
      <c r="J1103" s="19" t="s">
        <v>48</v>
      </c>
      <c r="K1103" s="6"/>
      <c r="L1103" s="6"/>
      <c r="M1103" s="6"/>
      <c r="N1103" s="6"/>
      <c r="O1103" s="6"/>
      <c r="P1103" s="6"/>
      <c r="Q1103" s="6"/>
      <c r="R1103" s="6"/>
      <c r="S1103" s="6"/>
      <c r="T1103" s="6"/>
      <c r="U1103" s="6"/>
      <c r="V1103" s="6"/>
      <c r="W1103" s="6"/>
      <c r="X1103" s="6"/>
      <c r="Y1103" s="6"/>
      <c r="Z1103" s="6"/>
      <c r="AA1103" s="6"/>
      <c r="AB1103" s="6"/>
      <c r="AC1103" s="6"/>
      <c r="AD1103" s="6"/>
      <c r="AE1103" s="6"/>
      <c r="AF1103" s="6"/>
      <c r="AG1103" s="15" t="s">
        <v>55</v>
      </c>
      <c r="AH1103" s="15"/>
      <c r="AI1103" s="15"/>
      <c r="AJ1103" s="6"/>
      <c r="AK1103" s="6"/>
    </row>
    <row r="1104" spans="1:37" s="6" customFormat="1">
      <c r="A1104" s="5" t="s">
        <v>5018</v>
      </c>
      <c r="B1104" s="5" t="s">
        <v>5010</v>
      </c>
      <c r="C1104" s="6" t="s">
        <v>43</v>
      </c>
      <c r="D1104" s="6" t="s">
        <v>239</v>
      </c>
      <c r="E1104" s="6" t="s">
        <v>2139</v>
      </c>
      <c r="F1104" s="6" t="s">
        <v>46</v>
      </c>
      <c r="G1104" s="6" t="s">
        <v>1769</v>
      </c>
      <c r="H1104" s="7">
        <v>64.599999999999994</v>
      </c>
      <c r="I1104" s="19" t="s">
        <v>1589</v>
      </c>
      <c r="J1104" s="19" t="s">
        <v>2696</v>
      </c>
      <c r="K1104" s="5" t="s">
        <v>2809</v>
      </c>
      <c r="L1104" s="5" t="s">
        <v>2810</v>
      </c>
      <c r="M1104" s="5" t="s">
        <v>2811</v>
      </c>
      <c r="N1104" s="5" t="s">
        <v>2812</v>
      </c>
      <c r="O1104" s="5" t="s">
        <v>5011</v>
      </c>
      <c r="P1104" s="5" t="s">
        <v>5012</v>
      </c>
      <c r="Q1104" s="5" t="s">
        <v>5013</v>
      </c>
      <c r="R1104" s="5" t="s">
        <v>5014</v>
      </c>
      <c r="S1104" s="5"/>
      <c r="T1104" s="5"/>
      <c r="U1104" s="5"/>
      <c r="V1104" s="5"/>
      <c r="W1104" s="5"/>
      <c r="X1104" s="5"/>
      <c r="Y1104" s="5"/>
      <c r="Z1104" s="5"/>
      <c r="AA1104" s="5"/>
      <c r="AB1104" s="5"/>
      <c r="AC1104" s="5"/>
      <c r="AD1104" s="5"/>
      <c r="AE1104" s="5"/>
      <c r="AF1104" s="5"/>
      <c r="AG1104" s="14" t="s">
        <v>55</v>
      </c>
      <c r="AH1104" s="14" t="s">
        <v>1603</v>
      </c>
      <c r="AI1104" s="14" t="s">
        <v>1604</v>
      </c>
      <c r="AJ1104" s="5"/>
      <c r="AK1104" s="5"/>
    </row>
    <row r="1105" spans="1:37">
      <c r="A1105" s="5" t="s">
        <v>5019</v>
      </c>
      <c r="B1105" s="5" t="s">
        <v>5010</v>
      </c>
      <c r="C1105" s="6" t="s">
        <v>43</v>
      </c>
      <c r="D1105" s="6" t="s">
        <v>239</v>
      </c>
      <c r="E1105" s="6" t="s">
        <v>2047</v>
      </c>
      <c r="F1105" s="6" t="s">
        <v>46</v>
      </c>
      <c r="G1105" s="6" t="s">
        <v>5020</v>
      </c>
      <c r="H1105" s="7">
        <v>64.599999999999994</v>
      </c>
      <c r="I1105" s="19" t="s">
        <v>1589</v>
      </c>
      <c r="J1105" s="19" t="s">
        <v>2696</v>
      </c>
      <c r="K1105" s="5" t="s">
        <v>2809</v>
      </c>
      <c r="L1105" s="5" t="s">
        <v>2810</v>
      </c>
      <c r="M1105" s="5" t="s">
        <v>2811</v>
      </c>
      <c r="N1105" s="5" t="s">
        <v>2812</v>
      </c>
      <c r="O1105" s="5" t="s">
        <v>5011</v>
      </c>
      <c r="P1105" s="5" t="s">
        <v>5012</v>
      </c>
      <c r="Q1105" s="5" t="s">
        <v>5013</v>
      </c>
      <c r="R1105" s="5" t="s">
        <v>5014</v>
      </c>
      <c r="AG1105" s="14" t="s">
        <v>55</v>
      </c>
      <c r="AH1105" s="14" t="s">
        <v>1603</v>
      </c>
      <c r="AI1105" s="14" t="s">
        <v>1604</v>
      </c>
    </row>
    <row r="1106" spans="1:37">
      <c r="A1106" s="5" t="s">
        <v>5021</v>
      </c>
      <c r="B1106" s="5" t="s">
        <v>5010</v>
      </c>
      <c r="C1106" s="6" t="s">
        <v>43</v>
      </c>
      <c r="D1106" s="6" t="s">
        <v>239</v>
      </c>
      <c r="E1106" s="6" t="s">
        <v>1693</v>
      </c>
      <c r="F1106" s="6" t="s">
        <v>46</v>
      </c>
      <c r="G1106" s="6" t="s">
        <v>5022</v>
      </c>
      <c r="H1106" s="7">
        <v>64.599999999999994</v>
      </c>
      <c r="I1106" s="19" t="s">
        <v>1589</v>
      </c>
      <c r="J1106" s="19" t="s">
        <v>2696</v>
      </c>
      <c r="K1106" s="5" t="s">
        <v>2809</v>
      </c>
      <c r="L1106" s="5" t="s">
        <v>2810</v>
      </c>
      <c r="M1106" s="5" t="s">
        <v>2811</v>
      </c>
      <c r="N1106" s="5" t="s">
        <v>2812</v>
      </c>
      <c r="O1106" s="5" t="s">
        <v>5011</v>
      </c>
      <c r="P1106" s="5" t="s">
        <v>5012</v>
      </c>
      <c r="Q1106" s="5" t="s">
        <v>5013</v>
      </c>
      <c r="R1106" s="5" t="s">
        <v>5014</v>
      </c>
      <c r="AG1106" s="14" t="s">
        <v>55</v>
      </c>
      <c r="AH1106" s="14" t="s">
        <v>1603</v>
      </c>
      <c r="AI1106" s="14" t="s">
        <v>1604</v>
      </c>
    </row>
    <row r="1107" spans="1:37">
      <c r="A1107" s="5" t="s">
        <v>5023</v>
      </c>
      <c r="B1107" s="5" t="s">
        <v>5010</v>
      </c>
      <c r="C1107" s="6" t="s">
        <v>43</v>
      </c>
      <c r="D1107" s="6" t="s">
        <v>239</v>
      </c>
      <c r="E1107" s="6" t="s">
        <v>2065</v>
      </c>
      <c r="F1107" s="6" t="s">
        <v>46</v>
      </c>
      <c r="G1107" s="6" t="s">
        <v>5024</v>
      </c>
      <c r="H1107" s="7">
        <v>64.599999999999994</v>
      </c>
      <c r="I1107" s="19" t="s">
        <v>1589</v>
      </c>
      <c r="J1107" s="19" t="s">
        <v>2696</v>
      </c>
      <c r="K1107" s="5" t="s">
        <v>2809</v>
      </c>
      <c r="L1107" s="5" t="s">
        <v>2810</v>
      </c>
      <c r="M1107" s="5" t="s">
        <v>2811</v>
      </c>
      <c r="N1107" s="5" t="s">
        <v>2812</v>
      </c>
      <c r="O1107" s="5" t="s">
        <v>5011</v>
      </c>
      <c r="P1107" s="5" t="s">
        <v>5012</v>
      </c>
      <c r="Q1107" s="5" t="s">
        <v>5013</v>
      </c>
      <c r="R1107" s="5" t="s">
        <v>5014</v>
      </c>
      <c r="AG1107" s="14" t="s">
        <v>55</v>
      </c>
      <c r="AH1107" s="14" t="s">
        <v>1603</v>
      </c>
      <c r="AI1107" s="14" t="s">
        <v>1604</v>
      </c>
    </row>
    <row r="1108" spans="1:37">
      <c r="A1108" s="5" t="s">
        <v>5025</v>
      </c>
      <c r="B1108" s="5" t="s">
        <v>5010</v>
      </c>
      <c r="C1108" s="6" t="s">
        <v>43</v>
      </c>
      <c r="D1108" s="6" t="s">
        <v>239</v>
      </c>
      <c r="E1108" s="6" t="s">
        <v>4069</v>
      </c>
      <c r="F1108" s="6" t="s">
        <v>46</v>
      </c>
      <c r="G1108" s="6" t="s">
        <v>5026</v>
      </c>
      <c r="H1108" s="7">
        <v>64.599999999999994</v>
      </c>
      <c r="I1108" s="19" t="s">
        <v>1589</v>
      </c>
      <c r="J1108" s="19" t="s">
        <v>2696</v>
      </c>
      <c r="K1108" s="5" t="s">
        <v>2809</v>
      </c>
      <c r="L1108" s="5" t="s">
        <v>2810</v>
      </c>
      <c r="M1108" s="5" t="s">
        <v>2811</v>
      </c>
      <c r="N1108" s="5" t="s">
        <v>2812</v>
      </c>
      <c r="O1108" s="5" t="s">
        <v>5011</v>
      </c>
      <c r="P1108" s="5" t="s">
        <v>5012</v>
      </c>
      <c r="Q1108" s="5" t="s">
        <v>5013</v>
      </c>
      <c r="R1108" s="5" t="s">
        <v>5014</v>
      </c>
      <c r="AG1108" s="14" t="s">
        <v>55</v>
      </c>
      <c r="AH1108" s="14" t="s">
        <v>1603</v>
      </c>
      <c r="AI1108" s="14" t="s">
        <v>1604</v>
      </c>
    </row>
    <row r="1109" spans="1:37">
      <c r="A1109" s="5" t="s">
        <v>5027</v>
      </c>
      <c r="B1109" s="5" t="s">
        <v>5010</v>
      </c>
      <c r="C1109" s="6" t="s">
        <v>43</v>
      </c>
      <c r="D1109" s="6" t="s">
        <v>239</v>
      </c>
      <c r="E1109" s="6" t="s">
        <v>757</v>
      </c>
      <c r="F1109" s="6" t="s">
        <v>46</v>
      </c>
      <c r="G1109" s="6" t="s">
        <v>5028</v>
      </c>
      <c r="H1109" s="7">
        <v>64.599999999999994</v>
      </c>
      <c r="I1109" s="19" t="s">
        <v>1589</v>
      </c>
      <c r="J1109" s="19" t="s">
        <v>2696</v>
      </c>
      <c r="K1109" s="5" t="s">
        <v>2809</v>
      </c>
      <c r="L1109" s="5" t="s">
        <v>2810</v>
      </c>
      <c r="M1109" s="5" t="s">
        <v>2811</v>
      </c>
      <c r="N1109" s="5" t="s">
        <v>2812</v>
      </c>
      <c r="O1109" s="5" t="s">
        <v>5011</v>
      </c>
      <c r="P1109" s="5" t="s">
        <v>5012</v>
      </c>
      <c r="Q1109" s="5" t="s">
        <v>5013</v>
      </c>
      <c r="R1109" s="5" t="s">
        <v>5014</v>
      </c>
      <c r="AG1109" s="14" t="s">
        <v>49</v>
      </c>
      <c r="AH1109" s="14" t="s">
        <v>1603</v>
      </c>
      <c r="AI1109" s="14" t="s">
        <v>1604</v>
      </c>
    </row>
    <row r="1110" spans="1:37">
      <c r="A1110" s="5" t="s">
        <v>5029</v>
      </c>
      <c r="B1110" s="5" t="s">
        <v>5010</v>
      </c>
      <c r="C1110" s="6" t="s">
        <v>43</v>
      </c>
      <c r="D1110" s="6" t="s">
        <v>239</v>
      </c>
      <c r="E1110" s="6" t="s">
        <v>503</v>
      </c>
      <c r="F1110" s="6" t="s">
        <v>46</v>
      </c>
      <c r="G1110" s="6" t="s">
        <v>5030</v>
      </c>
      <c r="H1110" s="7">
        <v>64.599999999999994</v>
      </c>
      <c r="I1110" s="19" t="s">
        <v>1589</v>
      </c>
      <c r="J1110" s="19" t="s">
        <v>2696</v>
      </c>
      <c r="K1110" s="5" t="s">
        <v>2809</v>
      </c>
      <c r="L1110" s="5" t="s">
        <v>2810</v>
      </c>
      <c r="M1110" s="5" t="s">
        <v>2811</v>
      </c>
      <c r="N1110" s="5" t="s">
        <v>2812</v>
      </c>
      <c r="O1110" s="5" t="s">
        <v>5011</v>
      </c>
      <c r="P1110" s="5" t="s">
        <v>5012</v>
      </c>
      <c r="Q1110" s="5" t="s">
        <v>5013</v>
      </c>
      <c r="R1110" s="5" t="s">
        <v>5014</v>
      </c>
      <c r="AG1110" s="14" t="s">
        <v>55</v>
      </c>
      <c r="AH1110" s="14" t="s">
        <v>1603</v>
      </c>
      <c r="AI1110" s="14" t="s">
        <v>1604</v>
      </c>
    </row>
    <row r="1111" spans="1:37">
      <c r="A1111" s="5" t="s">
        <v>5031</v>
      </c>
      <c r="B1111" s="5" t="s">
        <v>5032</v>
      </c>
      <c r="C1111" s="6" t="s">
        <v>5033</v>
      </c>
      <c r="D1111" s="6" t="s">
        <v>239</v>
      </c>
      <c r="E1111" s="6" t="s">
        <v>2139</v>
      </c>
      <c r="F1111" s="6" t="s">
        <v>46</v>
      </c>
      <c r="G1111" s="6" t="s">
        <v>3162</v>
      </c>
      <c r="H1111" s="7">
        <v>79.900000000000006</v>
      </c>
      <c r="I1111" s="19" t="s">
        <v>1589</v>
      </c>
      <c r="J1111" s="19" t="s">
        <v>2696</v>
      </c>
      <c r="K1111" s="5" t="s">
        <v>2857</v>
      </c>
      <c r="L1111" s="5" t="s">
        <v>2858</v>
      </c>
      <c r="M1111" s="5" t="s">
        <v>2859</v>
      </c>
      <c r="N1111" s="5" t="s">
        <v>2860</v>
      </c>
      <c r="O1111" s="5" t="s">
        <v>5034</v>
      </c>
      <c r="P1111" s="5" t="s">
        <v>5035</v>
      </c>
      <c r="Q1111" s="5" t="s">
        <v>5036</v>
      </c>
      <c r="R1111" s="5" t="s">
        <v>5037</v>
      </c>
      <c r="AG1111" s="14" t="s">
        <v>55</v>
      </c>
      <c r="AH1111" s="14" t="s">
        <v>1603</v>
      </c>
      <c r="AI1111" s="14" t="s">
        <v>1604</v>
      </c>
    </row>
    <row r="1112" spans="1:37">
      <c r="A1112" s="5" t="s">
        <v>5038</v>
      </c>
      <c r="B1112" s="5" t="s">
        <v>5032</v>
      </c>
      <c r="C1112" s="6" t="s">
        <v>5033</v>
      </c>
      <c r="D1112" s="6" t="s">
        <v>239</v>
      </c>
      <c r="E1112" s="6" t="s">
        <v>2047</v>
      </c>
      <c r="F1112" s="6" t="s">
        <v>46</v>
      </c>
      <c r="G1112" s="6" t="s">
        <v>5039</v>
      </c>
      <c r="H1112" s="7">
        <v>79.900000000000006</v>
      </c>
      <c r="I1112" s="19" t="s">
        <v>1589</v>
      </c>
      <c r="J1112" s="19" t="s">
        <v>2696</v>
      </c>
      <c r="K1112" s="5" t="s">
        <v>2857</v>
      </c>
      <c r="L1112" s="5" t="s">
        <v>2858</v>
      </c>
      <c r="M1112" s="5" t="s">
        <v>2859</v>
      </c>
      <c r="N1112" s="5" t="s">
        <v>2860</v>
      </c>
      <c r="O1112" s="5" t="s">
        <v>5034</v>
      </c>
      <c r="P1112" s="5" t="s">
        <v>5035</v>
      </c>
      <c r="Q1112" s="5" t="s">
        <v>5036</v>
      </c>
      <c r="R1112" s="5" t="s">
        <v>5037</v>
      </c>
      <c r="AG1112" s="14" t="s">
        <v>55</v>
      </c>
      <c r="AH1112" s="14" t="s">
        <v>1603</v>
      </c>
      <c r="AI1112" s="14" t="s">
        <v>1604</v>
      </c>
    </row>
    <row r="1113" spans="1:37">
      <c r="A1113" s="5" t="s">
        <v>5040</v>
      </c>
      <c r="B1113" s="5" t="s">
        <v>5032</v>
      </c>
      <c r="C1113" s="6" t="s">
        <v>43</v>
      </c>
      <c r="D1113" s="6" t="s">
        <v>239</v>
      </c>
      <c r="E1113" s="6" t="s">
        <v>2065</v>
      </c>
      <c r="F1113" s="6" t="s">
        <v>46</v>
      </c>
      <c r="G1113" s="6" t="s">
        <v>5041</v>
      </c>
      <c r="H1113" s="7">
        <v>79.900000000000006</v>
      </c>
      <c r="I1113" s="19" t="s">
        <v>1589</v>
      </c>
      <c r="J1113" s="19" t="s">
        <v>2696</v>
      </c>
      <c r="K1113" s="5" t="s">
        <v>2857</v>
      </c>
      <c r="L1113" s="5" t="s">
        <v>2858</v>
      </c>
      <c r="M1113" s="5" t="s">
        <v>2859</v>
      </c>
      <c r="N1113" s="5" t="s">
        <v>2860</v>
      </c>
      <c r="O1113" s="5" t="s">
        <v>5034</v>
      </c>
      <c r="P1113" s="5" t="s">
        <v>5035</v>
      </c>
      <c r="Q1113" s="5" t="s">
        <v>5036</v>
      </c>
      <c r="R1113" s="5" t="s">
        <v>5037</v>
      </c>
      <c r="AG1113" s="14" t="s">
        <v>55</v>
      </c>
      <c r="AH1113" s="14" t="s">
        <v>1603</v>
      </c>
      <c r="AI1113" s="14" t="s">
        <v>1604</v>
      </c>
    </row>
    <row r="1114" spans="1:37">
      <c r="A1114" s="5" t="s">
        <v>5042</v>
      </c>
      <c r="B1114" s="5" t="s">
        <v>5043</v>
      </c>
      <c r="C1114" s="6" t="s">
        <v>43</v>
      </c>
      <c r="D1114" s="6" t="s">
        <v>239</v>
      </c>
      <c r="E1114" s="6" t="s">
        <v>2047</v>
      </c>
      <c r="F1114" s="6" t="s">
        <v>46</v>
      </c>
      <c r="G1114" s="6" t="s">
        <v>5044</v>
      </c>
      <c r="H1114" s="7">
        <v>91.31</v>
      </c>
      <c r="I1114" s="19" t="s">
        <v>1589</v>
      </c>
      <c r="J1114" s="19" t="s">
        <v>2696</v>
      </c>
      <c r="K1114" s="5" t="s">
        <v>2878</v>
      </c>
      <c r="L1114" s="5" t="s">
        <v>2879</v>
      </c>
      <c r="M1114" s="5" t="s">
        <v>2880</v>
      </c>
      <c r="N1114" s="5" t="s">
        <v>2881</v>
      </c>
      <c r="O1114" s="5" t="s">
        <v>5045</v>
      </c>
      <c r="P1114" s="5" t="s">
        <v>5046</v>
      </c>
      <c r="Q1114" s="5" t="s">
        <v>5047</v>
      </c>
      <c r="R1114" s="5" t="s">
        <v>5048</v>
      </c>
      <c r="AG1114" s="14" t="s">
        <v>55</v>
      </c>
      <c r="AH1114" s="14" t="s">
        <v>1603</v>
      </c>
      <c r="AI1114" s="14" t="s">
        <v>1604</v>
      </c>
    </row>
    <row r="1115" spans="1:37">
      <c r="A1115" s="5" t="s">
        <v>5049</v>
      </c>
      <c r="B1115" s="5" t="s">
        <v>5050</v>
      </c>
      <c r="C1115" s="6" t="s">
        <v>43</v>
      </c>
      <c r="D1115" s="6" t="s">
        <v>239</v>
      </c>
      <c r="E1115" s="6" t="s">
        <v>2047</v>
      </c>
      <c r="F1115" s="6" t="s">
        <v>46</v>
      </c>
      <c r="G1115" s="6" t="s">
        <v>3062</v>
      </c>
      <c r="H1115" s="7">
        <v>85.54</v>
      </c>
      <c r="I1115" s="19" t="s">
        <v>1589</v>
      </c>
      <c r="J1115" s="19" t="s">
        <v>2696</v>
      </c>
      <c r="K1115" s="5" t="s">
        <v>2903</v>
      </c>
      <c r="L1115" s="5" t="s">
        <v>2904</v>
      </c>
      <c r="M1115" s="5" t="s">
        <v>2905</v>
      </c>
      <c r="N1115" s="5" t="s">
        <v>2906</v>
      </c>
      <c r="O1115" s="5" t="s">
        <v>5051</v>
      </c>
      <c r="P1115" s="5" t="s">
        <v>5052</v>
      </c>
      <c r="Q1115" s="5" t="s">
        <v>5053</v>
      </c>
      <c r="R1115" s="5" t="s">
        <v>5054</v>
      </c>
      <c r="AG1115" s="14" t="s">
        <v>55</v>
      </c>
      <c r="AH1115" s="14" t="s">
        <v>1603</v>
      </c>
      <c r="AI1115" s="14" t="s">
        <v>1604</v>
      </c>
    </row>
    <row r="1116" spans="1:37">
      <c r="A1116" s="5" t="s">
        <v>5055</v>
      </c>
      <c r="B1116" s="5" t="s">
        <v>5050</v>
      </c>
      <c r="C1116" s="6" t="s">
        <v>43</v>
      </c>
      <c r="D1116" s="6" t="s">
        <v>239</v>
      </c>
      <c r="E1116" s="6" t="s">
        <v>2065</v>
      </c>
      <c r="F1116" s="6" t="s">
        <v>46</v>
      </c>
      <c r="G1116" s="6" t="s">
        <v>5056</v>
      </c>
      <c r="H1116" s="7">
        <v>85.54</v>
      </c>
      <c r="I1116" s="19" t="s">
        <v>1589</v>
      </c>
      <c r="J1116" s="19" t="s">
        <v>2696</v>
      </c>
      <c r="K1116" s="5" t="s">
        <v>2903</v>
      </c>
      <c r="L1116" s="5" t="s">
        <v>2904</v>
      </c>
      <c r="M1116" s="5" t="s">
        <v>2905</v>
      </c>
      <c r="N1116" s="5" t="s">
        <v>2906</v>
      </c>
      <c r="O1116" s="5" t="s">
        <v>5051</v>
      </c>
      <c r="P1116" s="5" t="s">
        <v>5052</v>
      </c>
      <c r="Q1116" s="5" t="s">
        <v>5053</v>
      </c>
      <c r="R1116" s="5" t="s">
        <v>5054</v>
      </c>
      <c r="AG1116" s="14" t="s">
        <v>55</v>
      </c>
      <c r="AH1116" s="14" t="s">
        <v>1603</v>
      </c>
      <c r="AI1116" s="14" t="s">
        <v>1604</v>
      </c>
    </row>
    <row r="1117" spans="1:37">
      <c r="A1117" s="5" t="s">
        <v>5057</v>
      </c>
      <c r="B1117" s="5" t="s">
        <v>5058</v>
      </c>
      <c r="C1117" s="6" t="s">
        <v>1944</v>
      </c>
      <c r="D1117" s="6" t="s">
        <v>239</v>
      </c>
      <c r="E1117" s="6" t="s">
        <v>2989</v>
      </c>
      <c r="F1117" s="6" t="s">
        <v>46</v>
      </c>
      <c r="G1117" s="6" t="s">
        <v>5059</v>
      </c>
      <c r="H1117" s="7">
        <v>85.54</v>
      </c>
      <c r="I1117" s="19" t="s">
        <v>1589</v>
      </c>
      <c r="J1117" s="19" t="s">
        <v>2696</v>
      </c>
      <c r="K1117" s="5" t="s">
        <v>2935</v>
      </c>
      <c r="L1117" s="5" t="s">
        <v>2936</v>
      </c>
      <c r="M1117" s="5" t="s">
        <v>2937</v>
      </c>
      <c r="N1117" s="5" t="s">
        <v>2938</v>
      </c>
      <c r="O1117" s="5" t="s">
        <v>5060</v>
      </c>
      <c r="P1117" s="5" t="s">
        <v>5061</v>
      </c>
      <c r="Q1117" s="5" t="s">
        <v>5062</v>
      </c>
      <c r="R1117" s="5" t="s">
        <v>5063</v>
      </c>
      <c r="AG1117" s="14" t="s">
        <v>55</v>
      </c>
      <c r="AH1117" s="14" t="s">
        <v>1603</v>
      </c>
      <c r="AI1117" s="14" t="s">
        <v>1604</v>
      </c>
    </row>
    <row r="1118" spans="1:37">
      <c r="A1118" s="5" t="s">
        <v>5064</v>
      </c>
      <c r="B1118" s="5" t="s">
        <v>5058</v>
      </c>
      <c r="C1118" s="6" t="s">
        <v>5065</v>
      </c>
      <c r="D1118" s="6" t="s">
        <v>239</v>
      </c>
      <c r="E1118" s="6" t="s">
        <v>2047</v>
      </c>
      <c r="F1118" s="6" t="s">
        <v>46</v>
      </c>
      <c r="G1118" s="6" t="s">
        <v>5066</v>
      </c>
      <c r="H1118" s="7">
        <v>85.54</v>
      </c>
      <c r="I1118" s="19" t="s">
        <v>1589</v>
      </c>
      <c r="J1118" s="19" t="s">
        <v>2696</v>
      </c>
      <c r="K1118" s="5" t="s">
        <v>2935</v>
      </c>
      <c r="L1118" s="5" t="s">
        <v>2936</v>
      </c>
      <c r="M1118" s="5" t="s">
        <v>2937</v>
      </c>
      <c r="N1118" s="5" t="s">
        <v>2938</v>
      </c>
      <c r="O1118" s="5" t="s">
        <v>5060</v>
      </c>
      <c r="P1118" s="5" t="s">
        <v>5061</v>
      </c>
      <c r="Q1118" s="5" t="s">
        <v>5062</v>
      </c>
      <c r="R1118" s="5" t="s">
        <v>5063</v>
      </c>
      <c r="AG1118" s="14" t="s">
        <v>55</v>
      </c>
      <c r="AH1118" s="14" t="s">
        <v>1603</v>
      </c>
      <c r="AI1118" s="14" t="s">
        <v>1604</v>
      </c>
    </row>
    <row r="1119" spans="1:37">
      <c r="A1119" s="5" t="s">
        <v>5067</v>
      </c>
      <c r="B1119" s="5" t="s">
        <v>5058</v>
      </c>
      <c r="C1119" s="6" t="s">
        <v>5065</v>
      </c>
      <c r="D1119" s="6" t="s">
        <v>239</v>
      </c>
      <c r="E1119" s="6" t="s">
        <v>2065</v>
      </c>
      <c r="F1119" s="6" t="s">
        <v>46</v>
      </c>
      <c r="G1119" s="6" t="s">
        <v>5068</v>
      </c>
      <c r="H1119" s="7">
        <v>85.54</v>
      </c>
      <c r="I1119" s="19" t="s">
        <v>1589</v>
      </c>
      <c r="J1119" s="19" t="s">
        <v>2696</v>
      </c>
      <c r="K1119" s="5" t="s">
        <v>2935</v>
      </c>
      <c r="L1119" s="5" t="s">
        <v>2936</v>
      </c>
      <c r="M1119" s="5" t="s">
        <v>2937</v>
      </c>
      <c r="N1119" s="5" t="s">
        <v>2938</v>
      </c>
      <c r="O1119" s="5" t="s">
        <v>5060</v>
      </c>
      <c r="P1119" s="5" t="s">
        <v>5061</v>
      </c>
      <c r="Q1119" s="5" t="s">
        <v>5062</v>
      </c>
      <c r="R1119" s="5" t="s">
        <v>5063</v>
      </c>
      <c r="AG1119" s="14" t="s">
        <v>55</v>
      </c>
      <c r="AH1119" s="14" t="s">
        <v>1603</v>
      </c>
      <c r="AI1119" s="14" t="s">
        <v>1604</v>
      </c>
    </row>
    <row r="1120" spans="1:37">
      <c r="A1120" s="6" t="s">
        <v>5069</v>
      </c>
      <c r="B1120" s="6" t="s">
        <v>5070</v>
      </c>
      <c r="C1120" s="6" t="s">
        <v>43</v>
      </c>
      <c r="D1120" s="6" t="s">
        <v>239</v>
      </c>
      <c r="E1120" s="6" t="s">
        <v>2047</v>
      </c>
      <c r="F1120" s="6" t="s">
        <v>46</v>
      </c>
      <c r="G1120" s="6" t="s">
        <v>5071</v>
      </c>
      <c r="I1120" s="6" t="s">
        <v>48</v>
      </c>
      <c r="J1120" s="6" t="s">
        <v>48</v>
      </c>
      <c r="K1120" s="6"/>
      <c r="L1120" s="6"/>
      <c r="M1120" s="6"/>
      <c r="N1120" s="6"/>
      <c r="O1120" s="6"/>
      <c r="P1120" s="6"/>
      <c r="Q1120" s="6"/>
      <c r="R1120" s="6"/>
      <c r="S1120" s="6"/>
      <c r="T1120" s="6"/>
      <c r="U1120" s="6"/>
      <c r="V1120" s="6"/>
      <c r="W1120" s="6"/>
      <c r="X1120" s="6"/>
      <c r="Y1120" s="6"/>
      <c r="Z1120" s="6"/>
      <c r="AA1120" s="6"/>
      <c r="AB1120" s="6"/>
      <c r="AC1120" s="6"/>
      <c r="AD1120" s="6"/>
      <c r="AE1120" s="6"/>
      <c r="AF1120" s="6"/>
      <c r="AG1120" s="15" t="s">
        <v>55</v>
      </c>
      <c r="AH1120" s="15"/>
      <c r="AI1120" s="15"/>
      <c r="AJ1120" s="6"/>
      <c r="AK1120" s="6"/>
    </row>
    <row r="1121" spans="1:37" s="6" customFormat="1">
      <c r="A1121" s="5" t="s">
        <v>5072</v>
      </c>
      <c r="B1121" s="5" t="s">
        <v>5073</v>
      </c>
      <c r="C1121" s="6" t="s">
        <v>43</v>
      </c>
      <c r="D1121" s="6" t="s">
        <v>239</v>
      </c>
      <c r="E1121" s="6" t="s">
        <v>2047</v>
      </c>
      <c r="F1121" s="6" t="s">
        <v>46</v>
      </c>
      <c r="G1121" s="6" t="s">
        <v>1814</v>
      </c>
      <c r="H1121" s="7"/>
      <c r="I1121" s="19" t="s">
        <v>1589</v>
      </c>
      <c r="J1121" s="19" t="s">
        <v>2696</v>
      </c>
      <c r="K1121" s="5" t="s">
        <v>5074</v>
      </c>
      <c r="L1121" s="5" t="s">
        <v>5075</v>
      </c>
      <c r="M1121" s="5" t="s">
        <v>5076</v>
      </c>
      <c r="N1121" s="5" t="s">
        <v>5077</v>
      </c>
      <c r="O1121" s="5" t="s">
        <v>5078</v>
      </c>
      <c r="P1121" s="5" t="s">
        <v>5079</v>
      </c>
      <c r="Q1121" s="5" t="s">
        <v>5080</v>
      </c>
      <c r="R1121" s="5" t="s">
        <v>5081</v>
      </c>
      <c r="S1121" s="5"/>
      <c r="T1121" s="5"/>
      <c r="U1121" s="5"/>
      <c r="V1121" s="5"/>
      <c r="W1121" s="5"/>
      <c r="X1121" s="5"/>
      <c r="Y1121" s="5"/>
      <c r="Z1121" s="5"/>
      <c r="AA1121" s="5"/>
      <c r="AB1121" s="5"/>
      <c r="AC1121" s="5"/>
      <c r="AD1121" s="5"/>
      <c r="AE1121" s="5"/>
      <c r="AF1121" s="5"/>
      <c r="AG1121" s="14" t="s">
        <v>55</v>
      </c>
      <c r="AH1121" s="14" t="s">
        <v>1603</v>
      </c>
      <c r="AI1121" s="14" t="s">
        <v>1604</v>
      </c>
      <c r="AJ1121" s="5"/>
      <c r="AK1121" s="5"/>
    </row>
    <row r="1122" spans="1:37">
      <c r="A1122" s="5" t="s">
        <v>5082</v>
      </c>
      <c r="B1122" s="5" t="s">
        <v>5083</v>
      </c>
      <c r="C1122" s="6" t="s">
        <v>43</v>
      </c>
      <c r="D1122" s="6" t="s">
        <v>239</v>
      </c>
      <c r="E1122" s="6" t="s">
        <v>2139</v>
      </c>
      <c r="F1122" s="6" t="s">
        <v>46</v>
      </c>
      <c r="G1122" s="6" t="s">
        <v>5084</v>
      </c>
      <c r="H1122" s="7">
        <v>95.39</v>
      </c>
      <c r="I1122" s="19" t="s">
        <v>1589</v>
      </c>
      <c r="J1122" s="19" t="s">
        <v>2696</v>
      </c>
      <c r="K1122" s="5" t="s">
        <v>2991</v>
      </c>
      <c r="L1122" s="5" t="s">
        <v>2992</v>
      </c>
      <c r="M1122" s="5" t="s">
        <v>2993</v>
      </c>
      <c r="N1122" s="5" t="s">
        <v>2994</v>
      </c>
      <c r="O1122" s="5" t="s">
        <v>5085</v>
      </c>
      <c r="P1122" s="5" t="s">
        <v>5086</v>
      </c>
      <c r="Q1122" s="5" t="s">
        <v>5087</v>
      </c>
      <c r="R1122" s="5" t="s">
        <v>5088</v>
      </c>
      <c r="AG1122" s="14" t="s">
        <v>55</v>
      </c>
      <c r="AH1122" s="14" t="s">
        <v>1603</v>
      </c>
      <c r="AI1122" s="14" t="s">
        <v>1604</v>
      </c>
    </row>
    <row r="1123" spans="1:37">
      <c r="A1123" s="5" t="s">
        <v>5089</v>
      </c>
      <c r="B1123" s="5" t="s">
        <v>5083</v>
      </c>
      <c r="C1123" s="6" t="s">
        <v>43</v>
      </c>
      <c r="D1123" s="6" t="s">
        <v>239</v>
      </c>
      <c r="E1123" s="6" t="s">
        <v>2047</v>
      </c>
      <c r="F1123" s="6" t="s">
        <v>46</v>
      </c>
      <c r="G1123" s="6" t="s">
        <v>5090</v>
      </c>
      <c r="H1123" s="7">
        <v>95.39</v>
      </c>
      <c r="I1123" s="19" t="s">
        <v>1589</v>
      </c>
      <c r="J1123" s="19" t="s">
        <v>2696</v>
      </c>
      <c r="K1123" s="5" t="s">
        <v>2991</v>
      </c>
      <c r="L1123" s="5" t="s">
        <v>2992</v>
      </c>
      <c r="M1123" s="5" t="s">
        <v>2993</v>
      </c>
      <c r="N1123" s="5" t="s">
        <v>2994</v>
      </c>
      <c r="O1123" s="5" t="s">
        <v>5085</v>
      </c>
      <c r="P1123" s="5" t="s">
        <v>5086</v>
      </c>
      <c r="Q1123" s="5" t="s">
        <v>5087</v>
      </c>
      <c r="R1123" s="5" t="s">
        <v>5088</v>
      </c>
      <c r="AG1123" s="14" t="s">
        <v>55</v>
      </c>
      <c r="AH1123" s="14" t="s">
        <v>1603</v>
      </c>
      <c r="AI1123" s="14" t="s">
        <v>1604</v>
      </c>
    </row>
    <row r="1124" spans="1:37">
      <c r="A1124" s="5" t="s">
        <v>5091</v>
      </c>
      <c r="B1124" s="5" t="s">
        <v>5083</v>
      </c>
      <c r="C1124" s="6" t="s">
        <v>43</v>
      </c>
      <c r="D1124" s="6" t="s">
        <v>239</v>
      </c>
      <c r="E1124" s="6" t="s">
        <v>2065</v>
      </c>
      <c r="F1124" s="6" t="s">
        <v>46</v>
      </c>
      <c r="G1124" s="6" t="s">
        <v>5092</v>
      </c>
      <c r="H1124" s="7">
        <v>95.39</v>
      </c>
      <c r="I1124" s="19" t="s">
        <v>1589</v>
      </c>
      <c r="J1124" s="19" t="s">
        <v>2696</v>
      </c>
      <c r="K1124" s="5" t="s">
        <v>2991</v>
      </c>
      <c r="L1124" s="5" t="s">
        <v>2992</v>
      </c>
      <c r="M1124" s="5" t="s">
        <v>2993</v>
      </c>
      <c r="N1124" s="5" t="s">
        <v>2994</v>
      </c>
      <c r="O1124" s="5" t="s">
        <v>5085</v>
      </c>
      <c r="P1124" s="5" t="s">
        <v>5086</v>
      </c>
      <c r="Q1124" s="5" t="s">
        <v>5087</v>
      </c>
      <c r="R1124" s="5" t="s">
        <v>5088</v>
      </c>
      <c r="AG1124" s="14" t="s">
        <v>55</v>
      </c>
      <c r="AH1124" s="14" t="s">
        <v>1603</v>
      </c>
      <c r="AI1124" s="14" t="s">
        <v>1604</v>
      </c>
    </row>
    <row r="1125" spans="1:37">
      <c r="A1125" s="6" t="s">
        <v>5093</v>
      </c>
      <c r="B1125" s="6" t="s">
        <v>5094</v>
      </c>
      <c r="C1125" s="6" t="s">
        <v>43</v>
      </c>
      <c r="D1125" s="6" t="s">
        <v>239</v>
      </c>
      <c r="E1125" s="6" t="s">
        <v>1587</v>
      </c>
      <c r="F1125" s="6" t="s">
        <v>46</v>
      </c>
      <c r="G1125" s="6" t="s">
        <v>5095</v>
      </c>
      <c r="I1125" s="19" t="s">
        <v>48</v>
      </c>
      <c r="J1125" s="19" t="s">
        <v>48</v>
      </c>
      <c r="K1125" s="6"/>
      <c r="L1125" s="6"/>
      <c r="M1125" s="6"/>
      <c r="N1125" s="6"/>
      <c r="O1125" s="6"/>
      <c r="P1125" s="6"/>
      <c r="Q1125" s="6"/>
      <c r="R1125" s="6"/>
      <c r="S1125" s="6"/>
      <c r="T1125" s="6"/>
      <c r="U1125" s="6"/>
      <c r="V1125" s="6"/>
      <c r="W1125" s="6"/>
      <c r="X1125" s="6"/>
      <c r="Y1125" s="6"/>
      <c r="Z1125" s="6"/>
      <c r="AA1125" s="6"/>
      <c r="AB1125" s="6"/>
      <c r="AC1125" s="6"/>
      <c r="AD1125" s="6"/>
      <c r="AE1125" s="6"/>
      <c r="AF1125" s="6"/>
      <c r="AG1125" s="15" t="s">
        <v>55</v>
      </c>
      <c r="AH1125" s="15"/>
      <c r="AI1125" s="15"/>
      <c r="AJ1125" s="6"/>
      <c r="AK1125" s="6"/>
    </row>
    <row r="1126" spans="1:37" s="6" customFormat="1">
      <c r="A1126" s="6" t="s">
        <v>5096</v>
      </c>
      <c r="B1126" s="6" t="s">
        <v>5094</v>
      </c>
      <c r="C1126" s="6" t="s">
        <v>43</v>
      </c>
      <c r="D1126" s="6" t="s">
        <v>239</v>
      </c>
      <c r="E1126" s="6" t="s">
        <v>2047</v>
      </c>
      <c r="F1126" s="6" t="s">
        <v>46</v>
      </c>
      <c r="G1126" s="6" t="s">
        <v>5097</v>
      </c>
      <c r="H1126" s="7"/>
      <c r="I1126" s="19" t="s">
        <v>48</v>
      </c>
      <c r="J1126" s="19" t="s">
        <v>48</v>
      </c>
      <c r="AG1126" s="15" t="s">
        <v>55</v>
      </c>
      <c r="AH1126" s="15"/>
      <c r="AI1126" s="15"/>
    </row>
    <row r="1127" spans="1:37" s="6" customFormat="1">
      <c r="A1127" s="5" t="s">
        <v>5098</v>
      </c>
      <c r="B1127" s="5" t="s">
        <v>5099</v>
      </c>
      <c r="C1127" s="6" t="s">
        <v>43</v>
      </c>
      <c r="D1127" s="6" t="s">
        <v>239</v>
      </c>
      <c r="E1127" s="6" t="s">
        <v>2047</v>
      </c>
      <c r="F1127" s="6" t="s">
        <v>46</v>
      </c>
      <c r="G1127" s="6" t="s">
        <v>5100</v>
      </c>
      <c r="H1127" s="7">
        <v>116.51</v>
      </c>
      <c r="I1127" s="19" t="s">
        <v>1589</v>
      </c>
      <c r="J1127" s="19" t="s">
        <v>2696</v>
      </c>
      <c r="K1127" s="5" t="s">
        <v>3023</v>
      </c>
      <c r="L1127" s="5" t="s">
        <v>3024</v>
      </c>
      <c r="M1127" s="5" t="s">
        <v>3025</v>
      </c>
      <c r="N1127" s="5" t="s">
        <v>3026</v>
      </c>
      <c r="O1127" s="5" t="s">
        <v>5101</v>
      </c>
      <c r="P1127" s="5" t="s">
        <v>5102</v>
      </c>
      <c r="Q1127" s="5" t="s">
        <v>5103</v>
      </c>
      <c r="R1127" s="5" t="s">
        <v>5104</v>
      </c>
      <c r="S1127" s="5"/>
      <c r="T1127" s="5"/>
      <c r="U1127" s="5"/>
      <c r="V1127" s="5"/>
      <c r="W1127" s="5"/>
      <c r="X1127" s="5"/>
      <c r="Y1127" s="5"/>
      <c r="Z1127" s="5"/>
      <c r="AA1127" s="5"/>
      <c r="AB1127" s="5"/>
      <c r="AC1127" s="5"/>
      <c r="AD1127" s="5"/>
      <c r="AE1127" s="5"/>
      <c r="AF1127" s="5"/>
      <c r="AG1127" s="14" t="s">
        <v>55</v>
      </c>
      <c r="AH1127" s="14" t="s">
        <v>1603</v>
      </c>
      <c r="AI1127" s="14" t="s">
        <v>1604</v>
      </c>
      <c r="AJ1127" s="5"/>
      <c r="AK1127" s="5"/>
    </row>
    <row r="1128" spans="1:37">
      <c r="A1128" s="5" t="s">
        <v>5105</v>
      </c>
      <c r="B1128" s="5" t="s">
        <v>5099</v>
      </c>
      <c r="C1128" s="6" t="s">
        <v>43</v>
      </c>
      <c r="D1128" s="6" t="s">
        <v>239</v>
      </c>
      <c r="E1128" s="6" t="s">
        <v>2070</v>
      </c>
      <c r="F1128" s="6" t="s">
        <v>46</v>
      </c>
      <c r="G1128" s="6" t="s">
        <v>5106</v>
      </c>
      <c r="H1128" s="7">
        <v>116.51</v>
      </c>
      <c r="I1128" s="19" t="s">
        <v>1589</v>
      </c>
      <c r="J1128" s="19" t="s">
        <v>2696</v>
      </c>
      <c r="K1128" s="5" t="s">
        <v>3023</v>
      </c>
      <c r="L1128" s="5" t="s">
        <v>3024</v>
      </c>
      <c r="M1128" s="5" t="s">
        <v>3025</v>
      </c>
      <c r="N1128" s="5" t="s">
        <v>3026</v>
      </c>
      <c r="O1128" s="5" t="s">
        <v>5101</v>
      </c>
      <c r="P1128" s="5" t="s">
        <v>5102</v>
      </c>
      <c r="Q1128" s="5" t="s">
        <v>5103</v>
      </c>
      <c r="R1128" s="5" t="s">
        <v>5104</v>
      </c>
      <c r="AG1128" s="14" t="s">
        <v>55</v>
      </c>
      <c r="AH1128" s="14" t="s">
        <v>1603</v>
      </c>
      <c r="AI1128" s="14" t="s">
        <v>1604</v>
      </c>
    </row>
    <row r="1129" spans="1:37">
      <c r="A1129" s="5" t="s">
        <v>5107</v>
      </c>
      <c r="B1129" s="5" t="s">
        <v>5099</v>
      </c>
      <c r="C1129" s="6" t="s">
        <v>43</v>
      </c>
      <c r="D1129" s="6" t="s">
        <v>239</v>
      </c>
      <c r="E1129" s="6" t="s">
        <v>1540</v>
      </c>
      <c r="F1129" s="6" t="s">
        <v>46</v>
      </c>
      <c r="G1129" s="6" t="s">
        <v>5108</v>
      </c>
      <c r="H1129" s="7">
        <v>116.51</v>
      </c>
      <c r="I1129" s="19" t="s">
        <v>1589</v>
      </c>
      <c r="J1129" s="19" t="s">
        <v>2696</v>
      </c>
      <c r="K1129" s="5" t="s">
        <v>3023</v>
      </c>
      <c r="L1129" s="5" t="s">
        <v>3024</v>
      </c>
      <c r="M1129" s="5" t="s">
        <v>3025</v>
      </c>
      <c r="N1129" s="5" t="s">
        <v>3026</v>
      </c>
      <c r="O1129" s="5" t="s">
        <v>5101</v>
      </c>
      <c r="P1129" s="5" t="s">
        <v>5102</v>
      </c>
      <c r="Q1129" s="5" t="s">
        <v>5103</v>
      </c>
      <c r="R1129" s="5" t="s">
        <v>5104</v>
      </c>
      <c r="AG1129" s="14" t="s">
        <v>55</v>
      </c>
      <c r="AH1129" s="14" t="s">
        <v>1603</v>
      </c>
      <c r="AI1129" s="14" t="s">
        <v>1604</v>
      </c>
    </row>
    <row r="1130" spans="1:37">
      <c r="A1130" s="5" t="s">
        <v>5109</v>
      </c>
      <c r="B1130" s="5" t="s">
        <v>5099</v>
      </c>
      <c r="C1130" s="6" t="s">
        <v>43</v>
      </c>
      <c r="D1130" s="6" t="s">
        <v>239</v>
      </c>
      <c r="E1130" s="6" t="s">
        <v>2065</v>
      </c>
      <c r="F1130" s="6" t="s">
        <v>46</v>
      </c>
      <c r="G1130" s="6" t="s">
        <v>5110</v>
      </c>
      <c r="H1130" s="7">
        <v>116.51</v>
      </c>
      <c r="I1130" s="19" t="s">
        <v>1589</v>
      </c>
      <c r="J1130" s="19" t="s">
        <v>2696</v>
      </c>
      <c r="K1130" s="5" t="s">
        <v>3023</v>
      </c>
      <c r="L1130" s="5" t="s">
        <v>3024</v>
      </c>
      <c r="M1130" s="5" t="s">
        <v>3025</v>
      </c>
      <c r="N1130" s="5" t="s">
        <v>3026</v>
      </c>
      <c r="O1130" s="5" t="s">
        <v>5101</v>
      </c>
      <c r="P1130" s="5" t="s">
        <v>5102</v>
      </c>
      <c r="Q1130" s="5" t="s">
        <v>5103</v>
      </c>
      <c r="R1130" s="5" t="s">
        <v>5104</v>
      </c>
      <c r="AG1130" s="14" t="s">
        <v>55</v>
      </c>
      <c r="AH1130" s="14" t="s">
        <v>1603</v>
      </c>
      <c r="AI1130" s="14" t="s">
        <v>1604</v>
      </c>
    </row>
    <row r="1131" spans="1:37">
      <c r="A1131" s="5" t="s">
        <v>5111</v>
      </c>
      <c r="B1131" s="5" t="s">
        <v>5112</v>
      </c>
      <c r="C1131" s="6" t="s">
        <v>43</v>
      </c>
      <c r="D1131" s="6" t="s">
        <v>239</v>
      </c>
      <c r="E1131" s="6" t="s">
        <v>2139</v>
      </c>
      <c r="F1131" s="6" t="s">
        <v>46</v>
      </c>
      <c r="G1131" s="6" t="s">
        <v>5113</v>
      </c>
      <c r="H1131" s="7">
        <v>122.32</v>
      </c>
      <c r="I1131" s="19" t="s">
        <v>1589</v>
      </c>
      <c r="J1131" s="19" t="s">
        <v>2696</v>
      </c>
      <c r="K1131" s="5" t="s">
        <v>3095</v>
      </c>
      <c r="L1131" s="5" t="s">
        <v>3096</v>
      </c>
      <c r="M1131" s="5" t="s">
        <v>3097</v>
      </c>
      <c r="N1131" s="5" t="s">
        <v>3098</v>
      </c>
      <c r="O1131" s="5" t="s">
        <v>5114</v>
      </c>
      <c r="P1131" s="5" t="s">
        <v>5115</v>
      </c>
      <c r="Q1131" s="5" t="s">
        <v>5116</v>
      </c>
      <c r="R1131" s="5" t="s">
        <v>5117</v>
      </c>
      <c r="AG1131" s="14" t="s">
        <v>55</v>
      </c>
      <c r="AH1131" s="14" t="s">
        <v>1603</v>
      </c>
      <c r="AI1131" s="14" t="s">
        <v>1604</v>
      </c>
    </row>
    <row r="1132" spans="1:37">
      <c r="A1132" s="5" t="s">
        <v>5118</v>
      </c>
      <c r="B1132" s="5" t="s">
        <v>5112</v>
      </c>
      <c r="C1132" s="6" t="s">
        <v>43</v>
      </c>
      <c r="D1132" s="6" t="s">
        <v>239</v>
      </c>
      <c r="E1132" s="6" t="s">
        <v>2047</v>
      </c>
      <c r="F1132" s="6" t="s">
        <v>46</v>
      </c>
      <c r="G1132" s="6" t="s">
        <v>5119</v>
      </c>
      <c r="H1132" s="7">
        <v>122.32</v>
      </c>
      <c r="I1132" s="19" t="s">
        <v>1589</v>
      </c>
      <c r="J1132" s="19" t="s">
        <v>2696</v>
      </c>
      <c r="K1132" s="5" t="s">
        <v>3095</v>
      </c>
      <c r="L1132" s="5" t="s">
        <v>3096</v>
      </c>
      <c r="M1132" s="5" t="s">
        <v>3097</v>
      </c>
      <c r="N1132" s="5" t="s">
        <v>3098</v>
      </c>
      <c r="O1132" s="5" t="s">
        <v>5114</v>
      </c>
      <c r="P1132" s="5" t="s">
        <v>5115</v>
      </c>
      <c r="Q1132" s="5" t="s">
        <v>5116</v>
      </c>
      <c r="R1132" s="5" t="s">
        <v>5117</v>
      </c>
      <c r="AG1132" s="14" t="s">
        <v>55</v>
      </c>
      <c r="AH1132" s="14" t="s">
        <v>1603</v>
      </c>
      <c r="AI1132" s="14" t="s">
        <v>1604</v>
      </c>
    </row>
    <row r="1133" spans="1:37">
      <c r="A1133" s="5" t="s">
        <v>5120</v>
      </c>
      <c r="B1133" s="5" t="s">
        <v>5112</v>
      </c>
      <c r="C1133" s="6" t="s">
        <v>43</v>
      </c>
      <c r="D1133" s="6" t="s">
        <v>239</v>
      </c>
      <c r="E1133" s="6" t="s">
        <v>1540</v>
      </c>
      <c r="F1133" s="6" t="s">
        <v>46</v>
      </c>
      <c r="G1133" s="6" t="s">
        <v>5121</v>
      </c>
      <c r="H1133" s="7">
        <v>122.32</v>
      </c>
      <c r="I1133" s="19" t="s">
        <v>1589</v>
      </c>
      <c r="J1133" s="19" t="s">
        <v>2696</v>
      </c>
      <c r="K1133" s="5" t="s">
        <v>3095</v>
      </c>
      <c r="L1133" s="5" t="s">
        <v>3096</v>
      </c>
      <c r="M1133" s="5" t="s">
        <v>3097</v>
      </c>
      <c r="N1133" s="5" t="s">
        <v>3098</v>
      </c>
      <c r="O1133" s="5" t="s">
        <v>5114</v>
      </c>
      <c r="P1133" s="5" t="s">
        <v>5115</v>
      </c>
      <c r="Q1133" s="5" t="s">
        <v>5116</v>
      </c>
      <c r="R1133" s="5" t="s">
        <v>5117</v>
      </c>
      <c r="AG1133" s="14" t="s">
        <v>55</v>
      </c>
      <c r="AH1133" s="14" t="s">
        <v>1603</v>
      </c>
      <c r="AI1133" s="14" t="s">
        <v>1604</v>
      </c>
    </row>
    <row r="1134" spans="1:37">
      <c r="A1134" s="5" t="s">
        <v>5122</v>
      </c>
      <c r="B1134" s="5" t="s">
        <v>5112</v>
      </c>
      <c r="C1134" s="6" t="s">
        <v>43</v>
      </c>
      <c r="D1134" s="6" t="s">
        <v>239</v>
      </c>
      <c r="E1134" s="6" t="s">
        <v>2065</v>
      </c>
      <c r="F1134" s="6" t="s">
        <v>46</v>
      </c>
      <c r="G1134" s="6" t="s">
        <v>5113</v>
      </c>
      <c r="H1134" s="7">
        <v>122.32</v>
      </c>
      <c r="I1134" s="19" t="s">
        <v>1589</v>
      </c>
      <c r="J1134" s="19" t="s">
        <v>2696</v>
      </c>
      <c r="K1134" s="5" t="s">
        <v>3095</v>
      </c>
      <c r="L1134" s="5" t="s">
        <v>3096</v>
      </c>
      <c r="M1134" s="5" t="s">
        <v>3097</v>
      </c>
      <c r="N1134" s="5" t="s">
        <v>3098</v>
      </c>
      <c r="O1134" s="5" t="s">
        <v>5114</v>
      </c>
      <c r="P1134" s="5" t="s">
        <v>5115</v>
      </c>
      <c r="Q1134" s="5" t="s">
        <v>5116</v>
      </c>
      <c r="R1134" s="5" t="s">
        <v>5117</v>
      </c>
      <c r="AG1134" s="14" t="s">
        <v>55</v>
      </c>
      <c r="AH1134" s="14" t="s">
        <v>1603</v>
      </c>
      <c r="AI1134" s="14" t="s">
        <v>1604</v>
      </c>
    </row>
    <row r="1135" spans="1:37">
      <c r="A1135" s="6" t="s">
        <v>5123</v>
      </c>
      <c r="B1135" s="6" t="s">
        <v>5124</v>
      </c>
      <c r="C1135" s="6" t="s">
        <v>43</v>
      </c>
      <c r="D1135" s="6" t="s">
        <v>239</v>
      </c>
      <c r="E1135" s="6" t="s">
        <v>2047</v>
      </c>
      <c r="F1135" s="6" t="s">
        <v>46</v>
      </c>
      <c r="G1135" s="6" t="s">
        <v>5125</v>
      </c>
      <c r="I1135" s="6" t="s">
        <v>48</v>
      </c>
      <c r="J1135" s="6" t="s">
        <v>48</v>
      </c>
      <c r="K1135" s="6"/>
      <c r="L1135" s="6"/>
      <c r="M1135" s="6"/>
      <c r="N1135" s="6"/>
      <c r="O1135" s="6"/>
      <c r="P1135" s="6"/>
      <c r="Q1135" s="6"/>
      <c r="R1135" s="6"/>
      <c r="S1135" s="6"/>
      <c r="T1135" s="6"/>
      <c r="U1135" s="6"/>
      <c r="V1135" s="6"/>
      <c r="W1135" s="6"/>
      <c r="X1135" s="6"/>
      <c r="Y1135" s="6"/>
      <c r="Z1135" s="6"/>
      <c r="AA1135" s="6"/>
      <c r="AB1135" s="6"/>
      <c r="AC1135" s="6"/>
      <c r="AD1135" s="6"/>
      <c r="AE1135" s="6"/>
      <c r="AF1135" s="6"/>
      <c r="AG1135" s="15" t="s">
        <v>55</v>
      </c>
      <c r="AH1135" s="15"/>
      <c r="AI1135" s="15"/>
      <c r="AJ1135" s="6"/>
      <c r="AK1135" s="6"/>
    </row>
    <row r="1136" spans="1:37" s="6" customFormat="1">
      <c r="A1136" s="6" t="s">
        <v>5126</v>
      </c>
      <c r="B1136" s="6" t="s">
        <v>5127</v>
      </c>
      <c r="C1136" s="6" t="s">
        <v>5128</v>
      </c>
      <c r="D1136" s="6" t="s">
        <v>239</v>
      </c>
      <c r="E1136" s="6" t="s">
        <v>2047</v>
      </c>
      <c r="F1136" s="6" t="s">
        <v>46</v>
      </c>
      <c r="G1136" s="6" t="s">
        <v>5129</v>
      </c>
      <c r="H1136" s="7"/>
      <c r="I1136" s="6" t="s">
        <v>48</v>
      </c>
      <c r="J1136" s="6" t="s">
        <v>48</v>
      </c>
      <c r="AG1136" s="15" t="s">
        <v>55</v>
      </c>
      <c r="AH1136" s="15"/>
      <c r="AI1136" s="15"/>
    </row>
    <row r="1137" spans="1:37" s="6" customFormat="1">
      <c r="A1137" s="6" t="s">
        <v>5130</v>
      </c>
      <c r="B1137" s="6" t="s">
        <v>5131</v>
      </c>
      <c r="C1137" s="6" t="s">
        <v>43</v>
      </c>
      <c r="D1137" s="6" t="s">
        <v>239</v>
      </c>
      <c r="E1137" s="6" t="s">
        <v>1540</v>
      </c>
      <c r="F1137" s="6" t="s">
        <v>46</v>
      </c>
      <c r="G1137" s="6" t="s">
        <v>5132</v>
      </c>
      <c r="H1137" s="7"/>
      <c r="I1137" s="16" t="s">
        <v>48</v>
      </c>
      <c r="J1137" s="16" t="s">
        <v>48</v>
      </c>
      <c r="AG1137" s="15" t="s">
        <v>55</v>
      </c>
      <c r="AH1137" s="15"/>
      <c r="AI1137" s="15"/>
    </row>
    <row r="1138" spans="1:37" s="6" customFormat="1">
      <c r="A1138" s="6" t="s">
        <v>5133</v>
      </c>
      <c r="B1138" s="6" t="s">
        <v>5134</v>
      </c>
      <c r="C1138" s="6" t="s">
        <v>43</v>
      </c>
      <c r="D1138" s="6" t="s">
        <v>1977</v>
      </c>
      <c r="E1138" s="6" t="s">
        <v>1386</v>
      </c>
      <c r="F1138" s="6" t="s">
        <v>46</v>
      </c>
      <c r="G1138" s="6" t="s">
        <v>5135</v>
      </c>
      <c r="H1138" s="7"/>
      <c r="I1138" s="16" t="s">
        <v>48</v>
      </c>
      <c r="J1138" s="16" t="s">
        <v>48</v>
      </c>
      <c r="AG1138" s="15" t="s">
        <v>55</v>
      </c>
      <c r="AH1138" s="15"/>
      <c r="AI1138" s="15"/>
    </row>
    <row r="1139" spans="1:37" s="6" customFormat="1">
      <c r="A1139" s="5" t="s">
        <v>5136</v>
      </c>
      <c r="B1139" s="5" t="s">
        <v>5137</v>
      </c>
      <c r="C1139" s="6" t="s">
        <v>43</v>
      </c>
      <c r="D1139" s="6" t="s">
        <v>2189</v>
      </c>
      <c r="E1139" s="6" t="s">
        <v>2015</v>
      </c>
      <c r="F1139" s="6" t="s">
        <v>46</v>
      </c>
      <c r="G1139" s="6" t="s">
        <v>4763</v>
      </c>
      <c r="H1139" s="7">
        <v>72.459999999999994</v>
      </c>
      <c r="I1139" s="19" t="s">
        <v>1589</v>
      </c>
      <c r="J1139" s="19" t="s">
        <v>2191</v>
      </c>
      <c r="K1139" s="5" t="s">
        <v>2192</v>
      </c>
      <c r="L1139" s="5" t="s">
        <v>2193</v>
      </c>
      <c r="M1139" s="5" t="s">
        <v>2194</v>
      </c>
      <c r="N1139" s="5" t="s">
        <v>2195</v>
      </c>
      <c r="O1139" s="5" t="s">
        <v>5138</v>
      </c>
      <c r="P1139" s="5" t="s">
        <v>5139</v>
      </c>
      <c r="Q1139" s="5" t="s">
        <v>5140</v>
      </c>
      <c r="R1139" s="5"/>
      <c r="S1139" s="5"/>
      <c r="T1139" s="5"/>
      <c r="U1139" s="5"/>
      <c r="V1139" s="5"/>
      <c r="W1139" s="5"/>
      <c r="X1139" s="5"/>
      <c r="Y1139" s="5" t="s">
        <v>2086</v>
      </c>
      <c r="Z1139" s="5"/>
      <c r="AA1139" s="5"/>
      <c r="AB1139" s="5"/>
      <c r="AC1139" s="5"/>
      <c r="AD1139" s="5"/>
      <c r="AE1139" s="5"/>
      <c r="AF1139" s="5"/>
      <c r="AG1139" s="14" t="s">
        <v>55</v>
      </c>
      <c r="AH1139" s="14" t="s">
        <v>1603</v>
      </c>
      <c r="AI1139" s="14" t="s">
        <v>2087</v>
      </c>
      <c r="AJ1139" s="5"/>
      <c r="AK1139" s="5"/>
    </row>
    <row r="1140" spans="1:37">
      <c r="A1140" s="6" t="s">
        <v>5141</v>
      </c>
      <c r="B1140" s="6" t="s">
        <v>5142</v>
      </c>
      <c r="C1140" s="6" t="s">
        <v>43</v>
      </c>
      <c r="D1140" s="6" t="s">
        <v>239</v>
      </c>
      <c r="E1140" s="6" t="s">
        <v>1540</v>
      </c>
      <c r="F1140" s="6" t="s">
        <v>46</v>
      </c>
      <c r="G1140" s="6" t="s">
        <v>5143</v>
      </c>
      <c r="I1140" s="19" t="s">
        <v>48</v>
      </c>
      <c r="J1140" s="19" t="s">
        <v>48</v>
      </c>
      <c r="K1140" s="6"/>
      <c r="L1140" s="6"/>
      <c r="M1140" s="6"/>
      <c r="N1140" s="6"/>
      <c r="O1140" s="6"/>
      <c r="P1140" s="6"/>
      <c r="Q1140" s="6"/>
      <c r="R1140" s="6"/>
      <c r="S1140" s="6"/>
      <c r="T1140" s="6"/>
      <c r="U1140" s="6"/>
      <c r="V1140" s="6"/>
      <c r="W1140" s="6"/>
      <c r="X1140" s="6"/>
      <c r="Y1140" s="6"/>
      <c r="Z1140" s="6"/>
      <c r="AA1140" s="6"/>
      <c r="AB1140" s="6"/>
      <c r="AC1140" s="6"/>
      <c r="AD1140" s="6"/>
      <c r="AE1140" s="6"/>
      <c r="AF1140" s="6"/>
      <c r="AG1140" s="15" t="s">
        <v>55</v>
      </c>
      <c r="AH1140" s="15"/>
      <c r="AI1140" s="15"/>
      <c r="AJ1140" s="6"/>
      <c r="AK1140" s="6"/>
    </row>
    <row r="1141" spans="1:37" s="6" customFormat="1">
      <c r="A1141" s="5" t="s">
        <v>5144</v>
      </c>
      <c r="B1141" s="5" t="s">
        <v>5145</v>
      </c>
      <c r="C1141" s="6" t="s">
        <v>2822</v>
      </c>
      <c r="D1141" s="6" t="s">
        <v>239</v>
      </c>
      <c r="E1141" s="6" t="s">
        <v>2065</v>
      </c>
      <c r="F1141" s="6" t="s">
        <v>46</v>
      </c>
      <c r="G1141" s="6" t="s">
        <v>4157</v>
      </c>
      <c r="H1141" s="7">
        <v>68.63</v>
      </c>
      <c r="I1141" s="19" t="s">
        <v>1589</v>
      </c>
      <c r="J1141" s="19" t="s">
        <v>2696</v>
      </c>
      <c r="K1141" s="5" t="s">
        <v>2809</v>
      </c>
      <c r="L1141" s="5" t="s">
        <v>2810</v>
      </c>
      <c r="M1141" s="5" t="s">
        <v>2811</v>
      </c>
      <c r="N1141" s="5" t="s">
        <v>2812</v>
      </c>
      <c r="O1141" s="5" t="s">
        <v>5146</v>
      </c>
      <c r="P1141" s="5" t="s">
        <v>5147</v>
      </c>
      <c r="Q1141" s="5" t="s">
        <v>5148</v>
      </c>
      <c r="R1141" s="5" t="s">
        <v>5149</v>
      </c>
      <c r="S1141" s="5"/>
      <c r="T1141" s="5"/>
      <c r="U1141" s="5"/>
      <c r="V1141" s="5"/>
      <c r="W1141" s="5"/>
      <c r="X1141" s="5"/>
      <c r="Y1141" s="5"/>
      <c r="Z1141" s="5"/>
      <c r="AA1141" s="5"/>
      <c r="AB1141" s="5"/>
      <c r="AC1141" s="5"/>
      <c r="AD1141" s="5"/>
      <c r="AE1141" s="5"/>
      <c r="AF1141" s="5"/>
      <c r="AG1141" s="14" t="s">
        <v>55</v>
      </c>
      <c r="AH1141" s="14" t="s">
        <v>1603</v>
      </c>
      <c r="AI1141" s="14" t="s">
        <v>1604</v>
      </c>
      <c r="AJ1141" s="5"/>
      <c r="AK1141" s="5"/>
    </row>
    <row r="1142" spans="1:37">
      <c r="A1142" s="6" t="s">
        <v>5150</v>
      </c>
      <c r="B1142" s="6" t="s">
        <v>5151</v>
      </c>
      <c r="C1142" s="6" t="s">
        <v>43</v>
      </c>
      <c r="D1142" s="6" t="s">
        <v>239</v>
      </c>
      <c r="E1142" s="6" t="s">
        <v>1540</v>
      </c>
      <c r="F1142" s="6" t="s">
        <v>46</v>
      </c>
      <c r="G1142" s="6" t="s">
        <v>5152</v>
      </c>
      <c r="I1142" s="16" t="s">
        <v>48</v>
      </c>
      <c r="J1142" s="16" t="s">
        <v>48</v>
      </c>
      <c r="K1142" s="6"/>
      <c r="L1142" s="6"/>
      <c r="M1142" s="6"/>
      <c r="N1142" s="6"/>
      <c r="O1142" s="6"/>
      <c r="P1142" s="6"/>
      <c r="Q1142" s="6"/>
      <c r="R1142" s="6"/>
      <c r="S1142" s="6"/>
      <c r="T1142" s="6"/>
      <c r="U1142" s="6"/>
      <c r="V1142" s="6"/>
      <c r="W1142" s="6"/>
      <c r="X1142" s="6"/>
      <c r="Y1142" s="6"/>
      <c r="Z1142" s="6"/>
      <c r="AA1142" s="6"/>
      <c r="AB1142" s="6"/>
      <c r="AC1142" s="6"/>
      <c r="AD1142" s="6"/>
      <c r="AE1142" s="6"/>
      <c r="AF1142" s="6"/>
      <c r="AG1142" s="15" t="s">
        <v>55</v>
      </c>
      <c r="AH1142" s="15"/>
      <c r="AI1142" s="15"/>
      <c r="AJ1142" s="6"/>
      <c r="AK1142" s="6"/>
    </row>
    <row r="1143" spans="1:37" s="6" customFormat="1">
      <c r="A1143" s="6" t="s">
        <v>5153</v>
      </c>
      <c r="B1143" s="6" t="s">
        <v>5154</v>
      </c>
      <c r="C1143" s="6" t="s">
        <v>43</v>
      </c>
      <c r="D1143" s="6" t="s">
        <v>239</v>
      </c>
      <c r="E1143" s="6" t="s">
        <v>1540</v>
      </c>
      <c r="F1143" s="6" t="s">
        <v>46</v>
      </c>
      <c r="G1143" s="6" t="s">
        <v>5132</v>
      </c>
      <c r="H1143" s="7"/>
      <c r="I1143" s="16" t="s">
        <v>48</v>
      </c>
      <c r="J1143" s="16" t="s">
        <v>48</v>
      </c>
      <c r="AG1143" s="15" t="s">
        <v>55</v>
      </c>
      <c r="AH1143" s="15"/>
      <c r="AI1143" s="15"/>
    </row>
    <row r="1144" spans="1:37" s="6" customFormat="1">
      <c r="A1144" s="6" t="s">
        <v>5155</v>
      </c>
      <c r="B1144" s="6" t="s">
        <v>5156</v>
      </c>
      <c r="C1144" s="6" t="s">
        <v>1463</v>
      </c>
      <c r="D1144" s="6" t="s">
        <v>1645</v>
      </c>
      <c r="E1144" s="6" t="s">
        <v>1386</v>
      </c>
      <c r="F1144" s="6" t="s">
        <v>46</v>
      </c>
      <c r="G1144" s="6" t="s">
        <v>5157</v>
      </c>
      <c r="H1144" s="7"/>
      <c r="I1144" s="19" t="s">
        <v>48</v>
      </c>
      <c r="J1144" s="19" t="s">
        <v>48</v>
      </c>
      <c r="AG1144" s="15" t="s">
        <v>55</v>
      </c>
      <c r="AH1144" s="15"/>
      <c r="AI1144" s="15"/>
    </row>
    <row r="1145" spans="1:37" s="6" customFormat="1">
      <c r="A1145" s="6" t="s">
        <v>5158</v>
      </c>
      <c r="B1145" s="6" t="s">
        <v>5159</v>
      </c>
      <c r="C1145" s="6" t="s">
        <v>43</v>
      </c>
      <c r="D1145" s="6" t="s">
        <v>239</v>
      </c>
      <c r="E1145" s="6" t="s">
        <v>1671</v>
      </c>
      <c r="F1145" s="6" t="s">
        <v>46</v>
      </c>
      <c r="G1145" s="6" t="s">
        <v>5160</v>
      </c>
      <c r="H1145" s="7"/>
      <c r="I1145" s="19" t="s">
        <v>48</v>
      </c>
      <c r="J1145" s="19" t="s">
        <v>48</v>
      </c>
      <c r="AG1145" s="15" t="s">
        <v>55</v>
      </c>
      <c r="AH1145" s="15"/>
      <c r="AI1145" s="15"/>
    </row>
    <row r="1146" spans="1:37" s="6" customFormat="1">
      <c r="A1146" s="5" t="s">
        <v>5161</v>
      </c>
      <c r="B1146" s="5" t="s">
        <v>5162</v>
      </c>
      <c r="C1146" s="6" t="s">
        <v>43</v>
      </c>
      <c r="D1146" s="6" t="s">
        <v>1645</v>
      </c>
      <c r="E1146" s="6" t="s">
        <v>1386</v>
      </c>
      <c r="F1146" s="6" t="s">
        <v>46</v>
      </c>
      <c r="G1146" s="6" t="s">
        <v>5163</v>
      </c>
      <c r="H1146" s="7">
        <v>16.61</v>
      </c>
      <c r="I1146" s="19" t="s">
        <v>1589</v>
      </c>
      <c r="J1146" s="19" t="s">
        <v>5164</v>
      </c>
      <c r="K1146" s="5" t="s">
        <v>5165</v>
      </c>
      <c r="L1146" s="5" t="s">
        <v>5166</v>
      </c>
      <c r="M1146" s="5" t="s">
        <v>5165</v>
      </c>
      <c r="N1146" s="5" t="s">
        <v>5165</v>
      </c>
      <c r="O1146" s="5" t="s">
        <v>5167</v>
      </c>
      <c r="P1146" s="5" t="s">
        <v>5168</v>
      </c>
      <c r="Q1146" s="5" t="s">
        <v>5169</v>
      </c>
      <c r="R1146" s="5" t="s">
        <v>5170</v>
      </c>
      <c r="S1146" s="5"/>
      <c r="T1146" s="5"/>
      <c r="U1146" s="5"/>
      <c r="V1146" s="5"/>
      <c r="W1146" s="5" t="s">
        <v>5171</v>
      </c>
      <c r="X1146" s="5" t="s">
        <v>5172</v>
      </c>
      <c r="Y1146" s="5" t="s">
        <v>5173</v>
      </c>
      <c r="Z1146" s="5" t="s">
        <v>5174</v>
      </c>
      <c r="AA1146" s="5"/>
      <c r="AB1146" s="5"/>
      <c r="AC1146" s="5"/>
      <c r="AD1146" s="5"/>
      <c r="AE1146" s="5"/>
      <c r="AF1146" s="5"/>
      <c r="AG1146" s="14" t="s">
        <v>55</v>
      </c>
      <c r="AH1146" s="14" t="s">
        <v>1603</v>
      </c>
      <c r="AI1146" s="14" t="s">
        <v>1603</v>
      </c>
      <c r="AJ1146" s="5"/>
      <c r="AK1146" s="5"/>
    </row>
    <row r="1147" spans="1:37">
      <c r="A1147" s="5" t="s">
        <v>5175</v>
      </c>
      <c r="B1147" s="5" t="s">
        <v>5176</v>
      </c>
      <c r="C1147" s="6" t="s">
        <v>43</v>
      </c>
      <c r="D1147" s="6" t="s">
        <v>1977</v>
      </c>
      <c r="E1147" s="6" t="s">
        <v>2015</v>
      </c>
      <c r="F1147" s="6" t="s">
        <v>46</v>
      </c>
      <c r="G1147" s="6" t="s">
        <v>5177</v>
      </c>
      <c r="H1147" s="7">
        <v>66.13</v>
      </c>
      <c r="I1147" s="19" t="s">
        <v>1589</v>
      </c>
      <c r="J1147" s="19" t="s">
        <v>2001</v>
      </c>
      <c r="K1147" s="20" t="s">
        <v>2023</v>
      </c>
      <c r="L1147" s="20" t="s">
        <v>2024</v>
      </c>
      <c r="M1147" s="20" t="s">
        <v>2025</v>
      </c>
      <c r="N1147" s="20" t="s">
        <v>2026</v>
      </c>
      <c r="O1147" s="20" t="s">
        <v>5178</v>
      </c>
      <c r="P1147" s="20" t="s">
        <v>5179</v>
      </c>
      <c r="Q1147" s="20" t="s">
        <v>5180</v>
      </c>
      <c r="R1147" s="5" t="s">
        <v>5181</v>
      </c>
      <c r="W1147" s="20" t="s">
        <v>2010</v>
      </c>
      <c r="X1147" s="20" t="s">
        <v>2011</v>
      </c>
      <c r="Y1147" s="20" t="s">
        <v>2012</v>
      </c>
      <c r="Z1147" s="20" t="s">
        <v>2013</v>
      </c>
      <c r="AG1147" s="14" t="s">
        <v>55</v>
      </c>
      <c r="AH1147" s="14" t="s">
        <v>1603</v>
      </c>
      <c r="AI1147" s="14" t="s">
        <v>124</v>
      </c>
    </row>
    <row r="1148" spans="1:37">
      <c r="A1148" s="5" t="s">
        <v>5182</v>
      </c>
      <c r="B1148" s="5" t="s">
        <v>5183</v>
      </c>
      <c r="C1148" s="6" t="s">
        <v>43</v>
      </c>
      <c r="D1148" s="6" t="s">
        <v>1977</v>
      </c>
      <c r="E1148" s="6" t="s">
        <v>1386</v>
      </c>
      <c r="F1148" s="6" t="s">
        <v>46</v>
      </c>
      <c r="G1148" s="6" t="s">
        <v>5184</v>
      </c>
      <c r="H1148" s="7">
        <v>69.7</v>
      </c>
      <c r="I1148" s="19" t="s">
        <v>1589</v>
      </c>
      <c r="J1148" s="19" t="s">
        <v>2001</v>
      </c>
      <c r="K1148" s="20" t="s">
        <v>2036</v>
      </c>
      <c r="L1148" s="20" t="s">
        <v>2037</v>
      </c>
      <c r="M1148" s="20" t="s">
        <v>2038</v>
      </c>
      <c r="N1148" s="20" t="s">
        <v>2039</v>
      </c>
      <c r="O1148" s="20" t="s">
        <v>5185</v>
      </c>
      <c r="P1148" s="20" t="s">
        <v>5186</v>
      </c>
      <c r="Q1148" s="20" t="s">
        <v>5187</v>
      </c>
      <c r="R1148" s="5" t="s">
        <v>5188</v>
      </c>
      <c r="W1148" s="20" t="s">
        <v>2010</v>
      </c>
      <c r="X1148" s="20" t="s">
        <v>2011</v>
      </c>
      <c r="Y1148" s="20" t="s">
        <v>2012</v>
      </c>
      <c r="Z1148" s="20" t="s">
        <v>2013</v>
      </c>
      <c r="AG1148" s="14" t="s">
        <v>55</v>
      </c>
      <c r="AH1148" s="14" t="s">
        <v>1603</v>
      </c>
      <c r="AI1148" s="14" t="s">
        <v>124</v>
      </c>
    </row>
    <row r="1149" spans="1:37">
      <c r="A1149" s="5" t="s">
        <v>5189</v>
      </c>
      <c r="B1149" s="5" t="s">
        <v>5190</v>
      </c>
      <c r="C1149" s="6" t="s">
        <v>43</v>
      </c>
      <c r="D1149" s="6" t="s">
        <v>2114</v>
      </c>
      <c r="E1149" s="6" t="s">
        <v>1386</v>
      </c>
      <c r="F1149" s="6" t="s">
        <v>46</v>
      </c>
      <c r="G1149" s="6" t="s">
        <v>5191</v>
      </c>
      <c r="H1149" s="7">
        <v>117.61</v>
      </c>
      <c r="I1149" s="19" t="s">
        <v>1589</v>
      </c>
      <c r="J1149" s="19" t="s">
        <v>2001</v>
      </c>
      <c r="K1149" s="6" t="s">
        <v>2177</v>
      </c>
      <c r="L1149" s="6" t="s">
        <v>2178</v>
      </c>
      <c r="M1149" s="6" t="s">
        <v>2179</v>
      </c>
      <c r="N1149" s="6" t="s">
        <v>2180</v>
      </c>
      <c r="O1149" s="6" t="s">
        <v>5192</v>
      </c>
      <c r="P1149" s="6" t="s">
        <v>5193</v>
      </c>
      <c r="Q1149" s="6" t="s">
        <v>5194</v>
      </c>
      <c r="R1149" s="5"/>
      <c r="S1149" s="6"/>
      <c r="T1149" s="6"/>
      <c r="U1149" s="6"/>
      <c r="W1149" s="20" t="s">
        <v>2010</v>
      </c>
      <c r="X1149" s="20" t="s">
        <v>2011</v>
      </c>
      <c r="Y1149" s="20" t="s">
        <v>2012</v>
      </c>
      <c r="Z1149" s="20" t="s">
        <v>2013</v>
      </c>
      <c r="AG1149" s="14" t="s">
        <v>55</v>
      </c>
      <c r="AH1149" s="14" t="s">
        <v>1603</v>
      </c>
      <c r="AI1149" s="14" t="s">
        <v>124</v>
      </c>
    </row>
    <row r="1150" spans="1:37">
      <c r="A1150" s="5" t="s">
        <v>5195</v>
      </c>
      <c r="B1150" s="5" t="s">
        <v>5196</v>
      </c>
      <c r="C1150" s="6" t="s">
        <v>5197</v>
      </c>
      <c r="D1150" s="6" t="s">
        <v>2189</v>
      </c>
      <c r="E1150" s="6" t="s">
        <v>503</v>
      </c>
      <c r="F1150" s="6" t="s">
        <v>46</v>
      </c>
      <c r="G1150" s="6" t="s">
        <v>5198</v>
      </c>
      <c r="H1150" s="7">
        <v>76.73</v>
      </c>
      <c r="I1150" s="19" t="s">
        <v>1589</v>
      </c>
      <c r="J1150" s="19" t="s">
        <v>2191</v>
      </c>
      <c r="K1150" s="5" t="s">
        <v>2192</v>
      </c>
      <c r="L1150" s="5" t="s">
        <v>2193</v>
      </c>
      <c r="M1150" s="5" t="s">
        <v>2194</v>
      </c>
      <c r="N1150" s="5" t="s">
        <v>2195</v>
      </c>
      <c r="O1150" s="5" t="s">
        <v>5199</v>
      </c>
      <c r="P1150" s="5" t="s">
        <v>5200</v>
      </c>
      <c r="Q1150" s="5" t="s">
        <v>5201</v>
      </c>
      <c r="R1150" s="5"/>
      <c r="Y1150" s="5" t="s">
        <v>2086</v>
      </c>
      <c r="AG1150" s="14" t="s">
        <v>55</v>
      </c>
      <c r="AH1150" s="14" t="s">
        <v>1603</v>
      </c>
      <c r="AI1150" s="14" t="s">
        <v>2087</v>
      </c>
    </row>
    <row r="1151" spans="1:37">
      <c r="A1151" s="5" t="s">
        <v>5202</v>
      </c>
      <c r="B1151" s="5" t="s">
        <v>5203</v>
      </c>
      <c r="C1151" s="6" t="s">
        <v>43</v>
      </c>
      <c r="D1151" s="6" t="s">
        <v>2189</v>
      </c>
      <c r="E1151" s="6" t="s">
        <v>2070</v>
      </c>
      <c r="F1151" s="6" t="s">
        <v>46</v>
      </c>
      <c r="G1151" s="6" t="s">
        <v>5204</v>
      </c>
      <c r="H1151" s="7">
        <v>90.68</v>
      </c>
      <c r="I1151" s="19" t="s">
        <v>1589</v>
      </c>
      <c r="J1151" s="19" t="s">
        <v>2191</v>
      </c>
      <c r="K1151" s="5" t="s">
        <v>2218</v>
      </c>
      <c r="L1151" s="5" t="s">
        <v>2219</v>
      </c>
      <c r="M1151" s="5" t="s">
        <v>2220</v>
      </c>
      <c r="N1151" s="5" t="s">
        <v>2221</v>
      </c>
      <c r="O1151" s="5" t="s">
        <v>5205</v>
      </c>
      <c r="P1151" s="5" t="s">
        <v>5206</v>
      </c>
      <c r="Q1151" s="5" t="s">
        <v>5207</v>
      </c>
      <c r="R1151" s="5"/>
      <c r="AG1151" s="14" t="s">
        <v>55</v>
      </c>
      <c r="AH1151" s="14" t="s">
        <v>1603</v>
      </c>
      <c r="AI1151" s="14" t="s">
        <v>2087</v>
      </c>
    </row>
    <row r="1152" spans="1:37">
      <c r="A1152" s="5" t="s">
        <v>5208</v>
      </c>
      <c r="B1152" s="5" t="s">
        <v>5209</v>
      </c>
      <c r="C1152" s="6" t="s">
        <v>2281</v>
      </c>
      <c r="D1152" s="6" t="s">
        <v>1645</v>
      </c>
      <c r="E1152" s="6" t="s">
        <v>1386</v>
      </c>
      <c r="F1152" s="6" t="s">
        <v>46</v>
      </c>
      <c r="G1152" s="6" t="s">
        <v>4259</v>
      </c>
      <c r="H1152" s="7">
        <v>124.45</v>
      </c>
      <c r="I1152" s="19" t="s">
        <v>2283</v>
      </c>
      <c r="J1152" s="19" t="s">
        <v>2284</v>
      </c>
      <c r="K1152" s="6" t="s">
        <v>2285</v>
      </c>
      <c r="L1152" s="6" t="s">
        <v>2286</v>
      </c>
      <c r="M1152" s="6" t="s">
        <v>2287</v>
      </c>
      <c r="N1152" s="6" t="s">
        <v>2288</v>
      </c>
      <c r="O1152" s="6" t="s">
        <v>5210</v>
      </c>
      <c r="P1152" s="6" t="s">
        <v>5211</v>
      </c>
      <c r="Q1152" s="6" t="s">
        <v>5212</v>
      </c>
      <c r="R1152" s="6" t="s">
        <v>5213</v>
      </c>
      <c r="AG1152" s="14" t="s">
        <v>55</v>
      </c>
      <c r="AH1152" s="14" t="s">
        <v>1603</v>
      </c>
      <c r="AI1152" s="14" t="s">
        <v>1603</v>
      </c>
    </row>
    <row r="1153" spans="1:37">
      <c r="A1153" s="5" t="s">
        <v>5214</v>
      </c>
      <c r="B1153" s="5" t="s">
        <v>5209</v>
      </c>
      <c r="C1153" s="6" t="s">
        <v>2281</v>
      </c>
      <c r="D1153" s="6" t="s">
        <v>1645</v>
      </c>
      <c r="E1153" s="6" t="s">
        <v>2065</v>
      </c>
      <c r="F1153" s="6" t="s">
        <v>46</v>
      </c>
      <c r="G1153" s="6" t="s">
        <v>5215</v>
      </c>
      <c r="H1153" s="7">
        <v>124.45</v>
      </c>
      <c r="I1153" s="19" t="s">
        <v>2283</v>
      </c>
      <c r="J1153" s="19" t="s">
        <v>2284</v>
      </c>
      <c r="K1153" s="6" t="s">
        <v>2285</v>
      </c>
      <c r="L1153" s="6" t="s">
        <v>2286</v>
      </c>
      <c r="M1153" s="6" t="s">
        <v>2287</v>
      </c>
      <c r="N1153" s="6" t="s">
        <v>2288</v>
      </c>
      <c r="O1153" s="6" t="s">
        <v>5210</v>
      </c>
      <c r="P1153" s="6" t="s">
        <v>5211</v>
      </c>
      <c r="Q1153" s="6" t="s">
        <v>5212</v>
      </c>
      <c r="R1153" s="6" t="s">
        <v>5213</v>
      </c>
      <c r="AG1153" s="14" t="s">
        <v>55</v>
      </c>
      <c r="AH1153" s="14" t="s">
        <v>1603</v>
      </c>
      <c r="AI1153" s="14" t="s">
        <v>1603</v>
      </c>
    </row>
    <row r="1154" spans="1:37">
      <c r="A1154" s="5" t="s">
        <v>5216</v>
      </c>
      <c r="B1154" s="5" t="s">
        <v>5217</v>
      </c>
      <c r="C1154" s="6" t="s">
        <v>2281</v>
      </c>
      <c r="D1154" s="6" t="s">
        <v>1645</v>
      </c>
      <c r="E1154" s="6" t="s">
        <v>1386</v>
      </c>
      <c r="F1154" s="6" t="s">
        <v>46</v>
      </c>
      <c r="G1154" s="6" t="s">
        <v>5218</v>
      </c>
      <c r="H1154" s="7">
        <v>148</v>
      </c>
      <c r="I1154" s="19" t="s">
        <v>2283</v>
      </c>
      <c r="J1154" s="19" t="s">
        <v>2284</v>
      </c>
      <c r="K1154" s="6" t="s">
        <v>2366</v>
      </c>
      <c r="L1154" s="6" t="s">
        <v>2367</v>
      </c>
      <c r="M1154" s="6" t="s">
        <v>2368</v>
      </c>
      <c r="N1154" s="6" t="s">
        <v>2369</v>
      </c>
      <c r="O1154" s="6" t="s">
        <v>5219</v>
      </c>
      <c r="P1154" s="6" t="s">
        <v>5220</v>
      </c>
      <c r="Q1154" s="6" t="s">
        <v>5221</v>
      </c>
      <c r="R1154" s="6" t="s">
        <v>5222</v>
      </c>
      <c r="AG1154" s="14" t="s">
        <v>55</v>
      </c>
      <c r="AH1154" s="14" t="s">
        <v>1603</v>
      </c>
      <c r="AI1154" s="14" t="s">
        <v>1603</v>
      </c>
    </row>
    <row r="1155" spans="1:37">
      <c r="A1155" s="5" t="s">
        <v>5223</v>
      </c>
      <c r="B1155" s="5" t="s">
        <v>5217</v>
      </c>
      <c r="C1155" s="6" t="s">
        <v>2281</v>
      </c>
      <c r="D1155" s="6" t="s">
        <v>1645</v>
      </c>
      <c r="E1155" s="6" t="s">
        <v>2065</v>
      </c>
      <c r="F1155" s="6" t="s">
        <v>46</v>
      </c>
      <c r="G1155" s="6" t="s">
        <v>5224</v>
      </c>
      <c r="H1155" s="7">
        <v>148</v>
      </c>
      <c r="I1155" s="19" t="s">
        <v>2283</v>
      </c>
      <c r="J1155" s="19" t="s">
        <v>2284</v>
      </c>
      <c r="K1155" s="6" t="s">
        <v>2366</v>
      </c>
      <c r="L1155" s="6" t="s">
        <v>2367</v>
      </c>
      <c r="M1155" s="6" t="s">
        <v>2368</v>
      </c>
      <c r="N1155" s="6" t="s">
        <v>2369</v>
      </c>
      <c r="O1155" s="6" t="s">
        <v>5219</v>
      </c>
      <c r="P1155" s="6" t="s">
        <v>5220</v>
      </c>
      <c r="Q1155" s="6" t="s">
        <v>5221</v>
      </c>
      <c r="R1155" s="6" t="s">
        <v>5222</v>
      </c>
      <c r="AG1155" s="14" t="s">
        <v>55</v>
      </c>
      <c r="AH1155" s="14" t="s">
        <v>1603</v>
      </c>
      <c r="AI1155" s="14" t="s">
        <v>1603</v>
      </c>
    </row>
    <row r="1156" spans="1:37">
      <c r="A1156" s="5" t="s">
        <v>5225</v>
      </c>
      <c r="B1156" s="5" t="s">
        <v>5226</v>
      </c>
      <c r="C1156" s="6" t="s">
        <v>2281</v>
      </c>
      <c r="D1156" s="6" t="s">
        <v>1645</v>
      </c>
      <c r="E1156" s="6" t="s">
        <v>1386</v>
      </c>
      <c r="F1156" s="6" t="s">
        <v>46</v>
      </c>
      <c r="G1156" s="6" t="s">
        <v>5227</v>
      </c>
      <c r="H1156" s="7">
        <v>108.11</v>
      </c>
      <c r="I1156" s="19" t="s">
        <v>2283</v>
      </c>
      <c r="J1156" s="19" t="s">
        <v>2512</v>
      </c>
      <c r="K1156" s="6" t="s">
        <v>2513</v>
      </c>
      <c r="L1156" s="6" t="s">
        <v>2514</v>
      </c>
      <c r="M1156" s="6" t="s">
        <v>2515</v>
      </c>
      <c r="N1156" s="6" t="s">
        <v>2516</v>
      </c>
      <c r="O1156" s="6" t="s">
        <v>5228</v>
      </c>
      <c r="P1156" s="6" t="s">
        <v>5229</v>
      </c>
      <c r="Q1156" s="6" t="s">
        <v>5230</v>
      </c>
      <c r="R1156" s="6" t="s">
        <v>5231</v>
      </c>
      <c r="AG1156" s="14" t="s">
        <v>55</v>
      </c>
      <c r="AH1156" s="14" t="s">
        <v>1603</v>
      </c>
      <c r="AI1156" s="14" t="s">
        <v>1603</v>
      </c>
    </row>
    <row r="1157" spans="1:37">
      <c r="A1157" s="5" t="s">
        <v>5232</v>
      </c>
      <c r="B1157" s="5" t="s">
        <v>5226</v>
      </c>
      <c r="C1157" s="6" t="s">
        <v>2281</v>
      </c>
      <c r="D1157" s="6" t="s">
        <v>1645</v>
      </c>
      <c r="E1157" s="6" t="s">
        <v>2065</v>
      </c>
      <c r="F1157" s="6" t="s">
        <v>46</v>
      </c>
      <c r="G1157" s="6" t="s">
        <v>5233</v>
      </c>
      <c r="H1157" s="7">
        <v>108.11</v>
      </c>
      <c r="I1157" s="19" t="s">
        <v>2283</v>
      </c>
      <c r="J1157" s="19" t="s">
        <v>2512</v>
      </c>
      <c r="K1157" s="6" t="s">
        <v>2513</v>
      </c>
      <c r="L1157" s="6" t="s">
        <v>2514</v>
      </c>
      <c r="M1157" s="6" t="s">
        <v>2515</v>
      </c>
      <c r="N1157" s="6" t="s">
        <v>2516</v>
      </c>
      <c r="O1157" s="6" t="s">
        <v>5234</v>
      </c>
      <c r="P1157" s="6" t="s">
        <v>5235</v>
      </c>
      <c r="Q1157" s="6" t="s">
        <v>5236</v>
      </c>
      <c r="R1157" s="6" t="s">
        <v>5237</v>
      </c>
      <c r="AG1157" s="14" t="s">
        <v>55</v>
      </c>
      <c r="AH1157" s="14" t="s">
        <v>1603</v>
      </c>
      <c r="AI1157" s="14" t="s">
        <v>1603</v>
      </c>
    </row>
    <row r="1158" spans="1:37">
      <c r="A1158" s="5" t="s">
        <v>5238</v>
      </c>
      <c r="B1158" s="5" t="s">
        <v>5239</v>
      </c>
      <c r="C1158" s="6" t="s">
        <v>2281</v>
      </c>
      <c r="D1158" s="6" t="s">
        <v>1645</v>
      </c>
      <c r="E1158" s="6" t="s">
        <v>1386</v>
      </c>
      <c r="F1158" s="6" t="s">
        <v>46</v>
      </c>
      <c r="G1158" s="6" t="s">
        <v>5240</v>
      </c>
      <c r="H1158" s="7">
        <v>129.88999999999999</v>
      </c>
      <c r="I1158" s="19" t="s">
        <v>2283</v>
      </c>
      <c r="J1158" s="19" t="s">
        <v>2512</v>
      </c>
      <c r="K1158" s="6" t="s">
        <v>2616</v>
      </c>
      <c r="L1158" s="6" t="s">
        <v>2617</v>
      </c>
      <c r="M1158" s="6" t="s">
        <v>2618</v>
      </c>
      <c r="N1158" s="6" t="s">
        <v>2619</v>
      </c>
      <c r="O1158" s="6" t="s">
        <v>5241</v>
      </c>
      <c r="P1158" s="6" t="s">
        <v>5242</v>
      </c>
      <c r="Q1158" s="6" t="s">
        <v>5243</v>
      </c>
      <c r="R1158" s="6" t="s">
        <v>5244</v>
      </c>
      <c r="AG1158" s="14" t="s">
        <v>55</v>
      </c>
      <c r="AH1158" s="14" t="s">
        <v>1603</v>
      </c>
      <c r="AI1158" s="14" t="s">
        <v>1603</v>
      </c>
    </row>
    <row r="1159" spans="1:37">
      <c r="A1159" s="5" t="s">
        <v>5245</v>
      </c>
      <c r="B1159" s="5" t="s">
        <v>5239</v>
      </c>
      <c r="C1159" s="6" t="s">
        <v>2281</v>
      </c>
      <c r="D1159" s="6" t="s">
        <v>1645</v>
      </c>
      <c r="E1159" s="6" t="s">
        <v>2065</v>
      </c>
      <c r="F1159" s="6" t="s">
        <v>46</v>
      </c>
      <c r="G1159" s="6" t="s">
        <v>5246</v>
      </c>
      <c r="H1159" s="7">
        <v>128.88999999999999</v>
      </c>
      <c r="I1159" s="19" t="s">
        <v>2283</v>
      </c>
      <c r="J1159" s="19" t="s">
        <v>2512</v>
      </c>
      <c r="K1159" s="6" t="s">
        <v>2616</v>
      </c>
      <c r="L1159" s="6" t="s">
        <v>2617</v>
      </c>
      <c r="M1159" s="6" t="s">
        <v>2618</v>
      </c>
      <c r="N1159" s="6" t="s">
        <v>2619</v>
      </c>
      <c r="O1159" s="6" t="s">
        <v>5247</v>
      </c>
      <c r="P1159" s="6" t="s">
        <v>5248</v>
      </c>
      <c r="Q1159" s="6" t="s">
        <v>5249</v>
      </c>
      <c r="R1159" s="6" t="s">
        <v>5250</v>
      </c>
      <c r="AG1159" s="14" t="s">
        <v>55</v>
      </c>
      <c r="AH1159" s="14" t="s">
        <v>1603</v>
      </c>
      <c r="AI1159" s="14" t="s">
        <v>1603</v>
      </c>
    </row>
    <row r="1160" spans="1:37">
      <c r="A1160" s="6" t="s">
        <v>5251</v>
      </c>
      <c r="B1160" s="6" t="s">
        <v>5252</v>
      </c>
      <c r="C1160" s="6" t="s">
        <v>43</v>
      </c>
      <c r="D1160" s="6" t="s">
        <v>239</v>
      </c>
      <c r="E1160" s="6" t="s">
        <v>5253</v>
      </c>
      <c r="F1160" s="6" t="s">
        <v>46</v>
      </c>
      <c r="G1160" s="6" t="s">
        <v>5254</v>
      </c>
      <c r="I1160" s="19" t="s">
        <v>48</v>
      </c>
      <c r="J1160" s="19" t="s">
        <v>48</v>
      </c>
      <c r="K1160" s="6"/>
      <c r="L1160" s="6"/>
      <c r="M1160" s="6"/>
      <c r="N1160" s="6"/>
      <c r="O1160" s="6"/>
      <c r="P1160" s="6"/>
      <c r="Q1160" s="6"/>
      <c r="R1160" s="6"/>
      <c r="S1160" s="6"/>
      <c r="T1160" s="6"/>
      <c r="U1160" s="6"/>
      <c r="V1160" s="6"/>
      <c r="W1160" s="6"/>
      <c r="X1160" s="6"/>
      <c r="Y1160" s="6"/>
      <c r="Z1160" s="6"/>
      <c r="AA1160" s="6"/>
      <c r="AB1160" s="6"/>
      <c r="AC1160" s="6"/>
      <c r="AD1160" s="6"/>
      <c r="AE1160" s="6"/>
      <c r="AF1160" s="6"/>
      <c r="AG1160" s="15" t="s">
        <v>55</v>
      </c>
      <c r="AH1160" s="15"/>
      <c r="AI1160" s="15"/>
      <c r="AJ1160" s="6"/>
      <c r="AK1160" s="6"/>
    </row>
    <row r="1161" spans="1:37" s="6" customFormat="1">
      <c r="A1161" s="5" t="s">
        <v>5255</v>
      </c>
      <c r="B1161" s="5" t="s">
        <v>5256</v>
      </c>
      <c r="C1161" s="6" t="s">
        <v>43</v>
      </c>
      <c r="D1161" s="6" t="s">
        <v>1390</v>
      </c>
      <c r="E1161" s="6" t="s">
        <v>1386</v>
      </c>
      <c r="F1161" s="6" t="s">
        <v>46</v>
      </c>
      <c r="G1161" s="6" t="s">
        <v>5257</v>
      </c>
      <c r="H1161" s="7">
        <v>116.6</v>
      </c>
      <c r="I1161" s="19" t="s">
        <v>1589</v>
      </c>
      <c r="J1161" s="19" t="s">
        <v>5258</v>
      </c>
      <c r="K1161" s="5" t="s">
        <v>2651</v>
      </c>
      <c r="L1161" s="5" t="s">
        <v>2652</v>
      </c>
      <c r="M1161" s="5" t="s">
        <v>2653</v>
      </c>
      <c r="N1161" s="5" t="s">
        <v>2654</v>
      </c>
      <c r="O1161" s="5" t="s">
        <v>5259</v>
      </c>
      <c r="P1161" s="5" t="s">
        <v>5260</v>
      </c>
      <c r="Q1161" s="5" t="s">
        <v>5261</v>
      </c>
      <c r="R1161" s="5" t="s">
        <v>5262</v>
      </c>
      <c r="S1161" s="5"/>
      <c r="T1161" s="5"/>
      <c r="U1161" s="5"/>
      <c r="V1161" s="5"/>
      <c r="W1161" s="5" t="s">
        <v>2010</v>
      </c>
      <c r="X1161" s="5" t="s">
        <v>2011</v>
      </c>
      <c r="Y1161" s="5" t="s">
        <v>2012</v>
      </c>
      <c r="Z1161" s="5" t="s">
        <v>2013</v>
      </c>
      <c r="AA1161" s="5"/>
      <c r="AB1161" s="5"/>
      <c r="AC1161" s="5"/>
      <c r="AD1161" s="5"/>
      <c r="AE1161" s="5"/>
      <c r="AF1161" s="5"/>
      <c r="AG1161" s="14" t="s">
        <v>55</v>
      </c>
      <c r="AH1161" s="14" t="s">
        <v>1603</v>
      </c>
      <c r="AI1161" s="14" t="s">
        <v>124</v>
      </c>
      <c r="AJ1161" s="5"/>
      <c r="AK1161" s="5"/>
    </row>
    <row r="1162" spans="1:37">
      <c r="A1162" s="5" t="s">
        <v>5263</v>
      </c>
      <c r="B1162" s="5" t="s">
        <v>5264</v>
      </c>
      <c r="C1162" s="6" t="s">
        <v>43</v>
      </c>
      <c r="D1162" s="6" t="s">
        <v>1390</v>
      </c>
      <c r="E1162" s="6" t="s">
        <v>1386</v>
      </c>
      <c r="F1162" s="6" t="s">
        <v>46</v>
      </c>
      <c r="G1162" s="6" t="s">
        <v>5265</v>
      </c>
      <c r="H1162" s="7">
        <v>158.4</v>
      </c>
      <c r="I1162" s="19" t="s">
        <v>1589</v>
      </c>
      <c r="J1162" s="19" t="s">
        <v>5258</v>
      </c>
      <c r="K1162" s="5" t="s">
        <v>2662</v>
      </c>
      <c r="L1162" s="5" t="s">
        <v>2663</v>
      </c>
      <c r="M1162" s="5" t="s">
        <v>2664</v>
      </c>
      <c r="N1162" s="5" t="s">
        <v>2665</v>
      </c>
      <c r="O1162" s="5" t="s">
        <v>5266</v>
      </c>
      <c r="P1162" s="5" t="s">
        <v>5260</v>
      </c>
      <c r="Q1162" s="5" t="s">
        <v>5267</v>
      </c>
      <c r="R1162" s="5" t="s">
        <v>5268</v>
      </c>
      <c r="W1162" s="5" t="s">
        <v>2010</v>
      </c>
      <c r="X1162" s="5" t="s">
        <v>2011</v>
      </c>
      <c r="Y1162" s="5" t="s">
        <v>2012</v>
      </c>
      <c r="Z1162" s="5" t="s">
        <v>2013</v>
      </c>
      <c r="AG1162" s="14" t="s">
        <v>55</v>
      </c>
      <c r="AH1162" s="14" t="s">
        <v>1603</v>
      </c>
      <c r="AI1162" s="14" t="s">
        <v>124</v>
      </c>
    </row>
    <row r="1163" spans="1:37">
      <c r="A1163" s="5" t="s">
        <v>5269</v>
      </c>
      <c r="B1163" s="5" t="s">
        <v>5270</v>
      </c>
      <c r="C1163" s="6" t="s">
        <v>5271</v>
      </c>
      <c r="D1163" s="6" t="s">
        <v>1390</v>
      </c>
      <c r="E1163" s="6" t="s">
        <v>1386</v>
      </c>
      <c r="F1163" s="6" t="s">
        <v>46</v>
      </c>
      <c r="G1163" s="6" t="s">
        <v>5272</v>
      </c>
      <c r="H1163" s="7">
        <v>59.3</v>
      </c>
      <c r="I1163" s="19" t="s">
        <v>1589</v>
      </c>
      <c r="J1163" s="19" t="s">
        <v>2650</v>
      </c>
      <c r="K1163" s="20" t="s">
        <v>2651</v>
      </c>
      <c r="L1163" s="20" t="s">
        <v>2652</v>
      </c>
      <c r="M1163" s="20" t="s">
        <v>2653</v>
      </c>
      <c r="N1163" s="20" t="s">
        <v>2654</v>
      </c>
      <c r="O1163" s="20" t="s">
        <v>5273</v>
      </c>
      <c r="P1163" s="20" t="s">
        <v>5274</v>
      </c>
      <c r="Q1163" s="20" t="s">
        <v>5275</v>
      </c>
      <c r="R1163" s="5" t="s">
        <v>5276</v>
      </c>
      <c r="W1163" s="20" t="s">
        <v>2010</v>
      </c>
      <c r="X1163" s="20" t="s">
        <v>2011</v>
      </c>
      <c r="Y1163" s="20" t="s">
        <v>2012</v>
      </c>
      <c r="Z1163" s="20" t="s">
        <v>2013</v>
      </c>
      <c r="AG1163" s="14" t="s">
        <v>55</v>
      </c>
      <c r="AH1163" s="14" t="s">
        <v>1603</v>
      </c>
      <c r="AI1163" s="14" t="s">
        <v>124</v>
      </c>
    </row>
    <row r="1164" spans="1:37">
      <c r="A1164" s="5" t="s">
        <v>5277</v>
      </c>
      <c r="B1164" s="5" t="s">
        <v>5278</v>
      </c>
      <c r="C1164" s="6" t="s">
        <v>43</v>
      </c>
      <c r="D1164" s="6" t="s">
        <v>1390</v>
      </c>
      <c r="E1164" s="6" t="s">
        <v>1386</v>
      </c>
      <c r="F1164" s="6" t="s">
        <v>46</v>
      </c>
      <c r="G1164" s="6" t="s">
        <v>5279</v>
      </c>
      <c r="H1164" s="7">
        <v>77.22</v>
      </c>
      <c r="I1164" s="19" t="s">
        <v>1589</v>
      </c>
      <c r="J1164" s="19" t="s">
        <v>2650</v>
      </c>
      <c r="K1164" s="20" t="s">
        <v>2662</v>
      </c>
      <c r="L1164" s="20" t="s">
        <v>2663</v>
      </c>
      <c r="M1164" s="20" t="s">
        <v>2664</v>
      </c>
      <c r="N1164" s="20" t="s">
        <v>2665</v>
      </c>
      <c r="O1164" s="20" t="s">
        <v>5280</v>
      </c>
      <c r="P1164" s="20" t="s">
        <v>5281</v>
      </c>
      <c r="Q1164" s="20" t="s">
        <v>5282</v>
      </c>
      <c r="R1164" s="5" t="s">
        <v>5283</v>
      </c>
      <c r="W1164" s="20" t="s">
        <v>2010</v>
      </c>
      <c r="X1164" s="20" t="s">
        <v>2011</v>
      </c>
      <c r="Y1164" s="20" t="s">
        <v>2012</v>
      </c>
      <c r="Z1164" s="20" t="s">
        <v>2013</v>
      </c>
      <c r="AG1164" s="14" t="s">
        <v>55</v>
      </c>
      <c r="AH1164" s="14" t="s">
        <v>1603</v>
      </c>
      <c r="AI1164" s="14" t="s">
        <v>124</v>
      </c>
    </row>
    <row r="1165" spans="1:37">
      <c r="A1165" s="5" t="s">
        <v>5284</v>
      </c>
      <c r="B1165" s="5" t="s">
        <v>5285</v>
      </c>
      <c r="C1165" s="6" t="s">
        <v>43</v>
      </c>
      <c r="D1165" s="6" t="s">
        <v>1390</v>
      </c>
      <c r="E1165" s="6" t="s">
        <v>1386</v>
      </c>
      <c r="F1165" s="6" t="s">
        <v>46</v>
      </c>
      <c r="G1165" s="6" t="s">
        <v>5286</v>
      </c>
      <c r="H1165" s="7">
        <v>74.650000000000006</v>
      </c>
      <c r="I1165" s="19" t="s">
        <v>1589</v>
      </c>
      <c r="J1165" s="19" t="s">
        <v>2650</v>
      </c>
      <c r="K1165" s="5" t="s">
        <v>2674</v>
      </c>
      <c r="L1165" s="5" t="s">
        <v>2675</v>
      </c>
      <c r="M1165" s="5" t="s">
        <v>2676</v>
      </c>
      <c r="N1165" s="5" t="s">
        <v>2677</v>
      </c>
      <c r="O1165" s="5" t="s">
        <v>5287</v>
      </c>
      <c r="P1165" s="5" t="s">
        <v>5288</v>
      </c>
      <c r="Q1165" s="5" t="s">
        <v>5289</v>
      </c>
      <c r="R1165" s="5" t="s">
        <v>5290</v>
      </c>
      <c r="AG1165" s="14" t="s">
        <v>55</v>
      </c>
      <c r="AH1165" s="14" t="s">
        <v>1603</v>
      </c>
      <c r="AI1165" s="14" t="s">
        <v>2087</v>
      </c>
    </row>
    <row r="1166" spans="1:37">
      <c r="A1166" s="5" t="s">
        <v>5291</v>
      </c>
      <c r="B1166" s="5" t="s">
        <v>5292</v>
      </c>
      <c r="C1166" s="6" t="s">
        <v>4963</v>
      </c>
      <c r="D1166" s="6" t="s">
        <v>1390</v>
      </c>
      <c r="E1166" s="6" t="s">
        <v>1386</v>
      </c>
      <c r="F1166" s="6" t="s">
        <v>46</v>
      </c>
      <c r="G1166" s="6" t="s">
        <v>5293</v>
      </c>
      <c r="H1166" s="7">
        <v>90.78</v>
      </c>
      <c r="I1166" s="19" t="s">
        <v>1589</v>
      </c>
      <c r="J1166" s="19" t="s">
        <v>2650</v>
      </c>
      <c r="K1166" s="5" t="s">
        <v>2685</v>
      </c>
      <c r="L1166" s="5" t="s">
        <v>2686</v>
      </c>
      <c r="M1166" s="5" t="s">
        <v>2687</v>
      </c>
      <c r="N1166" s="5" t="s">
        <v>2688</v>
      </c>
      <c r="O1166" s="5" t="s">
        <v>5294</v>
      </c>
      <c r="P1166" s="5" t="s">
        <v>5295</v>
      </c>
      <c r="Q1166" s="5" t="s">
        <v>5296</v>
      </c>
      <c r="R1166" s="5" t="s">
        <v>5297</v>
      </c>
      <c r="AG1166" s="14" t="s">
        <v>55</v>
      </c>
      <c r="AH1166" s="14" t="s">
        <v>1603</v>
      </c>
      <c r="AI1166" s="14" t="s">
        <v>2087</v>
      </c>
    </row>
    <row r="1167" spans="1:37">
      <c r="A1167" s="5" t="s">
        <v>5298</v>
      </c>
      <c r="B1167" s="5" t="s">
        <v>5299</v>
      </c>
      <c r="C1167" s="6" t="s">
        <v>43</v>
      </c>
      <c r="D1167" s="6" t="s">
        <v>239</v>
      </c>
      <c r="E1167" s="6" t="s">
        <v>1386</v>
      </c>
      <c r="F1167" s="6" t="s">
        <v>46</v>
      </c>
      <c r="G1167" s="6" t="s">
        <v>5300</v>
      </c>
      <c r="H1167" s="7">
        <v>40.590000000000003</v>
      </c>
      <c r="I1167" s="19" t="s">
        <v>1589</v>
      </c>
      <c r="J1167" s="19" t="s">
        <v>2696</v>
      </c>
      <c r="K1167" s="5" t="s">
        <v>2697</v>
      </c>
      <c r="L1167" s="5" t="s">
        <v>2698</v>
      </c>
      <c r="M1167" s="5" t="s">
        <v>2699</v>
      </c>
      <c r="N1167" s="5" t="s">
        <v>2700</v>
      </c>
      <c r="O1167" s="5" t="s">
        <v>5301</v>
      </c>
      <c r="P1167" s="5" t="s">
        <v>5302</v>
      </c>
      <c r="Q1167" s="5" t="s">
        <v>5303</v>
      </c>
      <c r="R1167" s="5" t="s">
        <v>5304</v>
      </c>
      <c r="AG1167" s="14" t="s">
        <v>55</v>
      </c>
      <c r="AH1167" s="14" t="s">
        <v>1603</v>
      </c>
      <c r="AI1167" s="14" t="s">
        <v>1604</v>
      </c>
    </row>
    <row r="1168" spans="1:37">
      <c r="A1168" s="5" t="s">
        <v>5305</v>
      </c>
      <c r="B1168" s="5" t="s">
        <v>5306</v>
      </c>
      <c r="C1168" s="6" t="s">
        <v>43</v>
      </c>
      <c r="D1168" s="6" t="s">
        <v>239</v>
      </c>
      <c r="E1168" s="6" t="s">
        <v>1386</v>
      </c>
      <c r="F1168" s="6" t="s">
        <v>46</v>
      </c>
      <c r="G1168" s="6" t="s">
        <v>4691</v>
      </c>
      <c r="H1168" s="7">
        <v>46.24</v>
      </c>
      <c r="I1168" s="19" t="s">
        <v>1589</v>
      </c>
      <c r="J1168" s="19" t="s">
        <v>2696</v>
      </c>
      <c r="K1168" s="5" t="s">
        <v>2733</v>
      </c>
      <c r="L1168" s="5" t="s">
        <v>2734</v>
      </c>
      <c r="M1168" s="5" t="s">
        <v>2735</v>
      </c>
      <c r="N1168" s="5" t="s">
        <v>2736</v>
      </c>
      <c r="O1168" s="5" t="s">
        <v>5307</v>
      </c>
      <c r="P1168" s="5" t="s">
        <v>5308</v>
      </c>
      <c r="Q1168" s="5" t="s">
        <v>5309</v>
      </c>
      <c r="R1168" s="5" t="s">
        <v>5310</v>
      </c>
      <c r="AG1168" s="14" t="s">
        <v>55</v>
      </c>
      <c r="AH1168" s="14" t="s">
        <v>1603</v>
      </c>
      <c r="AI1168" s="14" t="s">
        <v>1604</v>
      </c>
    </row>
    <row r="1169" spans="1:37">
      <c r="A1169" s="5" t="s">
        <v>5311</v>
      </c>
      <c r="B1169" s="5" t="s">
        <v>5312</v>
      </c>
      <c r="C1169" s="6" t="s">
        <v>43</v>
      </c>
      <c r="D1169" s="6" t="s">
        <v>239</v>
      </c>
      <c r="E1169" s="6" t="s">
        <v>2065</v>
      </c>
      <c r="F1169" s="6" t="s">
        <v>46</v>
      </c>
      <c r="G1169" s="6" t="s">
        <v>5313</v>
      </c>
      <c r="H1169" s="7">
        <v>69</v>
      </c>
      <c r="I1169" s="19" t="s">
        <v>1589</v>
      </c>
      <c r="J1169" s="19" t="s">
        <v>2696</v>
      </c>
      <c r="K1169" s="5" t="s">
        <v>2774</v>
      </c>
      <c r="L1169" s="5" t="s">
        <v>2775</v>
      </c>
      <c r="M1169" s="5" t="s">
        <v>2776</v>
      </c>
      <c r="N1169" s="5" t="s">
        <v>2777</v>
      </c>
      <c r="O1169" s="5" t="s">
        <v>5314</v>
      </c>
      <c r="P1169" s="5" t="s">
        <v>5315</v>
      </c>
      <c r="Q1169" s="5" t="s">
        <v>5316</v>
      </c>
      <c r="R1169" s="5" t="s">
        <v>5317</v>
      </c>
      <c r="AG1169" s="14" t="s">
        <v>55</v>
      </c>
      <c r="AH1169" s="14" t="s">
        <v>1603</v>
      </c>
      <c r="AI1169" s="14" t="s">
        <v>1604</v>
      </c>
    </row>
    <row r="1170" spans="1:37">
      <c r="A1170" s="5" t="s">
        <v>5318</v>
      </c>
      <c r="B1170" s="5" t="s">
        <v>5319</v>
      </c>
      <c r="C1170" s="6" t="s">
        <v>43</v>
      </c>
      <c r="D1170" s="6" t="s">
        <v>239</v>
      </c>
      <c r="E1170" s="6" t="s">
        <v>2047</v>
      </c>
      <c r="F1170" s="6" t="s">
        <v>46</v>
      </c>
      <c r="G1170" s="6" t="s">
        <v>5320</v>
      </c>
      <c r="H1170" s="7">
        <v>70.48</v>
      </c>
      <c r="I1170" s="19" t="s">
        <v>1589</v>
      </c>
      <c r="J1170" s="19" t="s">
        <v>2696</v>
      </c>
      <c r="K1170" s="5" t="s">
        <v>2790</v>
      </c>
      <c r="L1170" s="5" t="s">
        <v>2791</v>
      </c>
      <c r="M1170" s="5" t="s">
        <v>2792</v>
      </c>
      <c r="N1170" s="5" t="s">
        <v>2793</v>
      </c>
      <c r="O1170" s="5" t="s">
        <v>5321</v>
      </c>
      <c r="P1170" s="5" t="s">
        <v>5322</v>
      </c>
      <c r="Q1170" s="5" t="s">
        <v>5323</v>
      </c>
      <c r="R1170" s="5" t="s">
        <v>5324</v>
      </c>
      <c r="AG1170" s="14" t="s">
        <v>55</v>
      </c>
      <c r="AH1170" s="14" t="s">
        <v>1603</v>
      </c>
      <c r="AI1170" s="14" t="s">
        <v>1604</v>
      </c>
    </row>
    <row r="1171" spans="1:37">
      <c r="A1171" s="5" t="s">
        <v>5325</v>
      </c>
      <c r="B1171" s="5" t="s">
        <v>5326</v>
      </c>
      <c r="C1171" s="6" t="s">
        <v>43</v>
      </c>
      <c r="D1171" s="6" t="s">
        <v>239</v>
      </c>
      <c r="E1171" s="6" t="s">
        <v>2047</v>
      </c>
      <c r="F1171" s="6" t="s">
        <v>46</v>
      </c>
      <c r="G1171" s="6" t="s">
        <v>5327</v>
      </c>
      <c r="H1171" s="7">
        <v>72.67</v>
      </c>
      <c r="I1171" s="19" t="s">
        <v>1589</v>
      </c>
      <c r="J1171" s="19" t="s">
        <v>2696</v>
      </c>
      <c r="K1171" s="5" t="s">
        <v>2809</v>
      </c>
      <c r="L1171" s="5" t="s">
        <v>2810</v>
      </c>
      <c r="M1171" s="5" t="s">
        <v>2811</v>
      </c>
      <c r="N1171" s="5" t="s">
        <v>2812</v>
      </c>
      <c r="O1171" s="5" t="s">
        <v>5328</v>
      </c>
      <c r="P1171" s="5" t="s">
        <v>5329</v>
      </c>
      <c r="Q1171" s="5" t="s">
        <v>5330</v>
      </c>
      <c r="R1171" s="5" t="s">
        <v>5331</v>
      </c>
      <c r="AG1171" s="14" t="s">
        <v>55</v>
      </c>
      <c r="AH1171" s="14" t="s">
        <v>1603</v>
      </c>
      <c r="AI1171" s="14" t="s">
        <v>1604</v>
      </c>
    </row>
    <row r="1172" spans="1:37">
      <c r="A1172" s="5" t="s">
        <v>5332</v>
      </c>
      <c r="B1172" s="5" t="s">
        <v>5326</v>
      </c>
      <c r="C1172" s="6" t="s">
        <v>43</v>
      </c>
      <c r="D1172" s="6" t="s">
        <v>239</v>
      </c>
      <c r="E1172" s="6" t="s">
        <v>1540</v>
      </c>
      <c r="F1172" s="6" t="s">
        <v>46</v>
      </c>
      <c r="G1172" s="6" t="s">
        <v>5333</v>
      </c>
      <c r="H1172" s="7">
        <v>72.67</v>
      </c>
      <c r="I1172" s="19" t="s">
        <v>1589</v>
      </c>
      <c r="J1172" s="19" t="s">
        <v>2696</v>
      </c>
      <c r="K1172" s="5" t="s">
        <v>2809</v>
      </c>
      <c r="L1172" s="5" t="s">
        <v>2810</v>
      </c>
      <c r="M1172" s="5" t="s">
        <v>2811</v>
      </c>
      <c r="N1172" s="5" t="s">
        <v>2812</v>
      </c>
      <c r="O1172" s="5" t="s">
        <v>5328</v>
      </c>
      <c r="P1172" s="5" t="s">
        <v>5329</v>
      </c>
      <c r="Q1172" s="5" t="s">
        <v>5330</v>
      </c>
      <c r="R1172" s="5" t="s">
        <v>5331</v>
      </c>
      <c r="AG1172" s="14" t="s">
        <v>55</v>
      </c>
      <c r="AH1172" s="14" t="s">
        <v>1603</v>
      </c>
      <c r="AI1172" s="14" t="s">
        <v>1604</v>
      </c>
    </row>
    <row r="1173" spans="1:37">
      <c r="A1173" s="5" t="s">
        <v>5334</v>
      </c>
      <c r="B1173" s="5" t="s">
        <v>5326</v>
      </c>
      <c r="C1173" s="6" t="s">
        <v>2822</v>
      </c>
      <c r="D1173" s="6" t="s">
        <v>239</v>
      </c>
      <c r="E1173" s="6" t="s">
        <v>2065</v>
      </c>
      <c r="F1173" s="6" t="s">
        <v>46</v>
      </c>
      <c r="G1173" s="6" t="s">
        <v>5335</v>
      </c>
      <c r="H1173" s="7">
        <v>72.67</v>
      </c>
      <c r="I1173" s="19" t="s">
        <v>1589</v>
      </c>
      <c r="J1173" s="19" t="s">
        <v>2696</v>
      </c>
      <c r="K1173" s="5" t="s">
        <v>2809</v>
      </c>
      <c r="L1173" s="5" t="s">
        <v>2810</v>
      </c>
      <c r="M1173" s="5" t="s">
        <v>2811</v>
      </c>
      <c r="N1173" s="5" t="s">
        <v>2812</v>
      </c>
      <c r="O1173" s="5" t="s">
        <v>5328</v>
      </c>
      <c r="P1173" s="5" t="s">
        <v>5329</v>
      </c>
      <c r="Q1173" s="5" t="s">
        <v>5330</v>
      </c>
      <c r="R1173" s="5" t="s">
        <v>5331</v>
      </c>
      <c r="AG1173" s="14" t="s">
        <v>55</v>
      </c>
      <c r="AH1173" s="14" t="s">
        <v>1603</v>
      </c>
      <c r="AI1173" s="14" t="s">
        <v>1604</v>
      </c>
    </row>
    <row r="1174" spans="1:37">
      <c r="A1174" s="6" t="s">
        <v>5336</v>
      </c>
      <c r="B1174" s="6" t="s">
        <v>5337</v>
      </c>
      <c r="C1174" s="6" t="s">
        <v>43</v>
      </c>
      <c r="D1174" s="6" t="s">
        <v>239</v>
      </c>
      <c r="E1174" s="6" t="s">
        <v>2047</v>
      </c>
      <c r="F1174" s="6" t="s">
        <v>46</v>
      </c>
      <c r="G1174" s="6" t="s">
        <v>3428</v>
      </c>
      <c r="I1174" s="6" t="s">
        <v>48</v>
      </c>
      <c r="J1174" s="6" t="s">
        <v>48</v>
      </c>
      <c r="K1174" s="6"/>
      <c r="L1174" s="6"/>
      <c r="M1174" s="6"/>
      <c r="N1174" s="6"/>
      <c r="O1174" s="6"/>
      <c r="P1174" s="6"/>
      <c r="Q1174" s="6"/>
      <c r="R1174" s="6"/>
      <c r="S1174" s="6"/>
      <c r="T1174" s="6"/>
      <c r="U1174" s="6"/>
      <c r="V1174" s="6"/>
      <c r="W1174" s="6"/>
      <c r="X1174" s="6"/>
      <c r="Y1174" s="6"/>
      <c r="Z1174" s="6"/>
      <c r="AA1174" s="6"/>
      <c r="AB1174" s="6"/>
      <c r="AC1174" s="6"/>
      <c r="AD1174" s="6"/>
      <c r="AE1174" s="6"/>
      <c r="AF1174" s="6"/>
      <c r="AG1174" s="15" t="s">
        <v>55</v>
      </c>
      <c r="AH1174" s="15"/>
      <c r="AI1174" s="15"/>
      <c r="AJ1174" s="6"/>
      <c r="AK1174" s="6"/>
    </row>
    <row r="1175" spans="1:37" s="6" customFormat="1">
      <c r="A1175" s="6" t="s">
        <v>5338</v>
      </c>
      <c r="B1175" s="6" t="s">
        <v>5339</v>
      </c>
      <c r="C1175" s="6" t="s">
        <v>43</v>
      </c>
      <c r="D1175" s="6" t="s">
        <v>239</v>
      </c>
      <c r="E1175" s="6" t="s">
        <v>2047</v>
      </c>
      <c r="F1175" s="6" t="s">
        <v>46</v>
      </c>
      <c r="G1175" s="6" t="s">
        <v>3923</v>
      </c>
      <c r="H1175" s="7"/>
      <c r="I1175" s="16" t="s">
        <v>48</v>
      </c>
      <c r="J1175" s="16" t="s">
        <v>48</v>
      </c>
      <c r="AG1175" s="15" t="s">
        <v>55</v>
      </c>
      <c r="AH1175" s="15"/>
      <c r="AI1175" s="15"/>
    </row>
    <row r="1176" spans="1:37" s="6" customFormat="1">
      <c r="A1176" s="6" t="s">
        <v>5340</v>
      </c>
      <c r="B1176" s="6" t="s">
        <v>5341</v>
      </c>
      <c r="C1176" s="6" t="s">
        <v>43</v>
      </c>
      <c r="D1176" s="6" t="s">
        <v>239</v>
      </c>
      <c r="E1176" s="6" t="s">
        <v>1540</v>
      </c>
      <c r="F1176" s="6" t="s">
        <v>46</v>
      </c>
      <c r="G1176" s="6" t="s">
        <v>5342</v>
      </c>
      <c r="H1176" s="7"/>
      <c r="I1176" s="16" t="s">
        <v>48</v>
      </c>
      <c r="J1176" s="16" t="s">
        <v>48</v>
      </c>
      <c r="AG1176" s="15" t="s">
        <v>55</v>
      </c>
      <c r="AH1176" s="15"/>
      <c r="AI1176" s="15"/>
    </row>
    <row r="1177" spans="1:37" s="6" customFormat="1">
      <c r="A1177" s="6" t="s">
        <v>5343</v>
      </c>
      <c r="B1177" s="6" t="s">
        <v>5344</v>
      </c>
      <c r="C1177" s="6" t="s">
        <v>43</v>
      </c>
      <c r="D1177" s="6" t="s">
        <v>239</v>
      </c>
      <c r="E1177" s="6" t="s">
        <v>1540</v>
      </c>
      <c r="F1177" s="6" t="s">
        <v>46</v>
      </c>
      <c r="G1177" s="6" t="s">
        <v>5345</v>
      </c>
      <c r="H1177" s="7"/>
      <c r="I1177" s="16" t="s">
        <v>48</v>
      </c>
      <c r="J1177" s="16" t="s">
        <v>48</v>
      </c>
      <c r="AG1177" s="15" t="s">
        <v>55</v>
      </c>
      <c r="AH1177" s="15"/>
      <c r="AI1177" s="15"/>
    </row>
    <row r="1178" spans="1:37" s="6" customFormat="1">
      <c r="A1178" s="6" t="s">
        <v>5346</v>
      </c>
      <c r="B1178" s="6" t="s">
        <v>5347</v>
      </c>
      <c r="C1178" s="6" t="s">
        <v>43</v>
      </c>
      <c r="D1178" s="6" t="s">
        <v>1390</v>
      </c>
      <c r="E1178" s="6" t="s">
        <v>1386</v>
      </c>
      <c r="F1178" s="6" t="s">
        <v>46</v>
      </c>
      <c r="G1178" s="6" t="s">
        <v>5348</v>
      </c>
      <c r="H1178" s="7"/>
      <c r="I1178" s="19" t="s">
        <v>48</v>
      </c>
      <c r="J1178" s="19" t="s">
        <v>48</v>
      </c>
      <c r="AG1178" s="15" t="s">
        <v>55</v>
      </c>
      <c r="AH1178" s="15"/>
      <c r="AI1178" s="15"/>
    </row>
    <row r="1179" spans="1:37" s="6" customFormat="1">
      <c r="A1179" s="5" t="s">
        <v>5349</v>
      </c>
      <c r="B1179" s="5" t="s">
        <v>5350</v>
      </c>
      <c r="C1179" s="6" t="s">
        <v>5351</v>
      </c>
      <c r="D1179" s="6" t="s">
        <v>239</v>
      </c>
      <c r="E1179" s="6" t="s">
        <v>1386</v>
      </c>
      <c r="F1179" s="6" t="s">
        <v>46</v>
      </c>
      <c r="G1179" s="6" t="s">
        <v>5352</v>
      </c>
      <c r="H1179" s="7">
        <v>5.63</v>
      </c>
      <c r="I1179" s="19" t="s">
        <v>1589</v>
      </c>
      <c r="J1179" s="19" t="s">
        <v>2696</v>
      </c>
      <c r="K1179" s="5" t="s">
        <v>2757</v>
      </c>
      <c r="L1179" s="5" t="s">
        <v>2758</v>
      </c>
      <c r="M1179" s="5" t="s">
        <v>2759</v>
      </c>
      <c r="N1179" s="5" t="s">
        <v>2760</v>
      </c>
      <c r="O1179" s="5" t="s">
        <v>5353</v>
      </c>
      <c r="P1179" s="5" t="s">
        <v>5354</v>
      </c>
      <c r="Q1179" s="5" t="s">
        <v>5355</v>
      </c>
      <c r="R1179" s="5" t="s">
        <v>5356</v>
      </c>
      <c r="S1179" s="5"/>
      <c r="T1179" s="5"/>
      <c r="U1179" s="5"/>
      <c r="V1179" s="5"/>
      <c r="W1179" s="5"/>
      <c r="X1179" s="5"/>
      <c r="Y1179" s="5"/>
      <c r="Z1179" s="5"/>
      <c r="AA1179" s="5"/>
      <c r="AB1179" s="5"/>
      <c r="AC1179" s="5"/>
      <c r="AD1179" s="5"/>
      <c r="AE1179" s="5"/>
      <c r="AF1179" s="5"/>
      <c r="AG1179" s="14" t="s">
        <v>55</v>
      </c>
      <c r="AH1179" s="14" t="s">
        <v>1603</v>
      </c>
      <c r="AI1179" s="14" t="s">
        <v>1604</v>
      </c>
      <c r="AJ1179" s="5"/>
      <c r="AK1179" s="5"/>
    </row>
    <row r="1180" spans="1:37">
      <c r="A1180" s="6" t="s">
        <v>5357</v>
      </c>
      <c r="B1180" s="6" t="s">
        <v>5358</v>
      </c>
      <c r="C1180" s="6" t="s">
        <v>43</v>
      </c>
      <c r="D1180" s="6" t="s">
        <v>239</v>
      </c>
      <c r="E1180" s="6" t="s">
        <v>1540</v>
      </c>
      <c r="F1180" s="6" t="s">
        <v>46</v>
      </c>
      <c r="G1180" s="6" t="s">
        <v>5359</v>
      </c>
      <c r="I1180" s="16" t="s">
        <v>48</v>
      </c>
      <c r="J1180" s="16" t="s">
        <v>48</v>
      </c>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15" t="s">
        <v>55</v>
      </c>
      <c r="AH1180" s="15"/>
      <c r="AI1180" s="15"/>
      <c r="AJ1180" s="6"/>
      <c r="AK1180" s="6"/>
    </row>
    <row r="1181" spans="1:37" s="6" customFormat="1">
      <c r="A1181" s="5" t="s">
        <v>5360</v>
      </c>
      <c r="B1181" s="5" t="s">
        <v>5361</v>
      </c>
      <c r="C1181" s="6" t="s">
        <v>5362</v>
      </c>
      <c r="D1181" s="6" t="s">
        <v>1977</v>
      </c>
      <c r="E1181" s="6" t="s">
        <v>1386</v>
      </c>
      <c r="F1181" s="6" t="s">
        <v>46</v>
      </c>
      <c r="G1181" s="6" t="s">
        <v>3094</v>
      </c>
      <c r="H1181" s="7">
        <v>58.3</v>
      </c>
      <c r="I1181" s="19" t="s">
        <v>1589</v>
      </c>
      <c r="J1181" s="19" t="s">
        <v>2001</v>
      </c>
      <c r="K1181" s="20" t="s">
        <v>2002</v>
      </c>
      <c r="L1181" s="20" t="s">
        <v>2003</v>
      </c>
      <c r="M1181" s="20" t="s">
        <v>2004</v>
      </c>
      <c r="N1181" s="20" t="s">
        <v>2005</v>
      </c>
      <c r="O1181" s="20" t="s">
        <v>5363</v>
      </c>
      <c r="P1181" s="20" t="s">
        <v>5364</v>
      </c>
      <c r="Q1181" s="20" t="s">
        <v>5365</v>
      </c>
      <c r="R1181" s="5" t="s">
        <v>5366</v>
      </c>
      <c r="S1181" s="5"/>
      <c r="T1181" s="5"/>
      <c r="U1181" s="5"/>
      <c r="V1181" s="5"/>
      <c r="W1181" s="20" t="s">
        <v>2010</v>
      </c>
      <c r="X1181" s="20" t="s">
        <v>2011</v>
      </c>
      <c r="Y1181" s="20" t="s">
        <v>2012</v>
      </c>
      <c r="Z1181" s="20" t="s">
        <v>2013</v>
      </c>
      <c r="AA1181" s="5"/>
      <c r="AB1181" s="5"/>
      <c r="AC1181" s="5"/>
      <c r="AD1181" s="5"/>
      <c r="AE1181" s="5"/>
      <c r="AF1181" s="5"/>
      <c r="AG1181" s="14" t="s">
        <v>55</v>
      </c>
      <c r="AH1181" s="14" t="s">
        <v>1603</v>
      </c>
      <c r="AI1181" s="14" t="s">
        <v>124</v>
      </c>
      <c r="AJ1181" s="5"/>
      <c r="AK1181" s="5"/>
    </row>
    <row r="1182" spans="1:37">
      <c r="A1182" s="5" t="s">
        <v>5367</v>
      </c>
      <c r="B1182" s="5" t="s">
        <v>5361</v>
      </c>
      <c r="C1182" s="6" t="s">
        <v>5362</v>
      </c>
      <c r="D1182" s="6" t="s">
        <v>1977</v>
      </c>
      <c r="E1182" s="6" t="s">
        <v>2015</v>
      </c>
      <c r="F1182" s="6" t="s">
        <v>46</v>
      </c>
      <c r="G1182" s="6" t="s">
        <v>4691</v>
      </c>
      <c r="H1182" s="7">
        <v>58.3</v>
      </c>
      <c r="I1182" s="19" t="s">
        <v>1589</v>
      </c>
      <c r="J1182" s="19" t="s">
        <v>2001</v>
      </c>
      <c r="K1182" s="20" t="s">
        <v>2002</v>
      </c>
      <c r="L1182" s="20" t="s">
        <v>2003</v>
      </c>
      <c r="M1182" s="20" t="s">
        <v>2004</v>
      </c>
      <c r="N1182" s="20" t="s">
        <v>2005</v>
      </c>
      <c r="O1182" s="20" t="s">
        <v>5363</v>
      </c>
      <c r="P1182" s="20" t="s">
        <v>5364</v>
      </c>
      <c r="Q1182" s="20" t="s">
        <v>5365</v>
      </c>
      <c r="R1182" s="5" t="s">
        <v>5366</v>
      </c>
      <c r="W1182" s="20" t="s">
        <v>2010</v>
      </c>
      <c r="X1182" s="20" t="s">
        <v>2011</v>
      </c>
      <c r="Y1182" s="20" t="s">
        <v>2012</v>
      </c>
      <c r="Z1182" s="20" t="s">
        <v>2013</v>
      </c>
      <c r="AG1182" s="14" t="s">
        <v>55</v>
      </c>
      <c r="AH1182" s="14" t="s">
        <v>1603</v>
      </c>
      <c r="AI1182" s="14" t="s">
        <v>124</v>
      </c>
    </row>
    <row r="1183" spans="1:37">
      <c r="A1183" s="5" t="s">
        <v>5368</v>
      </c>
      <c r="B1183" s="5" t="s">
        <v>5369</v>
      </c>
      <c r="C1183" s="6" t="s">
        <v>43</v>
      </c>
      <c r="D1183" s="6" t="s">
        <v>1977</v>
      </c>
      <c r="E1183" s="6" t="s">
        <v>1386</v>
      </c>
      <c r="F1183" s="6" t="s">
        <v>46</v>
      </c>
      <c r="G1183" s="6" t="s">
        <v>1640</v>
      </c>
      <c r="H1183" s="7">
        <v>73.48</v>
      </c>
      <c r="I1183" s="19" t="s">
        <v>1589</v>
      </c>
      <c r="J1183" s="19" t="s">
        <v>2001</v>
      </c>
      <c r="K1183" s="20" t="s">
        <v>2023</v>
      </c>
      <c r="L1183" s="20" t="s">
        <v>2024</v>
      </c>
      <c r="M1183" s="20" t="s">
        <v>2025</v>
      </c>
      <c r="N1183" s="20" t="s">
        <v>2026</v>
      </c>
      <c r="O1183" s="20" t="s">
        <v>5370</v>
      </c>
      <c r="P1183" s="20" t="s">
        <v>5371</v>
      </c>
      <c r="Q1183" s="20" t="s">
        <v>5372</v>
      </c>
      <c r="R1183" s="5" t="s">
        <v>5373</v>
      </c>
      <c r="W1183" s="20" t="s">
        <v>2010</v>
      </c>
      <c r="X1183" s="20" t="s">
        <v>2011</v>
      </c>
      <c r="Y1183" s="20" t="s">
        <v>2012</v>
      </c>
      <c r="Z1183" s="20" t="s">
        <v>2013</v>
      </c>
      <c r="AG1183" s="14" t="s">
        <v>55</v>
      </c>
      <c r="AH1183" s="14" t="s">
        <v>1603</v>
      </c>
      <c r="AI1183" s="14" t="s">
        <v>124</v>
      </c>
    </row>
    <row r="1184" spans="1:37">
      <c r="A1184" s="5" t="s">
        <v>5374</v>
      </c>
      <c r="B1184" s="5" t="s">
        <v>5369</v>
      </c>
      <c r="C1184" s="6" t="s">
        <v>43</v>
      </c>
      <c r="D1184" s="6" t="s">
        <v>1977</v>
      </c>
      <c r="E1184" s="6" t="s">
        <v>2015</v>
      </c>
      <c r="F1184" s="6" t="s">
        <v>46</v>
      </c>
      <c r="G1184" s="6" t="s">
        <v>5375</v>
      </c>
      <c r="H1184" s="7">
        <v>73.48</v>
      </c>
      <c r="I1184" s="19" t="s">
        <v>1589</v>
      </c>
      <c r="J1184" s="19" t="s">
        <v>2001</v>
      </c>
      <c r="K1184" s="20" t="s">
        <v>2023</v>
      </c>
      <c r="L1184" s="20" t="s">
        <v>2024</v>
      </c>
      <c r="M1184" s="20" t="s">
        <v>2025</v>
      </c>
      <c r="N1184" s="20" t="s">
        <v>2026</v>
      </c>
      <c r="O1184" s="20" t="s">
        <v>5370</v>
      </c>
      <c r="P1184" s="20" t="s">
        <v>5371</v>
      </c>
      <c r="Q1184" s="20" t="s">
        <v>5372</v>
      </c>
      <c r="R1184" s="5" t="s">
        <v>5373</v>
      </c>
      <c r="W1184" s="20" t="s">
        <v>2010</v>
      </c>
      <c r="X1184" s="20" t="s">
        <v>2011</v>
      </c>
      <c r="Y1184" s="20" t="s">
        <v>2012</v>
      </c>
      <c r="Z1184" s="20" t="s">
        <v>2013</v>
      </c>
      <c r="AG1184" s="14" t="s">
        <v>55</v>
      </c>
      <c r="AH1184" s="14" t="s">
        <v>1603</v>
      </c>
      <c r="AI1184" s="14" t="s">
        <v>124</v>
      </c>
    </row>
    <row r="1185" spans="1:37">
      <c r="A1185" s="5" t="s">
        <v>5376</v>
      </c>
      <c r="B1185" s="5" t="s">
        <v>5369</v>
      </c>
      <c r="C1185" s="6" t="s">
        <v>43</v>
      </c>
      <c r="D1185" s="6" t="s">
        <v>1977</v>
      </c>
      <c r="E1185" s="6" t="s">
        <v>2065</v>
      </c>
      <c r="F1185" s="6" t="s">
        <v>46</v>
      </c>
      <c r="G1185" s="6" t="s">
        <v>3799</v>
      </c>
      <c r="H1185" s="7">
        <v>73.48</v>
      </c>
      <c r="I1185" s="19" t="s">
        <v>1589</v>
      </c>
      <c r="J1185" s="19" t="s">
        <v>2001</v>
      </c>
      <c r="K1185" s="20" t="s">
        <v>2023</v>
      </c>
      <c r="L1185" s="20" t="s">
        <v>2024</v>
      </c>
      <c r="M1185" s="20" t="s">
        <v>2025</v>
      </c>
      <c r="N1185" s="20" t="s">
        <v>2026</v>
      </c>
      <c r="O1185" s="20" t="s">
        <v>5370</v>
      </c>
      <c r="P1185" s="20" t="s">
        <v>5371</v>
      </c>
      <c r="Q1185" s="20" t="s">
        <v>5372</v>
      </c>
      <c r="R1185" s="5" t="s">
        <v>5373</v>
      </c>
      <c r="W1185" s="20" t="s">
        <v>2010</v>
      </c>
      <c r="X1185" s="20" t="s">
        <v>2011</v>
      </c>
      <c r="Y1185" s="20" t="s">
        <v>2012</v>
      </c>
      <c r="Z1185" s="20" t="s">
        <v>2013</v>
      </c>
      <c r="AG1185" s="14" t="s">
        <v>55</v>
      </c>
      <c r="AH1185" s="14" t="s">
        <v>1603</v>
      </c>
      <c r="AI1185" s="14" t="s">
        <v>124</v>
      </c>
    </row>
    <row r="1186" spans="1:37">
      <c r="A1186" s="5" t="s">
        <v>5377</v>
      </c>
      <c r="B1186" s="5" t="s">
        <v>5378</v>
      </c>
      <c r="C1186" s="6" t="s">
        <v>43</v>
      </c>
      <c r="D1186" s="6" t="s">
        <v>1977</v>
      </c>
      <c r="E1186" s="6" t="s">
        <v>1386</v>
      </c>
      <c r="F1186" s="6" t="s">
        <v>46</v>
      </c>
      <c r="G1186" s="6" t="s">
        <v>5379</v>
      </c>
      <c r="H1186" s="7">
        <v>77.44</v>
      </c>
      <c r="I1186" s="19" t="s">
        <v>1589</v>
      </c>
      <c r="J1186" s="19" t="s">
        <v>2001</v>
      </c>
      <c r="K1186" s="20" t="s">
        <v>2036</v>
      </c>
      <c r="L1186" s="20" t="s">
        <v>2037</v>
      </c>
      <c r="M1186" s="20" t="s">
        <v>2038</v>
      </c>
      <c r="N1186" s="20" t="s">
        <v>2039</v>
      </c>
      <c r="O1186" s="20" t="s">
        <v>5380</v>
      </c>
      <c r="P1186" s="20" t="s">
        <v>5381</v>
      </c>
      <c r="Q1186" s="20" t="s">
        <v>5382</v>
      </c>
      <c r="R1186" s="5" t="s">
        <v>5383</v>
      </c>
      <c r="W1186" s="20" t="s">
        <v>2010</v>
      </c>
      <c r="X1186" s="20" t="s">
        <v>2011</v>
      </c>
      <c r="Y1186" s="20" t="s">
        <v>2012</v>
      </c>
      <c r="Z1186" s="20" t="s">
        <v>2013</v>
      </c>
      <c r="AG1186" s="14" t="s">
        <v>55</v>
      </c>
      <c r="AH1186" s="14" t="s">
        <v>1603</v>
      </c>
      <c r="AI1186" s="14" t="s">
        <v>124</v>
      </c>
    </row>
    <row r="1187" spans="1:37">
      <c r="A1187" s="5" t="s">
        <v>5384</v>
      </c>
      <c r="B1187" s="5" t="s">
        <v>5385</v>
      </c>
      <c r="C1187" s="6" t="s">
        <v>43</v>
      </c>
      <c r="D1187" s="6" t="s">
        <v>1977</v>
      </c>
      <c r="E1187" s="6" t="s">
        <v>2015</v>
      </c>
      <c r="F1187" s="6" t="s">
        <v>46</v>
      </c>
      <c r="G1187" s="6" t="s">
        <v>5386</v>
      </c>
      <c r="H1187" s="7">
        <v>77.44</v>
      </c>
      <c r="I1187" s="19" t="s">
        <v>1589</v>
      </c>
      <c r="J1187" s="19" t="s">
        <v>2001</v>
      </c>
      <c r="K1187" s="20" t="s">
        <v>2036</v>
      </c>
      <c r="L1187" s="20" t="s">
        <v>2037</v>
      </c>
      <c r="M1187" s="20" t="s">
        <v>2038</v>
      </c>
      <c r="N1187" s="20" t="s">
        <v>2039</v>
      </c>
      <c r="O1187" s="20" t="s">
        <v>5380</v>
      </c>
      <c r="P1187" s="20" t="s">
        <v>5381</v>
      </c>
      <c r="Q1187" s="20" t="s">
        <v>5382</v>
      </c>
      <c r="R1187" s="5" t="s">
        <v>5383</v>
      </c>
      <c r="W1187" s="20" t="s">
        <v>2010</v>
      </c>
      <c r="X1187" s="20" t="s">
        <v>2011</v>
      </c>
      <c r="Y1187" s="20" t="s">
        <v>2012</v>
      </c>
      <c r="Z1187" s="20" t="s">
        <v>2013</v>
      </c>
      <c r="AG1187" s="14" t="s">
        <v>55</v>
      </c>
      <c r="AH1187" s="14" t="s">
        <v>1603</v>
      </c>
      <c r="AI1187" s="14" t="s">
        <v>124</v>
      </c>
    </row>
    <row r="1188" spans="1:37">
      <c r="A1188" s="6" t="s">
        <v>5387</v>
      </c>
      <c r="B1188" s="6" t="s">
        <v>5388</v>
      </c>
      <c r="C1188" s="6" t="s">
        <v>43</v>
      </c>
      <c r="D1188" s="6" t="s">
        <v>1977</v>
      </c>
      <c r="E1188" s="6" t="s">
        <v>2065</v>
      </c>
      <c r="F1188" s="6" t="s">
        <v>46</v>
      </c>
      <c r="G1188" s="6" t="s">
        <v>5389</v>
      </c>
      <c r="I1188" s="19" t="s">
        <v>48</v>
      </c>
      <c r="J1188" s="19" t="s">
        <v>48</v>
      </c>
      <c r="K1188" s="6"/>
      <c r="L1188" s="6"/>
      <c r="M1188" s="6"/>
      <c r="N1188" s="6"/>
      <c r="O1188" s="6"/>
      <c r="P1188" s="6"/>
      <c r="Q1188" s="6"/>
      <c r="R1188" s="6"/>
      <c r="S1188" s="6"/>
      <c r="T1188" s="6"/>
      <c r="U1188" s="6"/>
      <c r="V1188" s="6"/>
      <c r="W1188" s="6"/>
      <c r="X1188" s="6"/>
      <c r="Y1188" s="6"/>
      <c r="Z1188" s="6"/>
      <c r="AA1188" s="6"/>
      <c r="AB1188" s="6"/>
      <c r="AC1188" s="6"/>
      <c r="AD1188" s="6"/>
      <c r="AE1188" s="6"/>
      <c r="AF1188" s="6"/>
      <c r="AG1188" s="15" t="s">
        <v>55</v>
      </c>
      <c r="AH1188" s="15"/>
      <c r="AI1188" s="15"/>
      <c r="AJ1188" s="6"/>
      <c r="AK1188" s="6"/>
    </row>
    <row r="1189" spans="1:37" s="6" customFormat="1">
      <c r="A1189" s="5" t="s">
        <v>5390</v>
      </c>
      <c r="B1189" s="5" t="s">
        <v>5391</v>
      </c>
      <c r="C1189" s="6" t="s">
        <v>43</v>
      </c>
      <c r="D1189" s="6" t="s">
        <v>2114</v>
      </c>
      <c r="E1189" s="6" t="s">
        <v>1386</v>
      </c>
      <c r="F1189" s="6" t="s">
        <v>46</v>
      </c>
      <c r="G1189" s="6" t="s">
        <v>5017</v>
      </c>
      <c r="H1189" s="7">
        <v>66.56</v>
      </c>
      <c r="I1189" s="19" t="s">
        <v>1589</v>
      </c>
      <c r="J1189" s="19" t="s">
        <v>2001</v>
      </c>
      <c r="K1189" s="5" t="s">
        <v>2116</v>
      </c>
      <c r="L1189" s="5" t="s">
        <v>2117</v>
      </c>
      <c r="M1189" s="5" t="s">
        <v>2118</v>
      </c>
      <c r="N1189" s="5" t="s">
        <v>2119</v>
      </c>
      <c r="O1189" s="5" t="s">
        <v>5392</v>
      </c>
      <c r="P1189" s="5" t="s">
        <v>5393</v>
      </c>
      <c r="Q1189" s="5" t="s">
        <v>5394</v>
      </c>
      <c r="R1189" s="5"/>
      <c r="S1189" s="5"/>
      <c r="T1189" s="5"/>
      <c r="U1189" s="5"/>
      <c r="V1189" s="5"/>
      <c r="W1189" s="5" t="s">
        <v>2123</v>
      </c>
      <c r="X1189" s="5" t="s">
        <v>2011</v>
      </c>
      <c r="Y1189" s="5" t="s">
        <v>2012</v>
      </c>
      <c r="Z1189" s="5" t="s">
        <v>2013</v>
      </c>
      <c r="AA1189" s="5"/>
      <c r="AB1189" s="5"/>
      <c r="AC1189" s="5"/>
      <c r="AD1189" s="5"/>
      <c r="AE1189" s="5"/>
      <c r="AF1189" s="5"/>
      <c r="AG1189" s="14" t="s">
        <v>55</v>
      </c>
      <c r="AH1189" s="14" t="s">
        <v>1603</v>
      </c>
      <c r="AI1189" s="14" t="s">
        <v>124</v>
      </c>
      <c r="AJ1189" s="5"/>
      <c r="AK1189" s="5"/>
    </row>
    <row r="1190" spans="1:37">
      <c r="A1190" s="5" t="s">
        <v>5395</v>
      </c>
      <c r="B1190" s="5" t="s">
        <v>5391</v>
      </c>
      <c r="C1190" s="6" t="s">
        <v>43</v>
      </c>
      <c r="D1190" s="6" t="s">
        <v>2114</v>
      </c>
      <c r="E1190" s="6" t="s">
        <v>2015</v>
      </c>
      <c r="F1190" s="6" t="s">
        <v>46</v>
      </c>
      <c r="G1190" s="6" t="s">
        <v>5396</v>
      </c>
      <c r="H1190" s="7">
        <v>66.56</v>
      </c>
      <c r="I1190" s="19" t="s">
        <v>1589</v>
      </c>
      <c r="J1190" s="19" t="s">
        <v>2001</v>
      </c>
      <c r="K1190" s="5" t="s">
        <v>2116</v>
      </c>
      <c r="L1190" s="5" t="s">
        <v>2117</v>
      </c>
      <c r="M1190" s="5" t="s">
        <v>2118</v>
      </c>
      <c r="N1190" s="5" t="s">
        <v>2119</v>
      </c>
      <c r="O1190" s="5" t="s">
        <v>5392</v>
      </c>
      <c r="P1190" s="5" t="s">
        <v>5393</v>
      </c>
      <c r="Q1190" s="5" t="s">
        <v>5394</v>
      </c>
      <c r="R1190" s="5"/>
      <c r="W1190" s="5" t="s">
        <v>2123</v>
      </c>
      <c r="X1190" s="5" t="s">
        <v>2011</v>
      </c>
      <c r="Y1190" s="5" t="s">
        <v>2012</v>
      </c>
      <c r="Z1190" s="5" t="s">
        <v>2013</v>
      </c>
      <c r="AG1190" s="14" t="s">
        <v>55</v>
      </c>
      <c r="AH1190" s="14" t="s">
        <v>1603</v>
      </c>
      <c r="AI1190" s="14" t="s">
        <v>124</v>
      </c>
    </row>
    <row r="1191" spans="1:37">
      <c r="A1191" s="5" t="s">
        <v>5397</v>
      </c>
      <c r="B1191" s="5" t="s">
        <v>5398</v>
      </c>
      <c r="C1191" s="6" t="s">
        <v>43</v>
      </c>
      <c r="D1191" s="6" t="s">
        <v>2114</v>
      </c>
      <c r="E1191" s="6" t="s">
        <v>1386</v>
      </c>
      <c r="F1191" s="6" t="s">
        <v>46</v>
      </c>
      <c r="G1191" s="6" t="s">
        <v>5399</v>
      </c>
      <c r="H1191" s="7">
        <v>86.68</v>
      </c>
      <c r="I1191" s="19" t="s">
        <v>1589</v>
      </c>
      <c r="J1191" s="19" t="s">
        <v>2001</v>
      </c>
      <c r="K1191" s="5" t="s">
        <v>2131</v>
      </c>
      <c r="L1191" s="5" t="s">
        <v>2132</v>
      </c>
      <c r="M1191" s="5" t="s">
        <v>2133</v>
      </c>
      <c r="N1191" s="5" t="s">
        <v>2134</v>
      </c>
      <c r="O1191" s="5" t="s">
        <v>5400</v>
      </c>
      <c r="P1191" s="5" t="s">
        <v>5401</v>
      </c>
      <c r="Q1191" s="5" t="s">
        <v>5402</v>
      </c>
      <c r="R1191" s="5"/>
      <c r="W1191" s="5" t="s">
        <v>2123</v>
      </c>
      <c r="X1191" s="5" t="s">
        <v>2011</v>
      </c>
      <c r="Y1191" s="5" t="s">
        <v>2012</v>
      </c>
      <c r="Z1191" s="5" t="s">
        <v>2013</v>
      </c>
      <c r="AG1191" s="14" t="s">
        <v>55</v>
      </c>
      <c r="AH1191" s="14" t="s">
        <v>1603</v>
      </c>
      <c r="AI1191" s="14" t="s">
        <v>124</v>
      </c>
    </row>
    <row r="1192" spans="1:37">
      <c r="A1192" s="5" t="s">
        <v>5403</v>
      </c>
      <c r="B1192" s="5" t="s">
        <v>5398</v>
      </c>
      <c r="C1192" s="6" t="s">
        <v>43</v>
      </c>
      <c r="D1192" s="6" t="s">
        <v>2114</v>
      </c>
      <c r="E1192" s="6" t="s">
        <v>2015</v>
      </c>
      <c r="F1192" s="6" t="s">
        <v>46</v>
      </c>
      <c r="G1192" s="6" t="s">
        <v>4107</v>
      </c>
      <c r="H1192" s="7">
        <v>86.68</v>
      </c>
      <c r="I1192" s="19" t="s">
        <v>1589</v>
      </c>
      <c r="J1192" s="19" t="s">
        <v>2001</v>
      </c>
      <c r="K1192" s="5" t="s">
        <v>2131</v>
      </c>
      <c r="L1192" s="5" t="s">
        <v>2132</v>
      </c>
      <c r="M1192" s="5" t="s">
        <v>2133</v>
      </c>
      <c r="N1192" s="5" t="s">
        <v>2134</v>
      </c>
      <c r="O1192" s="5" t="s">
        <v>5400</v>
      </c>
      <c r="P1192" s="5" t="s">
        <v>5401</v>
      </c>
      <c r="Q1192" s="5" t="s">
        <v>5402</v>
      </c>
      <c r="R1192" s="5"/>
      <c r="W1192" s="5" t="s">
        <v>2123</v>
      </c>
      <c r="X1192" s="5" t="s">
        <v>2011</v>
      </c>
      <c r="Y1192" s="5" t="s">
        <v>2012</v>
      </c>
      <c r="Z1192" s="5" t="s">
        <v>2013</v>
      </c>
      <c r="AG1192" s="14" t="s">
        <v>55</v>
      </c>
      <c r="AH1192" s="14" t="s">
        <v>1603</v>
      </c>
      <c r="AI1192" s="14" t="s">
        <v>124</v>
      </c>
    </row>
    <row r="1193" spans="1:37">
      <c r="A1193" s="5" t="s">
        <v>5404</v>
      </c>
      <c r="B1193" s="5" t="s">
        <v>5405</v>
      </c>
      <c r="C1193" s="6" t="s">
        <v>43</v>
      </c>
      <c r="D1193" s="6" t="s">
        <v>2114</v>
      </c>
      <c r="E1193" s="6" t="s">
        <v>1386</v>
      </c>
      <c r="F1193" s="6" t="s">
        <v>46</v>
      </c>
      <c r="G1193" s="6" t="s">
        <v>5406</v>
      </c>
      <c r="H1193" s="7">
        <v>91.52</v>
      </c>
      <c r="I1193" s="19" t="s">
        <v>1589</v>
      </c>
      <c r="J1193" s="19" t="s">
        <v>2001</v>
      </c>
      <c r="K1193" s="6" t="s">
        <v>2148</v>
      </c>
      <c r="L1193" s="6" t="s">
        <v>2149</v>
      </c>
      <c r="M1193" s="6" t="s">
        <v>2150</v>
      </c>
      <c r="N1193" s="6" t="s">
        <v>2151</v>
      </c>
      <c r="O1193" s="6" t="s">
        <v>5407</v>
      </c>
      <c r="P1193" s="6" t="s">
        <v>5408</v>
      </c>
      <c r="Q1193" s="6" t="s">
        <v>5409</v>
      </c>
      <c r="R1193" s="5"/>
      <c r="W1193" s="20" t="s">
        <v>2010</v>
      </c>
      <c r="X1193" s="20" t="s">
        <v>2011</v>
      </c>
      <c r="Y1193" s="20" t="s">
        <v>2012</v>
      </c>
      <c r="Z1193" s="20" t="s">
        <v>2013</v>
      </c>
      <c r="AG1193" s="14" t="s">
        <v>55</v>
      </c>
      <c r="AH1193" s="14" t="s">
        <v>1603</v>
      </c>
      <c r="AI1193" s="14" t="s">
        <v>124</v>
      </c>
    </row>
    <row r="1194" spans="1:37">
      <c r="A1194" s="5" t="s">
        <v>5410</v>
      </c>
      <c r="B1194" s="5" t="s">
        <v>5405</v>
      </c>
      <c r="C1194" s="6" t="s">
        <v>43</v>
      </c>
      <c r="D1194" s="6" t="s">
        <v>2114</v>
      </c>
      <c r="E1194" s="6" t="s">
        <v>2015</v>
      </c>
      <c r="F1194" s="6" t="s">
        <v>46</v>
      </c>
      <c r="G1194" s="6" t="s">
        <v>5411</v>
      </c>
      <c r="H1194" s="7">
        <v>91.52</v>
      </c>
      <c r="I1194" s="19" t="s">
        <v>1589</v>
      </c>
      <c r="J1194" s="19" t="s">
        <v>2001</v>
      </c>
      <c r="K1194" s="6" t="s">
        <v>2148</v>
      </c>
      <c r="L1194" s="6" t="s">
        <v>2149</v>
      </c>
      <c r="M1194" s="6" t="s">
        <v>2150</v>
      </c>
      <c r="N1194" s="6" t="s">
        <v>2151</v>
      </c>
      <c r="O1194" s="6" t="s">
        <v>5407</v>
      </c>
      <c r="P1194" s="6" t="s">
        <v>5408</v>
      </c>
      <c r="Q1194" s="6" t="s">
        <v>5409</v>
      </c>
      <c r="R1194" s="5"/>
      <c r="W1194" s="20" t="s">
        <v>2010</v>
      </c>
      <c r="X1194" s="20" t="s">
        <v>2011</v>
      </c>
      <c r="Y1194" s="20" t="s">
        <v>2012</v>
      </c>
      <c r="Z1194" s="20" t="s">
        <v>2013</v>
      </c>
      <c r="AG1194" s="14" t="s">
        <v>55</v>
      </c>
      <c r="AH1194" s="14" t="s">
        <v>1603</v>
      </c>
      <c r="AI1194" s="14" t="s">
        <v>124</v>
      </c>
    </row>
    <row r="1195" spans="1:37">
      <c r="A1195" s="5" t="s">
        <v>5412</v>
      </c>
      <c r="B1195" s="5" t="s">
        <v>5405</v>
      </c>
      <c r="C1195" s="6" t="s">
        <v>43</v>
      </c>
      <c r="D1195" s="6" t="s">
        <v>2114</v>
      </c>
      <c r="E1195" s="6" t="s">
        <v>2065</v>
      </c>
      <c r="F1195" s="6" t="s">
        <v>46</v>
      </c>
      <c r="G1195" s="6" t="s">
        <v>5413</v>
      </c>
      <c r="H1195" s="7">
        <v>91.52</v>
      </c>
      <c r="I1195" s="19" t="s">
        <v>1589</v>
      </c>
      <c r="J1195" s="19" t="s">
        <v>2001</v>
      </c>
      <c r="K1195" s="6" t="s">
        <v>2148</v>
      </c>
      <c r="L1195" s="6" t="s">
        <v>2149</v>
      </c>
      <c r="M1195" s="6" t="s">
        <v>2150</v>
      </c>
      <c r="N1195" s="6" t="s">
        <v>2151</v>
      </c>
      <c r="O1195" s="6" t="s">
        <v>5407</v>
      </c>
      <c r="P1195" s="6" t="s">
        <v>5408</v>
      </c>
      <c r="Q1195" s="6" t="s">
        <v>5409</v>
      </c>
      <c r="R1195" s="5"/>
      <c r="W1195" s="20" t="s">
        <v>2010</v>
      </c>
      <c r="X1195" s="20" t="s">
        <v>2011</v>
      </c>
      <c r="Y1195" s="20" t="s">
        <v>2012</v>
      </c>
      <c r="Z1195" s="20" t="s">
        <v>2013</v>
      </c>
      <c r="AG1195" s="14" t="s">
        <v>55</v>
      </c>
      <c r="AH1195" s="14" t="s">
        <v>1603</v>
      </c>
      <c r="AI1195" s="14" t="s">
        <v>124</v>
      </c>
    </row>
    <row r="1196" spans="1:37">
      <c r="A1196" s="5" t="s">
        <v>5414</v>
      </c>
      <c r="B1196" s="5" t="s">
        <v>5415</v>
      </c>
      <c r="C1196" s="6" t="s">
        <v>43</v>
      </c>
      <c r="D1196" s="6" t="s">
        <v>2114</v>
      </c>
      <c r="E1196" s="6" t="s">
        <v>1386</v>
      </c>
      <c r="F1196" s="6" t="s">
        <v>46</v>
      </c>
      <c r="G1196" s="6" t="s">
        <v>5416</v>
      </c>
      <c r="H1196" s="7">
        <v>130.66999999999999</v>
      </c>
      <c r="I1196" s="19" t="s">
        <v>1589</v>
      </c>
      <c r="J1196" s="19" t="s">
        <v>2001</v>
      </c>
      <c r="K1196" s="6" t="s">
        <v>2177</v>
      </c>
      <c r="L1196" s="6" t="s">
        <v>2178</v>
      </c>
      <c r="M1196" s="6" t="s">
        <v>2179</v>
      </c>
      <c r="N1196" s="6" t="s">
        <v>2180</v>
      </c>
      <c r="O1196" s="6" t="s">
        <v>5417</v>
      </c>
      <c r="P1196" s="6" t="s">
        <v>5418</v>
      </c>
      <c r="Q1196" s="6" t="s">
        <v>5419</v>
      </c>
      <c r="R1196" s="5"/>
      <c r="S1196" s="6"/>
      <c r="T1196" s="6"/>
      <c r="U1196" s="6"/>
      <c r="W1196" s="20" t="s">
        <v>2010</v>
      </c>
      <c r="X1196" s="20" t="s">
        <v>2011</v>
      </c>
      <c r="Y1196" s="20" t="s">
        <v>2012</v>
      </c>
      <c r="Z1196" s="20" t="s">
        <v>2013</v>
      </c>
      <c r="AG1196" s="14" t="s">
        <v>55</v>
      </c>
      <c r="AH1196" s="14" t="s">
        <v>1603</v>
      </c>
      <c r="AI1196" s="14" t="s">
        <v>124</v>
      </c>
    </row>
    <row r="1197" spans="1:37">
      <c r="A1197" s="6" t="s">
        <v>5420</v>
      </c>
      <c r="B1197" s="6" t="s">
        <v>5421</v>
      </c>
      <c r="C1197" s="6" t="s">
        <v>43</v>
      </c>
      <c r="D1197" s="6" t="s">
        <v>239</v>
      </c>
      <c r="E1197" s="6" t="s">
        <v>1540</v>
      </c>
      <c r="F1197" s="6" t="s">
        <v>46</v>
      </c>
      <c r="G1197" s="6" t="s">
        <v>5422</v>
      </c>
      <c r="I1197" s="6" t="s">
        <v>48</v>
      </c>
      <c r="J1197" s="6" t="s">
        <v>48</v>
      </c>
      <c r="K1197" s="6"/>
      <c r="L1197" s="6"/>
      <c r="M1197" s="6"/>
      <c r="N1197" s="6"/>
      <c r="O1197" s="6"/>
      <c r="P1197" s="6"/>
      <c r="Q1197" s="6"/>
      <c r="R1197" s="6"/>
      <c r="S1197" s="6"/>
      <c r="T1197" s="6"/>
      <c r="U1197" s="6"/>
      <c r="V1197" s="6"/>
      <c r="W1197" s="6"/>
      <c r="X1197" s="6"/>
      <c r="Y1197" s="6"/>
      <c r="Z1197" s="6"/>
      <c r="AA1197" s="6"/>
      <c r="AB1197" s="6"/>
      <c r="AC1197" s="6"/>
      <c r="AD1197" s="6"/>
      <c r="AE1197" s="6"/>
      <c r="AF1197" s="6"/>
      <c r="AG1197" s="15" t="s">
        <v>55</v>
      </c>
      <c r="AH1197" s="15"/>
      <c r="AI1197" s="15"/>
      <c r="AJ1197" s="6"/>
      <c r="AK1197" s="6"/>
    </row>
    <row r="1198" spans="1:37" s="6" customFormat="1">
      <c r="A1198" s="6" t="s">
        <v>5423</v>
      </c>
      <c r="B1198" s="6" t="s">
        <v>5424</v>
      </c>
      <c r="C1198" s="6" t="s">
        <v>5197</v>
      </c>
      <c r="D1198" s="6" t="s">
        <v>2189</v>
      </c>
      <c r="E1198" s="6" t="s">
        <v>2065</v>
      </c>
      <c r="F1198" s="6" t="s">
        <v>46</v>
      </c>
      <c r="G1198" s="6" t="s">
        <v>5017</v>
      </c>
      <c r="H1198" s="7"/>
      <c r="I1198" s="6" t="s">
        <v>48</v>
      </c>
      <c r="J1198" s="6" t="s">
        <v>48</v>
      </c>
      <c r="AG1198" s="15" t="s">
        <v>55</v>
      </c>
      <c r="AH1198" s="15"/>
      <c r="AI1198" s="15"/>
    </row>
    <row r="1199" spans="1:37" s="6" customFormat="1">
      <c r="A1199" s="5" t="s">
        <v>5425</v>
      </c>
      <c r="B1199" s="5" t="s">
        <v>5426</v>
      </c>
      <c r="C1199" s="6" t="s">
        <v>5197</v>
      </c>
      <c r="D1199" s="6" t="s">
        <v>2189</v>
      </c>
      <c r="E1199" s="6" t="s">
        <v>1386</v>
      </c>
      <c r="F1199" s="6" t="s">
        <v>46</v>
      </c>
      <c r="G1199" s="6" t="s">
        <v>5427</v>
      </c>
      <c r="H1199" s="7">
        <v>85.26</v>
      </c>
      <c r="I1199" s="19" t="s">
        <v>1589</v>
      </c>
      <c r="J1199" s="19" t="s">
        <v>2191</v>
      </c>
      <c r="K1199" s="5" t="s">
        <v>2192</v>
      </c>
      <c r="L1199" s="5" t="s">
        <v>2193</v>
      </c>
      <c r="M1199" s="5" t="s">
        <v>2194</v>
      </c>
      <c r="N1199" s="5" t="s">
        <v>2195</v>
      </c>
      <c r="O1199" s="5" t="s">
        <v>5428</v>
      </c>
      <c r="P1199" s="5" t="s">
        <v>5429</v>
      </c>
      <c r="Q1199" s="5" t="s">
        <v>5430</v>
      </c>
      <c r="R1199" s="5"/>
      <c r="S1199" s="5"/>
      <c r="T1199" s="5"/>
      <c r="U1199" s="5"/>
      <c r="V1199" s="5"/>
      <c r="W1199" s="5"/>
      <c r="X1199" s="5"/>
      <c r="Y1199" s="5" t="s">
        <v>2086</v>
      </c>
      <c r="Z1199" s="5"/>
      <c r="AA1199" s="5"/>
      <c r="AB1199" s="5"/>
      <c r="AC1199" s="5"/>
      <c r="AD1199" s="5"/>
      <c r="AE1199" s="5"/>
      <c r="AF1199" s="5"/>
      <c r="AG1199" s="14" t="s">
        <v>55</v>
      </c>
      <c r="AH1199" s="14" t="s">
        <v>1603</v>
      </c>
      <c r="AI1199" s="14" t="s">
        <v>2087</v>
      </c>
      <c r="AJ1199" s="5"/>
      <c r="AK1199" s="5"/>
    </row>
    <row r="1200" spans="1:37">
      <c r="A1200" s="5" t="s">
        <v>5431</v>
      </c>
      <c r="B1200" s="5" t="s">
        <v>5426</v>
      </c>
      <c r="C1200" s="6" t="s">
        <v>5197</v>
      </c>
      <c r="D1200" s="6" t="s">
        <v>2189</v>
      </c>
      <c r="E1200" s="6" t="s">
        <v>2015</v>
      </c>
      <c r="F1200" s="6" t="s">
        <v>46</v>
      </c>
      <c r="G1200" s="6" t="s">
        <v>5432</v>
      </c>
      <c r="H1200" s="7">
        <v>85.26</v>
      </c>
      <c r="I1200" s="19" t="s">
        <v>1589</v>
      </c>
      <c r="J1200" s="19" t="s">
        <v>2191</v>
      </c>
      <c r="K1200" s="5" t="s">
        <v>2192</v>
      </c>
      <c r="L1200" s="5" t="s">
        <v>2193</v>
      </c>
      <c r="M1200" s="5" t="s">
        <v>2194</v>
      </c>
      <c r="N1200" s="5" t="s">
        <v>2195</v>
      </c>
      <c r="O1200" s="5" t="s">
        <v>5428</v>
      </c>
      <c r="P1200" s="5" t="s">
        <v>5433</v>
      </c>
      <c r="Q1200" s="5" t="s">
        <v>5430</v>
      </c>
      <c r="R1200" s="5"/>
      <c r="Y1200" s="5" t="s">
        <v>2086</v>
      </c>
      <c r="AG1200" s="14" t="s">
        <v>55</v>
      </c>
      <c r="AH1200" s="14" t="s">
        <v>1603</v>
      </c>
      <c r="AI1200" s="14" t="s">
        <v>2087</v>
      </c>
    </row>
    <row r="1201" spans="1:37">
      <c r="A1201" s="5" t="s">
        <v>5434</v>
      </c>
      <c r="B1201" s="5" t="s">
        <v>5435</v>
      </c>
      <c r="C1201" s="6" t="s">
        <v>5436</v>
      </c>
      <c r="D1201" s="6" t="s">
        <v>2189</v>
      </c>
      <c r="E1201" s="6" t="s">
        <v>1386</v>
      </c>
      <c r="F1201" s="6" t="s">
        <v>46</v>
      </c>
      <c r="G1201" s="6" t="s">
        <v>5437</v>
      </c>
      <c r="H1201" s="7">
        <v>100.76</v>
      </c>
      <c r="I1201" s="19" t="s">
        <v>1589</v>
      </c>
      <c r="J1201" s="19" t="s">
        <v>2191</v>
      </c>
      <c r="K1201" s="5" t="s">
        <v>2218</v>
      </c>
      <c r="L1201" s="5" t="s">
        <v>2219</v>
      </c>
      <c r="M1201" s="5" t="s">
        <v>2220</v>
      </c>
      <c r="N1201" s="5" t="s">
        <v>2221</v>
      </c>
      <c r="O1201" s="5" t="s">
        <v>5438</v>
      </c>
      <c r="P1201" s="5" t="s">
        <v>5439</v>
      </c>
      <c r="Q1201" s="5" t="s">
        <v>5440</v>
      </c>
      <c r="R1201" s="5"/>
      <c r="AG1201" s="14" t="s">
        <v>55</v>
      </c>
      <c r="AH1201" s="14" t="s">
        <v>1603</v>
      </c>
      <c r="AI1201" s="14" t="s">
        <v>2087</v>
      </c>
    </row>
    <row r="1202" spans="1:37">
      <c r="A1202" s="5" t="s">
        <v>5441</v>
      </c>
      <c r="B1202" s="5" t="s">
        <v>5435</v>
      </c>
      <c r="C1202" s="6" t="s">
        <v>5436</v>
      </c>
      <c r="D1202" s="6" t="s">
        <v>2189</v>
      </c>
      <c r="E1202" s="6" t="s">
        <v>2070</v>
      </c>
      <c r="F1202" s="6" t="s">
        <v>46</v>
      </c>
      <c r="G1202" s="6" t="s">
        <v>5442</v>
      </c>
      <c r="H1202" s="7">
        <v>100.76</v>
      </c>
      <c r="I1202" s="19" t="s">
        <v>1589</v>
      </c>
      <c r="J1202" s="19" t="s">
        <v>2191</v>
      </c>
      <c r="K1202" s="5" t="s">
        <v>2218</v>
      </c>
      <c r="L1202" s="5" t="s">
        <v>2219</v>
      </c>
      <c r="M1202" s="5" t="s">
        <v>2220</v>
      </c>
      <c r="N1202" s="5" t="s">
        <v>2221</v>
      </c>
      <c r="O1202" s="5" t="s">
        <v>5438</v>
      </c>
      <c r="P1202" s="5" t="s">
        <v>5439</v>
      </c>
      <c r="Q1202" s="5" t="s">
        <v>5440</v>
      </c>
      <c r="R1202" s="5"/>
      <c r="AG1202" s="14" t="s">
        <v>55</v>
      </c>
      <c r="AH1202" s="14" t="s">
        <v>1603</v>
      </c>
      <c r="AI1202" s="14" t="s">
        <v>2087</v>
      </c>
    </row>
    <row r="1203" spans="1:37">
      <c r="A1203" s="5" t="s">
        <v>5443</v>
      </c>
      <c r="B1203" s="5" t="s">
        <v>5435</v>
      </c>
      <c r="C1203" s="6" t="s">
        <v>5436</v>
      </c>
      <c r="D1203" s="6" t="s">
        <v>2189</v>
      </c>
      <c r="E1203" s="6" t="s">
        <v>1540</v>
      </c>
      <c r="F1203" s="6" t="s">
        <v>46</v>
      </c>
      <c r="G1203" s="6" t="s">
        <v>5444</v>
      </c>
      <c r="H1203" s="7">
        <v>100.76</v>
      </c>
      <c r="I1203" s="19" t="s">
        <v>1589</v>
      </c>
      <c r="J1203" s="19" t="s">
        <v>2191</v>
      </c>
      <c r="K1203" s="5" t="s">
        <v>2218</v>
      </c>
      <c r="L1203" s="5" t="s">
        <v>2219</v>
      </c>
      <c r="M1203" s="5" t="s">
        <v>2220</v>
      </c>
      <c r="N1203" s="5" t="s">
        <v>2221</v>
      </c>
      <c r="O1203" s="5" t="s">
        <v>5438</v>
      </c>
      <c r="P1203" s="5" t="s">
        <v>5439</v>
      </c>
      <c r="Q1203" s="5" t="s">
        <v>5440</v>
      </c>
      <c r="R1203" s="5"/>
      <c r="AG1203" s="14" t="s">
        <v>55</v>
      </c>
      <c r="AH1203" s="14" t="s">
        <v>1603</v>
      </c>
      <c r="AI1203" s="14" t="s">
        <v>2087</v>
      </c>
    </row>
    <row r="1204" spans="1:37">
      <c r="A1204" s="5" t="s">
        <v>5445</v>
      </c>
      <c r="B1204" s="5" t="s">
        <v>5435</v>
      </c>
      <c r="C1204" s="6" t="s">
        <v>43</v>
      </c>
      <c r="D1204" s="6" t="s">
        <v>2189</v>
      </c>
      <c r="E1204" s="6" t="s">
        <v>2065</v>
      </c>
      <c r="F1204" s="6" t="s">
        <v>46</v>
      </c>
      <c r="G1204" s="6" t="s">
        <v>5446</v>
      </c>
      <c r="H1204" s="7">
        <v>100.76</v>
      </c>
      <c r="I1204" s="19" t="s">
        <v>1589</v>
      </c>
      <c r="J1204" s="19" t="s">
        <v>2191</v>
      </c>
      <c r="K1204" s="5" t="s">
        <v>2218</v>
      </c>
      <c r="L1204" s="5" t="s">
        <v>2219</v>
      </c>
      <c r="M1204" s="5" t="s">
        <v>2220</v>
      </c>
      <c r="N1204" s="5" t="s">
        <v>2221</v>
      </c>
      <c r="O1204" s="5" t="s">
        <v>5438</v>
      </c>
      <c r="P1204" s="5" t="s">
        <v>5439</v>
      </c>
      <c r="Q1204" s="5" t="s">
        <v>5440</v>
      </c>
      <c r="R1204" s="5"/>
      <c r="AG1204" s="14" t="s">
        <v>55</v>
      </c>
      <c r="AH1204" s="14" t="s">
        <v>1603</v>
      </c>
      <c r="AI1204" s="14" t="s">
        <v>2087</v>
      </c>
    </row>
    <row r="1205" spans="1:37">
      <c r="A1205" s="6" t="s">
        <v>5447</v>
      </c>
      <c r="B1205" s="6" t="s">
        <v>5448</v>
      </c>
      <c r="C1205" s="6" t="s">
        <v>2240</v>
      </c>
      <c r="D1205" s="6" t="s">
        <v>2189</v>
      </c>
      <c r="E1205" s="6" t="s">
        <v>2065</v>
      </c>
      <c r="F1205" s="6" t="s">
        <v>46</v>
      </c>
      <c r="G1205" s="6" t="s">
        <v>5449</v>
      </c>
      <c r="I1205" s="6" t="s">
        <v>48</v>
      </c>
      <c r="J1205" s="6" t="s">
        <v>48</v>
      </c>
      <c r="K1205" s="6"/>
      <c r="L1205" s="6"/>
      <c r="M1205" s="6"/>
      <c r="N1205" s="6"/>
      <c r="O1205" s="6"/>
      <c r="P1205" s="6"/>
      <c r="Q1205" s="6"/>
      <c r="R1205" s="6"/>
      <c r="S1205" s="6"/>
      <c r="T1205" s="6"/>
      <c r="U1205" s="6"/>
      <c r="V1205" s="6"/>
      <c r="W1205" s="6"/>
      <c r="X1205" s="6"/>
      <c r="Y1205" s="6"/>
      <c r="Z1205" s="6"/>
      <c r="AA1205" s="6"/>
      <c r="AB1205" s="6"/>
      <c r="AC1205" s="6"/>
      <c r="AD1205" s="6"/>
      <c r="AE1205" s="6"/>
      <c r="AF1205" s="6"/>
      <c r="AG1205" s="15" t="s">
        <v>55</v>
      </c>
      <c r="AH1205" s="15"/>
      <c r="AI1205" s="15"/>
      <c r="AJ1205" s="6"/>
      <c r="AK1205" s="6"/>
    </row>
    <row r="1206" spans="1:37" s="6" customFormat="1">
      <c r="A1206" s="5" t="s">
        <v>5450</v>
      </c>
      <c r="B1206" s="5" t="s">
        <v>5451</v>
      </c>
      <c r="C1206" s="6" t="s">
        <v>2281</v>
      </c>
      <c r="D1206" s="6" t="s">
        <v>1645</v>
      </c>
      <c r="E1206" s="6" t="s">
        <v>2065</v>
      </c>
      <c r="F1206" s="6" t="s">
        <v>46</v>
      </c>
      <c r="G1206" s="6" t="s">
        <v>5452</v>
      </c>
      <c r="H1206" s="7">
        <v>138.28</v>
      </c>
      <c r="I1206" s="19" t="s">
        <v>2283</v>
      </c>
      <c r="J1206" s="19" t="s">
        <v>2284</v>
      </c>
      <c r="K1206" s="6" t="s">
        <v>2285</v>
      </c>
      <c r="L1206" s="6" t="s">
        <v>2286</v>
      </c>
      <c r="M1206" s="6" t="s">
        <v>2287</v>
      </c>
      <c r="N1206" s="6" t="s">
        <v>2288</v>
      </c>
      <c r="O1206" s="6" t="s">
        <v>5453</v>
      </c>
      <c r="P1206" s="6" t="s">
        <v>5454</v>
      </c>
      <c r="Q1206" s="6" t="s">
        <v>5455</v>
      </c>
      <c r="R1206" s="6" t="s">
        <v>5456</v>
      </c>
      <c r="S1206" s="5"/>
      <c r="T1206" s="5"/>
      <c r="U1206" s="5"/>
      <c r="V1206" s="5"/>
      <c r="W1206" s="5"/>
      <c r="X1206" s="5"/>
      <c r="Y1206" s="5"/>
      <c r="Z1206" s="5"/>
      <c r="AA1206" s="5"/>
      <c r="AB1206" s="5"/>
      <c r="AC1206" s="5"/>
      <c r="AD1206" s="5"/>
      <c r="AE1206" s="5"/>
      <c r="AF1206" s="5"/>
      <c r="AG1206" s="14" t="s">
        <v>55</v>
      </c>
      <c r="AH1206" s="14" t="s">
        <v>1603</v>
      </c>
      <c r="AI1206" s="14" t="s">
        <v>1603</v>
      </c>
      <c r="AJ1206" s="5"/>
      <c r="AK1206" s="5"/>
    </row>
    <row r="1207" spans="1:37">
      <c r="A1207" s="5" t="s">
        <v>5457</v>
      </c>
      <c r="B1207" s="5" t="s">
        <v>5458</v>
      </c>
      <c r="C1207" s="6" t="s">
        <v>2281</v>
      </c>
      <c r="D1207" s="6" t="s">
        <v>1645</v>
      </c>
      <c r="E1207" s="6" t="s">
        <v>1386</v>
      </c>
      <c r="F1207" s="6" t="s">
        <v>46</v>
      </c>
      <c r="G1207" s="6" t="s">
        <v>5459</v>
      </c>
      <c r="H1207" s="7">
        <v>164.46</v>
      </c>
      <c r="I1207" s="19" t="s">
        <v>2283</v>
      </c>
      <c r="J1207" s="19" t="s">
        <v>2284</v>
      </c>
      <c r="K1207" s="6" t="s">
        <v>2366</v>
      </c>
      <c r="L1207" s="6" t="s">
        <v>2367</v>
      </c>
      <c r="M1207" s="6" t="s">
        <v>2368</v>
      </c>
      <c r="N1207" s="6" t="s">
        <v>2369</v>
      </c>
      <c r="O1207" s="6" t="s">
        <v>5460</v>
      </c>
      <c r="P1207" s="6" t="s">
        <v>5461</v>
      </c>
      <c r="Q1207" s="6" t="s">
        <v>5462</v>
      </c>
      <c r="R1207" s="6" t="s">
        <v>5463</v>
      </c>
      <c r="AG1207" s="14" t="s">
        <v>55</v>
      </c>
      <c r="AH1207" s="14" t="s">
        <v>1603</v>
      </c>
      <c r="AI1207" s="14" t="s">
        <v>1603</v>
      </c>
    </row>
    <row r="1208" spans="1:37">
      <c r="A1208" s="5" t="s">
        <v>5464</v>
      </c>
      <c r="B1208" s="5" t="s">
        <v>5458</v>
      </c>
      <c r="C1208" s="6" t="s">
        <v>2281</v>
      </c>
      <c r="D1208" s="6" t="s">
        <v>1645</v>
      </c>
      <c r="E1208" s="6" t="s">
        <v>2065</v>
      </c>
      <c r="F1208" s="6" t="s">
        <v>46</v>
      </c>
      <c r="G1208" s="6" t="s">
        <v>5465</v>
      </c>
      <c r="H1208" s="7">
        <v>164.46</v>
      </c>
      <c r="I1208" s="19" t="s">
        <v>2283</v>
      </c>
      <c r="J1208" s="19" t="s">
        <v>2284</v>
      </c>
      <c r="K1208" s="6" t="s">
        <v>2366</v>
      </c>
      <c r="L1208" s="6" t="s">
        <v>2367</v>
      </c>
      <c r="M1208" s="6" t="s">
        <v>2368</v>
      </c>
      <c r="N1208" s="6" t="s">
        <v>2369</v>
      </c>
      <c r="O1208" s="6" t="s">
        <v>5460</v>
      </c>
      <c r="P1208" s="6" t="s">
        <v>5461</v>
      </c>
      <c r="Q1208" s="6" t="s">
        <v>5462</v>
      </c>
      <c r="R1208" s="6" t="s">
        <v>5463</v>
      </c>
      <c r="AG1208" s="14" t="s">
        <v>55</v>
      </c>
      <c r="AH1208" s="14" t="s">
        <v>1603</v>
      </c>
      <c r="AI1208" s="14" t="s">
        <v>1603</v>
      </c>
    </row>
    <row r="1209" spans="1:37">
      <c r="A1209" s="5" t="s">
        <v>5466</v>
      </c>
      <c r="B1209" s="5" t="s">
        <v>5467</v>
      </c>
      <c r="C1209" s="6" t="s">
        <v>2281</v>
      </c>
      <c r="D1209" s="6" t="s">
        <v>1645</v>
      </c>
      <c r="E1209" s="6" t="s">
        <v>2065</v>
      </c>
      <c r="F1209" s="6" t="s">
        <v>46</v>
      </c>
      <c r="G1209" s="6" t="s">
        <v>5468</v>
      </c>
      <c r="H1209" s="7">
        <v>120.12</v>
      </c>
      <c r="I1209" s="19" t="s">
        <v>2283</v>
      </c>
      <c r="J1209" s="19" t="s">
        <v>2512</v>
      </c>
      <c r="K1209" s="6" t="s">
        <v>2513</v>
      </c>
      <c r="L1209" s="6" t="s">
        <v>2514</v>
      </c>
      <c r="M1209" s="6" t="s">
        <v>2515</v>
      </c>
      <c r="N1209" s="6" t="s">
        <v>2516</v>
      </c>
      <c r="O1209" s="6" t="s">
        <v>5469</v>
      </c>
      <c r="P1209" s="6" t="s">
        <v>5470</v>
      </c>
      <c r="Q1209" s="6" t="s">
        <v>5471</v>
      </c>
      <c r="R1209" s="6" t="s">
        <v>5472</v>
      </c>
      <c r="AG1209" s="14" t="s">
        <v>55</v>
      </c>
      <c r="AH1209" s="14" t="s">
        <v>1603</v>
      </c>
      <c r="AI1209" s="14" t="s">
        <v>1603</v>
      </c>
    </row>
    <row r="1210" spans="1:37">
      <c r="A1210" s="5" t="s">
        <v>5473</v>
      </c>
      <c r="B1210" s="5" t="s">
        <v>5474</v>
      </c>
      <c r="C1210" s="6" t="s">
        <v>43</v>
      </c>
      <c r="D1210" s="6" t="s">
        <v>239</v>
      </c>
      <c r="E1210" s="6" t="s">
        <v>2065</v>
      </c>
      <c r="F1210" s="6" t="s">
        <v>46</v>
      </c>
      <c r="G1210" s="6" t="s">
        <v>5475</v>
      </c>
      <c r="H1210" s="7">
        <v>144.32</v>
      </c>
      <c r="I1210" s="19" t="s">
        <v>2283</v>
      </c>
      <c r="J1210" s="19" t="s">
        <v>2512</v>
      </c>
      <c r="K1210" s="6" t="s">
        <v>2616</v>
      </c>
      <c r="L1210" s="6" t="s">
        <v>2617</v>
      </c>
      <c r="M1210" s="6" t="s">
        <v>2618</v>
      </c>
      <c r="N1210" s="6" t="s">
        <v>2619</v>
      </c>
      <c r="O1210" s="6" t="s">
        <v>5476</v>
      </c>
      <c r="P1210" s="6" t="s">
        <v>5477</v>
      </c>
      <c r="Q1210" s="6" t="s">
        <v>5478</v>
      </c>
      <c r="R1210" s="6" t="s">
        <v>5479</v>
      </c>
      <c r="AG1210" s="14" t="s">
        <v>55</v>
      </c>
      <c r="AH1210" s="14" t="s">
        <v>1603</v>
      </c>
      <c r="AI1210" s="14" t="s">
        <v>1603</v>
      </c>
    </row>
    <row r="1211" spans="1:37">
      <c r="A1211" s="5" t="s">
        <v>5480</v>
      </c>
      <c r="B1211" s="5" t="s">
        <v>5481</v>
      </c>
      <c r="C1211" s="6" t="s">
        <v>5271</v>
      </c>
      <c r="D1211" s="6" t="s">
        <v>1390</v>
      </c>
      <c r="E1211" s="6" t="s">
        <v>1386</v>
      </c>
      <c r="F1211" s="6" t="s">
        <v>46</v>
      </c>
      <c r="G1211" s="6" t="s">
        <v>5020</v>
      </c>
      <c r="H1211" s="7">
        <v>65.900000000000006</v>
      </c>
      <c r="I1211" s="19" t="s">
        <v>1589</v>
      </c>
      <c r="J1211" s="19" t="s">
        <v>2650</v>
      </c>
      <c r="K1211" s="20" t="s">
        <v>2651</v>
      </c>
      <c r="L1211" s="20" t="s">
        <v>2652</v>
      </c>
      <c r="M1211" s="20" t="s">
        <v>2653</v>
      </c>
      <c r="N1211" s="20" t="s">
        <v>2654</v>
      </c>
      <c r="O1211" s="20" t="s">
        <v>5482</v>
      </c>
      <c r="P1211" s="20" t="s">
        <v>5483</v>
      </c>
      <c r="Q1211" s="20" t="s">
        <v>5484</v>
      </c>
      <c r="R1211" s="5" t="s">
        <v>5485</v>
      </c>
      <c r="W1211" s="20" t="s">
        <v>2010</v>
      </c>
      <c r="X1211" s="20" t="s">
        <v>2011</v>
      </c>
      <c r="Y1211" s="20" t="s">
        <v>2012</v>
      </c>
      <c r="Z1211" s="20" t="s">
        <v>2013</v>
      </c>
      <c r="AG1211" s="14" t="s">
        <v>55</v>
      </c>
      <c r="AH1211" s="14" t="s">
        <v>1603</v>
      </c>
      <c r="AI1211" s="14" t="s">
        <v>124</v>
      </c>
    </row>
    <row r="1212" spans="1:37">
      <c r="A1212" s="5" t="s">
        <v>5486</v>
      </c>
      <c r="B1212" s="5" t="s">
        <v>5487</v>
      </c>
      <c r="C1212" s="6" t="s">
        <v>43</v>
      </c>
      <c r="D1212" s="6" t="s">
        <v>1390</v>
      </c>
      <c r="E1212" s="6" t="s">
        <v>1386</v>
      </c>
      <c r="F1212" s="6" t="s">
        <v>46</v>
      </c>
      <c r="G1212" s="6" t="s">
        <v>5488</v>
      </c>
      <c r="H1212" s="7">
        <v>86.36</v>
      </c>
      <c r="I1212" s="19" t="s">
        <v>1589</v>
      </c>
      <c r="J1212" s="19" t="s">
        <v>2650</v>
      </c>
      <c r="K1212" s="20" t="s">
        <v>2662</v>
      </c>
      <c r="L1212" s="20" t="s">
        <v>2663</v>
      </c>
      <c r="M1212" s="20" t="s">
        <v>2664</v>
      </c>
      <c r="N1212" s="20" t="s">
        <v>2665</v>
      </c>
      <c r="O1212" s="20" t="s">
        <v>5489</v>
      </c>
      <c r="P1212" s="20" t="s">
        <v>5490</v>
      </c>
      <c r="Q1212" s="20" t="s">
        <v>5491</v>
      </c>
      <c r="R1212" s="5" t="s">
        <v>5492</v>
      </c>
      <c r="W1212" s="20" t="s">
        <v>2010</v>
      </c>
      <c r="X1212" s="20" t="s">
        <v>2011</v>
      </c>
      <c r="Y1212" s="20" t="s">
        <v>2012</v>
      </c>
      <c r="Z1212" s="20" t="s">
        <v>2013</v>
      </c>
      <c r="AG1212" s="14" t="s">
        <v>55</v>
      </c>
      <c r="AH1212" s="14" t="s">
        <v>1603</v>
      </c>
      <c r="AI1212" s="14" t="s">
        <v>124</v>
      </c>
    </row>
    <row r="1213" spans="1:37">
      <c r="A1213" s="6" t="s">
        <v>5493</v>
      </c>
      <c r="B1213" s="6" t="s">
        <v>5494</v>
      </c>
      <c r="C1213" s="6" t="s">
        <v>43</v>
      </c>
      <c r="D1213" s="6" t="s">
        <v>1390</v>
      </c>
      <c r="E1213" s="6" t="s">
        <v>1386</v>
      </c>
      <c r="F1213" s="6" t="s">
        <v>46</v>
      </c>
      <c r="G1213" s="6" t="s">
        <v>5495</v>
      </c>
      <c r="I1213" s="19" t="s">
        <v>48</v>
      </c>
      <c r="J1213" s="19" t="s">
        <v>48</v>
      </c>
      <c r="K1213" s="6"/>
      <c r="L1213" s="6"/>
      <c r="M1213" s="6"/>
      <c r="N1213" s="6"/>
      <c r="O1213" s="6"/>
      <c r="P1213" s="6"/>
      <c r="Q1213" s="6"/>
      <c r="R1213" s="6"/>
      <c r="S1213" s="6"/>
      <c r="T1213" s="6"/>
      <c r="U1213" s="6"/>
      <c r="V1213" s="6"/>
      <c r="W1213" s="6"/>
      <c r="X1213" s="6"/>
      <c r="Y1213" s="6"/>
      <c r="Z1213" s="6"/>
      <c r="AA1213" s="6"/>
      <c r="AB1213" s="6"/>
      <c r="AC1213" s="6"/>
      <c r="AD1213" s="6"/>
      <c r="AE1213" s="6"/>
      <c r="AF1213" s="6"/>
      <c r="AG1213" s="15" t="s">
        <v>55</v>
      </c>
      <c r="AH1213" s="15"/>
      <c r="AI1213" s="15"/>
      <c r="AJ1213" s="6"/>
      <c r="AK1213" s="6"/>
    </row>
    <row r="1214" spans="1:37" s="6" customFormat="1">
      <c r="A1214" s="5" t="s">
        <v>5496</v>
      </c>
      <c r="B1214" s="5" t="s">
        <v>5497</v>
      </c>
      <c r="C1214" s="6" t="s">
        <v>43</v>
      </c>
      <c r="D1214" s="6" t="s">
        <v>1390</v>
      </c>
      <c r="E1214" s="6" t="s">
        <v>1386</v>
      </c>
      <c r="F1214" s="6" t="s">
        <v>46</v>
      </c>
      <c r="G1214" s="6" t="s">
        <v>5498</v>
      </c>
      <c r="H1214" s="7">
        <v>82.94</v>
      </c>
      <c r="I1214" s="19" t="s">
        <v>1589</v>
      </c>
      <c r="J1214" s="19" t="s">
        <v>2650</v>
      </c>
      <c r="K1214" s="5" t="s">
        <v>2674</v>
      </c>
      <c r="L1214" s="5" t="s">
        <v>2675</v>
      </c>
      <c r="M1214" s="5" t="s">
        <v>2676</v>
      </c>
      <c r="N1214" s="5" t="s">
        <v>2677</v>
      </c>
      <c r="O1214" s="5" t="s">
        <v>5499</v>
      </c>
      <c r="P1214" s="5" t="s">
        <v>5500</v>
      </c>
      <c r="Q1214" s="5" t="s">
        <v>5501</v>
      </c>
      <c r="R1214" s="5" t="s">
        <v>5502</v>
      </c>
      <c r="S1214" s="5"/>
      <c r="T1214" s="5"/>
      <c r="U1214" s="5"/>
      <c r="V1214" s="5"/>
      <c r="W1214" s="5"/>
      <c r="X1214" s="5"/>
      <c r="Y1214" s="5"/>
      <c r="Z1214" s="5"/>
      <c r="AA1214" s="5"/>
      <c r="AB1214" s="5"/>
      <c r="AC1214" s="5"/>
      <c r="AD1214" s="5"/>
      <c r="AE1214" s="5"/>
      <c r="AF1214" s="5"/>
      <c r="AG1214" s="14" t="s">
        <v>55</v>
      </c>
      <c r="AH1214" s="14" t="s">
        <v>1603</v>
      </c>
      <c r="AI1214" s="14" t="s">
        <v>2087</v>
      </c>
      <c r="AJ1214" s="5"/>
      <c r="AK1214" s="5"/>
    </row>
    <row r="1215" spans="1:37">
      <c r="A1215" s="5" t="s">
        <v>5503</v>
      </c>
      <c r="B1215" s="5" t="s">
        <v>5504</v>
      </c>
      <c r="C1215" s="6" t="s">
        <v>43</v>
      </c>
      <c r="D1215" s="6" t="s">
        <v>1390</v>
      </c>
      <c r="E1215" s="6" t="s">
        <v>1386</v>
      </c>
      <c r="F1215" s="6" t="s">
        <v>46</v>
      </c>
      <c r="G1215" s="6" t="s">
        <v>5505</v>
      </c>
      <c r="H1215" s="7">
        <v>100.88</v>
      </c>
      <c r="I1215" s="19" t="s">
        <v>1589</v>
      </c>
      <c r="J1215" s="19" t="s">
        <v>2650</v>
      </c>
      <c r="K1215" s="5" t="s">
        <v>2685</v>
      </c>
      <c r="L1215" s="5" t="s">
        <v>2686</v>
      </c>
      <c r="M1215" s="5" t="s">
        <v>2687</v>
      </c>
      <c r="N1215" s="5" t="s">
        <v>2688</v>
      </c>
      <c r="O1215" s="5" t="s">
        <v>5506</v>
      </c>
      <c r="P1215" s="5" t="s">
        <v>5507</v>
      </c>
      <c r="Q1215" s="5" t="s">
        <v>5508</v>
      </c>
      <c r="R1215" s="5" t="s">
        <v>5509</v>
      </c>
      <c r="AG1215" s="14" t="s">
        <v>55</v>
      </c>
      <c r="AH1215" s="14" t="s">
        <v>1603</v>
      </c>
      <c r="AI1215" s="14" t="s">
        <v>2087</v>
      </c>
    </row>
    <row r="1216" spans="1:37">
      <c r="A1216" s="5" t="s">
        <v>5510</v>
      </c>
      <c r="B1216" s="5" t="s">
        <v>5511</v>
      </c>
      <c r="C1216" s="6" t="s">
        <v>43</v>
      </c>
      <c r="D1216" s="6" t="s">
        <v>239</v>
      </c>
      <c r="E1216" s="6" t="s">
        <v>1386</v>
      </c>
      <c r="F1216" s="6" t="s">
        <v>46</v>
      </c>
      <c r="G1216" s="6" t="s">
        <v>4364</v>
      </c>
      <c r="H1216" s="7">
        <v>45.1</v>
      </c>
      <c r="I1216" s="19" t="s">
        <v>1589</v>
      </c>
      <c r="J1216" s="19" t="s">
        <v>2696</v>
      </c>
      <c r="K1216" s="5" t="s">
        <v>2697</v>
      </c>
      <c r="L1216" s="5" t="s">
        <v>2698</v>
      </c>
      <c r="M1216" s="5" t="s">
        <v>2699</v>
      </c>
      <c r="N1216" s="5" t="s">
        <v>2700</v>
      </c>
      <c r="O1216" s="5" t="s">
        <v>5512</v>
      </c>
      <c r="P1216" s="5" t="s">
        <v>5513</v>
      </c>
      <c r="Q1216" s="5" t="s">
        <v>5514</v>
      </c>
      <c r="R1216" s="5" t="s">
        <v>5515</v>
      </c>
      <c r="AG1216" s="14" t="s">
        <v>55</v>
      </c>
      <c r="AH1216" s="14" t="s">
        <v>1603</v>
      </c>
      <c r="AI1216" s="14" t="s">
        <v>1604</v>
      </c>
    </row>
    <row r="1217" spans="1:37">
      <c r="A1217" s="5" t="s">
        <v>5516</v>
      </c>
      <c r="B1217" s="5" t="s">
        <v>5511</v>
      </c>
      <c r="C1217" s="6" t="s">
        <v>43</v>
      </c>
      <c r="D1217" s="6" t="s">
        <v>239</v>
      </c>
      <c r="E1217" s="6" t="s">
        <v>2065</v>
      </c>
      <c r="F1217" s="6" t="s">
        <v>46</v>
      </c>
      <c r="G1217" s="6" t="s">
        <v>5517</v>
      </c>
      <c r="H1217" s="7">
        <v>45.1</v>
      </c>
      <c r="I1217" s="19" t="s">
        <v>1589</v>
      </c>
      <c r="J1217" s="19" t="s">
        <v>2696</v>
      </c>
      <c r="K1217" s="5" t="s">
        <v>2697</v>
      </c>
      <c r="L1217" s="5" t="s">
        <v>2698</v>
      </c>
      <c r="M1217" s="5" t="s">
        <v>2699</v>
      </c>
      <c r="N1217" s="5" t="s">
        <v>2700</v>
      </c>
      <c r="O1217" s="5" t="s">
        <v>5512</v>
      </c>
      <c r="P1217" s="5" t="s">
        <v>5513</v>
      </c>
      <c r="Q1217" s="5" t="s">
        <v>5514</v>
      </c>
      <c r="R1217" s="5" t="s">
        <v>5515</v>
      </c>
      <c r="AG1217" s="14" t="s">
        <v>55</v>
      </c>
      <c r="AH1217" s="14" t="s">
        <v>1603</v>
      </c>
      <c r="AI1217" s="14" t="s">
        <v>1604</v>
      </c>
    </row>
    <row r="1218" spans="1:37">
      <c r="A1218" s="6" t="s">
        <v>5518</v>
      </c>
      <c r="B1218" s="6" t="s">
        <v>5519</v>
      </c>
      <c r="C1218" s="6" t="s">
        <v>43</v>
      </c>
      <c r="D1218" s="6" t="s">
        <v>239</v>
      </c>
      <c r="E1218" s="6" t="s">
        <v>1587</v>
      </c>
      <c r="F1218" s="6" t="s">
        <v>46</v>
      </c>
      <c r="G1218" s="6" t="s">
        <v>5520</v>
      </c>
      <c r="I1218" s="6" t="s">
        <v>48</v>
      </c>
      <c r="J1218" s="6" t="s">
        <v>48</v>
      </c>
      <c r="K1218" s="6"/>
      <c r="L1218" s="6"/>
      <c r="M1218" s="6"/>
      <c r="N1218" s="6"/>
      <c r="O1218" s="6"/>
      <c r="P1218" s="6"/>
      <c r="Q1218" s="6"/>
      <c r="R1218" s="6"/>
      <c r="S1218" s="6"/>
      <c r="T1218" s="6"/>
      <c r="U1218" s="6"/>
      <c r="V1218" s="6"/>
      <c r="W1218" s="6"/>
      <c r="X1218" s="6"/>
      <c r="Y1218" s="6"/>
      <c r="Z1218" s="6"/>
      <c r="AA1218" s="6"/>
      <c r="AB1218" s="6"/>
      <c r="AC1218" s="6"/>
      <c r="AD1218" s="6"/>
      <c r="AE1218" s="6"/>
      <c r="AF1218" s="6"/>
      <c r="AG1218" s="15" t="s">
        <v>55</v>
      </c>
      <c r="AH1218" s="15"/>
      <c r="AI1218" s="15"/>
      <c r="AJ1218" s="6"/>
      <c r="AK1218" s="6"/>
    </row>
    <row r="1219" spans="1:37" s="6" customFormat="1">
      <c r="A1219" s="5" t="s">
        <v>5521</v>
      </c>
      <c r="B1219" s="5" t="s">
        <v>5522</v>
      </c>
      <c r="C1219" s="6" t="s">
        <v>43</v>
      </c>
      <c r="D1219" s="6" t="s">
        <v>239</v>
      </c>
      <c r="E1219" s="6" t="s">
        <v>2065</v>
      </c>
      <c r="F1219" s="6" t="s">
        <v>46</v>
      </c>
      <c r="G1219" s="6" t="s">
        <v>5523</v>
      </c>
      <c r="H1219" s="7">
        <v>184.8</v>
      </c>
      <c r="I1219" s="19" t="s">
        <v>1589</v>
      </c>
      <c r="J1219" s="19" t="s">
        <v>2696</v>
      </c>
      <c r="K1219" s="5" t="s">
        <v>3696</v>
      </c>
      <c r="L1219" s="5" t="s">
        <v>3697</v>
      </c>
      <c r="M1219" s="5" t="s">
        <v>3698</v>
      </c>
      <c r="N1219" s="5" t="s">
        <v>3699</v>
      </c>
      <c r="O1219" s="5" t="s">
        <v>5524</v>
      </c>
      <c r="P1219" s="5" t="s">
        <v>5525</v>
      </c>
      <c r="Q1219" s="5" t="s">
        <v>5526</v>
      </c>
      <c r="R1219" s="5" t="s">
        <v>5527</v>
      </c>
      <c r="S1219" s="5"/>
      <c r="T1219" s="5"/>
      <c r="U1219" s="5"/>
      <c r="V1219" s="5"/>
      <c r="W1219" s="5"/>
      <c r="X1219" s="5"/>
      <c r="Y1219" s="5"/>
      <c r="Z1219" s="5"/>
      <c r="AA1219" s="5"/>
      <c r="AB1219" s="5"/>
      <c r="AC1219" s="5"/>
      <c r="AD1219" s="5"/>
      <c r="AE1219" s="5"/>
      <c r="AF1219" s="5"/>
      <c r="AG1219" s="14" t="s">
        <v>55</v>
      </c>
      <c r="AH1219" s="14" t="s">
        <v>1603</v>
      </c>
      <c r="AI1219" s="14" t="s">
        <v>1604</v>
      </c>
      <c r="AJ1219" s="5"/>
      <c r="AK1219" s="5"/>
    </row>
    <row r="1220" spans="1:37">
      <c r="A1220" s="5" t="s">
        <v>5528</v>
      </c>
      <c r="B1220" s="5" t="s">
        <v>5529</v>
      </c>
      <c r="C1220" s="6" t="s">
        <v>43</v>
      </c>
      <c r="D1220" s="6" t="s">
        <v>239</v>
      </c>
      <c r="E1220" s="6" t="s">
        <v>1386</v>
      </c>
      <c r="F1220" s="6" t="s">
        <v>46</v>
      </c>
      <c r="G1220" s="6" t="s">
        <v>3094</v>
      </c>
      <c r="H1220" s="7">
        <v>51.38</v>
      </c>
      <c r="I1220" s="19" t="s">
        <v>1589</v>
      </c>
      <c r="J1220" s="19" t="s">
        <v>2696</v>
      </c>
      <c r="K1220" s="5" t="s">
        <v>2733</v>
      </c>
      <c r="L1220" s="5" t="s">
        <v>2734</v>
      </c>
      <c r="M1220" s="5" t="s">
        <v>2735</v>
      </c>
      <c r="N1220" s="5" t="s">
        <v>2736</v>
      </c>
      <c r="O1220" s="5" t="s">
        <v>5530</v>
      </c>
      <c r="P1220" s="5" t="s">
        <v>5531</v>
      </c>
      <c r="Q1220" s="5" t="s">
        <v>5532</v>
      </c>
      <c r="R1220" s="5" t="s">
        <v>5533</v>
      </c>
      <c r="AG1220" s="14" t="s">
        <v>55</v>
      </c>
      <c r="AH1220" s="14" t="s">
        <v>1603</v>
      </c>
      <c r="AI1220" s="14" t="s">
        <v>1604</v>
      </c>
    </row>
    <row r="1221" spans="1:37">
      <c r="A1221" s="5" t="s">
        <v>5534</v>
      </c>
      <c r="B1221" s="5" t="s">
        <v>5529</v>
      </c>
      <c r="C1221" s="6" t="s">
        <v>43</v>
      </c>
      <c r="D1221" s="6" t="s">
        <v>239</v>
      </c>
      <c r="E1221" s="6" t="s">
        <v>2015</v>
      </c>
      <c r="F1221" s="6" t="s">
        <v>46</v>
      </c>
      <c r="G1221" s="6" t="s">
        <v>1769</v>
      </c>
      <c r="H1221" s="7">
        <v>51.38</v>
      </c>
      <c r="I1221" s="19" t="s">
        <v>1589</v>
      </c>
      <c r="J1221" s="19" t="s">
        <v>2696</v>
      </c>
      <c r="K1221" s="5" t="s">
        <v>2733</v>
      </c>
      <c r="L1221" s="5" t="s">
        <v>2734</v>
      </c>
      <c r="M1221" s="5" t="s">
        <v>2735</v>
      </c>
      <c r="N1221" s="5" t="s">
        <v>2736</v>
      </c>
      <c r="O1221" s="5" t="s">
        <v>5530</v>
      </c>
      <c r="P1221" s="5" t="s">
        <v>5531</v>
      </c>
      <c r="Q1221" s="5" t="s">
        <v>5532</v>
      </c>
      <c r="R1221" s="5" t="s">
        <v>5533</v>
      </c>
      <c r="AG1221" s="14" t="s">
        <v>55</v>
      </c>
      <c r="AH1221" s="14" t="s">
        <v>1603</v>
      </c>
      <c r="AI1221" s="14" t="s">
        <v>1604</v>
      </c>
    </row>
    <row r="1222" spans="1:37">
      <c r="A1222" s="6" t="s">
        <v>5535</v>
      </c>
      <c r="B1222" s="6" t="s">
        <v>5536</v>
      </c>
      <c r="C1222" s="6" t="s">
        <v>43</v>
      </c>
      <c r="D1222" s="6" t="s">
        <v>239</v>
      </c>
      <c r="E1222" s="6" t="s">
        <v>2065</v>
      </c>
      <c r="F1222" s="6" t="s">
        <v>46</v>
      </c>
      <c r="G1222" s="6" t="s">
        <v>5537</v>
      </c>
      <c r="I1222" s="19" t="s">
        <v>48</v>
      </c>
      <c r="J1222" s="19" t="s">
        <v>48</v>
      </c>
      <c r="K1222" s="6"/>
      <c r="L1222" s="6"/>
      <c r="M1222" s="6"/>
      <c r="N1222" s="6"/>
      <c r="O1222" s="6"/>
      <c r="P1222" s="6"/>
      <c r="Q1222" s="6"/>
      <c r="R1222" s="6"/>
      <c r="S1222" s="6"/>
      <c r="T1222" s="6"/>
      <c r="U1222" s="6"/>
      <c r="V1222" s="6"/>
      <c r="W1222" s="6"/>
      <c r="X1222" s="6"/>
      <c r="Y1222" s="6"/>
      <c r="Z1222" s="6"/>
      <c r="AA1222" s="6"/>
      <c r="AB1222" s="6"/>
      <c r="AC1222" s="6"/>
      <c r="AD1222" s="6"/>
      <c r="AE1222" s="6"/>
      <c r="AF1222" s="6"/>
      <c r="AG1222" s="15" t="s">
        <v>55</v>
      </c>
      <c r="AH1222" s="15"/>
      <c r="AI1222" s="15"/>
      <c r="AJ1222" s="6"/>
      <c r="AK1222" s="6"/>
    </row>
    <row r="1223" spans="1:37" s="6" customFormat="1">
      <c r="A1223" s="5" t="s">
        <v>5538</v>
      </c>
      <c r="B1223" s="5" t="s">
        <v>5539</v>
      </c>
      <c r="C1223" s="6" t="s">
        <v>43</v>
      </c>
      <c r="D1223" s="6" t="s">
        <v>239</v>
      </c>
      <c r="E1223" s="6" t="s">
        <v>1386</v>
      </c>
      <c r="F1223" s="6" t="s">
        <v>46</v>
      </c>
      <c r="G1223" s="6" t="s">
        <v>5540</v>
      </c>
      <c r="H1223" s="7">
        <v>59.3</v>
      </c>
      <c r="I1223" s="19" t="s">
        <v>1589</v>
      </c>
      <c r="J1223" s="19" t="s">
        <v>2696</v>
      </c>
      <c r="K1223" s="5" t="s">
        <v>2757</v>
      </c>
      <c r="L1223" s="5" t="s">
        <v>2758</v>
      </c>
      <c r="M1223" s="5" t="s">
        <v>2759</v>
      </c>
      <c r="N1223" s="5" t="s">
        <v>2760</v>
      </c>
      <c r="O1223" s="5" t="s">
        <v>5541</v>
      </c>
      <c r="P1223" s="5" t="s">
        <v>5542</v>
      </c>
      <c r="Q1223" s="5" t="s">
        <v>5543</v>
      </c>
      <c r="R1223" s="5" t="s">
        <v>5544</v>
      </c>
      <c r="S1223" s="5"/>
      <c r="T1223" s="5"/>
      <c r="U1223" s="5"/>
      <c r="V1223" s="5"/>
      <c r="W1223" s="5"/>
      <c r="X1223" s="5"/>
      <c r="Y1223" s="5"/>
      <c r="Z1223" s="5"/>
      <c r="AA1223" s="5"/>
      <c r="AB1223" s="5"/>
      <c r="AC1223" s="5"/>
      <c r="AD1223" s="5"/>
      <c r="AE1223" s="5"/>
      <c r="AF1223" s="5"/>
      <c r="AG1223" s="14" t="s">
        <v>55</v>
      </c>
      <c r="AH1223" s="14" t="s">
        <v>1603</v>
      </c>
      <c r="AI1223" s="14" t="s">
        <v>1604</v>
      </c>
      <c r="AJ1223" s="5"/>
      <c r="AK1223" s="5"/>
    </row>
    <row r="1224" spans="1:37">
      <c r="A1224" s="5" t="s">
        <v>5545</v>
      </c>
      <c r="B1224" s="5" t="s">
        <v>5539</v>
      </c>
      <c r="C1224" s="6" t="s">
        <v>43</v>
      </c>
      <c r="D1224" s="6" t="s">
        <v>239</v>
      </c>
      <c r="E1224" s="6" t="s">
        <v>2015</v>
      </c>
      <c r="F1224" s="6" t="s">
        <v>46</v>
      </c>
      <c r="G1224" s="6" t="s">
        <v>5546</v>
      </c>
      <c r="H1224" s="7">
        <v>59.3</v>
      </c>
      <c r="I1224" s="19" t="s">
        <v>1589</v>
      </c>
      <c r="J1224" s="19" t="s">
        <v>2696</v>
      </c>
      <c r="K1224" s="5" t="s">
        <v>2757</v>
      </c>
      <c r="L1224" s="5" t="s">
        <v>2758</v>
      </c>
      <c r="M1224" s="5" t="s">
        <v>2759</v>
      </c>
      <c r="N1224" s="5" t="s">
        <v>2760</v>
      </c>
      <c r="O1224" s="5" t="s">
        <v>5541</v>
      </c>
      <c r="P1224" s="5" t="s">
        <v>5542</v>
      </c>
      <c r="Q1224" s="5" t="s">
        <v>5543</v>
      </c>
      <c r="R1224" s="5" t="s">
        <v>5544</v>
      </c>
      <c r="AG1224" s="14" t="s">
        <v>55</v>
      </c>
      <c r="AH1224" s="14" t="s">
        <v>1603</v>
      </c>
      <c r="AI1224" s="14" t="s">
        <v>1604</v>
      </c>
    </row>
    <row r="1225" spans="1:37">
      <c r="A1225" s="5" t="s">
        <v>5547</v>
      </c>
      <c r="B1225" s="5" t="s">
        <v>5548</v>
      </c>
      <c r="C1225" s="6" t="s">
        <v>43</v>
      </c>
      <c r="D1225" s="6" t="s">
        <v>239</v>
      </c>
      <c r="E1225" s="6" t="s">
        <v>2065</v>
      </c>
      <c r="F1225" s="6" t="s">
        <v>46</v>
      </c>
      <c r="G1225" s="6" t="s">
        <v>5549</v>
      </c>
      <c r="H1225" s="7">
        <v>76.680000000000007</v>
      </c>
      <c r="I1225" s="19" t="s">
        <v>1589</v>
      </c>
      <c r="J1225" s="19" t="s">
        <v>2696</v>
      </c>
      <c r="K1225" s="5" t="s">
        <v>2774</v>
      </c>
      <c r="L1225" s="5" t="s">
        <v>2775</v>
      </c>
      <c r="M1225" s="5" t="s">
        <v>2776</v>
      </c>
      <c r="N1225" s="5" t="s">
        <v>2777</v>
      </c>
      <c r="O1225" s="5" t="s">
        <v>5550</v>
      </c>
      <c r="P1225" s="5" t="s">
        <v>5551</v>
      </c>
      <c r="Q1225" s="5" t="s">
        <v>5552</v>
      </c>
      <c r="R1225" s="5" t="s">
        <v>5553</v>
      </c>
      <c r="AG1225" s="14" t="s">
        <v>55</v>
      </c>
      <c r="AH1225" s="14" t="s">
        <v>1603</v>
      </c>
      <c r="AI1225" s="14" t="s">
        <v>1604</v>
      </c>
    </row>
    <row r="1226" spans="1:37">
      <c r="A1226" s="5" t="s">
        <v>5554</v>
      </c>
      <c r="B1226" s="5" t="s">
        <v>5555</v>
      </c>
      <c r="C1226" s="6" t="s">
        <v>2822</v>
      </c>
      <c r="D1226" s="6" t="s">
        <v>239</v>
      </c>
      <c r="E1226" s="6" t="s">
        <v>1587</v>
      </c>
      <c r="F1226" s="6" t="s">
        <v>46</v>
      </c>
      <c r="G1226" s="6" t="s">
        <v>5556</v>
      </c>
      <c r="H1226" s="7">
        <v>80.739999999999995</v>
      </c>
      <c r="I1226" s="19" t="s">
        <v>1589</v>
      </c>
      <c r="J1226" s="19" t="s">
        <v>2696</v>
      </c>
      <c r="K1226" s="5" t="s">
        <v>2809</v>
      </c>
      <c r="L1226" s="5" t="s">
        <v>2810</v>
      </c>
      <c r="M1226" s="5" t="s">
        <v>2811</v>
      </c>
      <c r="N1226" s="5" t="s">
        <v>2812</v>
      </c>
      <c r="O1226" s="5" t="s">
        <v>5557</v>
      </c>
      <c r="P1226" s="5" t="s">
        <v>5558</v>
      </c>
      <c r="Q1226" s="5" t="s">
        <v>5559</v>
      </c>
      <c r="R1226" s="5" t="s">
        <v>5560</v>
      </c>
      <c r="AG1226" s="14" t="s">
        <v>55</v>
      </c>
      <c r="AH1226" s="14" t="s">
        <v>1603</v>
      </c>
      <c r="AI1226" s="14" t="s">
        <v>1604</v>
      </c>
    </row>
    <row r="1227" spans="1:37">
      <c r="A1227" s="6" t="s">
        <v>5561</v>
      </c>
      <c r="B1227" s="6" t="s">
        <v>5562</v>
      </c>
      <c r="C1227" s="6" t="s">
        <v>2822</v>
      </c>
      <c r="D1227" s="6" t="s">
        <v>239</v>
      </c>
      <c r="E1227" s="6" t="s">
        <v>2065</v>
      </c>
      <c r="F1227" s="6" t="s">
        <v>46</v>
      </c>
      <c r="G1227" s="6" t="s">
        <v>5563</v>
      </c>
      <c r="I1227" s="19" t="s">
        <v>48</v>
      </c>
      <c r="J1227" s="19" t="s">
        <v>48</v>
      </c>
      <c r="K1227" s="6"/>
      <c r="L1227" s="6"/>
      <c r="M1227" s="6"/>
      <c r="N1227" s="6"/>
      <c r="O1227" s="6"/>
      <c r="P1227" s="6"/>
      <c r="Q1227" s="6"/>
      <c r="R1227" s="6"/>
      <c r="S1227" s="6"/>
      <c r="T1227" s="6"/>
      <c r="U1227" s="6"/>
      <c r="V1227" s="6"/>
      <c r="W1227" s="6"/>
      <c r="X1227" s="6"/>
      <c r="Y1227" s="6"/>
      <c r="Z1227" s="6"/>
      <c r="AA1227" s="6"/>
      <c r="AB1227" s="6"/>
      <c r="AC1227" s="6"/>
      <c r="AD1227" s="6"/>
      <c r="AE1227" s="6"/>
      <c r="AF1227" s="6"/>
      <c r="AG1227" s="15" t="s">
        <v>55</v>
      </c>
      <c r="AH1227" s="15"/>
      <c r="AI1227" s="15"/>
      <c r="AJ1227" s="6"/>
      <c r="AK1227" s="6"/>
    </row>
    <row r="1228" spans="1:37" s="6" customFormat="1">
      <c r="A1228" s="5" t="s">
        <v>5564</v>
      </c>
      <c r="B1228" s="5" t="s">
        <v>5555</v>
      </c>
      <c r="C1228" s="6" t="s">
        <v>2822</v>
      </c>
      <c r="D1228" s="6" t="s">
        <v>239</v>
      </c>
      <c r="E1228" s="6" t="s">
        <v>2139</v>
      </c>
      <c r="F1228" s="6" t="s">
        <v>46</v>
      </c>
      <c r="G1228" s="6" t="s">
        <v>5565</v>
      </c>
      <c r="H1228" s="7">
        <v>80.739999999999995</v>
      </c>
      <c r="I1228" s="19" t="s">
        <v>1589</v>
      </c>
      <c r="J1228" s="19" t="s">
        <v>2696</v>
      </c>
      <c r="K1228" s="5" t="s">
        <v>2809</v>
      </c>
      <c r="L1228" s="5" t="s">
        <v>2810</v>
      </c>
      <c r="M1228" s="5" t="s">
        <v>2811</v>
      </c>
      <c r="N1228" s="5" t="s">
        <v>2812</v>
      </c>
      <c r="O1228" s="5" t="s">
        <v>5557</v>
      </c>
      <c r="P1228" s="5" t="s">
        <v>5558</v>
      </c>
      <c r="Q1228" s="5" t="s">
        <v>5559</v>
      </c>
      <c r="R1228" s="5" t="s">
        <v>5560</v>
      </c>
      <c r="S1228" s="5"/>
      <c r="T1228" s="5"/>
      <c r="U1228" s="5"/>
      <c r="V1228" s="5"/>
      <c r="W1228" s="5"/>
      <c r="X1228" s="5"/>
      <c r="Y1228" s="5"/>
      <c r="Z1228" s="5"/>
      <c r="AA1228" s="5"/>
      <c r="AB1228" s="5"/>
      <c r="AC1228" s="5"/>
      <c r="AD1228" s="5"/>
      <c r="AE1228" s="5"/>
      <c r="AF1228" s="5"/>
      <c r="AG1228" s="14" t="s">
        <v>55</v>
      </c>
      <c r="AH1228" s="14" t="s">
        <v>1603</v>
      </c>
      <c r="AI1228" s="14" t="s">
        <v>1604</v>
      </c>
      <c r="AJ1228" s="5"/>
      <c r="AK1228" s="5"/>
    </row>
    <row r="1229" spans="1:37">
      <c r="A1229" s="5" t="s">
        <v>5566</v>
      </c>
      <c r="B1229" s="5" t="s">
        <v>5555</v>
      </c>
      <c r="C1229" s="6" t="s">
        <v>2822</v>
      </c>
      <c r="D1229" s="6" t="s">
        <v>239</v>
      </c>
      <c r="E1229" s="6" t="s">
        <v>1386</v>
      </c>
      <c r="F1229" s="6" t="s">
        <v>46</v>
      </c>
      <c r="G1229" s="6" t="s">
        <v>5567</v>
      </c>
      <c r="H1229" s="7">
        <v>80.739999999999995</v>
      </c>
      <c r="I1229" s="19" t="s">
        <v>1589</v>
      </c>
      <c r="J1229" s="19" t="s">
        <v>2696</v>
      </c>
      <c r="K1229" s="5" t="s">
        <v>2809</v>
      </c>
      <c r="L1229" s="5" t="s">
        <v>2810</v>
      </c>
      <c r="M1229" s="5" t="s">
        <v>2811</v>
      </c>
      <c r="N1229" s="5" t="s">
        <v>2812</v>
      </c>
      <c r="O1229" s="5" t="s">
        <v>5557</v>
      </c>
      <c r="P1229" s="5" t="s">
        <v>5558</v>
      </c>
      <c r="Q1229" s="5" t="s">
        <v>5559</v>
      </c>
      <c r="R1229" s="5" t="s">
        <v>5560</v>
      </c>
      <c r="AG1229" s="14" t="s">
        <v>55</v>
      </c>
      <c r="AH1229" s="14" t="s">
        <v>1603</v>
      </c>
      <c r="AI1229" s="14" t="s">
        <v>1604</v>
      </c>
    </row>
    <row r="1230" spans="1:37">
      <c r="A1230" s="5" t="s">
        <v>5568</v>
      </c>
      <c r="B1230" s="5" t="s">
        <v>5555</v>
      </c>
      <c r="C1230" s="6" t="s">
        <v>2822</v>
      </c>
      <c r="D1230" s="6" t="s">
        <v>239</v>
      </c>
      <c r="E1230" s="6" t="s">
        <v>2047</v>
      </c>
      <c r="F1230" s="6" t="s">
        <v>46</v>
      </c>
      <c r="G1230" s="6" t="s">
        <v>5569</v>
      </c>
      <c r="H1230" s="7">
        <v>80.739999999999995</v>
      </c>
      <c r="I1230" s="19" t="s">
        <v>1589</v>
      </c>
      <c r="J1230" s="19" t="s">
        <v>2696</v>
      </c>
      <c r="K1230" s="5" t="s">
        <v>2809</v>
      </c>
      <c r="L1230" s="5" t="s">
        <v>2810</v>
      </c>
      <c r="M1230" s="5" t="s">
        <v>2811</v>
      </c>
      <c r="N1230" s="5" t="s">
        <v>2812</v>
      </c>
      <c r="O1230" s="5" t="s">
        <v>5557</v>
      </c>
      <c r="P1230" s="5" t="s">
        <v>5558</v>
      </c>
      <c r="Q1230" s="5" t="s">
        <v>5559</v>
      </c>
      <c r="R1230" s="5" t="s">
        <v>5560</v>
      </c>
      <c r="AG1230" s="14" t="s">
        <v>55</v>
      </c>
      <c r="AH1230" s="14" t="s">
        <v>1603</v>
      </c>
      <c r="AI1230" s="14" t="s">
        <v>1604</v>
      </c>
    </row>
    <row r="1231" spans="1:37">
      <c r="A1231" s="5" t="s">
        <v>5570</v>
      </c>
      <c r="B1231" s="5" t="s">
        <v>5555</v>
      </c>
      <c r="C1231" s="6" t="s">
        <v>2831</v>
      </c>
      <c r="D1231" s="6" t="s">
        <v>239</v>
      </c>
      <c r="E1231" s="6" t="s">
        <v>2839</v>
      </c>
      <c r="F1231" s="6" t="s">
        <v>46</v>
      </c>
      <c r="G1231" s="6" t="s">
        <v>5571</v>
      </c>
      <c r="H1231" s="7">
        <v>80.739999999999995</v>
      </c>
      <c r="I1231" s="19" t="s">
        <v>1589</v>
      </c>
      <c r="J1231" s="19" t="s">
        <v>2696</v>
      </c>
      <c r="K1231" s="5" t="s">
        <v>2809</v>
      </c>
      <c r="L1231" s="5" t="s">
        <v>2810</v>
      </c>
      <c r="M1231" s="5" t="s">
        <v>2811</v>
      </c>
      <c r="N1231" s="5" t="s">
        <v>2812</v>
      </c>
      <c r="O1231" s="5" t="s">
        <v>5557</v>
      </c>
      <c r="P1231" s="5" t="s">
        <v>5558</v>
      </c>
      <c r="Q1231" s="5" t="s">
        <v>5559</v>
      </c>
      <c r="R1231" s="5" t="s">
        <v>5560</v>
      </c>
      <c r="AG1231" s="14" t="s">
        <v>55</v>
      </c>
      <c r="AH1231" s="14" t="s">
        <v>1603</v>
      </c>
      <c r="AI1231" s="14" t="s">
        <v>1604</v>
      </c>
    </row>
    <row r="1232" spans="1:37">
      <c r="A1232" s="5" t="s">
        <v>5572</v>
      </c>
      <c r="B1232" s="5" t="s">
        <v>5555</v>
      </c>
      <c r="C1232" s="6" t="s">
        <v>2822</v>
      </c>
      <c r="D1232" s="6" t="s">
        <v>239</v>
      </c>
      <c r="E1232" s="6" t="s">
        <v>1693</v>
      </c>
      <c r="F1232" s="6" t="s">
        <v>46</v>
      </c>
      <c r="G1232" s="6" t="s">
        <v>1944</v>
      </c>
      <c r="H1232" s="7">
        <v>80.739999999999995</v>
      </c>
      <c r="I1232" s="19" t="s">
        <v>1589</v>
      </c>
      <c r="J1232" s="19" t="s">
        <v>2696</v>
      </c>
      <c r="K1232" s="5" t="s">
        <v>2809</v>
      </c>
      <c r="L1232" s="5" t="s">
        <v>2810</v>
      </c>
      <c r="M1232" s="5" t="s">
        <v>2811</v>
      </c>
      <c r="N1232" s="5" t="s">
        <v>2812</v>
      </c>
      <c r="O1232" s="5" t="s">
        <v>5557</v>
      </c>
      <c r="P1232" s="5" t="s">
        <v>5558</v>
      </c>
      <c r="Q1232" s="5" t="s">
        <v>5559</v>
      </c>
      <c r="R1232" s="5" t="s">
        <v>5560</v>
      </c>
      <c r="AG1232" s="14" t="s">
        <v>55</v>
      </c>
      <c r="AH1232" s="14" t="s">
        <v>1603</v>
      </c>
      <c r="AI1232" s="14" t="s">
        <v>1604</v>
      </c>
    </row>
    <row r="1233" spans="1:35">
      <c r="A1233" s="5" t="s">
        <v>5573</v>
      </c>
      <c r="B1233" s="5" t="s">
        <v>5555</v>
      </c>
      <c r="C1233" s="6" t="s">
        <v>2822</v>
      </c>
      <c r="D1233" s="6" t="s">
        <v>239</v>
      </c>
      <c r="E1233" s="6" t="s">
        <v>1540</v>
      </c>
      <c r="F1233" s="6" t="s">
        <v>46</v>
      </c>
      <c r="G1233" s="6" t="s">
        <v>5574</v>
      </c>
      <c r="H1233" s="7">
        <v>80.739999999999995</v>
      </c>
      <c r="I1233" s="19" t="s">
        <v>1589</v>
      </c>
      <c r="J1233" s="19" t="s">
        <v>2696</v>
      </c>
      <c r="K1233" s="5" t="s">
        <v>2809</v>
      </c>
      <c r="L1233" s="5" t="s">
        <v>2810</v>
      </c>
      <c r="M1233" s="5" t="s">
        <v>2811</v>
      </c>
      <c r="N1233" s="5" t="s">
        <v>2812</v>
      </c>
      <c r="O1233" s="5" t="s">
        <v>5557</v>
      </c>
      <c r="P1233" s="5" t="s">
        <v>5558</v>
      </c>
      <c r="Q1233" s="5" t="s">
        <v>5559</v>
      </c>
      <c r="R1233" s="5" t="s">
        <v>5560</v>
      </c>
      <c r="AG1233" s="14" t="s">
        <v>55</v>
      </c>
      <c r="AH1233" s="14" t="s">
        <v>1603</v>
      </c>
      <c r="AI1233" s="14" t="s">
        <v>1604</v>
      </c>
    </row>
    <row r="1234" spans="1:35">
      <c r="A1234" s="5" t="s">
        <v>5575</v>
      </c>
      <c r="B1234" s="5" t="s">
        <v>5555</v>
      </c>
      <c r="C1234" s="6" t="s">
        <v>2822</v>
      </c>
      <c r="D1234" s="6" t="s">
        <v>239</v>
      </c>
      <c r="E1234" s="6" t="s">
        <v>2065</v>
      </c>
      <c r="F1234" s="6" t="s">
        <v>46</v>
      </c>
      <c r="G1234" s="6" t="s">
        <v>5565</v>
      </c>
      <c r="H1234" s="7">
        <v>80.739999999999995</v>
      </c>
      <c r="I1234" s="19" t="s">
        <v>1589</v>
      </c>
      <c r="J1234" s="19" t="s">
        <v>2696</v>
      </c>
      <c r="K1234" s="5" t="s">
        <v>2809</v>
      </c>
      <c r="L1234" s="5" t="s">
        <v>2810</v>
      </c>
      <c r="M1234" s="5" t="s">
        <v>2811</v>
      </c>
      <c r="N1234" s="5" t="s">
        <v>2812</v>
      </c>
      <c r="O1234" s="5" t="s">
        <v>5557</v>
      </c>
      <c r="P1234" s="5" t="s">
        <v>5558</v>
      </c>
      <c r="Q1234" s="5" t="s">
        <v>5559</v>
      </c>
      <c r="R1234" s="5" t="s">
        <v>5560</v>
      </c>
      <c r="AG1234" s="14" t="s">
        <v>55</v>
      </c>
      <c r="AH1234" s="14" t="s">
        <v>1603</v>
      </c>
      <c r="AI1234" s="14" t="s">
        <v>1604</v>
      </c>
    </row>
    <row r="1235" spans="1:35">
      <c r="A1235" s="5" t="s">
        <v>5576</v>
      </c>
      <c r="B1235" s="5" t="s">
        <v>5577</v>
      </c>
      <c r="C1235" s="6" t="s">
        <v>43</v>
      </c>
      <c r="D1235" s="6" t="s">
        <v>239</v>
      </c>
      <c r="E1235" s="6" t="s">
        <v>1540</v>
      </c>
      <c r="F1235" s="6" t="s">
        <v>46</v>
      </c>
      <c r="G1235" s="6" t="s">
        <v>5578</v>
      </c>
      <c r="H1235" s="7">
        <v>99.88</v>
      </c>
      <c r="I1235" s="19" t="s">
        <v>1589</v>
      </c>
      <c r="J1235" s="19" t="s">
        <v>2696</v>
      </c>
      <c r="K1235" s="5" t="s">
        <v>2857</v>
      </c>
      <c r="L1235" s="5" t="s">
        <v>2858</v>
      </c>
      <c r="M1235" s="5" t="s">
        <v>2859</v>
      </c>
      <c r="N1235" s="5" t="s">
        <v>2860</v>
      </c>
      <c r="O1235" s="5" t="s">
        <v>5579</v>
      </c>
      <c r="P1235" s="5" t="s">
        <v>5580</v>
      </c>
      <c r="Q1235" s="5" t="s">
        <v>5581</v>
      </c>
      <c r="R1235" s="5" t="s">
        <v>5582</v>
      </c>
      <c r="AG1235" s="14" t="s">
        <v>55</v>
      </c>
      <c r="AH1235" s="14" t="s">
        <v>1603</v>
      </c>
      <c r="AI1235" s="14" t="s">
        <v>1604</v>
      </c>
    </row>
    <row r="1236" spans="1:35">
      <c r="A1236" s="5" t="s">
        <v>5583</v>
      </c>
      <c r="B1236" s="5" t="s">
        <v>5577</v>
      </c>
      <c r="C1236" s="6" t="s">
        <v>43</v>
      </c>
      <c r="D1236" s="6" t="s">
        <v>239</v>
      </c>
      <c r="E1236" s="6" t="s">
        <v>2065</v>
      </c>
      <c r="F1236" s="6" t="s">
        <v>46</v>
      </c>
      <c r="G1236" s="6" t="s">
        <v>5584</v>
      </c>
      <c r="H1236" s="7">
        <v>99.88</v>
      </c>
      <c r="I1236" s="19" t="s">
        <v>1589</v>
      </c>
      <c r="J1236" s="19" t="s">
        <v>2696</v>
      </c>
      <c r="K1236" s="5" t="s">
        <v>2857</v>
      </c>
      <c r="L1236" s="5" t="s">
        <v>2858</v>
      </c>
      <c r="M1236" s="5" t="s">
        <v>2859</v>
      </c>
      <c r="N1236" s="5" t="s">
        <v>2860</v>
      </c>
      <c r="O1236" s="5" t="s">
        <v>5579</v>
      </c>
      <c r="P1236" s="5" t="s">
        <v>5580</v>
      </c>
      <c r="Q1236" s="5" t="s">
        <v>5581</v>
      </c>
      <c r="R1236" s="5" t="s">
        <v>5582</v>
      </c>
      <c r="AG1236" s="14" t="s">
        <v>55</v>
      </c>
      <c r="AH1236" s="14" t="s">
        <v>1603</v>
      </c>
      <c r="AI1236" s="14" t="s">
        <v>1604</v>
      </c>
    </row>
    <row r="1237" spans="1:35">
      <c r="A1237" s="5" t="s">
        <v>5585</v>
      </c>
      <c r="B1237" s="5" t="s">
        <v>5586</v>
      </c>
      <c r="C1237" s="6" t="s">
        <v>1944</v>
      </c>
      <c r="D1237" s="6" t="s">
        <v>239</v>
      </c>
      <c r="E1237" s="6" t="s">
        <v>2989</v>
      </c>
      <c r="F1237" s="6" t="s">
        <v>46</v>
      </c>
      <c r="G1237" s="6" t="s">
        <v>5587</v>
      </c>
      <c r="H1237" s="7">
        <v>106.92</v>
      </c>
      <c r="I1237" s="19" t="s">
        <v>1589</v>
      </c>
      <c r="J1237" s="19" t="s">
        <v>2696</v>
      </c>
      <c r="K1237" s="5" t="s">
        <v>2935</v>
      </c>
      <c r="L1237" s="5" t="s">
        <v>2936</v>
      </c>
      <c r="M1237" s="5" t="s">
        <v>2937</v>
      </c>
      <c r="N1237" s="5" t="s">
        <v>2938</v>
      </c>
      <c r="O1237" s="5" t="s">
        <v>5588</v>
      </c>
      <c r="P1237" s="5" t="s">
        <v>5589</v>
      </c>
      <c r="Q1237" s="5" t="s">
        <v>5590</v>
      </c>
      <c r="R1237" s="5" t="s">
        <v>5591</v>
      </c>
      <c r="AG1237" s="14" t="s">
        <v>55</v>
      </c>
      <c r="AH1237" s="14" t="s">
        <v>1603</v>
      </c>
      <c r="AI1237" s="14" t="s">
        <v>1604</v>
      </c>
    </row>
    <row r="1238" spans="1:35">
      <c r="A1238" s="5" t="s">
        <v>5592</v>
      </c>
      <c r="B1238" s="5" t="s">
        <v>5586</v>
      </c>
      <c r="C1238" s="6" t="s">
        <v>43</v>
      </c>
      <c r="D1238" s="6" t="s">
        <v>239</v>
      </c>
      <c r="E1238" s="6" t="s">
        <v>1386</v>
      </c>
      <c r="F1238" s="6" t="s">
        <v>46</v>
      </c>
      <c r="G1238" s="6" t="s">
        <v>5593</v>
      </c>
      <c r="H1238" s="7">
        <v>106.92</v>
      </c>
      <c r="I1238" s="19" t="s">
        <v>1589</v>
      </c>
      <c r="J1238" s="19" t="s">
        <v>2696</v>
      </c>
      <c r="K1238" s="5" t="s">
        <v>2935</v>
      </c>
      <c r="L1238" s="5" t="s">
        <v>2936</v>
      </c>
      <c r="M1238" s="5" t="s">
        <v>2937</v>
      </c>
      <c r="N1238" s="5" t="s">
        <v>2938</v>
      </c>
      <c r="O1238" s="5" t="s">
        <v>5588</v>
      </c>
      <c r="P1238" s="5" t="s">
        <v>5589</v>
      </c>
      <c r="Q1238" s="5" t="s">
        <v>5590</v>
      </c>
      <c r="R1238" s="5" t="s">
        <v>5591</v>
      </c>
      <c r="AG1238" s="14" t="s">
        <v>55</v>
      </c>
      <c r="AH1238" s="14" t="s">
        <v>1603</v>
      </c>
      <c r="AI1238" s="14" t="s">
        <v>1604</v>
      </c>
    </row>
    <row r="1239" spans="1:35">
      <c r="A1239" s="5" t="s">
        <v>5594</v>
      </c>
      <c r="B1239" s="5" t="s">
        <v>5586</v>
      </c>
      <c r="C1239" s="6" t="s">
        <v>43</v>
      </c>
      <c r="D1239" s="6" t="s">
        <v>239</v>
      </c>
      <c r="E1239" s="6" t="s">
        <v>2047</v>
      </c>
      <c r="F1239" s="6" t="s">
        <v>46</v>
      </c>
      <c r="G1239" s="6" t="s">
        <v>5595</v>
      </c>
      <c r="H1239" s="7">
        <v>106.92</v>
      </c>
      <c r="I1239" s="19" t="s">
        <v>1589</v>
      </c>
      <c r="J1239" s="19" t="s">
        <v>2696</v>
      </c>
      <c r="K1239" s="5" t="s">
        <v>2935</v>
      </c>
      <c r="L1239" s="5" t="s">
        <v>2936</v>
      </c>
      <c r="M1239" s="5" t="s">
        <v>2937</v>
      </c>
      <c r="N1239" s="5" t="s">
        <v>2938</v>
      </c>
      <c r="O1239" s="5" t="s">
        <v>5588</v>
      </c>
      <c r="P1239" s="5" t="s">
        <v>5589</v>
      </c>
      <c r="Q1239" s="5" t="s">
        <v>5590</v>
      </c>
      <c r="R1239" s="5" t="s">
        <v>5591</v>
      </c>
      <c r="AG1239" s="14" t="s">
        <v>55</v>
      </c>
      <c r="AH1239" s="14" t="s">
        <v>1603</v>
      </c>
      <c r="AI1239" s="14" t="s">
        <v>1604</v>
      </c>
    </row>
    <row r="1240" spans="1:35">
      <c r="A1240" s="5" t="s">
        <v>5596</v>
      </c>
      <c r="B1240" s="5" t="s">
        <v>5586</v>
      </c>
      <c r="C1240" s="6" t="s">
        <v>43</v>
      </c>
      <c r="D1240" s="6" t="s">
        <v>239</v>
      </c>
      <c r="E1240" s="6" t="s">
        <v>2065</v>
      </c>
      <c r="F1240" s="6" t="s">
        <v>46</v>
      </c>
      <c r="G1240" s="6" t="s">
        <v>5597</v>
      </c>
      <c r="H1240" s="7">
        <v>106.92</v>
      </c>
      <c r="I1240" s="19" t="s">
        <v>1589</v>
      </c>
      <c r="J1240" s="19" t="s">
        <v>2696</v>
      </c>
      <c r="K1240" s="5" t="s">
        <v>2935</v>
      </c>
      <c r="L1240" s="5" t="s">
        <v>2936</v>
      </c>
      <c r="M1240" s="5" t="s">
        <v>2937</v>
      </c>
      <c r="N1240" s="5" t="s">
        <v>2938</v>
      </c>
      <c r="O1240" s="5" t="s">
        <v>5588</v>
      </c>
      <c r="P1240" s="5" t="s">
        <v>5589</v>
      </c>
      <c r="Q1240" s="5" t="s">
        <v>5590</v>
      </c>
      <c r="R1240" s="5" t="s">
        <v>5591</v>
      </c>
      <c r="AG1240" s="14" t="s">
        <v>55</v>
      </c>
      <c r="AH1240" s="14" t="s">
        <v>1603</v>
      </c>
      <c r="AI1240" s="14" t="s">
        <v>1604</v>
      </c>
    </row>
    <row r="1241" spans="1:35">
      <c r="A1241" s="5" t="s">
        <v>5598</v>
      </c>
      <c r="B1241" s="5" t="s">
        <v>5599</v>
      </c>
      <c r="C1241" s="6" t="s">
        <v>43</v>
      </c>
      <c r="D1241" s="6" t="s">
        <v>239</v>
      </c>
      <c r="E1241" s="6" t="s">
        <v>2989</v>
      </c>
      <c r="F1241" s="6" t="s">
        <v>46</v>
      </c>
      <c r="G1241" s="6" t="s">
        <v>5600</v>
      </c>
      <c r="H1241" s="7">
        <v>119.24</v>
      </c>
      <c r="I1241" s="19" t="s">
        <v>1589</v>
      </c>
      <c r="J1241" s="19" t="s">
        <v>2696</v>
      </c>
      <c r="K1241" s="5" t="s">
        <v>2991</v>
      </c>
      <c r="L1241" s="5" t="s">
        <v>2992</v>
      </c>
      <c r="M1241" s="5" t="s">
        <v>2993</v>
      </c>
      <c r="N1241" s="5" t="s">
        <v>2994</v>
      </c>
      <c r="O1241" s="5" t="s">
        <v>5601</v>
      </c>
      <c r="P1241" s="5" t="s">
        <v>5602</v>
      </c>
      <c r="Q1241" s="5" t="s">
        <v>5603</v>
      </c>
      <c r="R1241" s="5" t="s">
        <v>5604</v>
      </c>
      <c r="AG1241" s="14" t="s">
        <v>55</v>
      </c>
      <c r="AH1241" s="14" t="s">
        <v>1603</v>
      </c>
      <c r="AI1241" s="14" t="s">
        <v>1604</v>
      </c>
    </row>
    <row r="1242" spans="1:35">
      <c r="A1242" s="5" t="s">
        <v>5605</v>
      </c>
      <c r="B1242" s="5" t="s">
        <v>5599</v>
      </c>
      <c r="C1242" s="6" t="s">
        <v>43</v>
      </c>
      <c r="D1242" s="6" t="s">
        <v>239</v>
      </c>
      <c r="E1242" s="6" t="s">
        <v>2139</v>
      </c>
      <c r="F1242" s="6" t="s">
        <v>46</v>
      </c>
      <c r="G1242" s="6" t="s">
        <v>5606</v>
      </c>
      <c r="H1242" s="7">
        <v>119.24</v>
      </c>
      <c r="I1242" s="19" t="s">
        <v>1589</v>
      </c>
      <c r="J1242" s="19" t="s">
        <v>2696</v>
      </c>
      <c r="K1242" s="5" t="s">
        <v>2991</v>
      </c>
      <c r="L1242" s="5" t="s">
        <v>2992</v>
      </c>
      <c r="M1242" s="5" t="s">
        <v>2993</v>
      </c>
      <c r="N1242" s="5" t="s">
        <v>2994</v>
      </c>
      <c r="O1242" s="5" t="s">
        <v>5601</v>
      </c>
      <c r="P1242" s="5" t="s">
        <v>5602</v>
      </c>
      <c r="Q1242" s="5" t="s">
        <v>5603</v>
      </c>
      <c r="R1242" s="5" t="s">
        <v>5604</v>
      </c>
      <c r="AG1242" s="14" t="s">
        <v>55</v>
      </c>
      <c r="AH1242" s="14" t="s">
        <v>1603</v>
      </c>
      <c r="AI1242" s="14" t="s">
        <v>1604</v>
      </c>
    </row>
    <row r="1243" spans="1:35">
      <c r="A1243" s="5" t="s">
        <v>5607</v>
      </c>
      <c r="B1243" s="5" t="s">
        <v>5599</v>
      </c>
      <c r="C1243" s="6" t="s">
        <v>43</v>
      </c>
      <c r="D1243" s="6" t="s">
        <v>239</v>
      </c>
      <c r="E1243" s="6" t="s">
        <v>2047</v>
      </c>
      <c r="F1243" s="6" t="s">
        <v>46</v>
      </c>
      <c r="G1243" s="6" t="s">
        <v>5608</v>
      </c>
      <c r="H1243" s="7">
        <v>119.24</v>
      </c>
      <c r="I1243" s="19" t="s">
        <v>1589</v>
      </c>
      <c r="J1243" s="19" t="s">
        <v>2696</v>
      </c>
      <c r="K1243" s="5" t="s">
        <v>2991</v>
      </c>
      <c r="L1243" s="5" t="s">
        <v>2992</v>
      </c>
      <c r="M1243" s="5" t="s">
        <v>2993</v>
      </c>
      <c r="N1243" s="5" t="s">
        <v>2994</v>
      </c>
      <c r="O1243" s="5" t="s">
        <v>5601</v>
      </c>
      <c r="P1243" s="5" t="s">
        <v>5602</v>
      </c>
      <c r="Q1243" s="5" t="s">
        <v>5603</v>
      </c>
      <c r="R1243" s="5" t="s">
        <v>5604</v>
      </c>
      <c r="AG1243" s="14" t="s">
        <v>55</v>
      </c>
      <c r="AH1243" s="14" t="s">
        <v>1603</v>
      </c>
      <c r="AI1243" s="14" t="s">
        <v>1604</v>
      </c>
    </row>
    <row r="1244" spans="1:35">
      <c r="A1244" s="5" t="s">
        <v>5609</v>
      </c>
      <c r="B1244" s="5" t="s">
        <v>5599</v>
      </c>
      <c r="C1244" s="6" t="s">
        <v>43</v>
      </c>
      <c r="D1244" s="6" t="s">
        <v>239</v>
      </c>
      <c r="E1244" s="6" t="s">
        <v>1540</v>
      </c>
      <c r="F1244" s="6" t="s">
        <v>46</v>
      </c>
      <c r="G1244" s="6" t="s">
        <v>5610</v>
      </c>
      <c r="H1244" s="7">
        <v>119.24</v>
      </c>
      <c r="I1244" s="19" t="s">
        <v>1589</v>
      </c>
      <c r="J1244" s="19" t="s">
        <v>2696</v>
      </c>
      <c r="K1244" s="5" t="s">
        <v>2991</v>
      </c>
      <c r="L1244" s="5" t="s">
        <v>2992</v>
      </c>
      <c r="M1244" s="5" t="s">
        <v>2993</v>
      </c>
      <c r="N1244" s="5" t="s">
        <v>2994</v>
      </c>
      <c r="O1244" s="5" t="s">
        <v>5601</v>
      </c>
      <c r="P1244" s="5" t="s">
        <v>5602</v>
      </c>
      <c r="Q1244" s="5" t="s">
        <v>5603</v>
      </c>
      <c r="R1244" s="5" t="s">
        <v>5604</v>
      </c>
      <c r="AG1244" s="14" t="s">
        <v>55</v>
      </c>
      <c r="AH1244" s="14" t="s">
        <v>1603</v>
      </c>
      <c r="AI1244" s="14" t="s">
        <v>1604</v>
      </c>
    </row>
    <row r="1245" spans="1:35">
      <c r="A1245" s="5" t="s">
        <v>5611</v>
      </c>
      <c r="B1245" s="5" t="s">
        <v>5599</v>
      </c>
      <c r="C1245" s="6" t="s">
        <v>43</v>
      </c>
      <c r="D1245" s="6" t="s">
        <v>239</v>
      </c>
      <c r="E1245" s="6" t="s">
        <v>2065</v>
      </c>
      <c r="F1245" s="6" t="s">
        <v>46</v>
      </c>
      <c r="G1245" s="6" t="s">
        <v>5612</v>
      </c>
      <c r="H1245" s="7">
        <v>119.24</v>
      </c>
      <c r="I1245" s="19" t="s">
        <v>1589</v>
      </c>
      <c r="J1245" s="19" t="s">
        <v>2696</v>
      </c>
      <c r="K1245" s="5" t="s">
        <v>2991</v>
      </c>
      <c r="L1245" s="5" t="s">
        <v>2992</v>
      </c>
      <c r="M1245" s="5" t="s">
        <v>2993</v>
      </c>
      <c r="N1245" s="5" t="s">
        <v>2994</v>
      </c>
      <c r="O1245" s="5" t="s">
        <v>5601</v>
      </c>
      <c r="P1245" s="5" t="s">
        <v>5602</v>
      </c>
      <c r="Q1245" s="5" t="s">
        <v>5603</v>
      </c>
      <c r="R1245" s="5" t="s">
        <v>5604</v>
      </c>
      <c r="AG1245" s="14" t="s">
        <v>55</v>
      </c>
      <c r="AH1245" s="14" t="s">
        <v>1603</v>
      </c>
      <c r="AI1245" s="14" t="s">
        <v>1604</v>
      </c>
    </row>
    <row r="1246" spans="1:35">
      <c r="A1246" s="5" t="s">
        <v>5613</v>
      </c>
      <c r="B1246" s="5" t="s">
        <v>5614</v>
      </c>
      <c r="C1246" s="6" t="s">
        <v>43</v>
      </c>
      <c r="D1246" s="6" t="s">
        <v>239</v>
      </c>
      <c r="E1246" s="6" t="s">
        <v>2139</v>
      </c>
      <c r="F1246" s="6" t="s">
        <v>46</v>
      </c>
      <c r="G1246" s="6" t="s">
        <v>5615</v>
      </c>
      <c r="H1246" s="7">
        <v>145.63999999999999</v>
      </c>
      <c r="I1246" s="19" t="s">
        <v>1589</v>
      </c>
      <c r="J1246" s="19" t="s">
        <v>2696</v>
      </c>
      <c r="K1246" s="5" t="s">
        <v>3023</v>
      </c>
      <c r="L1246" s="5" t="s">
        <v>3024</v>
      </c>
      <c r="M1246" s="5" t="s">
        <v>3025</v>
      </c>
      <c r="N1246" s="5" t="s">
        <v>3026</v>
      </c>
      <c r="O1246" s="5" t="s">
        <v>5616</v>
      </c>
      <c r="P1246" s="5" t="s">
        <v>5617</v>
      </c>
      <c r="Q1246" s="5" t="s">
        <v>5618</v>
      </c>
      <c r="R1246" s="5" t="s">
        <v>5619</v>
      </c>
      <c r="AG1246" s="14" t="s">
        <v>55</v>
      </c>
      <c r="AH1246" s="14" t="s">
        <v>1603</v>
      </c>
      <c r="AI1246" s="14" t="s">
        <v>1604</v>
      </c>
    </row>
    <row r="1247" spans="1:35">
      <c r="A1247" s="5" t="s">
        <v>5620</v>
      </c>
      <c r="B1247" s="5" t="s">
        <v>5614</v>
      </c>
      <c r="C1247" s="6" t="s">
        <v>43</v>
      </c>
      <c r="D1247" s="6" t="s">
        <v>239</v>
      </c>
      <c r="E1247" s="6" t="s">
        <v>2047</v>
      </c>
      <c r="F1247" s="6" t="s">
        <v>46</v>
      </c>
      <c r="G1247" s="6" t="s">
        <v>5621</v>
      </c>
      <c r="H1247" s="7">
        <v>145.63999999999999</v>
      </c>
      <c r="I1247" s="19" t="s">
        <v>1589</v>
      </c>
      <c r="J1247" s="19" t="s">
        <v>2696</v>
      </c>
      <c r="K1247" s="5" t="s">
        <v>3023</v>
      </c>
      <c r="L1247" s="5" t="s">
        <v>3024</v>
      </c>
      <c r="M1247" s="5" t="s">
        <v>3025</v>
      </c>
      <c r="N1247" s="5" t="s">
        <v>3026</v>
      </c>
      <c r="O1247" s="5" t="s">
        <v>5616</v>
      </c>
      <c r="P1247" s="5" t="s">
        <v>5617</v>
      </c>
      <c r="Q1247" s="5" t="s">
        <v>5618</v>
      </c>
      <c r="R1247" s="5" t="s">
        <v>5619</v>
      </c>
      <c r="AG1247" s="14" t="s">
        <v>55</v>
      </c>
      <c r="AH1247" s="14" t="s">
        <v>1603</v>
      </c>
      <c r="AI1247" s="14" t="s">
        <v>1604</v>
      </c>
    </row>
    <row r="1248" spans="1:35">
      <c r="A1248" s="5" t="s">
        <v>5622</v>
      </c>
      <c r="B1248" s="5" t="s">
        <v>5614</v>
      </c>
      <c r="C1248" s="6" t="s">
        <v>43</v>
      </c>
      <c r="D1248" s="6" t="s">
        <v>239</v>
      </c>
      <c r="E1248" s="6" t="s">
        <v>2065</v>
      </c>
      <c r="F1248" s="6" t="s">
        <v>46</v>
      </c>
      <c r="G1248" s="6" t="s">
        <v>5623</v>
      </c>
      <c r="H1248" s="7">
        <v>145.63999999999999</v>
      </c>
      <c r="I1248" s="19" t="s">
        <v>1589</v>
      </c>
      <c r="J1248" s="19" t="s">
        <v>2696</v>
      </c>
      <c r="K1248" s="5" t="s">
        <v>3023</v>
      </c>
      <c r="L1248" s="5" t="s">
        <v>3024</v>
      </c>
      <c r="M1248" s="5" t="s">
        <v>3025</v>
      </c>
      <c r="N1248" s="5" t="s">
        <v>3026</v>
      </c>
      <c r="O1248" s="5" t="s">
        <v>5616</v>
      </c>
      <c r="P1248" s="5" t="s">
        <v>5617</v>
      </c>
      <c r="Q1248" s="5" t="s">
        <v>5618</v>
      </c>
      <c r="R1248" s="5" t="s">
        <v>5619</v>
      </c>
      <c r="AG1248" s="14" t="s">
        <v>55</v>
      </c>
      <c r="AH1248" s="14" t="s">
        <v>1603</v>
      </c>
      <c r="AI1248" s="14" t="s">
        <v>1604</v>
      </c>
    </row>
    <row r="1249" spans="1:37">
      <c r="A1249" s="5" t="s">
        <v>5624</v>
      </c>
      <c r="B1249" s="5" t="s">
        <v>5625</v>
      </c>
      <c r="C1249" s="6" t="s">
        <v>43</v>
      </c>
      <c r="D1249" s="6" t="s">
        <v>239</v>
      </c>
      <c r="E1249" s="6" t="s">
        <v>2989</v>
      </c>
      <c r="F1249" s="6" t="s">
        <v>46</v>
      </c>
      <c r="G1249" s="6" t="s">
        <v>5626</v>
      </c>
      <c r="H1249" s="7">
        <v>152.9</v>
      </c>
      <c r="I1249" s="19" t="s">
        <v>1589</v>
      </c>
      <c r="J1249" s="19" t="s">
        <v>2696</v>
      </c>
      <c r="K1249" s="5" t="s">
        <v>3095</v>
      </c>
      <c r="L1249" s="5" t="s">
        <v>3096</v>
      </c>
      <c r="M1249" s="5" t="s">
        <v>3097</v>
      </c>
      <c r="N1249" s="5" t="s">
        <v>3098</v>
      </c>
      <c r="O1249" s="5" t="s">
        <v>5627</v>
      </c>
      <c r="P1249" s="5" t="s">
        <v>5628</v>
      </c>
      <c r="Q1249" s="5" t="s">
        <v>5629</v>
      </c>
      <c r="R1249" s="5" t="s">
        <v>5630</v>
      </c>
      <c r="AG1249" s="14" t="s">
        <v>55</v>
      </c>
      <c r="AH1249" s="14" t="s">
        <v>1603</v>
      </c>
      <c r="AI1249" s="14" t="s">
        <v>1604</v>
      </c>
    </row>
    <row r="1250" spans="1:37">
      <c r="A1250" s="5" t="s">
        <v>5631</v>
      </c>
      <c r="B1250" s="5" t="s">
        <v>5625</v>
      </c>
      <c r="C1250" s="6" t="s">
        <v>43</v>
      </c>
      <c r="D1250" s="6" t="s">
        <v>239</v>
      </c>
      <c r="E1250" s="6" t="s">
        <v>1386</v>
      </c>
      <c r="F1250" s="6" t="s">
        <v>46</v>
      </c>
      <c r="G1250" s="6" t="s">
        <v>5632</v>
      </c>
      <c r="H1250" s="7">
        <v>152.9</v>
      </c>
      <c r="I1250" s="19" t="s">
        <v>1589</v>
      </c>
      <c r="J1250" s="19" t="s">
        <v>2696</v>
      </c>
      <c r="K1250" s="5" t="s">
        <v>3095</v>
      </c>
      <c r="L1250" s="5" t="s">
        <v>3096</v>
      </c>
      <c r="M1250" s="5" t="s">
        <v>3097</v>
      </c>
      <c r="N1250" s="5" t="s">
        <v>3098</v>
      </c>
      <c r="O1250" s="5" t="s">
        <v>5627</v>
      </c>
      <c r="P1250" s="5" t="s">
        <v>5628</v>
      </c>
      <c r="Q1250" s="5" t="s">
        <v>5629</v>
      </c>
      <c r="R1250" s="5" t="s">
        <v>5630</v>
      </c>
      <c r="AG1250" s="14" t="s">
        <v>55</v>
      </c>
      <c r="AH1250" s="14" t="s">
        <v>1603</v>
      </c>
      <c r="AI1250" s="14" t="s">
        <v>1604</v>
      </c>
    </row>
    <row r="1251" spans="1:37">
      <c r="A1251" s="5" t="s">
        <v>5633</v>
      </c>
      <c r="B1251" s="5" t="s">
        <v>5625</v>
      </c>
      <c r="C1251" s="6" t="s">
        <v>43</v>
      </c>
      <c r="D1251" s="6" t="s">
        <v>239</v>
      </c>
      <c r="E1251" s="6" t="s">
        <v>1540</v>
      </c>
      <c r="F1251" s="6" t="s">
        <v>46</v>
      </c>
      <c r="G1251" s="6" t="s">
        <v>5634</v>
      </c>
      <c r="H1251" s="7">
        <v>152.9</v>
      </c>
      <c r="I1251" s="19" t="s">
        <v>1589</v>
      </c>
      <c r="J1251" s="19" t="s">
        <v>2696</v>
      </c>
      <c r="K1251" s="5" t="s">
        <v>3095</v>
      </c>
      <c r="L1251" s="5" t="s">
        <v>3096</v>
      </c>
      <c r="M1251" s="5" t="s">
        <v>3097</v>
      </c>
      <c r="N1251" s="5" t="s">
        <v>3098</v>
      </c>
      <c r="O1251" s="5" t="s">
        <v>5627</v>
      </c>
      <c r="P1251" s="5" t="s">
        <v>5628</v>
      </c>
      <c r="Q1251" s="5" t="s">
        <v>5629</v>
      </c>
      <c r="R1251" s="5" t="s">
        <v>5630</v>
      </c>
      <c r="AG1251" s="14" t="s">
        <v>55</v>
      </c>
      <c r="AH1251" s="14" t="s">
        <v>1603</v>
      </c>
      <c r="AI1251" s="14" t="s">
        <v>1604</v>
      </c>
    </row>
    <row r="1252" spans="1:37">
      <c r="A1252" s="5" t="s">
        <v>5635</v>
      </c>
      <c r="B1252" s="5" t="s">
        <v>5625</v>
      </c>
      <c r="C1252" s="6" t="s">
        <v>43</v>
      </c>
      <c r="D1252" s="6" t="s">
        <v>239</v>
      </c>
      <c r="E1252" s="6" t="s">
        <v>2065</v>
      </c>
      <c r="F1252" s="6" t="s">
        <v>46</v>
      </c>
      <c r="G1252" s="6" t="s">
        <v>5636</v>
      </c>
      <c r="H1252" s="7">
        <v>152.9</v>
      </c>
      <c r="I1252" s="19" t="s">
        <v>1589</v>
      </c>
      <c r="J1252" s="19" t="s">
        <v>2696</v>
      </c>
      <c r="K1252" s="5" t="s">
        <v>3095</v>
      </c>
      <c r="L1252" s="5" t="s">
        <v>3096</v>
      </c>
      <c r="M1252" s="5" t="s">
        <v>3097</v>
      </c>
      <c r="N1252" s="5" t="s">
        <v>3098</v>
      </c>
      <c r="O1252" s="5" t="s">
        <v>5627</v>
      </c>
      <c r="P1252" s="5" t="s">
        <v>5628</v>
      </c>
      <c r="Q1252" s="5" t="s">
        <v>5629</v>
      </c>
      <c r="R1252" s="5" t="s">
        <v>5630</v>
      </c>
      <c r="AG1252" s="14" t="s">
        <v>55</v>
      </c>
      <c r="AH1252" s="14" t="s">
        <v>1603</v>
      </c>
      <c r="AI1252" s="14" t="s">
        <v>1604</v>
      </c>
    </row>
    <row r="1253" spans="1:37">
      <c r="A1253" s="5" t="s">
        <v>5637</v>
      </c>
      <c r="B1253" s="5" t="s">
        <v>5638</v>
      </c>
      <c r="C1253" s="6" t="s">
        <v>5639</v>
      </c>
      <c r="D1253" s="6" t="s">
        <v>1977</v>
      </c>
      <c r="E1253" s="6" t="s">
        <v>1386</v>
      </c>
      <c r="F1253" s="6" t="s">
        <v>46</v>
      </c>
      <c r="G1253" s="6" t="s">
        <v>5640</v>
      </c>
      <c r="H1253" s="7">
        <v>5.83</v>
      </c>
      <c r="I1253" s="19" t="s">
        <v>1589</v>
      </c>
      <c r="J1253" s="19" t="s">
        <v>2001</v>
      </c>
      <c r="K1253" s="20" t="s">
        <v>2002</v>
      </c>
      <c r="L1253" s="20" t="s">
        <v>2003</v>
      </c>
      <c r="M1253" s="20" t="s">
        <v>2004</v>
      </c>
      <c r="N1253" s="20" t="s">
        <v>2005</v>
      </c>
      <c r="O1253" s="20" t="s">
        <v>5641</v>
      </c>
      <c r="P1253" s="20" t="s">
        <v>5642</v>
      </c>
      <c r="Q1253" s="20" t="s">
        <v>5643</v>
      </c>
      <c r="R1253" s="5" t="s">
        <v>5644</v>
      </c>
      <c r="W1253" s="20" t="s">
        <v>2010</v>
      </c>
      <c r="X1253" s="20" t="s">
        <v>2011</v>
      </c>
      <c r="Y1253" s="20" t="s">
        <v>2012</v>
      </c>
      <c r="Z1253" s="20" t="s">
        <v>2013</v>
      </c>
      <c r="AG1253" s="14" t="s">
        <v>55</v>
      </c>
      <c r="AH1253" s="14" t="s">
        <v>1603</v>
      </c>
      <c r="AI1253" s="14" t="s">
        <v>124</v>
      </c>
    </row>
    <row r="1254" spans="1:37">
      <c r="A1254" s="5" t="s">
        <v>5645</v>
      </c>
      <c r="B1254" s="5" t="s">
        <v>5646</v>
      </c>
      <c r="C1254" s="6" t="s">
        <v>43</v>
      </c>
      <c r="D1254" s="6" t="s">
        <v>1977</v>
      </c>
      <c r="E1254" s="6" t="s">
        <v>1386</v>
      </c>
      <c r="F1254" s="6" t="s">
        <v>46</v>
      </c>
      <c r="G1254" s="6" t="s">
        <v>5647</v>
      </c>
      <c r="H1254" s="7">
        <v>7.35</v>
      </c>
      <c r="I1254" s="19" t="s">
        <v>1589</v>
      </c>
      <c r="J1254" s="19" t="s">
        <v>2001</v>
      </c>
      <c r="K1254" s="20" t="s">
        <v>2023</v>
      </c>
      <c r="L1254" s="20" t="s">
        <v>2024</v>
      </c>
      <c r="M1254" s="20" t="s">
        <v>2025</v>
      </c>
      <c r="N1254" s="20" t="s">
        <v>2026</v>
      </c>
      <c r="O1254" s="20" t="s">
        <v>5648</v>
      </c>
      <c r="P1254" s="20" t="s">
        <v>5649</v>
      </c>
      <c r="Q1254" s="20" t="s">
        <v>5650</v>
      </c>
      <c r="R1254" s="5" t="s">
        <v>5651</v>
      </c>
      <c r="W1254" s="20" t="s">
        <v>2010</v>
      </c>
      <c r="X1254" s="20" t="s">
        <v>2011</v>
      </c>
      <c r="Y1254" s="20" t="s">
        <v>2012</v>
      </c>
      <c r="Z1254" s="20" t="s">
        <v>2013</v>
      </c>
      <c r="AG1254" s="14" t="s">
        <v>55</v>
      </c>
      <c r="AH1254" s="14" t="s">
        <v>1603</v>
      </c>
      <c r="AI1254" s="14" t="s">
        <v>124</v>
      </c>
    </row>
    <row r="1255" spans="1:37">
      <c r="A1255" s="5" t="s">
        <v>5652</v>
      </c>
      <c r="B1255" s="5" t="s">
        <v>5646</v>
      </c>
      <c r="C1255" s="6" t="s">
        <v>43</v>
      </c>
      <c r="D1255" s="6" t="s">
        <v>1977</v>
      </c>
      <c r="E1255" s="6" t="s">
        <v>2015</v>
      </c>
      <c r="F1255" s="6" t="s">
        <v>46</v>
      </c>
      <c r="G1255" s="6" t="s">
        <v>5653</v>
      </c>
      <c r="H1255" s="7">
        <v>7.35</v>
      </c>
      <c r="I1255" s="19" t="s">
        <v>1589</v>
      </c>
      <c r="J1255" s="19" t="s">
        <v>2001</v>
      </c>
      <c r="K1255" s="20" t="s">
        <v>2023</v>
      </c>
      <c r="L1255" s="20" t="s">
        <v>2024</v>
      </c>
      <c r="M1255" s="20" t="s">
        <v>2025</v>
      </c>
      <c r="N1255" s="20" t="s">
        <v>2026</v>
      </c>
      <c r="O1255" s="20" t="s">
        <v>5648</v>
      </c>
      <c r="P1255" s="20" t="s">
        <v>5649</v>
      </c>
      <c r="Q1255" s="20" t="s">
        <v>5650</v>
      </c>
      <c r="R1255" s="5" t="s">
        <v>5651</v>
      </c>
      <c r="W1255" s="20" t="s">
        <v>2010</v>
      </c>
      <c r="X1255" s="20" t="s">
        <v>2011</v>
      </c>
      <c r="Y1255" s="20" t="s">
        <v>2012</v>
      </c>
      <c r="Z1255" s="20" t="s">
        <v>2013</v>
      </c>
      <c r="AG1255" s="14" t="s">
        <v>55</v>
      </c>
      <c r="AH1255" s="14" t="s">
        <v>1603</v>
      </c>
      <c r="AI1255" s="14" t="s">
        <v>124</v>
      </c>
    </row>
    <row r="1256" spans="1:37">
      <c r="A1256" s="5" t="s">
        <v>5654</v>
      </c>
      <c r="B1256" s="5" t="s">
        <v>5655</v>
      </c>
      <c r="C1256" s="6" t="s">
        <v>43</v>
      </c>
      <c r="D1256" s="6" t="s">
        <v>1977</v>
      </c>
      <c r="E1256" s="6" t="s">
        <v>2015</v>
      </c>
      <c r="F1256" s="6" t="s">
        <v>46</v>
      </c>
      <c r="G1256" s="6" t="s">
        <v>5656</v>
      </c>
      <c r="H1256" s="7">
        <v>7.74</v>
      </c>
      <c r="I1256" s="19" t="s">
        <v>1589</v>
      </c>
      <c r="J1256" s="19" t="s">
        <v>2001</v>
      </c>
      <c r="K1256" s="20" t="s">
        <v>2036</v>
      </c>
      <c r="L1256" s="20" t="s">
        <v>2037</v>
      </c>
      <c r="M1256" s="20" t="s">
        <v>2038</v>
      </c>
      <c r="N1256" s="20" t="s">
        <v>2039</v>
      </c>
      <c r="O1256" s="20" t="s">
        <v>5657</v>
      </c>
      <c r="P1256" s="20" t="s">
        <v>5658</v>
      </c>
      <c r="Q1256" s="20" t="s">
        <v>5659</v>
      </c>
      <c r="R1256" s="5" t="s">
        <v>5660</v>
      </c>
      <c r="W1256" s="20" t="s">
        <v>2010</v>
      </c>
      <c r="X1256" s="20" t="s">
        <v>2011</v>
      </c>
      <c r="Y1256" s="20" t="s">
        <v>2012</v>
      </c>
      <c r="Z1256" s="20" t="s">
        <v>2013</v>
      </c>
      <c r="AG1256" s="14" t="s">
        <v>55</v>
      </c>
      <c r="AH1256" s="14" t="s">
        <v>1603</v>
      </c>
      <c r="AI1256" s="14" t="s">
        <v>124</v>
      </c>
    </row>
    <row r="1257" spans="1:37">
      <c r="A1257" s="5" t="s">
        <v>5661</v>
      </c>
      <c r="B1257" s="5" t="s">
        <v>5662</v>
      </c>
      <c r="C1257" s="6" t="s">
        <v>5663</v>
      </c>
      <c r="D1257" s="6" t="s">
        <v>2114</v>
      </c>
      <c r="E1257" s="6" t="s">
        <v>1386</v>
      </c>
      <c r="F1257" s="6" t="s">
        <v>46</v>
      </c>
      <c r="G1257" s="6" t="s">
        <v>5664</v>
      </c>
      <c r="H1257" s="7">
        <v>6.67</v>
      </c>
      <c r="I1257" s="19" t="s">
        <v>1589</v>
      </c>
      <c r="J1257" s="19" t="s">
        <v>2001</v>
      </c>
      <c r="K1257" s="5" t="s">
        <v>2116</v>
      </c>
      <c r="L1257" s="5" t="s">
        <v>2117</v>
      </c>
      <c r="M1257" s="5" t="s">
        <v>2118</v>
      </c>
      <c r="N1257" s="5" t="s">
        <v>2119</v>
      </c>
      <c r="O1257" s="5" t="s">
        <v>5665</v>
      </c>
      <c r="P1257" s="5" t="s">
        <v>5666</v>
      </c>
      <c r="Q1257" s="5" t="s">
        <v>5667</v>
      </c>
      <c r="R1257" s="5"/>
      <c r="W1257" s="5" t="s">
        <v>2123</v>
      </c>
      <c r="X1257" s="5" t="s">
        <v>2011</v>
      </c>
      <c r="Y1257" s="5" t="s">
        <v>2012</v>
      </c>
      <c r="Z1257" s="5" t="s">
        <v>2013</v>
      </c>
      <c r="AG1257" s="14" t="s">
        <v>55</v>
      </c>
      <c r="AH1257" s="14" t="s">
        <v>1603</v>
      </c>
      <c r="AI1257" s="14" t="s">
        <v>124</v>
      </c>
    </row>
    <row r="1258" spans="1:37">
      <c r="A1258" s="5" t="s">
        <v>5668</v>
      </c>
      <c r="B1258" s="5" t="s">
        <v>5662</v>
      </c>
      <c r="C1258" s="6" t="s">
        <v>43</v>
      </c>
      <c r="D1258" s="6" t="s">
        <v>2114</v>
      </c>
      <c r="E1258" s="6" t="s">
        <v>2015</v>
      </c>
      <c r="F1258" s="6" t="s">
        <v>46</v>
      </c>
      <c r="G1258" s="6" t="s">
        <v>5669</v>
      </c>
      <c r="H1258" s="7">
        <v>6.67</v>
      </c>
      <c r="I1258" s="19" t="s">
        <v>1589</v>
      </c>
      <c r="J1258" s="19" t="s">
        <v>2001</v>
      </c>
      <c r="K1258" s="5" t="s">
        <v>2116</v>
      </c>
      <c r="L1258" s="5" t="s">
        <v>2117</v>
      </c>
      <c r="M1258" s="5" t="s">
        <v>2118</v>
      </c>
      <c r="N1258" s="5" t="s">
        <v>2119</v>
      </c>
      <c r="O1258" s="5" t="s">
        <v>5665</v>
      </c>
      <c r="P1258" s="5" t="s">
        <v>5666</v>
      </c>
      <c r="Q1258" s="5" t="s">
        <v>5667</v>
      </c>
      <c r="R1258" s="5"/>
      <c r="W1258" s="5" t="s">
        <v>2123</v>
      </c>
      <c r="X1258" s="5" t="s">
        <v>2011</v>
      </c>
      <c r="Y1258" s="5" t="s">
        <v>2012</v>
      </c>
      <c r="Z1258" s="5" t="s">
        <v>2013</v>
      </c>
      <c r="AG1258" s="14" t="s">
        <v>55</v>
      </c>
      <c r="AH1258" s="14" t="s">
        <v>1603</v>
      </c>
      <c r="AI1258" s="14" t="s">
        <v>124</v>
      </c>
    </row>
    <row r="1259" spans="1:37">
      <c r="A1259" s="5" t="s">
        <v>5670</v>
      </c>
      <c r="B1259" s="5" t="s">
        <v>5671</v>
      </c>
      <c r="C1259" s="6" t="s">
        <v>43</v>
      </c>
      <c r="D1259" s="6" t="s">
        <v>2114</v>
      </c>
      <c r="E1259" s="6" t="s">
        <v>1386</v>
      </c>
      <c r="F1259" s="6" t="s">
        <v>46</v>
      </c>
      <c r="G1259" s="6" t="s">
        <v>5672</v>
      </c>
      <c r="H1259" s="7">
        <v>10.89</v>
      </c>
      <c r="I1259" s="19" t="s">
        <v>1589</v>
      </c>
      <c r="J1259" s="19" t="s">
        <v>2162</v>
      </c>
      <c r="K1259" s="5" t="s">
        <v>2163</v>
      </c>
      <c r="L1259" s="5" t="s">
        <v>2164</v>
      </c>
      <c r="M1259" s="5" t="s">
        <v>2165</v>
      </c>
      <c r="N1259" s="5" t="s">
        <v>2166</v>
      </c>
      <c r="O1259" s="5" t="s">
        <v>5673</v>
      </c>
      <c r="P1259" s="5" t="s">
        <v>5674</v>
      </c>
      <c r="Q1259" s="5" t="s">
        <v>5675</v>
      </c>
      <c r="R1259" s="5"/>
      <c r="W1259" s="5" t="s">
        <v>2170</v>
      </c>
      <c r="X1259" s="5" t="s">
        <v>2171</v>
      </c>
      <c r="Y1259" s="5" t="s">
        <v>2172</v>
      </c>
      <c r="Z1259" s="5" t="s">
        <v>2173</v>
      </c>
      <c r="AG1259" s="14" t="s">
        <v>55</v>
      </c>
      <c r="AH1259" s="14" t="s">
        <v>1603</v>
      </c>
      <c r="AI1259" s="14" t="s">
        <v>124</v>
      </c>
    </row>
    <row r="1260" spans="1:37">
      <c r="A1260" s="5" t="s">
        <v>5676</v>
      </c>
      <c r="B1260" s="5" t="s">
        <v>5677</v>
      </c>
      <c r="C1260" s="6" t="s">
        <v>43</v>
      </c>
      <c r="D1260" s="6" t="s">
        <v>2189</v>
      </c>
      <c r="E1260" s="6" t="s">
        <v>2015</v>
      </c>
      <c r="F1260" s="6" t="s">
        <v>46</v>
      </c>
      <c r="G1260" s="6" t="s">
        <v>5678</v>
      </c>
      <c r="H1260" s="7">
        <v>8.27</v>
      </c>
      <c r="I1260" s="19" t="s">
        <v>1589</v>
      </c>
      <c r="J1260" s="19" t="s">
        <v>2191</v>
      </c>
      <c r="K1260" s="5" t="s">
        <v>2192</v>
      </c>
      <c r="L1260" s="5" t="s">
        <v>2193</v>
      </c>
      <c r="M1260" s="5" t="s">
        <v>2194</v>
      </c>
      <c r="N1260" s="5" t="s">
        <v>2195</v>
      </c>
      <c r="O1260" s="5" t="s">
        <v>5679</v>
      </c>
      <c r="P1260" s="5" t="s">
        <v>5680</v>
      </c>
      <c r="Q1260" s="5" t="s">
        <v>5681</v>
      </c>
      <c r="R1260" s="5"/>
      <c r="Y1260" s="5" t="s">
        <v>2086</v>
      </c>
      <c r="AG1260" s="14" t="s">
        <v>55</v>
      </c>
      <c r="AH1260" s="14" t="s">
        <v>1603</v>
      </c>
      <c r="AI1260" s="14" t="s">
        <v>2087</v>
      </c>
    </row>
    <row r="1261" spans="1:37">
      <c r="A1261" s="5" t="s">
        <v>5682</v>
      </c>
      <c r="B1261" s="5" t="s">
        <v>5683</v>
      </c>
      <c r="C1261" s="6" t="s">
        <v>43</v>
      </c>
      <c r="D1261" s="6" t="s">
        <v>239</v>
      </c>
      <c r="E1261" s="6" t="s">
        <v>1540</v>
      </c>
      <c r="F1261" s="6" t="s">
        <v>46</v>
      </c>
      <c r="G1261" s="6" t="s">
        <v>5684</v>
      </c>
      <c r="H1261" s="7">
        <v>12.14</v>
      </c>
      <c r="I1261" s="19" t="s">
        <v>1589</v>
      </c>
      <c r="J1261" s="19" t="s">
        <v>2254</v>
      </c>
      <c r="K1261" s="5" t="s">
        <v>2255</v>
      </c>
      <c r="L1261" s="5" t="s">
        <v>2256</v>
      </c>
      <c r="M1261" s="5" t="s">
        <v>2257</v>
      </c>
      <c r="N1261" s="5" t="s">
        <v>2258</v>
      </c>
      <c r="O1261" s="5" t="s">
        <v>5685</v>
      </c>
      <c r="P1261" s="5" t="s">
        <v>5686</v>
      </c>
      <c r="Q1261" s="5" t="s">
        <v>5687</v>
      </c>
      <c r="R1261" s="5" t="s">
        <v>5688</v>
      </c>
      <c r="Y1261" s="5" t="s">
        <v>2263</v>
      </c>
      <c r="AG1261" s="14" t="s">
        <v>55</v>
      </c>
      <c r="AH1261" s="14" t="s">
        <v>1603</v>
      </c>
      <c r="AI1261" s="14" t="s">
        <v>2264</v>
      </c>
    </row>
    <row r="1262" spans="1:37">
      <c r="A1262" s="5" t="s">
        <v>5689</v>
      </c>
      <c r="B1262" s="5" t="s">
        <v>5690</v>
      </c>
      <c r="C1262" s="6" t="s">
        <v>43</v>
      </c>
      <c r="D1262" s="6" t="s">
        <v>239</v>
      </c>
      <c r="E1262" s="6" t="s">
        <v>1540</v>
      </c>
      <c r="F1262" s="6" t="s">
        <v>46</v>
      </c>
      <c r="G1262" s="6" t="s">
        <v>5691</v>
      </c>
      <c r="H1262" s="7">
        <v>12.68</v>
      </c>
      <c r="I1262" s="19" t="s">
        <v>1589</v>
      </c>
      <c r="J1262" s="19" t="s">
        <v>2254</v>
      </c>
      <c r="K1262" s="5" t="s">
        <v>2271</v>
      </c>
      <c r="L1262" s="5" t="s">
        <v>2272</v>
      </c>
      <c r="M1262" s="5" t="s">
        <v>2273</v>
      </c>
      <c r="N1262" s="5" t="s">
        <v>2274</v>
      </c>
      <c r="O1262" s="5" t="s">
        <v>5692</v>
      </c>
      <c r="P1262" s="5" t="s">
        <v>5693</v>
      </c>
      <c r="Q1262" s="5" t="s">
        <v>5694</v>
      </c>
      <c r="R1262" s="5" t="s">
        <v>5695</v>
      </c>
      <c r="Y1262" s="5" t="s">
        <v>2263</v>
      </c>
      <c r="AG1262" s="14" t="s">
        <v>55</v>
      </c>
      <c r="AH1262" s="14" t="s">
        <v>1603</v>
      </c>
      <c r="AI1262" s="14" t="s">
        <v>2264</v>
      </c>
    </row>
    <row r="1263" spans="1:37">
      <c r="A1263" s="6" t="s">
        <v>5696</v>
      </c>
      <c r="B1263" s="6" t="s">
        <v>5697</v>
      </c>
      <c r="C1263" s="6" t="s">
        <v>43</v>
      </c>
      <c r="D1263" s="6" t="s">
        <v>1390</v>
      </c>
      <c r="E1263" s="6" t="s">
        <v>1386</v>
      </c>
      <c r="F1263" s="6" t="s">
        <v>46</v>
      </c>
      <c r="G1263" s="6" t="s">
        <v>5698</v>
      </c>
      <c r="I1263" s="16" t="s">
        <v>48</v>
      </c>
      <c r="J1263" s="16" t="s">
        <v>48</v>
      </c>
      <c r="K1263" s="6"/>
      <c r="L1263" s="6"/>
      <c r="M1263" s="6"/>
      <c r="N1263" s="6"/>
      <c r="O1263" s="6"/>
      <c r="P1263" s="6"/>
      <c r="Q1263" s="6"/>
      <c r="R1263" s="6"/>
      <c r="S1263" s="6"/>
      <c r="T1263" s="6"/>
      <c r="U1263" s="6"/>
      <c r="V1263" s="6"/>
      <c r="W1263" s="6"/>
      <c r="X1263" s="6"/>
      <c r="Y1263" s="6"/>
      <c r="Z1263" s="6"/>
      <c r="AA1263" s="6"/>
      <c r="AB1263" s="6"/>
      <c r="AC1263" s="6"/>
      <c r="AD1263" s="6"/>
      <c r="AE1263" s="6"/>
      <c r="AF1263" s="6"/>
      <c r="AG1263" s="15" t="s">
        <v>55</v>
      </c>
      <c r="AH1263" s="15"/>
      <c r="AI1263" s="15"/>
      <c r="AJ1263" s="6"/>
      <c r="AK1263" s="6"/>
    </row>
    <row r="1264" spans="1:37" s="6" customFormat="1">
      <c r="A1264" s="6" t="s">
        <v>5699</v>
      </c>
      <c r="B1264" s="6" t="s">
        <v>5700</v>
      </c>
      <c r="C1264" s="6" t="s">
        <v>43</v>
      </c>
      <c r="D1264" s="6" t="s">
        <v>1390</v>
      </c>
      <c r="E1264" s="6" t="s">
        <v>1386</v>
      </c>
      <c r="F1264" s="6" t="s">
        <v>46</v>
      </c>
      <c r="G1264" s="6" t="s">
        <v>5701</v>
      </c>
      <c r="H1264" s="7"/>
      <c r="I1264" s="16" t="s">
        <v>48</v>
      </c>
      <c r="J1264" s="16" t="s">
        <v>48</v>
      </c>
      <c r="AG1264" s="15" t="s">
        <v>55</v>
      </c>
      <c r="AH1264" s="15"/>
      <c r="AI1264" s="15"/>
    </row>
    <row r="1265" spans="1:37" s="6" customFormat="1">
      <c r="A1265" s="6" t="s">
        <v>5702</v>
      </c>
      <c r="B1265" s="6" t="s">
        <v>5703</v>
      </c>
      <c r="C1265" s="6" t="s">
        <v>43</v>
      </c>
      <c r="D1265" s="6" t="s">
        <v>1390</v>
      </c>
      <c r="E1265" s="6" t="s">
        <v>1386</v>
      </c>
      <c r="F1265" s="6" t="s">
        <v>46</v>
      </c>
      <c r="G1265" s="6" t="s">
        <v>5704</v>
      </c>
      <c r="H1265" s="7"/>
      <c r="I1265" s="16" t="s">
        <v>48</v>
      </c>
      <c r="J1265" s="16" t="s">
        <v>48</v>
      </c>
      <c r="AG1265" s="15" t="s">
        <v>55</v>
      </c>
      <c r="AH1265" s="15"/>
      <c r="AI1265" s="15"/>
    </row>
    <row r="1266" spans="1:37" s="6" customFormat="1">
      <c r="A1266" s="6" t="s">
        <v>5705</v>
      </c>
      <c r="B1266" s="6" t="s">
        <v>5706</v>
      </c>
      <c r="C1266" s="6" t="s">
        <v>43</v>
      </c>
      <c r="D1266" s="6" t="s">
        <v>1390</v>
      </c>
      <c r="E1266" s="6" t="s">
        <v>1386</v>
      </c>
      <c r="F1266" s="6" t="s">
        <v>46</v>
      </c>
      <c r="G1266" s="6" t="s">
        <v>5707</v>
      </c>
      <c r="H1266" s="7"/>
      <c r="I1266" s="16" t="s">
        <v>48</v>
      </c>
      <c r="J1266" s="16" t="s">
        <v>48</v>
      </c>
      <c r="AG1266" s="15" t="s">
        <v>55</v>
      </c>
      <c r="AH1266" s="15"/>
      <c r="AI1266" s="15"/>
    </row>
    <row r="1267" spans="1:37" s="6" customFormat="1">
      <c r="A1267" s="6" t="s">
        <v>5708</v>
      </c>
      <c r="B1267" s="6" t="s">
        <v>5709</v>
      </c>
      <c r="C1267" s="6" t="s">
        <v>43</v>
      </c>
      <c r="D1267" s="6" t="s">
        <v>239</v>
      </c>
      <c r="E1267" s="6" t="s">
        <v>1540</v>
      </c>
      <c r="F1267" s="6" t="s">
        <v>46</v>
      </c>
      <c r="G1267" s="6" t="s">
        <v>5710</v>
      </c>
      <c r="H1267" s="7"/>
      <c r="I1267" s="6" t="s">
        <v>48</v>
      </c>
      <c r="J1267" s="6" t="s">
        <v>48</v>
      </c>
      <c r="AG1267" s="15" t="s">
        <v>55</v>
      </c>
      <c r="AH1267" s="15"/>
      <c r="AI1267" s="15"/>
    </row>
    <row r="1268" spans="1:37" s="6" customFormat="1">
      <c r="A1268" s="5" t="s">
        <v>5711</v>
      </c>
      <c r="B1268" s="5" t="s">
        <v>5712</v>
      </c>
      <c r="C1268" s="6" t="s">
        <v>43</v>
      </c>
      <c r="D1268" s="6" t="s">
        <v>239</v>
      </c>
      <c r="E1268" s="6" t="s">
        <v>1386</v>
      </c>
      <c r="F1268" s="6" t="s">
        <v>46</v>
      </c>
      <c r="G1268" s="6" t="s">
        <v>5713</v>
      </c>
      <c r="H1268" s="7">
        <v>5.93</v>
      </c>
      <c r="I1268" s="19" t="s">
        <v>1589</v>
      </c>
      <c r="J1268" s="19" t="s">
        <v>2696</v>
      </c>
      <c r="K1268" s="5" t="s">
        <v>2757</v>
      </c>
      <c r="L1268" s="5" t="s">
        <v>2758</v>
      </c>
      <c r="M1268" s="5" t="s">
        <v>2759</v>
      </c>
      <c r="N1268" s="5" t="s">
        <v>2760</v>
      </c>
      <c r="O1268" s="5" t="s">
        <v>5714</v>
      </c>
      <c r="P1268" s="5" t="s">
        <v>5715</v>
      </c>
      <c r="Q1268" s="5" t="s">
        <v>5716</v>
      </c>
      <c r="R1268" s="5" t="s">
        <v>5717</v>
      </c>
      <c r="S1268" s="5"/>
      <c r="T1268" s="5"/>
      <c r="U1268" s="5"/>
      <c r="V1268" s="5"/>
      <c r="W1268" s="5"/>
      <c r="X1268" s="5"/>
      <c r="Y1268" s="5"/>
      <c r="Z1268" s="5"/>
      <c r="AA1268" s="5"/>
      <c r="AB1268" s="5"/>
      <c r="AC1268" s="5"/>
      <c r="AD1268" s="5"/>
      <c r="AE1268" s="5"/>
      <c r="AF1268" s="5"/>
      <c r="AG1268" s="14" t="s">
        <v>55</v>
      </c>
      <c r="AH1268" s="14" t="s">
        <v>1603</v>
      </c>
      <c r="AI1268" s="14" t="s">
        <v>1604</v>
      </c>
      <c r="AJ1268" s="5"/>
      <c r="AK1268" s="5"/>
    </row>
    <row r="1269" spans="1:37">
      <c r="A1269" s="5" t="s">
        <v>5718</v>
      </c>
      <c r="B1269" s="5" t="s">
        <v>5719</v>
      </c>
      <c r="C1269" s="6" t="s">
        <v>43</v>
      </c>
      <c r="D1269" s="6" t="s">
        <v>239</v>
      </c>
      <c r="E1269" s="6" t="s">
        <v>1540</v>
      </c>
      <c r="F1269" s="6" t="s">
        <v>46</v>
      </c>
      <c r="G1269" s="6" t="s">
        <v>5720</v>
      </c>
      <c r="H1269" s="7">
        <v>11.63</v>
      </c>
      <c r="I1269" s="19" t="s">
        <v>1589</v>
      </c>
      <c r="J1269" s="19" t="s">
        <v>2254</v>
      </c>
      <c r="K1269" s="5" t="s">
        <v>2972</v>
      </c>
      <c r="L1269" s="5" t="s">
        <v>2973</v>
      </c>
      <c r="M1269" s="5" t="s">
        <v>2974</v>
      </c>
      <c r="N1269" s="5" t="s">
        <v>2975</v>
      </c>
      <c r="O1269" s="5" t="s">
        <v>5721</v>
      </c>
      <c r="P1269" s="5" t="s">
        <v>5722</v>
      </c>
      <c r="Q1269" s="5" t="s">
        <v>5723</v>
      </c>
      <c r="R1269" s="5" t="s">
        <v>5724</v>
      </c>
      <c r="Y1269" s="5" t="s">
        <v>2980</v>
      </c>
      <c r="AG1269" s="14" t="s">
        <v>55</v>
      </c>
      <c r="AH1269" s="14" t="s">
        <v>1603</v>
      </c>
      <c r="AI1269" s="14" t="s">
        <v>2264</v>
      </c>
    </row>
    <row r="1270" spans="1:37">
      <c r="A1270" s="5" t="s">
        <v>5725</v>
      </c>
      <c r="B1270" s="5" t="s">
        <v>5726</v>
      </c>
      <c r="C1270" s="6" t="s">
        <v>43</v>
      </c>
      <c r="D1270" s="6" t="s">
        <v>239</v>
      </c>
      <c r="E1270" s="6" t="s">
        <v>1540</v>
      </c>
      <c r="F1270" s="6" t="s">
        <v>46</v>
      </c>
      <c r="G1270" s="6" t="s">
        <v>5727</v>
      </c>
      <c r="H1270" s="7">
        <v>12.23</v>
      </c>
      <c r="I1270" s="19" t="s">
        <v>1589</v>
      </c>
      <c r="J1270" s="19" t="s">
        <v>2254</v>
      </c>
      <c r="K1270" s="5" t="s">
        <v>3069</v>
      </c>
      <c r="L1270" s="5" t="s">
        <v>3070</v>
      </c>
      <c r="M1270" s="5" t="s">
        <v>3071</v>
      </c>
      <c r="N1270" s="5" t="s">
        <v>3072</v>
      </c>
      <c r="O1270" s="5" t="s">
        <v>5728</v>
      </c>
      <c r="P1270" s="5" t="s">
        <v>5729</v>
      </c>
      <c r="Q1270" s="5" t="s">
        <v>5730</v>
      </c>
      <c r="R1270" s="5" t="s">
        <v>5731</v>
      </c>
      <c r="Y1270" s="5" t="s">
        <v>2980</v>
      </c>
      <c r="AG1270" s="14" t="s">
        <v>55</v>
      </c>
      <c r="AH1270" s="14" t="s">
        <v>1603</v>
      </c>
      <c r="AI1270" s="14" t="s">
        <v>2264</v>
      </c>
    </row>
    <row r="1271" spans="1:37">
      <c r="A1271" s="6" t="s">
        <v>5732</v>
      </c>
      <c r="B1271" s="6" t="s">
        <v>5733</v>
      </c>
      <c r="C1271" s="6" t="s">
        <v>43</v>
      </c>
      <c r="D1271" s="6" t="s">
        <v>1977</v>
      </c>
      <c r="E1271" s="6" t="s">
        <v>1671</v>
      </c>
      <c r="F1271" s="6" t="s">
        <v>46</v>
      </c>
      <c r="G1271" s="6" t="s">
        <v>5734</v>
      </c>
      <c r="I1271" s="19" t="s">
        <v>48</v>
      </c>
      <c r="J1271" s="19" t="s">
        <v>48</v>
      </c>
      <c r="K1271" s="6"/>
      <c r="L1271" s="6"/>
      <c r="M1271" s="6"/>
      <c r="N1271" s="6"/>
      <c r="O1271" s="6"/>
      <c r="P1271" s="6"/>
      <c r="Q1271" s="6"/>
      <c r="R1271" s="6"/>
      <c r="S1271" s="6"/>
      <c r="T1271" s="6"/>
      <c r="U1271" s="6"/>
      <c r="V1271" s="6"/>
      <c r="W1271" s="6"/>
      <c r="X1271" s="6"/>
      <c r="Y1271" s="6"/>
      <c r="Z1271" s="6"/>
      <c r="AA1271" s="6"/>
      <c r="AB1271" s="6"/>
      <c r="AC1271" s="6"/>
      <c r="AD1271" s="6"/>
      <c r="AE1271" s="6"/>
      <c r="AF1271" s="6"/>
      <c r="AG1271" s="15" t="s">
        <v>55</v>
      </c>
      <c r="AH1271" s="15"/>
      <c r="AI1271" s="15"/>
      <c r="AJ1271" s="6"/>
      <c r="AK1271" s="6"/>
    </row>
    <row r="1272" spans="1:37" s="6" customFormat="1">
      <c r="A1272" s="5" t="s">
        <v>5735</v>
      </c>
      <c r="B1272" s="5" t="s">
        <v>5736</v>
      </c>
      <c r="C1272" s="6" t="s">
        <v>43</v>
      </c>
      <c r="D1272" s="6" t="s">
        <v>2114</v>
      </c>
      <c r="E1272" s="6" t="s">
        <v>1386</v>
      </c>
      <c r="F1272" s="6" t="s">
        <v>46</v>
      </c>
      <c r="G1272" s="6" t="s">
        <v>5737</v>
      </c>
      <c r="H1272" s="7">
        <v>91.01</v>
      </c>
      <c r="I1272" s="19" t="s">
        <v>1589</v>
      </c>
      <c r="J1272" s="19" t="s">
        <v>2001</v>
      </c>
      <c r="K1272" s="5" t="s">
        <v>2131</v>
      </c>
      <c r="L1272" s="5" t="s">
        <v>2132</v>
      </c>
      <c r="M1272" s="5" t="s">
        <v>2133</v>
      </c>
      <c r="N1272" s="5" t="s">
        <v>2134</v>
      </c>
      <c r="O1272" s="5" t="s">
        <v>5738</v>
      </c>
      <c r="P1272" s="5" t="s">
        <v>5739</v>
      </c>
      <c r="Q1272" s="5" t="s">
        <v>5740</v>
      </c>
      <c r="R1272" s="5"/>
      <c r="S1272" s="5"/>
      <c r="T1272" s="5"/>
      <c r="U1272" s="5"/>
      <c r="V1272" s="5"/>
      <c r="W1272" s="5" t="s">
        <v>2123</v>
      </c>
      <c r="X1272" s="5" t="s">
        <v>2011</v>
      </c>
      <c r="Y1272" s="5" t="s">
        <v>2012</v>
      </c>
      <c r="Z1272" s="5" t="s">
        <v>2013</v>
      </c>
      <c r="AA1272" s="5"/>
      <c r="AB1272" s="5"/>
      <c r="AC1272" s="5"/>
      <c r="AD1272" s="5"/>
      <c r="AE1272" s="5"/>
      <c r="AF1272" s="5"/>
      <c r="AG1272" s="14" t="s">
        <v>55</v>
      </c>
      <c r="AH1272" s="14" t="s">
        <v>1603</v>
      </c>
      <c r="AI1272" s="14" t="s">
        <v>124</v>
      </c>
      <c r="AJ1272" s="5"/>
      <c r="AK1272" s="5"/>
    </row>
    <row r="1273" spans="1:37">
      <c r="A1273" s="5" t="s">
        <v>5741</v>
      </c>
      <c r="B1273" s="5" t="s">
        <v>5742</v>
      </c>
      <c r="C1273" s="6" t="s">
        <v>43</v>
      </c>
      <c r="D1273" s="6" t="s">
        <v>2189</v>
      </c>
      <c r="E1273" s="6" t="s">
        <v>2065</v>
      </c>
      <c r="F1273" s="6" t="s">
        <v>46</v>
      </c>
      <c r="G1273" s="6" t="s">
        <v>3205</v>
      </c>
      <c r="H1273" s="7">
        <v>91.01</v>
      </c>
      <c r="I1273" s="19" t="s">
        <v>1589</v>
      </c>
      <c r="J1273" s="19" t="s">
        <v>2001</v>
      </c>
      <c r="K1273" s="5" t="s">
        <v>2131</v>
      </c>
      <c r="L1273" s="5" t="s">
        <v>2132</v>
      </c>
      <c r="M1273" s="5" t="s">
        <v>2133</v>
      </c>
      <c r="N1273" s="5" t="s">
        <v>2134</v>
      </c>
      <c r="O1273" s="5" t="s">
        <v>5738</v>
      </c>
      <c r="P1273" s="5" t="s">
        <v>5739</v>
      </c>
      <c r="Q1273" s="5" t="s">
        <v>5740</v>
      </c>
      <c r="R1273" s="5"/>
      <c r="W1273" s="5" t="s">
        <v>2123</v>
      </c>
      <c r="X1273" s="5" t="s">
        <v>2011</v>
      </c>
      <c r="Y1273" s="5" t="s">
        <v>2012</v>
      </c>
      <c r="Z1273" s="5" t="s">
        <v>2013</v>
      </c>
      <c r="AG1273" s="14" t="s">
        <v>55</v>
      </c>
      <c r="AH1273" s="14" t="s">
        <v>1603</v>
      </c>
      <c r="AI1273" s="14" t="s">
        <v>124</v>
      </c>
    </row>
    <row r="1274" spans="1:37">
      <c r="A1274" s="6" t="s">
        <v>5743</v>
      </c>
      <c r="B1274" s="6" t="s">
        <v>5744</v>
      </c>
      <c r="C1274" s="6" t="s">
        <v>43</v>
      </c>
      <c r="D1274" s="6" t="s">
        <v>2189</v>
      </c>
      <c r="E1274" s="6" t="s">
        <v>1386</v>
      </c>
      <c r="F1274" s="6" t="s">
        <v>46</v>
      </c>
      <c r="G1274" s="6" t="s">
        <v>5745</v>
      </c>
      <c r="I1274" s="19" t="s">
        <v>48</v>
      </c>
      <c r="J1274" s="19" t="s">
        <v>48</v>
      </c>
      <c r="K1274" s="6"/>
      <c r="L1274" s="6"/>
      <c r="M1274" s="6"/>
      <c r="N1274" s="6"/>
      <c r="O1274" s="6"/>
      <c r="P1274" s="6"/>
      <c r="Q1274" s="6"/>
      <c r="R1274" s="6"/>
      <c r="S1274" s="6"/>
      <c r="T1274" s="6"/>
      <c r="U1274" s="6"/>
      <c r="V1274" s="6"/>
      <c r="W1274" s="6"/>
      <c r="X1274" s="6"/>
      <c r="Y1274" s="6"/>
      <c r="Z1274" s="6"/>
      <c r="AA1274" s="6"/>
      <c r="AB1274" s="6"/>
      <c r="AC1274" s="6"/>
      <c r="AD1274" s="6"/>
      <c r="AE1274" s="6"/>
      <c r="AF1274" s="6"/>
      <c r="AG1274" s="15" t="s">
        <v>55</v>
      </c>
      <c r="AH1274" s="15"/>
      <c r="AI1274" s="15"/>
      <c r="AJ1274" s="6"/>
      <c r="AK1274" s="6"/>
    </row>
    <row r="1275" spans="1:37" s="6" customFormat="1">
      <c r="A1275" s="6" t="s">
        <v>5746</v>
      </c>
      <c r="B1275" s="6" t="s">
        <v>5747</v>
      </c>
      <c r="C1275" s="6" t="s">
        <v>5436</v>
      </c>
      <c r="D1275" s="6" t="s">
        <v>2189</v>
      </c>
      <c r="E1275" s="6" t="s">
        <v>1540</v>
      </c>
      <c r="F1275" s="6" t="s">
        <v>46</v>
      </c>
      <c r="G1275" s="6" t="s">
        <v>5748</v>
      </c>
      <c r="H1275" s="7"/>
      <c r="I1275" s="19" t="s">
        <v>48</v>
      </c>
      <c r="J1275" s="19" t="s">
        <v>48</v>
      </c>
      <c r="AG1275" s="15" t="s">
        <v>55</v>
      </c>
      <c r="AH1275" s="15"/>
      <c r="AI1275" s="15"/>
    </row>
    <row r="1276" spans="1:37" s="6" customFormat="1">
      <c r="A1276" s="5" t="s">
        <v>5749</v>
      </c>
      <c r="B1276" s="5" t="s">
        <v>5750</v>
      </c>
      <c r="C1276" s="6" t="s">
        <v>1935</v>
      </c>
      <c r="D1276" s="6" t="s">
        <v>239</v>
      </c>
      <c r="E1276" s="6" t="s">
        <v>2065</v>
      </c>
      <c r="F1276" s="6" t="s">
        <v>46</v>
      </c>
      <c r="G1276" s="6" t="s">
        <v>5751</v>
      </c>
      <c r="H1276" s="7">
        <v>62.27</v>
      </c>
      <c r="I1276" s="19" t="s">
        <v>1589</v>
      </c>
      <c r="J1276" s="19" t="s">
        <v>2696</v>
      </c>
      <c r="K1276" s="5" t="s">
        <v>2757</v>
      </c>
      <c r="L1276" s="5" t="s">
        <v>2758</v>
      </c>
      <c r="M1276" s="5" t="s">
        <v>2759</v>
      </c>
      <c r="N1276" s="5" t="s">
        <v>2760</v>
      </c>
      <c r="O1276" s="5" t="s">
        <v>5752</v>
      </c>
      <c r="P1276" s="5" t="s">
        <v>5753</v>
      </c>
      <c r="Q1276" s="5" t="s">
        <v>5754</v>
      </c>
      <c r="R1276" s="5" t="s">
        <v>5755</v>
      </c>
      <c r="S1276" s="5"/>
      <c r="T1276" s="5"/>
      <c r="U1276" s="5"/>
      <c r="V1276" s="5"/>
      <c r="W1276" s="5"/>
      <c r="X1276" s="5"/>
      <c r="Y1276" s="5"/>
      <c r="Z1276" s="5"/>
      <c r="AA1276" s="5"/>
      <c r="AB1276" s="5"/>
      <c r="AC1276" s="5"/>
      <c r="AD1276" s="5"/>
      <c r="AE1276" s="5"/>
      <c r="AF1276" s="5"/>
      <c r="AG1276" s="14" t="s">
        <v>55</v>
      </c>
      <c r="AH1276" s="14" t="s">
        <v>1603</v>
      </c>
      <c r="AI1276" s="14" t="s">
        <v>1604</v>
      </c>
      <c r="AJ1276" s="5"/>
      <c r="AK1276" s="5"/>
    </row>
    <row r="1277" spans="1:37">
      <c r="A1277" s="5" t="s">
        <v>5756</v>
      </c>
      <c r="B1277" s="5" t="s">
        <v>5757</v>
      </c>
      <c r="C1277" s="6" t="s">
        <v>2822</v>
      </c>
      <c r="D1277" s="6" t="s">
        <v>239</v>
      </c>
      <c r="E1277" s="6" t="s">
        <v>2065</v>
      </c>
      <c r="F1277" s="6" t="s">
        <v>46</v>
      </c>
      <c r="G1277" s="6" t="s">
        <v>5758</v>
      </c>
      <c r="H1277" s="7">
        <v>84.78</v>
      </c>
      <c r="I1277" s="19" t="s">
        <v>1589</v>
      </c>
      <c r="J1277" s="19" t="s">
        <v>2696</v>
      </c>
      <c r="K1277" s="5" t="s">
        <v>2809</v>
      </c>
      <c r="L1277" s="5" t="s">
        <v>2810</v>
      </c>
      <c r="M1277" s="5" t="s">
        <v>2811</v>
      </c>
      <c r="N1277" s="5" t="s">
        <v>2812</v>
      </c>
      <c r="O1277" s="5" t="s">
        <v>5759</v>
      </c>
      <c r="P1277" s="5" t="s">
        <v>5760</v>
      </c>
      <c r="Q1277" s="5" t="s">
        <v>5761</v>
      </c>
      <c r="R1277" s="5" t="s">
        <v>5762</v>
      </c>
      <c r="AG1277" s="14" t="s">
        <v>55</v>
      </c>
      <c r="AH1277" s="14" t="s">
        <v>1603</v>
      </c>
      <c r="AI1277" s="14" t="s">
        <v>1604</v>
      </c>
    </row>
    <row r="1278" spans="1:37">
      <c r="A1278" s="5" t="s">
        <v>5763</v>
      </c>
      <c r="B1278" s="5" t="s">
        <v>5733</v>
      </c>
      <c r="C1278" s="6" t="s">
        <v>43</v>
      </c>
      <c r="D1278" s="6" t="s">
        <v>1977</v>
      </c>
      <c r="E1278" s="6" t="s">
        <v>1386</v>
      </c>
      <c r="F1278" s="6" t="s">
        <v>46</v>
      </c>
      <c r="G1278" s="6" t="s">
        <v>5764</v>
      </c>
      <c r="H1278" s="7">
        <v>85.18</v>
      </c>
      <c r="I1278" s="19" t="s">
        <v>1589</v>
      </c>
      <c r="J1278" s="19" t="s">
        <v>2001</v>
      </c>
      <c r="K1278" s="20" t="s">
        <v>2036</v>
      </c>
      <c r="L1278" s="20" t="s">
        <v>2037</v>
      </c>
      <c r="M1278" s="20" t="s">
        <v>2038</v>
      </c>
      <c r="N1278" s="20" t="s">
        <v>2039</v>
      </c>
      <c r="O1278" s="20" t="s">
        <v>5765</v>
      </c>
      <c r="P1278" s="20" t="s">
        <v>5766</v>
      </c>
      <c r="Q1278" s="20" t="s">
        <v>5767</v>
      </c>
      <c r="R1278" s="5" t="s">
        <v>5768</v>
      </c>
      <c r="W1278" s="20" t="s">
        <v>2010</v>
      </c>
      <c r="X1278" s="20" t="s">
        <v>2011</v>
      </c>
      <c r="Y1278" s="20" t="s">
        <v>2012</v>
      </c>
      <c r="Z1278" s="20" t="s">
        <v>2013</v>
      </c>
      <c r="AG1278" s="14" t="s">
        <v>55</v>
      </c>
      <c r="AH1278" s="14" t="s">
        <v>1603</v>
      </c>
      <c r="AI1278" s="14" t="s">
        <v>124</v>
      </c>
    </row>
    <row r="1279" spans="1:37">
      <c r="A1279" s="6" t="s">
        <v>5769</v>
      </c>
      <c r="B1279" s="6" t="s">
        <v>5770</v>
      </c>
      <c r="C1279" s="6" t="s">
        <v>43</v>
      </c>
      <c r="D1279" s="6" t="s">
        <v>239</v>
      </c>
      <c r="E1279" s="6" t="s">
        <v>1540</v>
      </c>
      <c r="F1279" s="6" t="s">
        <v>46</v>
      </c>
      <c r="G1279" s="6" t="s">
        <v>5771</v>
      </c>
      <c r="I1279" s="6" t="s">
        <v>48</v>
      </c>
      <c r="J1279" s="6" t="s">
        <v>48</v>
      </c>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15" t="s">
        <v>55</v>
      </c>
      <c r="AH1279" s="15"/>
      <c r="AI1279" s="15"/>
      <c r="AJ1279" s="6"/>
      <c r="AK1279" s="6"/>
    </row>
    <row r="1280" spans="1:37" s="6" customFormat="1">
      <c r="A1280" s="5" t="s">
        <v>5772</v>
      </c>
      <c r="B1280" s="5" t="s">
        <v>5773</v>
      </c>
      <c r="C1280" s="6" t="s">
        <v>43</v>
      </c>
      <c r="D1280" s="6" t="s">
        <v>2114</v>
      </c>
      <c r="E1280" s="6" t="s">
        <v>1386</v>
      </c>
      <c r="F1280" s="6" t="s">
        <v>46</v>
      </c>
      <c r="G1280" s="6" t="s">
        <v>5774</v>
      </c>
      <c r="H1280" s="7">
        <v>143.75</v>
      </c>
      <c r="I1280" s="19" t="s">
        <v>1589</v>
      </c>
      <c r="J1280" s="19" t="s">
        <v>2001</v>
      </c>
      <c r="K1280" s="6" t="s">
        <v>2177</v>
      </c>
      <c r="L1280" s="6" t="s">
        <v>2178</v>
      </c>
      <c r="M1280" s="6" t="s">
        <v>2179</v>
      </c>
      <c r="N1280" s="6" t="s">
        <v>2180</v>
      </c>
      <c r="O1280" s="6" t="s">
        <v>5775</v>
      </c>
      <c r="P1280" s="6" t="s">
        <v>5776</v>
      </c>
      <c r="Q1280" s="6" t="s">
        <v>5777</v>
      </c>
      <c r="R1280" s="5"/>
      <c r="V1280" s="5"/>
      <c r="W1280" s="20" t="s">
        <v>2010</v>
      </c>
      <c r="X1280" s="20" t="s">
        <v>2011</v>
      </c>
      <c r="Y1280" s="20" t="s">
        <v>2012</v>
      </c>
      <c r="Z1280" s="20" t="s">
        <v>2013</v>
      </c>
      <c r="AA1280" s="5"/>
      <c r="AB1280" s="5"/>
      <c r="AC1280" s="5"/>
      <c r="AD1280" s="5"/>
      <c r="AE1280" s="5"/>
      <c r="AF1280" s="5"/>
      <c r="AG1280" s="14" t="s">
        <v>55</v>
      </c>
      <c r="AH1280" s="14" t="s">
        <v>1603</v>
      </c>
      <c r="AI1280" s="14" t="s">
        <v>124</v>
      </c>
      <c r="AJ1280" s="5"/>
      <c r="AK1280" s="5"/>
    </row>
    <row r="1281" spans="1:37">
      <c r="A1281" s="6" t="s">
        <v>5778</v>
      </c>
      <c r="B1281" s="6" t="s">
        <v>5779</v>
      </c>
      <c r="C1281" s="6" t="s">
        <v>43</v>
      </c>
      <c r="D1281" s="6" t="s">
        <v>2189</v>
      </c>
      <c r="E1281" s="6" t="s">
        <v>2065</v>
      </c>
      <c r="F1281" s="6" t="s">
        <v>46</v>
      </c>
      <c r="G1281" s="6" t="s">
        <v>5780</v>
      </c>
      <c r="I1281" s="19" t="s">
        <v>48</v>
      </c>
      <c r="J1281" s="19" t="s">
        <v>48</v>
      </c>
      <c r="K1281" s="6"/>
      <c r="L1281" s="6"/>
      <c r="M1281" s="6"/>
      <c r="N1281" s="6"/>
      <c r="O1281" s="6"/>
      <c r="P1281" s="6"/>
      <c r="Q1281" s="6"/>
      <c r="R1281" s="6"/>
      <c r="S1281" s="6"/>
      <c r="T1281" s="6"/>
      <c r="U1281" s="6"/>
      <c r="V1281" s="6"/>
      <c r="W1281" s="6"/>
      <c r="X1281" s="6"/>
      <c r="Y1281" s="6"/>
      <c r="Z1281" s="6"/>
      <c r="AA1281" s="6"/>
      <c r="AB1281" s="6"/>
      <c r="AC1281" s="6"/>
      <c r="AD1281" s="6"/>
      <c r="AE1281" s="6"/>
      <c r="AF1281" s="6"/>
      <c r="AG1281" s="15" t="s">
        <v>55</v>
      </c>
      <c r="AH1281" s="15"/>
      <c r="AI1281" s="15"/>
      <c r="AJ1281" s="6"/>
      <c r="AK1281" s="6"/>
    </row>
    <row r="1282" spans="1:37" s="6" customFormat="1">
      <c r="A1282" s="6" t="s">
        <v>5781</v>
      </c>
      <c r="B1282" s="6" t="s">
        <v>5782</v>
      </c>
      <c r="C1282" s="6" t="s">
        <v>43</v>
      </c>
      <c r="D1282" s="6" t="s">
        <v>239</v>
      </c>
      <c r="E1282" s="6" t="s">
        <v>1653</v>
      </c>
      <c r="F1282" s="6" t="s">
        <v>46</v>
      </c>
      <c r="G1282" s="6" t="s">
        <v>5783</v>
      </c>
      <c r="H1282" s="7"/>
      <c r="I1282" s="16" t="s">
        <v>48</v>
      </c>
      <c r="J1282" s="16" t="s">
        <v>48</v>
      </c>
      <c r="AG1282" s="15" t="s">
        <v>55</v>
      </c>
      <c r="AH1282" s="15"/>
      <c r="AI1282" s="15"/>
    </row>
    <row r="1283" spans="1:37" s="6" customFormat="1">
      <c r="A1283" s="6" t="s">
        <v>5784</v>
      </c>
      <c r="B1283" s="6" t="s">
        <v>5785</v>
      </c>
      <c r="C1283" s="6" t="s">
        <v>4978</v>
      </c>
      <c r="D1283" s="6" t="s">
        <v>239</v>
      </c>
      <c r="E1283" s="6" t="s">
        <v>1540</v>
      </c>
      <c r="F1283" s="6" t="s">
        <v>46</v>
      </c>
      <c r="G1283" s="6" t="s">
        <v>5786</v>
      </c>
      <c r="H1283" s="7"/>
      <c r="I1283" s="6" t="s">
        <v>48</v>
      </c>
      <c r="J1283" s="6" t="s">
        <v>48</v>
      </c>
      <c r="AG1283" s="15" t="s">
        <v>55</v>
      </c>
      <c r="AH1283" s="15"/>
      <c r="AI1283" s="15"/>
    </row>
    <row r="1284" spans="1:37" s="6" customFormat="1">
      <c r="A1284" s="5" t="s">
        <v>5787</v>
      </c>
      <c r="B1284" s="5" t="s">
        <v>5788</v>
      </c>
      <c r="C1284" s="6" t="s">
        <v>43</v>
      </c>
      <c r="D1284" s="6" t="s">
        <v>1645</v>
      </c>
      <c r="E1284" s="6" t="s">
        <v>1386</v>
      </c>
      <c r="F1284" s="6" t="s">
        <v>46</v>
      </c>
      <c r="G1284" s="6" t="s">
        <v>5789</v>
      </c>
      <c r="H1284" s="7">
        <v>20.350000000000001</v>
      </c>
      <c r="I1284" s="19" t="s">
        <v>1589</v>
      </c>
      <c r="J1284" s="19" t="s">
        <v>5164</v>
      </c>
      <c r="K1284" s="5" t="s">
        <v>5165</v>
      </c>
      <c r="L1284" s="5" t="s">
        <v>5166</v>
      </c>
      <c r="M1284" s="5" t="s">
        <v>5165</v>
      </c>
      <c r="N1284" s="5" t="s">
        <v>5165</v>
      </c>
      <c r="O1284" s="5" t="s">
        <v>5790</v>
      </c>
      <c r="P1284" s="5" t="s">
        <v>5791</v>
      </c>
      <c r="Q1284" s="5" t="s">
        <v>5792</v>
      </c>
      <c r="R1284" s="5" t="s">
        <v>5793</v>
      </c>
      <c r="S1284" s="5"/>
      <c r="T1284" s="5"/>
      <c r="U1284" s="5"/>
      <c r="V1284" s="5"/>
      <c r="W1284" s="5" t="s">
        <v>5171</v>
      </c>
      <c r="X1284" s="5" t="s">
        <v>5172</v>
      </c>
      <c r="Y1284" s="5" t="s">
        <v>5173</v>
      </c>
      <c r="Z1284" s="5" t="s">
        <v>5174</v>
      </c>
      <c r="AA1284" s="5"/>
      <c r="AB1284" s="5"/>
      <c r="AC1284" s="5"/>
      <c r="AD1284" s="5"/>
      <c r="AE1284" s="5"/>
      <c r="AF1284" s="5"/>
      <c r="AG1284" s="14" t="s">
        <v>55</v>
      </c>
      <c r="AH1284" s="14" t="s">
        <v>1603</v>
      </c>
      <c r="AI1284" s="14" t="s">
        <v>1603</v>
      </c>
      <c r="AJ1284" s="5"/>
      <c r="AK1284" s="5"/>
    </row>
    <row r="1285" spans="1:37">
      <c r="A1285" s="6" t="s">
        <v>5794</v>
      </c>
      <c r="B1285" s="6" t="s">
        <v>5795</v>
      </c>
      <c r="C1285" s="6" t="s">
        <v>43</v>
      </c>
      <c r="D1285" s="6" t="s">
        <v>1390</v>
      </c>
      <c r="E1285" s="6" t="s">
        <v>1386</v>
      </c>
      <c r="F1285" s="6" t="s">
        <v>46</v>
      </c>
      <c r="G1285" s="6" t="s">
        <v>5796</v>
      </c>
      <c r="I1285" s="19" t="s">
        <v>48</v>
      </c>
      <c r="J1285" s="19" t="s">
        <v>48</v>
      </c>
      <c r="K1285" s="6"/>
      <c r="L1285" s="6"/>
      <c r="M1285" s="6"/>
      <c r="N1285" s="6"/>
      <c r="O1285" s="6"/>
      <c r="P1285" s="6"/>
      <c r="Q1285" s="6"/>
      <c r="R1285" s="6"/>
      <c r="S1285" s="6"/>
      <c r="T1285" s="6"/>
      <c r="U1285" s="6"/>
      <c r="V1285" s="6"/>
      <c r="W1285" s="6"/>
      <c r="X1285" s="6"/>
      <c r="Y1285" s="6"/>
      <c r="Z1285" s="6"/>
      <c r="AA1285" s="6"/>
      <c r="AB1285" s="6"/>
      <c r="AC1285" s="6"/>
      <c r="AD1285" s="6"/>
      <c r="AE1285" s="6"/>
      <c r="AF1285" s="6"/>
      <c r="AG1285" s="15" t="s">
        <v>55</v>
      </c>
      <c r="AH1285" s="15"/>
      <c r="AI1285" s="15"/>
      <c r="AJ1285" s="6"/>
      <c r="AK1285" s="6"/>
    </row>
    <row r="1286" spans="1:37" s="6" customFormat="1">
      <c r="A1286" s="6" t="s">
        <v>5797</v>
      </c>
      <c r="B1286" s="6" t="s">
        <v>5798</v>
      </c>
      <c r="C1286" s="6" t="s">
        <v>5663</v>
      </c>
      <c r="D1286" s="6" t="s">
        <v>2114</v>
      </c>
      <c r="E1286" s="6" t="s">
        <v>1386</v>
      </c>
      <c r="F1286" s="6" t="s">
        <v>46</v>
      </c>
      <c r="G1286" s="6" t="s">
        <v>5799</v>
      </c>
      <c r="H1286" s="7"/>
      <c r="I1286" s="19" t="s">
        <v>48</v>
      </c>
      <c r="J1286" s="19" t="s">
        <v>48</v>
      </c>
      <c r="AG1286" s="15" t="s">
        <v>55</v>
      </c>
      <c r="AH1286" s="15"/>
      <c r="AI1286" s="15"/>
    </row>
    <row r="1287" spans="1:37" s="6" customFormat="1">
      <c r="A1287" s="5" t="s">
        <v>5800</v>
      </c>
      <c r="B1287" s="5" t="s">
        <v>5801</v>
      </c>
      <c r="C1287" s="6" t="s">
        <v>2731</v>
      </c>
      <c r="D1287" s="6" t="s">
        <v>239</v>
      </c>
      <c r="E1287" s="6" t="s">
        <v>1386</v>
      </c>
      <c r="F1287" s="6" t="s">
        <v>46</v>
      </c>
      <c r="G1287" s="6" t="s">
        <v>5802</v>
      </c>
      <c r="H1287" s="7">
        <v>5.91</v>
      </c>
      <c r="I1287" s="19" t="s">
        <v>1589</v>
      </c>
      <c r="J1287" s="19" t="s">
        <v>2696</v>
      </c>
      <c r="K1287" s="5" t="s">
        <v>2733</v>
      </c>
      <c r="L1287" s="5" t="s">
        <v>2734</v>
      </c>
      <c r="M1287" s="5" t="s">
        <v>2735</v>
      </c>
      <c r="N1287" s="5" t="s">
        <v>2736</v>
      </c>
      <c r="O1287" s="5" t="s">
        <v>5803</v>
      </c>
      <c r="P1287" s="5" t="s">
        <v>5804</v>
      </c>
      <c r="Q1287" s="5" t="s">
        <v>5805</v>
      </c>
      <c r="R1287" s="5" t="s">
        <v>5806</v>
      </c>
      <c r="S1287" s="5"/>
      <c r="T1287" s="5"/>
      <c r="U1287" s="5"/>
      <c r="V1287" s="5"/>
      <c r="W1287" s="5"/>
      <c r="X1287" s="5"/>
      <c r="Y1287" s="5"/>
      <c r="Z1287" s="5"/>
      <c r="AA1287" s="5"/>
      <c r="AB1287" s="5"/>
      <c r="AC1287" s="5"/>
      <c r="AD1287" s="5"/>
      <c r="AE1287" s="5"/>
      <c r="AF1287" s="5"/>
      <c r="AG1287" s="14" t="s">
        <v>55</v>
      </c>
      <c r="AH1287" s="14" t="s">
        <v>1603</v>
      </c>
      <c r="AI1287" s="14" t="s">
        <v>1604</v>
      </c>
      <c r="AJ1287" s="5"/>
      <c r="AK1287" s="5"/>
    </row>
    <row r="1288" spans="1:37">
      <c r="A1288" s="6" t="s">
        <v>5807</v>
      </c>
      <c r="B1288" s="6" t="s">
        <v>5808</v>
      </c>
      <c r="C1288" s="6" t="s">
        <v>43</v>
      </c>
      <c r="D1288" s="6" t="s">
        <v>2114</v>
      </c>
      <c r="E1288" s="6" t="s">
        <v>1386</v>
      </c>
      <c r="F1288" s="6" t="s">
        <v>46</v>
      </c>
      <c r="G1288" s="6" t="s">
        <v>5809</v>
      </c>
      <c r="I1288" s="19" t="s">
        <v>48</v>
      </c>
      <c r="J1288" s="19" t="s">
        <v>48</v>
      </c>
      <c r="K1288" s="6"/>
      <c r="L1288" s="6"/>
      <c r="M1288" s="6"/>
      <c r="N1288" s="6"/>
      <c r="O1288" s="6"/>
      <c r="P1288" s="6"/>
      <c r="Q1288" s="6"/>
      <c r="R1288" s="6"/>
      <c r="S1288" s="6"/>
      <c r="T1288" s="6"/>
      <c r="U1288" s="6"/>
      <c r="V1288" s="6"/>
      <c r="W1288" s="6"/>
      <c r="X1288" s="6"/>
      <c r="Y1288" s="6"/>
      <c r="Z1288" s="6"/>
      <c r="AA1288" s="6"/>
      <c r="AB1288" s="6"/>
      <c r="AC1288" s="6"/>
      <c r="AD1288" s="6"/>
      <c r="AE1288" s="6"/>
      <c r="AF1288" s="6"/>
      <c r="AG1288" s="15" t="s">
        <v>55</v>
      </c>
      <c r="AH1288" s="15"/>
      <c r="AI1288" s="15"/>
      <c r="AJ1288" s="6"/>
      <c r="AK1288" s="6"/>
    </row>
    <row r="1289" spans="1:37" s="6" customFormat="1">
      <c r="A1289" s="6" t="s">
        <v>5810</v>
      </c>
      <c r="B1289" s="6" t="s">
        <v>5811</v>
      </c>
      <c r="C1289" s="6" t="s">
        <v>43</v>
      </c>
      <c r="D1289" s="6" t="s">
        <v>1977</v>
      </c>
      <c r="E1289" s="6" t="s">
        <v>2065</v>
      </c>
      <c r="F1289" s="6" t="s">
        <v>46</v>
      </c>
      <c r="G1289" s="6" t="s">
        <v>5812</v>
      </c>
      <c r="H1289" s="7"/>
      <c r="I1289" s="19" t="s">
        <v>48</v>
      </c>
      <c r="J1289" s="19" t="s">
        <v>48</v>
      </c>
      <c r="AG1289" s="15" t="s">
        <v>55</v>
      </c>
      <c r="AH1289" s="15"/>
      <c r="AI1289" s="15"/>
    </row>
    <row r="1290" spans="1:37" s="6" customFormat="1">
      <c r="A1290" s="6" t="s">
        <v>5813</v>
      </c>
      <c r="B1290" s="6" t="s">
        <v>5814</v>
      </c>
      <c r="C1290" s="6" t="s">
        <v>5436</v>
      </c>
      <c r="D1290" s="6" t="s">
        <v>2189</v>
      </c>
      <c r="E1290" s="6" t="s">
        <v>1540</v>
      </c>
      <c r="F1290" s="6" t="s">
        <v>46</v>
      </c>
      <c r="G1290" s="6" t="s">
        <v>5815</v>
      </c>
      <c r="H1290" s="7"/>
      <c r="I1290" s="19" t="s">
        <v>48</v>
      </c>
      <c r="J1290" s="19" t="s">
        <v>48</v>
      </c>
      <c r="AG1290" s="15" t="s">
        <v>55</v>
      </c>
      <c r="AH1290" s="15"/>
      <c r="AI1290" s="15"/>
    </row>
    <row r="1291" spans="1:37" s="6" customFormat="1">
      <c r="A1291" s="6" t="s">
        <v>5816</v>
      </c>
      <c r="B1291" s="6" t="s">
        <v>5817</v>
      </c>
      <c r="C1291" s="6" t="s">
        <v>43</v>
      </c>
      <c r="D1291" s="6" t="s">
        <v>2189</v>
      </c>
      <c r="E1291" s="6" t="s">
        <v>1540</v>
      </c>
      <c r="F1291" s="6" t="s">
        <v>46</v>
      </c>
      <c r="G1291" s="6" t="s">
        <v>5818</v>
      </c>
      <c r="H1291" s="7"/>
      <c r="I1291" s="16" t="s">
        <v>48</v>
      </c>
      <c r="J1291" s="16" t="s">
        <v>48</v>
      </c>
      <c r="AG1291" s="15" t="s">
        <v>55</v>
      </c>
      <c r="AH1291" s="15"/>
      <c r="AI1291" s="15"/>
    </row>
    <row r="1292" spans="1:37" s="6" customFormat="1">
      <c r="A1292" s="6" t="s">
        <v>5819</v>
      </c>
      <c r="B1292" s="6" t="s">
        <v>5820</v>
      </c>
      <c r="C1292" s="6" t="s">
        <v>2822</v>
      </c>
      <c r="D1292" s="6" t="s">
        <v>239</v>
      </c>
      <c r="E1292" s="6" t="s">
        <v>1540</v>
      </c>
      <c r="F1292" s="6" t="s">
        <v>46</v>
      </c>
      <c r="G1292" s="6" t="s">
        <v>5821</v>
      </c>
      <c r="H1292" s="7"/>
      <c r="I1292" s="6" t="s">
        <v>48</v>
      </c>
      <c r="J1292" s="6" t="s">
        <v>48</v>
      </c>
      <c r="AG1292" s="15" t="s">
        <v>55</v>
      </c>
      <c r="AH1292" s="15"/>
      <c r="AI1292" s="15"/>
    </row>
    <row r="1293" spans="1:37" s="6" customFormat="1">
      <c r="A1293" s="5" t="s">
        <v>5822</v>
      </c>
      <c r="B1293" s="5" t="s">
        <v>5823</v>
      </c>
      <c r="C1293" s="6" t="s">
        <v>2822</v>
      </c>
      <c r="D1293" s="6" t="s">
        <v>239</v>
      </c>
      <c r="E1293" s="6" t="s">
        <v>1386</v>
      </c>
      <c r="F1293" s="6" t="s">
        <v>46</v>
      </c>
      <c r="G1293" s="6" t="s">
        <v>5824</v>
      </c>
      <c r="H1293" s="7">
        <v>96.89</v>
      </c>
      <c r="I1293" s="19" t="s">
        <v>1589</v>
      </c>
      <c r="J1293" s="19" t="s">
        <v>2696</v>
      </c>
      <c r="K1293" s="5" t="s">
        <v>2809</v>
      </c>
      <c r="L1293" s="5" t="s">
        <v>2810</v>
      </c>
      <c r="M1293" s="5" t="s">
        <v>2811</v>
      </c>
      <c r="N1293" s="5" t="s">
        <v>2812</v>
      </c>
      <c r="O1293" s="5" t="s">
        <v>5825</v>
      </c>
      <c r="P1293" s="5" t="s">
        <v>5826</v>
      </c>
      <c r="Q1293" s="5" t="s">
        <v>5827</v>
      </c>
      <c r="R1293" s="5" t="s">
        <v>5828</v>
      </c>
      <c r="S1293" s="5"/>
      <c r="T1293" s="5"/>
      <c r="U1293" s="5"/>
      <c r="V1293" s="5"/>
      <c r="W1293" s="5"/>
      <c r="X1293" s="5"/>
      <c r="Y1293" s="5"/>
      <c r="Z1293" s="5"/>
      <c r="AA1293" s="5"/>
      <c r="AB1293" s="5"/>
      <c r="AC1293" s="5"/>
      <c r="AD1293" s="5"/>
      <c r="AE1293" s="5"/>
      <c r="AF1293" s="5"/>
      <c r="AG1293" s="14" t="s">
        <v>55</v>
      </c>
      <c r="AH1293" s="14" t="s">
        <v>1603</v>
      </c>
      <c r="AI1293" s="14" t="s">
        <v>1604</v>
      </c>
      <c r="AJ1293" s="5"/>
      <c r="AK1293" s="5"/>
    </row>
    <row r="1294" spans="1:37">
      <c r="A1294" s="5" t="s">
        <v>5829</v>
      </c>
      <c r="B1294" s="5" t="s">
        <v>5823</v>
      </c>
      <c r="C1294" s="6" t="s">
        <v>43</v>
      </c>
      <c r="D1294" s="6" t="s">
        <v>239</v>
      </c>
      <c r="E1294" s="6" t="s">
        <v>2065</v>
      </c>
      <c r="F1294" s="6" t="s">
        <v>46</v>
      </c>
      <c r="G1294" s="6" t="s">
        <v>5830</v>
      </c>
      <c r="H1294" s="7">
        <v>96.89</v>
      </c>
      <c r="I1294" s="19" t="s">
        <v>1589</v>
      </c>
      <c r="J1294" s="19" t="s">
        <v>2696</v>
      </c>
      <c r="K1294" s="5" t="s">
        <v>2809</v>
      </c>
      <c r="L1294" s="5" t="s">
        <v>2810</v>
      </c>
      <c r="M1294" s="5" t="s">
        <v>2811</v>
      </c>
      <c r="N1294" s="5" t="s">
        <v>2812</v>
      </c>
      <c r="O1294" s="5" t="s">
        <v>5825</v>
      </c>
      <c r="P1294" s="5" t="s">
        <v>5826</v>
      </c>
      <c r="Q1294" s="5" t="s">
        <v>5827</v>
      </c>
      <c r="R1294" s="5" t="s">
        <v>5828</v>
      </c>
      <c r="AG1294" s="14" t="s">
        <v>55</v>
      </c>
      <c r="AH1294" s="14" t="s">
        <v>1603</v>
      </c>
      <c r="AI1294" s="14" t="s">
        <v>1604</v>
      </c>
    </row>
    <row r="1295" spans="1:37">
      <c r="A1295" s="6" t="s">
        <v>5831</v>
      </c>
      <c r="B1295" s="6" t="s">
        <v>5832</v>
      </c>
      <c r="C1295" s="6" t="s">
        <v>1782</v>
      </c>
      <c r="D1295" s="6" t="s">
        <v>239</v>
      </c>
      <c r="E1295" s="6" t="s">
        <v>1540</v>
      </c>
      <c r="F1295" s="6" t="s">
        <v>46</v>
      </c>
      <c r="G1295" s="6" t="s">
        <v>5833</v>
      </c>
      <c r="I1295" s="6" t="s">
        <v>48</v>
      </c>
      <c r="J1295" s="6" t="s">
        <v>48</v>
      </c>
      <c r="K1295" s="6"/>
      <c r="L1295" s="6"/>
      <c r="M1295" s="6"/>
      <c r="N1295" s="6"/>
      <c r="O1295" s="6"/>
      <c r="P1295" s="6"/>
      <c r="Q1295" s="6"/>
      <c r="R1295" s="6"/>
      <c r="S1295" s="6"/>
      <c r="T1295" s="6"/>
      <c r="U1295" s="6"/>
      <c r="V1295" s="6"/>
      <c r="W1295" s="6"/>
      <c r="X1295" s="6"/>
      <c r="Y1295" s="6"/>
      <c r="Z1295" s="6"/>
      <c r="AA1295" s="6"/>
      <c r="AB1295" s="6"/>
      <c r="AC1295" s="6"/>
      <c r="AD1295" s="6"/>
      <c r="AE1295" s="6"/>
      <c r="AF1295" s="6"/>
      <c r="AG1295" s="15" t="s">
        <v>55</v>
      </c>
      <c r="AH1295" s="15"/>
      <c r="AI1295" s="15"/>
      <c r="AJ1295" s="6"/>
      <c r="AK1295" s="6"/>
    </row>
    <row r="1296" spans="1:37" s="6" customFormat="1">
      <c r="A1296" s="6" t="s">
        <v>5834</v>
      </c>
      <c r="B1296" s="6" t="s">
        <v>5835</v>
      </c>
      <c r="C1296" s="6" t="s">
        <v>5639</v>
      </c>
      <c r="D1296" s="6" t="s">
        <v>1977</v>
      </c>
      <c r="E1296" s="6" t="s">
        <v>1386</v>
      </c>
      <c r="F1296" s="6" t="s">
        <v>46</v>
      </c>
      <c r="G1296" s="6" t="s">
        <v>5836</v>
      </c>
      <c r="H1296" s="7"/>
      <c r="I1296" s="16" t="s">
        <v>48</v>
      </c>
      <c r="J1296" s="16" t="s">
        <v>48</v>
      </c>
      <c r="AG1296" s="15" t="s">
        <v>55</v>
      </c>
      <c r="AH1296" s="15"/>
      <c r="AI1296" s="15"/>
    </row>
    <row r="1297" spans="1:37" s="6" customFormat="1">
      <c r="A1297" s="6" t="s">
        <v>5837</v>
      </c>
      <c r="B1297" s="6" t="s">
        <v>5838</v>
      </c>
      <c r="C1297" s="6" t="s">
        <v>43</v>
      </c>
      <c r="D1297" s="6" t="s">
        <v>239</v>
      </c>
      <c r="E1297" s="6" t="s">
        <v>1540</v>
      </c>
      <c r="F1297" s="6" t="s">
        <v>46</v>
      </c>
      <c r="G1297" s="6" t="s">
        <v>5839</v>
      </c>
      <c r="H1297" s="7"/>
      <c r="I1297" s="16" t="s">
        <v>48</v>
      </c>
      <c r="J1297" s="16" t="s">
        <v>48</v>
      </c>
      <c r="AG1297" s="15" t="s">
        <v>55</v>
      </c>
      <c r="AH1297" s="15"/>
      <c r="AI1297" s="15"/>
    </row>
    <row r="1298" spans="1:37" s="6" customFormat="1">
      <c r="A1298" s="6" t="s">
        <v>5840</v>
      </c>
      <c r="B1298" s="6" t="s">
        <v>5841</v>
      </c>
      <c r="C1298" s="6" t="s">
        <v>43</v>
      </c>
      <c r="D1298" s="6" t="s">
        <v>239</v>
      </c>
      <c r="E1298" s="6" t="s">
        <v>1540</v>
      </c>
      <c r="F1298" s="6" t="s">
        <v>46</v>
      </c>
      <c r="G1298" s="6" t="s">
        <v>5842</v>
      </c>
      <c r="H1298" s="7"/>
      <c r="I1298" s="16" t="s">
        <v>48</v>
      </c>
      <c r="J1298" s="16" t="s">
        <v>48</v>
      </c>
      <c r="AG1298" s="15" t="s">
        <v>55</v>
      </c>
      <c r="AH1298" s="15"/>
      <c r="AI1298" s="15"/>
    </row>
    <row r="1299" spans="1:37" s="6" customFormat="1">
      <c r="A1299" s="6" t="s">
        <v>5843</v>
      </c>
      <c r="B1299" s="6" t="s">
        <v>5844</v>
      </c>
      <c r="C1299" s="6" t="s">
        <v>43</v>
      </c>
      <c r="D1299" s="6" t="s">
        <v>239</v>
      </c>
      <c r="E1299" s="6" t="s">
        <v>1540</v>
      </c>
      <c r="F1299" s="6" t="s">
        <v>46</v>
      </c>
      <c r="G1299" s="6" t="s">
        <v>5845</v>
      </c>
      <c r="H1299" s="7"/>
      <c r="I1299" s="16" t="s">
        <v>48</v>
      </c>
      <c r="J1299" s="16" t="s">
        <v>48</v>
      </c>
      <c r="AG1299" s="15" t="s">
        <v>55</v>
      </c>
      <c r="AH1299" s="15"/>
      <c r="AI1299" s="15"/>
    </row>
    <row r="1300" spans="1:37" s="6" customFormat="1">
      <c r="A1300" s="6" t="s">
        <v>5846</v>
      </c>
      <c r="B1300" s="6" t="s">
        <v>5847</v>
      </c>
      <c r="C1300" s="6" t="s">
        <v>43</v>
      </c>
      <c r="D1300" s="6" t="s">
        <v>239</v>
      </c>
      <c r="E1300" s="6" t="s">
        <v>1540</v>
      </c>
      <c r="F1300" s="6" t="s">
        <v>46</v>
      </c>
      <c r="G1300" s="6" t="s">
        <v>5848</v>
      </c>
      <c r="H1300" s="7"/>
      <c r="I1300" s="16" t="s">
        <v>48</v>
      </c>
      <c r="J1300" s="16" t="s">
        <v>48</v>
      </c>
      <c r="AG1300" s="15" t="s">
        <v>55</v>
      </c>
      <c r="AH1300" s="15"/>
      <c r="AI1300" s="15"/>
    </row>
    <row r="1301" spans="1:37" s="6" customFormat="1">
      <c r="A1301" s="5" t="s">
        <v>5849</v>
      </c>
      <c r="B1301" s="5" t="s">
        <v>5850</v>
      </c>
      <c r="C1301" s="6" t="s">
        <v>43</v>
      </c>
      <c r="D1301" s="6" t="s">
        <v>2189</v>
      </c>
      <c r="E1301" s="6" t="s">
        <v>2065</v>
      </c>
      <c r="F1301" s="6" t="s">
        <v>46</v>
      </c>
      <c r="G1301" s="6" t="s">
        <v>5851</v>
      </c>
      <c r="H1301" s="7">
        <v>114.4</v>
      </c>
      <c r="I1301" s="19" t="s">
        <v>1589</v>
      </c>
      <c r="J1301" s="19" t="s">
        <v>2001</v>
      </c>
      <c r="K1301" s="6" t="s">
        <v>2148</v>
      </c>
      <c r="L1301" s="6" t="s">
        <v>2149</v>
      </c>
      <c r="M1301" s="6" t="s">
        <v>2150</v>
      </c>
      <c r="N1301" s="6" t="s">
        <v>2151</v>
      </c>
      <c r="O1301" s="6" t="s">
        <v>5852</v>
      </c>
      <c r="P1301" s="6" t="s">
        <v>5853</v>
      </c>
      <c r="Q1301" s="6" t="s">
        <v>5854</v>
      </c>
      <c r="R1301" s="5"/>
      <c r="S1301" s="5"/>
      <c r="T1301" s="5"/>
      <c r="U1301" s="5"/>
      <c r="V1301" s="5"/>
      <c r="W1301" s="20" t="s">
        <v>2010</v>
      </c>
      <c r="X1301" s="20" t="s">
        <v>2011</v>
      </c>
      <c r="Y1301" s="20" t="s">
        <v>2012</v>
      </c>
      <c r="Z1301" s="20" t="s">
        <v>2013</v>
      </c>
      <c r="AA1301" s="5"/>
      <c r="AB1301" s="5"/>
      <c r="AC1301" s="5"/>
      <c r="AD1301" s="5"/>
      <c r="AE1301" s="5"/>
      <c r="AF1301" s="5"/>
      <c r="AG1301" s="14" t="s">
        <v>55</v>
      </c>
      <c r="AH1301" s="14" t="s">
        <v>1603</v>
      </c>
      <c r="AI1301" s="14" t="s">
        <v>124</v>
      </c>
      <c r="AJ1301" s="5"/>
      <c r="AK1301" s="5"/>
    </row>
    <row r="1302" spans="1:37">
      <c r="A1302" s="5" t="s">
        <v>5855</v>
      </c>
      <c r="B1302" s="5" t="s">
        <v>5856</v>
      </c>
      <c r="C1302" s="6" t="s">
        <v>43</v>
      </c>
      <c r="D1302" s="6" t="s">
        <v>239</v>
      </c>
      <c r="E1302" s="6" t="s">
        <v>2065</v>
      </c>
      <c r="F1302" s="6" t="s">
        <v>46</v>
      </c>
      <c r="G1302" s="6" t="s">
        <v>5857</v>
      </c>
      <c r="H1302" s="7">
        <v>100.93</v>
      </c>
      <c r="I1302" s="19" t="s">
        <v>1589</v>
      </c>
      <c r="J1302" s="19" t="s">
        <v>2696</v>
      </c>
      <c r="K1302" s="5" t="s">
        <v>2809</v>
      </c>
      <c r="L1302" s="5" t="s">
        <v>2810</v>
      </c>
      <c r="M1302" s="5" t="s">
        <v>2811</v>
      </c>
      <c r="N1302" s="5" t="s">
        <v>2812</v>
      </c>
      <c r="O1302" s="5" t="s">
        <v>5858</v>
      </c>
      <c r="P1302" s="5" t="s">
        <v>5859</v>
      </c>
      <c r="Q1302" s="5" t="s">
        <v>5860</v>
      </c>
      <c r="R1302" s="5" t="s">
        <v>5861</v>
      </c>
      <c r="AG1302" s="14" t="s">
        <v>55</v>
      </c>
      <c r="AH1302" s="14" t="s">
        <v>1603</v>
      </c>
      <c r="AI1302" s="14" t="s">
        <v>1604</v>
      </c>
    </row>
    <row r="1303" spans="1:37">
      <c r="A1303" s="6" t="s">
        <v>5862</v>
      </c>
      <c r="B1303" s="6" t="s">
        <v>5863</v>
      </c>
      <c r="C1303" s="6" t="s">
        <v>43</v>
      </c>
      <c r="D1303" s="6" t="s">
        <v>239</v>
      </c>
      <c r="E1303" s="6" t="s">
        <v>1386</v>
      </c>
      <c r="F1303" s="6" t="s">
        <v>46</v>
      </c>
      <c r="G1303" s="6" t="s">
        <v>5864</v>
      </c>
      <c r="I1303" s="6" t="s">
        <v>48</v>
      </c>
      <c r="J1303" s="6" t="s">
        <v>48</v>
      </c>
      <c r="K1303" s="6"/>
      <c r="L1303" s="6"/>
      <c r="M1303" s="6"/>
      <c r="N1303" s="6"/>
      <c r="O1303" s="6"/>
      <c r="P1303" s="6"/>
      <c r="Q1303" s="6"/>
      <c r="R1303" s="6"/>
      <c r="S1303" s="6"/>
      <c r="T1303" s="6"/>
      <c r="U1303" s="6"/>
      <c r="V1303" s="6"/>
      <c r="W1303" s="6"/>
      <c r="X1303" s="6"/>
      <c r="Y1303" s="6"/>
      <c r="Z1303" s="6"/>
      <c r="AA1303" s="6"/>
      <c r="AB1303" s="6"/>
      <c r="AC1303" s="6"/>
      <c r="AD1303" s="6"/>
      <c r="AE1303" s="6"/>
      <c r="AF1303" s="6"/>
      <c r="AG1303" s="15" t="s">
        <v>55</v>
      </c>
      <c r="AH1303" s="15"/>
      <c r="AI1303" s="15"/>
      <c r="AJ1303" s="6"/>
      <c r="AK1303" s="6"/>
    </row>
    <row r="1304" spans="1:37" s="6" customFormat="1">
      <c r="A1304" s="6" t="s">
        <v>5865</v>
      </c>
      <c r="B1304" s="6" t="s">
        <v>5866</v>
      </c>
      <c r="C1304" s="6" t="s">
        <v>43</v>
      </c>
      <c r="D1304" s="6" t="s">
        <v>2069</v>
      </c>
      <c r="E1304" s="6" t="s">
        <v>1540</v>
      </c>
      <c r="F1304" s="6" t="s">
        <v>46</v>
      </c>
      <c r="G1304" s="6" t="s">
        <v>5867</v>
      </c>
      <c r="H1304" s="7"/>
      <c r="I1304" s="19" t="s">
        <v>48</v>
      </c>
      <c r="J1304" s="19" t="s">
        <v>48</v>
      </c>
      <c r="AG1304" s="15" t="s">
        <v>55</v>
      </c>
      <c r="AH1304" s="15"/>
      <c r="AI1304" s="15"/>
    </row>
    <row r="1305" spans="1:37" s="6" customFormat="1">
      <c r="A1305" s="5" t="s">
        <v>5868</v>
      </c>
      <c r="B1305" s="5" t="s">
        <v>5869</v>
      </c>
      <c r="C1305" s="6" t="s">
        <v>43</v>
      </c>
      <c r="D1305" s="6" t="s">
        <v>2114</v>
      </c>
      <c r="E1305" s="6" t="s">
        <v>2015</v>
      </c>
      <c r="F1305" s="6" t="s">
        <v>46</v>
      </c>
      <c r="G1305" s="6" t="s">
        <v>5870</v>
      </c>
      <c r="H1305" s="7">
        <v>8.32</v>
      </c>
      <c r="I1305" s="19" t="s">
        <v>1589</v>
      </c>
      <c r="J1305" s="19" t="s">
        <v>2001</v>
      </c>
      <c r="K1305" s="5" t="s">
        <v>2116</v>
      </c>
      <c r="L1305" s="5" t="s">
        <v>2117</v>
      </c>
      <c r="M1305" s="5" t="s">
        <v>2118</v>
      </c>
      <c r="N1305" s="5" t="s">
        <v>2119</v>
      </c>
      <c r="O1305" s="5" t="s">
        <v>5871</v>
      </c>
      <c r="P1305" s="5" t="s">
        <v>5872</v>
      </c>
      <c r="Q1305" s="5" t="s">
        <v>2122</v>
      </c>
      <c r="R1305" s="5"/>
      <c r="S1305" s="5"/>
      <c r="T1305" s="5"/>
      <c r="U1305" s="5"/>
      <c r="V1305" s="5"/>
      <c r="W1305" s="5" t="s">
        <v>2123</v>
      </c>
      <c r="X1305" s="5" t="s">
        <v>2011</v>
      </c>
      <c r="Y1305" s="5" t="s">
        <v>2012</v>
      </c>
      <c r="Z1305" s="5" t="s">
        <v>2013</v>
      </c>
      <c r="AA1305" s="5"/>
      <c r="AB1305" s="5"/>
      <c r="AC1305" s="5"/>
      <c r="AD1305" s="5"/>
      <c r="AE1305" s="5"/>
      <c r="AF1305" s="5"/>
      <c r="AG1305" s="14" t="s">
        <v>55</v>
      </c>
      <c r="AH1305" s="14" t="s">
        <v>1603</v>
      </c>
      <c r="AI1305" s="14" t="s">
        <v>124</v>
      </c>
      <c r="AJ1305" s="5"/>
      <c r="AK1305" s="5"/>
    </row>
    <row r="1306" spans="1:37">
      <c r="A1306" s="5" t="s">
        <v>5873</v>
      </c>
      <c r="B1306" s="5" t="s">
        <v>5874</v>
      </c>
      <c r="C1306" s="6" t="s">
        <v>43</v>
      </c>
      <c r="D1306" s="6" t="s">
        <v>2114</v>
      </c>
      <c r="E1306" s="6" t="s">
        <v>1386</v>
      </c>
      <c r="F1306" s="6" t="s">
        <v>46</v>
      </c>
      <c r="G1306" s="6" t="s">
        <v>5672</v>
      </c>
      <c r="H1306" s="7">
        <v>13.61</v>
      </c>
      <c r="I1306" s="19" t="s">
        <v>1589</v>
      </c>
      <c r="J1306" s="19" t="s">
        <v>2162</v>
      </c>
      <c r="K1306" s="5" t="s">
        <v>2163</v>
      </c>
      <c r="L1306" s="5" t="s">
        <v>2164</v>
      </c>
      <c r="M1306" s="5" t="s">
        <v>2165</v>
      </c>
      <c r="N1306" s="5" t="s">
        <v>2166</v>
      </c>
      <c r="O1306" s="5" t="s">
        <v>5875</v>
      </c>
      <c r="P1306" s="5" t="s">
        <v>5876</v>
      </c>
      <c r="Q1306" s="5" t="s">
        <v>5877</v>
      </c>
      <c r="R1306" s="5"/>
      <c r="W1306" s="5" t="s">
        <v>2170</v>
      </c>
      <c r="X1306" s="5" t="s">
        <v>2171</v>
      </c>
      <c r="Y1306" s="5" t="s">
        <v>2172</v>
      </c>
      <c r="Z1306" s="5" t="s">
        <v>2173</v>
      </c>
      <c r="AG1306" s="14" t="s">
        <v>55</v>
      </c>
      <c r="AH1306" s="14" t="s">
        <v>1603</v>
      </c>
      <c r="AI1306" s="14" t="s">
        <v>124</v>
      </c>
    </row>
    <row r="1307" spans="1:37">
      <c r="A1307" s="5" t="s">
        <v>5878</v>
      </c>
      <c r="B1307" s="5" t="s">
        <v>5879</v>
      </c>
      <c r="C1307" s="6" t="s">
        <v>43</v>
      </c>
      <c r="D1307" s="6" t="s">
        <v>2189</v>
      </c>
      <c r="E1307" s="6" t="s">
        <v>2015</v>
      </c>
      <c r="F1307" s="6" t="s">
        <v>46</v>
      </c>
      <c r="G1307" s="6" t="s">
        <v>1107</v>
      </c>
      <c r="H1307" s="7">
        <v>10.66</v>
      </c>
      <c r="I1307" s="19" t="s">
        <v>1589</v>
      </c>
      <c r="J1307" s="19" t="s">
        <v>2191</v>
      </c>
      <c r="K1307" s="5" t="s">
        <v>2192</v>
      </c>
      <c r="L1307" s="5" t="s">
        <v>2193</v>
      </c>
      <c r="M1307" s="5" t="s">
        <v>2194</v>
      </c>
      <c r="N1307" s="5" t="s">
        <v>2195</v>
      </c>
      <c r="O1307" s="5" t="s">
        <v>5880</v>
      </c>
      <c r="P1307" s="5" t="s">
        <v>5881</v>
      </c>
      <c r="Q1307" s="5" t="s">
        <v>5882</v>
      </c>
      <c r="R1307" s="5"/>
      <c r="Y1307" s="5" t="s">
        <v>2086</v>
      </c>
      <c r="AG1307" s="14" t="s">
        <v>55</v>
      </c>
      <c r="AH1307" s="14" t="s">
        <v>1603</v>
      </c>
      <c r="AI1307" s="14" t="s">
        <v>2087</v>
      </c>
    </row>
    <row r="1308" spans="1:37">
      <c r="A1308" s="6" t="s">
        <v>5883</v>
      </c>
      <c r="B1308" s="6" t="s">
        <v>5884</v>
      </c>
      <c r="C1308" s="6" t="s">
        <v>43</v>
      </c>
      <c r="D1308" s="6" t="s">
        <v>239</v>
      </c>
      <c r="E1308" s="6" t="s">
        <v>1540</v>
      </c>
      <c r="F1308" s="6" t="s">
        <v>46</v>
      </c>
      <c r="G1308" s="6" t="s">
        <v>5885</v>
      </c>
      <c r="I1308" s="16" t="s">
        <v>48</v>
      </c>
      <c r="J1308" s="16" t="s">
        <v>48</v>
      </c>
      <c r="K1308" s="6"/>
      <c r="L1308" s="6"/>
      <c r="M1308" s="6"/>
      <c r="N1308" s="6"/>
      <c r="O1308" s="6"/>
      <c r="P1308" s="6"/>
      <c r="Q1308" s="6"/>
      <c r="R1308" s="6"/>
      <c r="S1308" s="6"/>
      <c r="T1308" s="6"/>
      <c r="U1308" s="6"/>
      <c r="V1308" s="6"/>
      <c r="W1308" s="6"/>
      <c r="X1308" s="6"/>
      <c r="Y1308" s="6"/>
      <c r="Z1308" s="6"/>
      <c r="AA1308" s="6"/>
      <c r="AB1308" s="6"/>
      <c r="AC1308" s="6"/>
      <c r="AD1308" s="6"/>
      <c r="AE1308" s="6"/>
      <c r="AF1308" s="6"/>
      <c r="AG1308" s="15" t="s">
        <v>55</v>
      </c>
      <c r="AH1308" s="15"/>
      <c r="AI1308" s="15"/>
      <c r="AJ1308" s="6"/>
      <c r="AK1308" s="6"/>
    </row>
    <row r="1309" spans="1:37" s="6" customFormat="1">
      <c r="A1309" s="6" t="s">
        <v>5886</v>
      </c>
      <c r="B1309" s="6" t="s">
        <v>5887</v>
      </c>
      <c r="C1309" s="6" t="s">
        <v>43</v>
      </c>
      <c r="D1309" s="6" t="s">
        <v>239</v>
      </c>
      <c r="E1309" s="6" t="s">
        <v>1540</v>
      </c>
      <c r="F1309" s="6" t="s">
        <v>46</v>
      </c>
      <c r="G1309" s="6" t="s">
        <v>5888</v>
      </c>
      <c r="H1309" s="7"/>
      <c r="I1309" s="16" t="s">
        <v>48</v>
      </c>
      <c r="J1309" s="16" t="s">
        <v>48</v>
      </c>
      <c r="AG1309" s="15" t="s">
        <v>55</v>
      </c>
      <c r="AH1309" s="15"/>
      <c r="AI1309" s="15"/>
    </row>
    <row r="1310" spans="1:37" s="6" customFormat="1">
      <c r="A1310" s="6" t="s">
        <v>5889</v>
      </c>
      <c r="B1310" s="6" t="s">
        <v>5890</v>
      </c>
      <c r="C1310" s="6" t="s">
        <v>43</v>
      </c>
      <c r="D1310" s="6" t="s">
        <v>1390</v>
      </c>
      <c r="E1310" s="6" t="s">
        <v>1386</v>
      </c>
      <c r="F1310" s="6" t="s">
        <v>46</v>
      </c>
      <c r="G1310" s="6" t="s">
        <v>5891</v>
      </c>
      <c r="H1310" s="7"/>
      <c r="I1310" s="16" t="s">
        <v>48</v>
      </c>
      <c r="J1310" s="16" t="s">
        <v>48</v>
      </c>
      <c r="AG1310" s="15" t="s">
        <v>55</v>
      </c>
      <c r="AH1310" s="15"/>
      <c r="AI1310" s="15"/>
    </row>
    <row r="1311" spans="1:37" s="6" customFormat="1">
      <c r="A1311" s="6" t="s">
        <v>5892</v>
      </c>
      <c r="B1311" s="6" t="s">
        <v>5893</v>
      </c>
      <c r="C1311" s="6" t="s">
        <v>43</v>
      </c>
      <c r="D1311" s="6" t="s">
        <v>1390</v>
      </c>
      <c r="E1311" s="6" t="s">
        <v>1386</v>
      </c>
      <c r="F1311" s="6" t="s">
        <v>46</v>
      </c>
      <c r="G1311" s="6" t="s">
        <v>5701</v>
      </c>
      <c r="H1311" s="7"/>
      <c r="I1311" s="16" t="s">
        <v>48</v>
      </c>
      <c r="J1311" s="16" t="s">
        <v>48</v>
      </c>
      <c r="AG1311" s="15" t="s">
        <v>55</v>
      </c>
      <c r="AH1311" s="15"/>
      <c r="AI1311" s="15"/>
    </row>
    <row r="1312" spans="1:37" s="6" customFormat="1">
      <c r="A1312" s="5" t="s">
        <v>5894</v>
      </c>
      <c r="B1312" s="5" t="s">
        <v>5895</v>
      </c>
      <c r="C1312" s="6" t="s">
        <v>43</v>
      </c>
      <c r="D1312" s="6" t="s">
        <v>239</v>
      </c>
      <c r="E1312" s="6" t="s">
        <v>1386</v>
      </c>
      <c r="F1312" s="6" t="s">
        <v>46</v>
      </c>
      <c r="G1312" s="6" t="s">
        <v>5896</v>
      </c>
      <c r="H1312" s="7">
        <v>7.41</v>
      </c>
      <c r="I1312" s="19" t="s">
        <v>1589</v>
      </c>
      <c r="J1312" s="19" t="s">
        <v>2696</v>
      </c>
      <c r="K1312" s="5" t="s">
        <v>2757</v>
      </c>
      <c r="L1312" s="5" t="s">
        <v>2758</v>
      </c>
      <c r="M1312" s="5" t="s">
        <v>2759</v>
      </c>
      <c r="N1312" s="5" t="s">
        <v>2760</v>
      </c>
      <c r="O1312" s="5" t="s">
        <v>5897</v>
      </c>
      <c r="P1312" s="5" t="s">
        <v>5898</v>
      </c>
      <c r="Q1312" s="5" t="s">
        <v>5899</v>
      </c>
      <c r="R1312" s="5" t="s">
        <v>5900</v>
      </c>
      <c r="S1312" s="5"/>
      <c r="T1312" s="5"/>
      <c r="U1312" s="5"/>
      <c r="V1312" s="5"/>
      <c r="W1312" s="5"/>
      <c r="X1312" s="5"/>
      <c r="Y1312" s="5"/>
      <c r="Z1312" s="5"/>
      <c r="AA1312" s="5"/>
      <c r="AB1312" s="5"/>
      <c r="AC1312" s="5"/>
      <c r="AD1312" s="5"/>
      <c r="AE1312" s="5"/>
      <c r="AF1312" s="5"/>
      <c r="AG1312" s="14" t="s">
        <v>55</v>
      </c>
      <c r="AH1312" s="14" t="s">
        <v>1603</v>
      </c>
      <c r="AI1312" s="14" t="s">
        <v>1604</v>
      </c>
      <c r="AJ1312" s="5"/>
      <c r="AK1312" s="5"/>
    </row>
    <row r="1313" spans="1:37">
      <c r="A1313" s="5" t="s">
        <v>5901</v>
      </c>
      <c r="B1313" s="5" t="s">
        <v>5902</v>
      </c>
      <c r="C1313" s="6" t="s">
        <v>43</v>
      </c>
      <c r="D1313" s="6" t="s">
        <v>239</v>
      </c>
      <c r="E1313" s="6" t="s">
        <v>2065</v>
      </c>
      <c r="F1313" s="6" t="s">
        <v>46</v>
      </c>
      <c r="G1313" s="6" t="s">
        <v>5903</v>
      </c>
      <c r="H1313" s="7">
        <v>9.59</v>
      </c>
      <c r="I1313" s="19" t="s">
        <v>1589</v>
      </c>
      <c r="J1313" s="19" t="s">
        <v>2696</v>
      </c>
      <c r="K1313" s="5" t="s">
        <v>2774</v>
      </c>
      <c r="L1313" s="5" t="s">
        <v>2775</v>
      </c>
      <c r="M1313" s="5" t="s">
        <v>2776</v>
      </c>
      <c r="N1313" s="5" t="s">
        <v>2777</v>
      </c>
      <c r="O1313" s="5" t="s">
        <v>5904</v>
      </c>
      <c r="P1313" s="5" t="s">
        <v>5905</v>
      </c>
      <c r="Q1313" s="5" t="s">
        <v>5906</v>
      </c>
      <c r="R1313" s="5" t="s">
        <v>5907</v>
      </c>
      <c r="AG1313" s="14" t="s">
        <v>55</v>
      </c>
      <c r="AH1313" s="14" t="s">
        <v>1603</v>
      </c>
      <c r="AI1313" s="14" t="s">
        <v>1604</v>
      </c>
    </row>
    <row r="1314" spans="1:37">
      <c r="A1314" s="6" t="s">
        <v>5908</v>
      </c>
      <c r="B1314" s="6" t="s">
        <v>5909</v>
      </c>
      <c r="C1314" s="6" t="s">
        <v>43</v>
      </c>
      <c r="D1314" s="6" t="s">
        <v>239</v>
      </c>
      <c r="E1314" s="6" t="s">
        <v>1540</v>
      </c>
      <c r="F1314" s="6" t="s">
        <v>46</v>
      </c>
      <c r="G1314" s="6" t="s">
        <v>5845</v>
      </c>
      <c r="I1314" s="16" t="s">
        <v>48</v>
      </c>
      <c r="J1314" s="16" t="s">
        <v>48</v>
      </c>
      <c r="K1314" s="6"/>
      <c r="L1314" s="6"/>
      <c r="M1314" s="6"/>
      <c r="N1314" s="6"/>
      <c r="O1314" s="6"/>
      <c r="P1314" s="6"/>
      <c r="Q1314" s="6"/>
      <c r="R1314" s="6"/>
      <c r="S1314" s="6"/>
      <c r="T1314" s="6"/>
      <c r="U1314" s="6"/>
      <c r="V1314" s="6"/>
      <c r="W1314" s="6"/>
      <c r="X1314" s="6"/>
      <c r="Y1314" s="6"/>
      <c r="Z1314" s="6"/>
      <c r="AA1314" s="6"/>
      <c r="AB1314" s="6"/>
      <c r="AC1314" s="6"/>
      <c r="AD1314" s="6"/>
      <c r="AE1314" s="6"/>
      <c r="AF1314" s="6"/>
      <c r="AG1314" s="15" t="s">
        <v>55</v>
      </c>
      <c r="AH1314" s="15"/>
      <c r="AI1314" s="15"/>
      <c r="AJ1314" s="6"/>
      <c r="AK1314" s="6"/>
    </row>
    <row r="1315" spans="1:37" s="6" customFormat="1">
      <c r="A1315" s="6" t="s">
        <v>5910</v>
      </c>
      <c r="B1315" s="6" t="s">
        <v>5911</v>
      </c>
      <c r="C1315" s="6" t="s">
        <v>43</v>
      </c>
      <c r="D1315" s="6" t="s">
        <v>239</v>
      </c>
      <c r="E1315" s="6" t="s">
        <v>1540</v>
      </c>
      <c r="F1315" s="6" t="s">
        <v>46</v>
      </c>
      <c r="G1315" s="6" t="s">
        <v>5912</v>
      </c>
      <c r="H1315" s="7"/>
      <c r="I1315" s="16" t="s">
        <v>48</v>
      </c>
      <c r="J1315" s="16" t="s">
        <v>48</v>
      </c>
      <c r="AG1315" s="15" t="s">
        <v>55</v>
      </c>
      <c r="AH1315" s="15"/>
      <c r="AI1315" s="15"/>
    </row>
    <row r="1316" spans="1:37" s="6" customFormat="1">
      <c r="A1316" s="6" t="s">
        <v>5913</v>
      </c>
      <c r="B1316" s="6" t="s">
        <v>5914</v>
      </c>
      <c r="C1316" s="6" t="s">
        <v>43</v>
      </c>
      <c r="D1316" s="6" t="s">
        <v>2189</v>
      </c>
      <c r="E1316" s="6" t="s">
        <v>1386</v>
      </c>
      <c r="F1316" s="6" t="s">
        <v>46</v>
      </c>
      <c r="G1316" s="6" t="s">
        <v>5915</v>
      </c>
      <c r="H1316" s="7"/>
      <c r="I1316" s="19" t="s">
        <v>48</v>
      </c>
      <c r="J1316" s="19" t="s">
        <v>48</v>
      </c>
      <c r="AG1316" s="15" t="s">
        <v>55</v>
      </c>
      <c r="AH1316" s="15"/>
      <c r="AI1316" s="15"/>
    </row>
    <row r="1317" spans="1:37" s="6" customFormat="1">
      <c r="A1317" s="6" t="s">
        <v>5916</v>
      </c>
      <c r="B1317" s="6" t="s">
        <v>5917</v>
      </c>
      <c r="C1317" s="6" t="s">
        <v>43</v>
      </c>
      <c r="D1317" s="6" t="s">
        <v>239</v>
      </c>
      <c r="E1317" s="6" t="s">
        <v>1587</v>
      </c>
      <c r="F1317" s="6" t="s">
        <v>46</v>
      </c>
      <c r="G1317" s="6" t="s">
        <v>5918</v>
      </c>
      <c r="H1317" s="7"/>
      <c r="I1317" s="19" t="s">
        <v>48</v>
      </c>
      <c r="J1317" s="19" t="s">
        <v>48</v>
      </c>
      <c r="AG1317" s="15" t="s">
        <v>55</v>
      </c>
      <c r="AH1317" s="15"/>
      <c r="AI1317" s="15"/>
    </row>
    <row r="1318" spans="1:37" s="6" customFormat="1">
      <c r="A1318" s="6" t="s">
        <v>5919</v>
      </c>
      <c r="B1318" s="6" t="s">
        <v>5920</v>
      </c>
      <c r="C1318" s="6" t="s">
        <v>2822</v>
      </c>
      <c r="D1318" s="6" t="s">
        <v>239</v>
      </c>
      <c r="E1318" s="6" t="s">
        <v>1386</v>
      </c>
      <c r="F1318" s="6" t="s">
        <v>46</v>
      </c>
      <c r="G1318" s="6" t="s">
        <v>5921</v>
      </c>
      <c r="H1318" s="7"/>
      <c r="I1318" s="19" t="s">
        <v>48</v>
      </c>
      <c r="J1318" s="19" t="s">
        <v>48</v>
      </c>
      <c r="AG1318" s="15" t="s">
        <v>55</v>
      </c>
      <c r="AH1318" s="15"/>
      <c r="AI1318" s="15"/>
    </row>
    <row r="1319" spans="1:37" s="6" customFormat="1">
      <c r="A1319" s="6" t="s">
        <v>5922</v>
      </c>
      <c r="B1319" s="6" t="s">
        <v>5920</v>
      </c>
      <c r="C1319" s="6" t="s">
        <v>2822</v>
      </c>
      <c r="D1319" s="6" t="s">
        <v>239</v>
      </c>
      <c r="E1319" s="6" t="s">
        <v>1540</v>
      </c>
      <c r="F1319" s="6" t="s">
        <v>46</v>
      </c>
      <c r="G1319" s="6" t="s">
        <v>5108</v>
      </c>
      <c r="H1319" s="7"/>
      <c r="I1319" s="19" t="s">
        <v>48</v>
      </c>
      <c r="J1319" s="19" t="s">
        <v>48</v>
      </c>
      <c r="AG1319" s="15" t="s">
        <v>55</v>
      </c>
      <c r="AH1319" s="15"/>
      <c r="AI1319" s="15"/>
    </row>
    <row r="1320" spans="1:37" s="6" customFormat="1">
      <c r="A1320" s="6" t="s">
        <v>5923</v>
      </c>
      <c r="B1320" s="6" t="s">
        <v>5924</v>
      </c>
      <c r="C1320" s="6" t="s">
        <v>5925</v>
      </c>
      <c r="D1320" s="6" t="s">
        <v>1390</v>
      </c>
      <c r="E1320" s="6" t="s">
        <v>1386</v>
      </c>
      <c r="F1320" s="6" t="s">
        <v>46</v>
      </c>
      <c r="G1320" s="6" t="s">
        <v>5926</v>
      </c>
      <c r="H1320" s="7"/>
      <c r="I1320" s="19" t="s">
        <v>48</v>
      </c>
      <c r="J1320" s="19" t="s">
        <v>48</v>
      </c>
      <c r="AG1320" s="15" t="s">
        <v>55</v>
      </c>
      <c r="AH1320" s="15"/>
      <c r="AI1320" s="15"/>
    </row>
    <row r="1321" spans="1:37" s="6" customFormat="1">
      <c r="A1321" s="6" t="s">
        <v>5927</v>
      </c>
      <c r="B1321" s="6" t="s">
        <v>5928</v>
      </c>
      <c r="C1321" s="6" t="s">
        <v>43</v>
      </c>
      <c r="D1321" s="6" t="s">
        <v>239</v>
      </c>
      <c r="E1321" s="6" t="s">
        <v>1540</v>
      </c>
      <c r="F1321" s="6" t="s">
        <v>46</v>
      </c>
      <c r="G1321" s="6" t="s">
        <v>5867</v>
      </c>
      <c r="H1321" s="7"/>
      <c r="I1321" s="16" t="s">
        <v>48</v>
      </c>
      <c r="J1321" s="16" t="s">
        <v>48</v>
      </c>
      <c r="AG1321" s="15" t="s">
        <v>55</v>
      </c>
      <c r="AH1321" s="15"/>
      <c r="AI1321" s="15"/>
    </row>
    <row r="1322" spans="1:37" s="6" customFormat="1">
      <c r="A1322" s="6" t="s">
        <v>5929</v>
      </c>
      <c r="B1322" s="6" t="s">
        <v>5930</v>
      </c>
      <c r="C1322" s="6" t="s">
        <v>43</v>
      </c>
      <c r="D1322" s="6" t="s">
        <v>239</v>
      </c>
      <c r="E1322" s="6" t="s">
        <v>1540</v>
      </c>
      <c r="F1322" s="6" t="s">
        <v>46</v>
      </c>
      <c r="G1322" s="6" t="s">
        <v>5931</v>
      </c>
      <c r="H1322" s="7"/>
      <c r="I1322" s="16" t="s">
        <v>48</v>
      </c>
      <c r="J1322" s="16" t="s">
        <v>48</v>
      </c>
      <c r="AG1322" s="15" t="s">
        <v>55</v>
      </c>
      <c r="AH1322" s="15"/>
      <c r="AI1322" s="15"/>
    </row>
    <row r="1323" spans="1:37" s="6" customFormat="1">
      <c r="A1323" s="6" t="s">
        <v>5932</v>
      </c>
      <c r="B1323" s="6" t="s">
        <v>5933</v>
      </c>
      <c r="C1323" s="6" t="s">
        <v>43</v>
      </c>
      <c r="D1323" s="6" t="s">
        <v>239</v>
      </c>
      <c r="E1323" s="6" t="s">
        <v>1540</v>
      </c>
      <c r="F1323" s="6" t="s">
        <v>46</v>
      </c>
      <c r="G1323" s="6" t="s">
        <v>5934</v>
      </c>
      <c r="H1323" s="7"/>
      <c r="I1323" s="16" t="s">
        <v>48</v>
      </c>
      <c r="J1323" s="16" t="s">
        <v>48</v>
      </c>
      <c r="AG1323" s="15" t="s">
        <v>55</v>
      </c>
      <c r="AH1323" s="15"/>
      <c r="AI1323" s="15"/>
    </row>
    <row r="1324" spans="1:37" s="6" customFormat="1">
      <c r="A1324" s="6" t="s">
        <v>5935</v>
      </c>
      <c r="B1324" s="6" t="s">
        <v>5936</v>
      </c>
      <c r="C1324" s="6" t="s">
        <v>43</v>
      </c>
      <c r="D1324" s="6" t="s">
        <v>239</v>
      </c>
      <c r="E1324" s="6" t="s">
        <v>1540</v>
      </c>
      <c r="F1324" s="6" t="s">
        <v>46</v>
      </c>
      <c r="G1324" s="6" t="s">
        <v>5937</v>
      </c>
      <c r="H1324" s="7"/>
      <c r="I1324" s="16" t="s">
        <v>48</v>
      </c>
      <c r="J1324" s="16" t="s">
        <v>48</v>
      </c>
      <c r="AG1324" s="15" t="s">
        <v>55</v>
      </c>
      <c r="AH1324" s="15"/>
      <c r="AI1324" s="15"/>
    </row>
    <row r="1325" spans="1:37" s="6" customFormat="1">
      <c r="A1325" s="6" t="s">
        <v>5938</v>
      </c>
      <c r="B1325" s="6" t="s">
        <v>5939</v>
      </c>
      <c r="C1325" s="6" t="s">
        <v>43</v>
      </c>
      <c r="D1325" s="6" t="s">
        <v>239</v>
      </c>
      <c r="E1325" s="6" t="s">
        <v>1540</v>
      </c>
      <c r="F1325" s="6" t="s">
        <v>46</v>
      </c>
      <c r="G1325" s="6" t="s">
        <v>5934</v>
      </c>
      <c r="H1325" s="7"/>
      <c r="I1325" s="16" t="s">
        <v>48</v>
      </c>
      <c r="J1325" s="16" t="s">
        <v>48</v>
      </c>
      <c r="AG1325" s="15" t="s">
        <v>55</v>
      </c>
      <c r="AH1325" s="15"/>
      <c r="AI1325" s="15"/>
    </row>
    <row r="1326" spans="1:37" s="6" customFormat="1">
      <c r="A1326" s="6" t="s">
        <v>5940</v>
      </c>
      <c r="B1326" s="6" t="s">
        <v>5941</v>
      </c>
      <c r="C1326" s="6" t="s">
        <v>43</v>
      </c>
      <c r="D1326" s="6" t="s">
        <v>239</v>
      </c>
      <c r="E1326" s="6" t="s">
        <v>1540</v>
      </c>
      <c r="F1326" s="6" t="s">
        <v>46</v>
      </c>
      <c r="G1326" s="6" t="s">
        <v>5942</v>
      </c>
      <c r="H1326" s="7"/>
      <c r="I1326" s="16" t="s">
        <v>48</v>
      </c>
      <c r="J1326" s="16" t="s">
        <v>48</v>
      </c>
      <c r="AG1326" s="15" t="s">
        <v>55</v>
      </c>
      <c r="AH1326" s="15"/>
      <c r="AI1326" s="15"/>
    </row>
    <row r="1327" spans="1:37" s="6" customFormat="1">
      <c r="A1327" s="5" t="s">
        <v>5943</v>
      </c>
      <c r="B1327" s="5" t="s">
        <v>5944</v>
      </c>
      <c r="C1327" s="6" t="s">
        <v>43</v>
      </c>
      <c r="D1327" s="6" t="s">
        <v>2114</v>
      </c>
      <c r="E1327" s="6" t="s">
        <v>1386</v>
      </c>
      <c r="F1327" s="6" t="s">
        <v>46</v>
      </c>
      <c r="G1327" s="6" t="s">
        <v>5945</v>
      </c>
      <c r="H1327" s="7">
        <v>125.68</v>
      </c>
      <c r="I1327" s="19" t="s">
        <v>1589</v>
      </c>
      <c r="J1327" s="19" t="s">
        <v>2001</v>
      </c>
      <c r="K1327" s="5" t="s">
        <v>2131</v>
      </c>
      <c r="L1327" s="5" t="s">
        <v>2132</v>
      </c>
      <c r="M1327" s="5" t="s">
        <v>2133</v>
      </c>
      <c r="N1327" s="5" t="s">
        <v>2134</v>
      </c>
      <c r="O1327" s="5" t="s">
        <v>5946</v>
      </c>
      <c r="P1327" s="5" t="s">
        <v>5947</v>
      </c>
      <c r="Q1327" s="5" t="s">
        <v>5948</v>
      </c>
      <c r="R1327" s="5"/>
      <c r="S1327" s="5"/>
      <c r="T1327" s="5"/>
      <c r="U1327" s="5"/>
      <c r="V1327" s="5"/>
      <c r="W1327" s="5" t="s">
        <v>2123</v>
      </c>
      <c r="X1327" s="5" t="s">
        <v>2011</v>
      </c>
      <c r="Y1327" s="5" t="s">
        <v>2012</v>
      </c>
      <c r="Z1327" s="5" t="s">
        <v>2013</v>
      </c>
      <c r="AA1327" s="5"/>
      <c r="AB1327" s="5"/>
      <c r="AC1327" s="5"/>
      <c r="AD1327" s="5"/>
      <c r="AE1327" s="5"/>
      <c r="AF1327" s="5"/>
      <c r="AG1327" s="14" t="s">
        <v>55</v>
      </c>
      <c r="AH1327" s="14" t="s">
        <v>1603</v>
      </c>
      <c r="AI1327" s="14" t="s">
        <v>124</v>
      </c>
      <c r="AJ1327" s="5"/>
      <c r="AK1327" s="5"/>
    </row>
    <row r="1328" spans="1:37">
      <c r="A1328" s="5" t="s">
        <v>5949</v>
      </c>
      <c r="B1328" s="5" t="s">
        <v>5950</v>
      </c>
      <c r="C1328" s="6" t="s">
        <v>43</v>
      </c>
      <c r="D1328" s="6" t="s">
        <v>2189</v>
      </c>
      <c r="E1328" s="6" t="s">
        <v>2065</v>
      </c>
      <c r="F1328" s="6" t="s">
        <v>46</v>
      </c>
      <c r="G1328" s="6" t="s">
        <v>5951</v>
      </c>
      <c r="H1328" s="7">
        <v>125.68</v>
      </c>
      <c r="I1328" s="19" t="s">
        <v>1589</v>
      </c>
      <c r="J1328" s="19" t="s">
        <v>2001</v>
      </c>
      <c r="K1328" s="5" t="s">
        <v>2131</v>
      </c>
      <c r="L1328" s="5" t="s">
        <v>2132</v>
      </c>
      <c r="M1328" s="5" t="s">
        <v>2133</v>
      </c>
      <c r="N1328" s="5" t="s">
        <v>2134</v>
      </c>
      <c r="O1328" s="5" t="s">
        <v>5946</v>
      </c>
      <c r="P1328" s="5" t="s">
        <v>5947</v>
      </c>
      <c r="Q1328" s="5" t="s">
        <v>5948</v>
      </c>
      <c r="R1328" s="5"/>
      <c r="W1328" s="5" t="s">
        <v>2123</v>
      </c>
      <c r="X1328" s="5" t="s">
        <v>2011</v>
      </c>
      <c r="Y1328" s="5" t="s">
        <v>2012</v>
      </c>
      <c r="Z1328" s="5" t="s">
        <v>2013</v>
      </c>
      <c r="AG1328" s="14" t="s">
        <v>55</v>
      </c>
      <c r="AH1328" s="14" t="s">
        <v>1603</v>
      </c>
      <c r="AI1328" s="14" t="s">
        <v>124</v>
      </c>
    </row>
    <row r="1329" spans="1:37">
      <c r="A1329" s="6" t="s">
        <v>5952</v>
      </c>
      <c r="B1329" s="6" t="s">
        <v>5953</v>
      </c>
      <c r="C1329" s="6" t="s">
        <v>43</v>
      </c>
      <c r="D1329" s="6" t="s">
        <v>239</v>
      </c>
      <c r="E1329" s="6" t="s">
        <v>1540</v>
      </c>
      <c r="F1329" s="6" t="s">
        <v>46</v>
      </c>
      <c r="G1329" s="6" t="s">
        <v>5954</v>
      </c>
      <c r="I1329" s="16" t="s">
        <v>48</v>
      </c>
      <c r="J1329" s="16" t="s">
        <v>48</v>
      </c>
      <c r="K1329" s="6"/>
      <c r="L1329" s="6"/>
      <c r="M1329" s="6"/>
      <c r="N1329" s="6"/>
      <c r="O1329" s="6"/>
      <c r="P1329" s="6"/>
      <c r="Q1329" s="6"/>
      <c r="R1329" s="6"/>
      <c r="S1329" s="6"/>
      <c r="T1329" s="6"/>
      <c r="U1329" s="6"/>
      <c r="V1329" s="6"/>
      <c r="W1329" s="6"/>
      <c r="X1329" s="6"/>
      <c r="Y1329" s="6"/>
      <c r="Z1329" s="6"/>
      <c r="AA1329" s="6"/>
      <c r="AB1329" s="6"/>
      <c r="AC1329" s="6"/>
      <c r="AD1329" s="6"/>
      <c r="AE1329" s="6"/>
      <c r="AF1329" s="6"/>
      <c r="AG1329" s="15" t="s">
        <v>55</v>
      </c>
      <c r="AH1329" s="15"/>
      <c r="AI1329" s="15"/>
      <c r="AJ1329" s="6"/>
      <c r="AK1329" s="6"/>
    </row>
    <row r="1330" spans="1:37" s="6" customFormat="1">
      <c r="A1330" s="5" t="s">
        <v>5955</v>
      </c>
      <c r="B1330" s="5" t="s">
        <v>5956</v>
      </c>
      <c r="C1330" s="6" t="s">
        <v>5957</v>
      </c>
      <c r="D1330" s="6" t="s">
        <v>2114</v>
      </c>
      <c r="E1330" s="6" t="s">
        <v>1386</v>
      </c>
      <c r="F1330" s="6" t="s">
        <v>46</v>
      </c>
      <c r="G1330" s="6" t="s">
        <v>5958</v>
      </c>
      <c r="H1330" s="7">
        <v>137.28</v>
      </c>
      <c r="I1330" s="19" t="s">
        <v>1589</v>
      </c>
      <c r="J1330" s="19" t="s">
        <v>2001</v>
      </c>
      <c r="K1330" s="6" t="s">
        <v>2148</v>
      </c>
      <c r="L1330" s="6" t="s">
        <v>2149</v>
      </c>
      <c r="M1330" s="6" t="s">
        <v>2150</v>
      </c>
      <c r="N1330" s="6" t="s">
        <v>2151</v>
      </c>
      <c r="O1330" s="6" t="s">
        <v>5959</v>
      </c>
      <c r="P1330" s="6" t="s">
        <v>5960</v>
      </c>
      <c r="Q1330" s="6" t="s">
        <v>5961</v>
      </c>
      <c r="R1330" s="5"/>
      <c r="S1330" s="5"/>
      <c r="T1330" s="5"/>
      <c r="U1330" s="5"/>
      <c r="V1330" s="5"/>
      <c r="W1330" s="20" t="s">
        <v>2010</v>
      </c>
      <c r="X1330" s="20" t="s">
        <v>2011</v>
      </c>
      <c r="Y1330" s="20" t="s">
        <v>2012</v>
      </c>
      <c r="Z1330" s="20" t="s">
        <v>2013</v>
      </c>
      <c r="AA1330" s="5"/>
      <c r="AB1330" s="5"/>
      <c r="AC1330" s="5"/>
      <c r="AD1330" s="5"/>
      <c r="AE1330" s="5"/>
      <c r="AF1330" s="5"/>
      <c r="AG1330" s="14" t="s">
        <v>55</v>
      </c>
      <c r="AH1330" s="14" t="s">
        <v>1603</v>
      </c>
      <c r="AI1330" s="14" t="s">
        <v>124</v>
      </c>
      <c r="AJ1330" s="5"/>
      <c r="AK1330" s="5"/>
    </row>
    <row r="1331" spans="1:37">
      <c r="A1331" s="6" t="s">
        <v>5962</v>
      </c>
      <c r="B1331" s="6" t="s">
        <v>5963</v>
      </c>
      <c r="C1331" s="6" t="s">
        <v>43</v>
      </c>
      <c r="D1331" s="6" t="s">
        <v>2189</v>
      </c>
      <c r="E1331" s="6" t="s">
        <v>1386</v>
      </c>
      <c r="F1331" s="6" t="s">
        <v>46</v>
      </c>
      <c r="G1331" s="6" t="s">
        <v>5964</v>
      </c>
      <c r="I1331" s="19" t="s">
        <v>48</v>
      </c>
      <c r="J1331" s="19" t="s">
        <v>48</v>
      </c>
      <c r="K1331" s="6"/>
      <c r="L1331" s="6"/>
      <c r="M1331" s="6"/>
      <c r="N1331" s="6"/>
      <c r="O1331" s="6"/>
      <c r="P1331" s="6"/>
      <c r="Q1331" s="6"/>
      <c r="R1331" s="6"/>
      <c r="S1331" s="6"/>
      <c r="T1331" s="6"/>
      <c r="U1331" s="6"/>
      <c r="V1331" s="6"/>
      <c r="W1331" s="6"/>
      <c r="X1331" s="6"/>
      <c r="Y1331" s="6"/>
      <c r="Z1331" s="6"/>
      <c r="AA1331" s="6"/>
      <c r="AB1331" s="6"/>
      <c r="AC1331" s="6"/>
      <c r="AD1331" s="6"/>
      <c r="AE1331" s="6"/>
      <c r="AF1331" s="6"/>
      <c r="AG1331" s="15" t="s">
        <v>55</v>
      </c>
      <c r="AH1331" s="15"/>
      <c r="AI1331" s="15"/>
      <c r="AJ1331" s="6"/>
      <c r="AK1331" s="6"/>
    </row>
    <row r="1332" spans="1:37" s="6" customFormat="1">
      <c r="A1332" s="6" t="s">
        <v>5965</v>
      </c>
      <c r="B1332" s="6" t="s">
        <v>5966</v>
      </c>
      <c r="C1332" s="6" t="s">
        <v>43</v>
      </c>
      <c r="D1332" s="6" t="s">
        <v>2189</v>
      </c>
      <c r="E1332" s="6" t="s">
        <v>1386</v>
      </c>
      <c r="F1332" s="6" t="s">
        <v>46</v>
      </c>
      <c r="G1332" s="6" t="s">
        <v>5967</v>
      </c>
      <c r="H1332" s="7"/>
      <c r="I1332" s="19" t="s">
        <v>48</v>
      </c>
      <c r="J1332" s="19" t="s">
        <v>48</v>
      </c>
      <c r="AG1332" s="15" t="s">
        <v>55</v>
      </c>
      <c r="AH1332" s="15"/>
      <c r="AI1332" s="15"/>
    </row>
    <row r="1333" spans="1:37" s="6" customFormat="1">
      <c r="A1333" s="5" t="s">
        <v>5968</v>
      </c>
      <c r="B1333" s="5" t="s">
        <v>5969</v>
      </c>
      <c r="C1333" s="6" t="s">
        <v>5970</v>
      </c>
      <c r="D1333" s="6" t="s">
        <v>1977</v>
      </c>
      <c r="E1333" s="6" t="s">
        <v>1386</v>
      </c>
      <c r="F1333" s="6" t="s">
        <v>46</v>
      </c>
      <c r="G1333" s="6" t="s">
        <v>5971</v>
      </c>
      <c r="H1333" s="7">
        <v>8.75</v>
      </c>
      <c r="I1333" s="19" t="s">
        <v>1589</v>
      </c>
      <c r="J1333" s="19" t="s">
        <v>2001</v>
      </c>
      <c r="K1333" s="20" t="s">
        <v>2002</v>
      </c>
      <c r="L1333" s="20" t="s">
        <v>2003</v>
      </c>
      <c r="M1333" s="20" t="s">
        <v>2004</v>
      </c>
      <c r="N1333" s="20" t="s">
        <v>2005</v>
      </c>
      <c r="O1333" s="20" t="s">
        <v>5972</v>
      </c>
      <c r="P1333" s="20" t="s">
        <v>5973</v>
      </c>
      <c r="Q1333" s="20" t="s">
        <v>5974</v>
      </c>
      <c r="R1333" s="5" t="s">
        <v>5975</v>
      </c>
      <c r="S1333" s="5"/>
      <c r="T1333" s="5"/>
      <c r="U1333" s="5"/>
      <c r="V1333" s="5"/>
      <c r="W1333" s="20" t="s">
        <v>2010</v>
      </c>
      <c r="X1333" s="20" t="s">
        <v>2011</v>
      </c>
      <c r="Y1333" s="20" t="s">
        <v>2012</v>
      </c>
      <c r="Z1333" s="20" t="s">
        <v>2013</v>
      </c>
      <c r="AA1333" s="5"/>
      <c r="AB1333" s="5"/>
      <c r="AC1333" s="5"/>
      <c r="AD1333" s="5"/>
      <c r="AE1333" s="5"/>
      <c r="AF1333" s="5"/>
      <c r="AG1333" s="14" t="s">
        <v>55</v>
      </c>
      <c r="AH1333" s="14" t="s">
        <v>1603</v>
      </c>
      <c r="AI1333" s="14" t="s">
        <v>124</v>
      </c>
      <c r="AJ1333" s="5"/>
      <c r="AK1333" s="5"/>
    </row>
    <row r="1334" spans="1:37">
      <c r="A1334" s="5" t="s">
        <v>5976</v>
      </c>
      <c r="B1334" s="5" t="s">
        <v>5969</v>
      </c>
      <c r="C1334" s="6" t="s">
        <v>1999</v>
      </c>
      <c r="D1334" s="6" t="s">
        <v>1977</v>
      </c>
      <c r="E1334" s="6" t="s">
        <v>2015</v>
      </c>
      <c r="F1334" s="6" t="s">
        <v>46</v>
      </c>
      <c r="G1334" s="6" t="s">
        <v>5656</v>
      </c>
      <c r="H1334" s="7">
        <v>8.75</v>
      </c>
      <c r="I1334" s="19" t="s">
        <v>1589</v>
      </c>
      <c r="J1334" s="19" t="s">
        <v>2001</v>
      </c>
      <c r="K1334" s="20" t="s">
        <v>2002</v>
      </c>
      <c r="L1334" s="20" t="s">
        <v>2003</v>
      </c>
      <c r="M1334" s="20" t="s">
        <v>2004</v>
      </c>
      <c r="N1334" s="20" t="s">
        <v>2005</v>
      </c>
      <c r="O1334" s="20" t="s">
        <v>5972</v>
      </c>
      <c r="P1334" s="20" t="s">
        <v>5973</v>
      </c>
      <c r="Q1334" s="20" t="s">
        <v>5974</v>
      </c>
      <c r="R1334" s="5" t="s">
        <v>5975</v>
      </c>
      <c r="W1334" s="20" t="s">
        <v>2010</v>
      </c>
      <c r="X1334" s="20" t="s">
        <v>2011</v>
      </c>
      <c r="Y1334" s="20" t="s">
        <v>2012</v>
      </c>
      <c r="Z1334" s="20" t="s">
        <v>2013</v>
      </c>
      <c r="AG1334" s="14" t="s">
        <v>55</v>
      </c>
      <c r="AH1334" s="14" t="s">
        <v>1603</v>
      </c>
      <c r="AI1334" s="14" t="s">
        <v>124</v>
      </c>
    </row>
    <row r="1335" spans="1:37">
      <c r="A1335" s="5" t="s">
        <v>5977</v>
      </c>
      <c r="B1335" s="5" t="s">
        <v>5978</v>
      </c>
      <c r="C1335" s="6" t="s">
        <v>43</v>
      </c>
      <c r="D1335" s="6" t="s">
        <v>1977</v>
      </c>
      <c r="E1335" s="6" t="s">
        <v>2015</v>
      </c>
      <c r="F1335" s="6" t="s">
        <v>46</v>
      </c>
      <c r="G1335" s="6" t="s">
        <v>5979</v>
      </c>
      <c r="H1335" s="7">
        <v>11.03</v>
      </c>
      <c r="I1335" s="19" t="s">
        <v>1589</v>
      </c>
      <c r="J1335" s="19" t="s">
        <v>2001</v>
      </c>
      <c r="K1335" s="20" t="s">
        <v>2023</v>
      </c>
      <c r="L1335" s="20" t="s">
        <v>2024</v>
      </c>
      <c r="M1335" s="20" t="s">
        <v>2025</v>
      </c>
      <c r="N1335" s="20" t="s">
        <v>2026</v>
      </c>
      <c r="O1335" s="20" t="s">
        <v>5980</v>
      </c>
      <c r="P1335" s="20" t="s">
        <v>5981</v>
      </c>
      <c r="Q1335" s="20" t="s">
        <v>5982</v>
      </c>
      <c r="R1335" s="5" t="s">
        <v>5983</v>
      </c>
      <c r="W1335" s="20" t="s">
        <v>2010</v>
      </c>
      <c r="X1335" s="20" t="s">
        <v>2011</v>
      </c>
      <c r="Y1335" s="20" t="s">
        <v>2012</v>
      </c>
      <c r="Z1335" s="20" t="s">
        <v>2013</v>
      </c>
      <c r="AG1335" s="14" t="s">
        <v>55</v>
      </c>
      <c r="AH1335" s="14" t="s">
        <v>1603</v>
      </c>
      <c r="AI1335" s="14" t="s">
        <v>124</v>
      </c>
    </row>
    <row r="1336" spans="1:37">
      <c r="A1336" s="5" t="s">
        <v>5984</v>
      </c>
      <c r="B1336" s="5" t="s">
        <v>5985</v>
      </c>
      <c r="C1336" s="6" t="s">
        <v>43</v>
      </c>
      <c r="D1336" s="6" t="s">
        <v>1977</v>
      </c>
      <c r="E1336" s="6" t="s">
        <v>1386</v>
      </c>
      <c r="F1336" s="6" t="s">
        <v>46</v>
      </c>
      <c r="G1336" s="6" t="s">
        <v>5986</v>
      </c>
      <c r="H1336" s="7">
        <v>11.62</v>
      </c>
      <c r="I1336" s="19" t="s">
        <v>1589</v>
      </c>
      <c r="J1336" s="19" t="s">
        <v>2001</v>
      </c>
      <c r="K1336" s="20" t="s">
        <v>2036</v>
      </c>
      <c r="L1336" s="20" t="s">
        <v>2037</v>
      </c>
      <c r="M1336" s="20" t="s">
        <v>2038</v>
      </c>
      <c r="N1336" s="20" t="s">
        <v>2039</v>
      </c>
      <c r="O1336" s="20" t="s">
        <v>5987</v>
      </c>
      <c r="P1336" s="20" t="s">
        <v>5988</v>
      </c>
      <c r="Q1336" s="20" t="s">
        <v>5989</v>
      </c>
      <c r="R1336" s="5" t="s">
        <v>5990</v>
      </c>
      <c r="W1336" s="20" t="s">
        <v>2010</v>
      </c>
      <c r="X1336" s="20" t="s">
        <v>2011</v>
      </c>
      <c r="Y1336" s="20" t="s">
        <v>2012</v>
      </c>
      <c r="Z1336" s="20" t="s">
        <v>2013</v>
      </c>
      <c r="AG1336" s="14" t="s">
        <v>55</v>
      </c>
      <c r="AH1336" s="14" t="s">
        <v>1603</v>
      </c>
      <c r="AI1336" s="14" t="s">
        <v>124</v>
      </c>
    </row>
    <row r="1337" spans="1:37">
      <c r="A1337" s="5" t="s">
        <v>5991</v>
      </c>
      <c r="B1337" s="5" t="s">
        <v>5985</v>
      </c>
      <c r="C1337" s="6" t="s">
        <v>43</v>
      </c>
      <c r="D1337" s="6" t="s">
        <v>1977</v>
      </c>
      <c r="E1337" s="6" t="s">
        <v>2015</v>
      </c>
      <c r="F1337" s="6" t="s">
        <v>46</v>
      </c>
      <c r="G1337" s="6" t="s">
        <v>5720</v>
      </c>
      <c r="H1337" s="7">
        <v>11.62</v>
      </c>
      <c r="I1337" s="19" t="s">
        <v>1589</v>
      </c>
      <c r="J1337" s="19" t="s">
        <v>2001</v>
      </c>
      <c r="K1337" s="20" t="s">
        <v>2036</v>
      </c>
      <c r="L1337" s="20" t="s">
        <v>2037</v>
      </c>
      <c r="M1337" s="20" t="s">
        <v>2038</v>
      </c>
      <c r="N1337" s="20" t="s">
        <v>2039</v>
      </c>
      <c r="O1337" s="20" t="s">
        <v>5987</v>
      </c>
      <c r="P1337" s="20" t="s">
        <v>5988</v>
      </c>
      <c r="Q1337" s="20" t="s">
        <v>5989</v>
      </c>
      <c r="R1337" s="5" t="s">
        <v>5990</v>
      </c>
      <c r="W1337" s="20" t="s">
        <v>2010</v>
      </c>
      <c r="X1337" s="20" t="s">
        <v>2011</v>
      </c>
      <c r="Y1337" s="20" t="s">
        <v>2012</v>
      </c>
      <c r="Z1337" s="20" t="s">
        <v>2013</v>
      </c>
      <c r="AG1337" s="14" t="s">
        <v>55</v>
      </c>
      <c r="AH1337" s="14" t="s">
        <v>1603</v>
      </c>
      <c r="AI1337" s="14" t="s">
        <v>124</v>
      </c>
    </row>
    <row r="1338" spans="1:37">
      <c r="A1338" s="5" t="s">
        <v>5992</v>
      </c>
      <c r="B1338" s="5" t="s">
        <v>5993</v>
      </c>
      <c r="C1338" s="6" t="s">
        <v>43</v>
      </c>
      <c r="D1338" s="6" t="s">
        <v>2114</v>
      </c>
      <c r="E1338" s="6" t="s">
        <v>1386</v>
      </c>
      <c r="F1338" s="6" t="s">
        <v>46</v>
      </c>
      <c r="G1338" s="6" t="s">
        <v>5994</v>
      </c>
      <c r="H1338" s="7">
        <v>9.98</v>
      </c>
      <c r="I1338" s="19" t="s">
        <v>1589</v>
      </c>
      <c r="J1338" s="19" t="s">
        <v>2001</v>
      </c>
      <c r="K1338" s="5" t="s">
        <v>2116</v>
      </c>
      <c r="L1338" s="5" t="s">
        <v>2117</v>
      </c>
      <c r="M1338" s="5" t="s">
        <v>2118</v>
      </c>
      <c r="N1338" s="5" t="s">
        <v>2119</v>
      </c>
      <c r="O1338" s="5" t="s">
        <v>5995</v>
      </c>
      <c r="P1338" s="5" t="s">
        <v>5996</v>
      </c>
      <c r="Q1338" s="5" t="s">
        <v>5997</v>
      </c>
      <c r="R1338" s="5"/>
      <c r="W1338" s="5" t="s">
        <v>2123</v>
      </c>
      <c r="X1338" s="5" t="s">
        <v>2011</v>
      </c>
      <c r="Y1338" s="5" t="s">
        <v>2012</v>
      </c>
      <c r="Z1338" s="5" t="s">
        <v>2013</v>
      </c>
      <c r="AG1338" s="14" t="s">
        <v>55</v>
      </c>
      <c r="AH1338" s="14" t="s">
        <v>1603</v>
      </c>
      <c r="AI1338" s="14" t="s">
        <v>124</v>
      </c>
    </row>
    <row r="1339" spans="1:37">
      <c r="A1339" s="5" t="s">
        <v>5998</v>
      </c>
      <c r="B1339" s="5" t="s">
        <v>5999</v>
      </c>
      <c r="C1339" s="6" t="s">
        <v>43</v>
      </c>
      <c r="D1339" s="6" t="s">
        <v>2114</v>
      </c>
      <c r="E1339" s="6" t="s">
        <v>2015</v>
      </c>
      <c r="F1339" s="6" t="s">
        <v>46</v>
      </c>
      <c r="G1339" s="6" t="s">
        <v>6000</v>
      </c>
      <c r="H1339" s="7">
        <v>9.98</v>
      </c>
      <c r="I1339" s="19" t="s">
        <v>1589</v>
      </c>
      <c r="J1339" s="19" t="s">
        <v>2001</v>
      </c>
      <c r="K1339" s="5" t="s">
        <v>2116</v>
      </c>
      <c r="L1339" s="5" t="s">
        <v>2117</v>
      </c>
      <c r="M1339" s="5" t="s">
        <v>2118</v>
      </c>
      <c r="N1339" s="5" t="s">
        <v>2119</v>
      </c>
      <c r="O1339" s="5" t="s">
        <v>5995</v>
      </c>
      <c r="P1339" s="5" t="s">
        <v>5996</v>
      </c>
      <c r="Q1339" s="5" t="s">
        <v>6001</v>
      </c>
      <c r="R1339" s="5"/>
      <c r="W1339" s="5" t="s">
        <v>2123</v>
      </c>
      <c r="X1339" s="5" t="s">
        <v>2011</v>
      </c>
      <c r="Y1339" s="5" t="s">
        <v>2012</v>
      </c>
      <c r="Z1339" s="5" t="s">
        <v>2013</v>
      </c>
      <c r="AG1339" s="14" t="s">
        <v>55</v>
      </c>
      <c r="AH1339" s="14" t="s">
        <v>1603</v>
      </c>
      <c r="AI1339" s="14" t="s">
        <v>124</v>
      </c>
    </row>
    <row r="1340" spans="1:37">
      <c r="A1340" s="5" t="s">
        <v>6002</v>
      </c>
      <c r="B1340" s="5" t="s">
        <v>6003</v>
      </c>
      <c r="C1340" s="6" t="s">
        <v>43</v>
      </c>
      <c r="D1340" s="6" t="s">
        <v>2114</v>
      </c>
      <c r="E1340" s="6" t="s">
        <v>2015</v>
      </c>
      <c r="F1340" s="6" t="s">
        <v>46</v>
      </c>
      <c r="G1340" s="6" t="s">
        <v>6004</v>
      </c>
      <c r="H1340" s="7">
        <v>13</v>
      </c>
      <c r="I1340" s="19" t="s">
        <v>1589</v>
      </c>
      <c r="J1340" s="19" t="s">
        <v>2001</v>
      </c>
      <c r="K1340" s="5" t="s">
        <v>2131</v>
      </c>
      <c r="L1340" s="5" t="s">
        <v>2132</v>
      </c>
      <c r="M1340" s="5" t="s">
        <v>2133</v>
      </c>
      <c r="N1340" s="5" t="s">
        <v>2134</v>
      </c>
      <c r="O1340" s="5" t="s">
        <v>6005</v>
      </c>
      <c r="P1340" s="5" t="s">
        <v>6006</v>
      </c>
      <c r="Q1340" s="5" t="s">
        <v>6007</v>
      </c>
      <c r="R1340" s="5"/>
      <c r="W1340" s="5" t="s">
        <v>2123</v>
      </c>
      <c r="X1340" s="5" t="s">
        <v>2011</v>
      </c>
      <c r="Y1340" s="5" t="s">
        <v>2012</v>
      </c>
      <c r="Z1340" s="5" t="s">
        <v>2013</v>
      </c>
      <c r="AG1340" s="14" t="s">
        <v>55</v>
      </c>
      <c r="AH1340" s="14" t="s">
        <v>1603</v>
      </c>
      <c r="AI1340" s="14" t="s">
        <v>124</v>
      </c>
    </row>
    <row r="1341" spans="1:37">
      <c r="A1341" s="5" t="s">
        <v>6008</v>
      </c>
      <c r="B1341" s="5" t="s">
        <v>6003</v>
      </c>
      <c r="C1341" s="6" t="s">
        <v>43</v>
      </c>
      <c r="D1341" s="6" t="s">
        <v>2114</v>
      </c>
      <c r="E1341" s="6" t="s">
        <v>1386</v>
      </c>
      <c r="F1341" s="6" t="s">
        <v>46</v>
      </c>
      <c r="G1341" s="6" t="s">
        <v>6009</v>
      </c>
      <c r="H1341" s="7">
        <v>13</v>
      </c>
      <c r="I1341" s="19" t="s">
        <v>1589</v>
      </c>
      <c r="J1341" s="19" t="s">
        <v>2001</v>
      </c>
      <c r="K1341" s="5" t="s">
        <v>2131</v>
      </c>
      <c r="L1341" s="5" t="s">
        <v>2132</v>
      </c>
      <c r="M1341" s="5" t="s">
        <v>2133</v>
      </c>
      <c r="N1341" s="5" t="s">
        <v>2134</v>
      </c>
      <c r="O1341" s="5" t="s">
        <v>6005</v>
      </c>
      <c r="P1341" s="5" t="s">
        <v>6006</v>
      </c>
      <c r="Q1341" s="5" t="s">
        <v>6007</v>
      </c>
      <c r="R1341" s="5"/>
      <c r="W1341" s="5" t="s">
        <v>2123</v>
      </c>
      <c r="X1341" s="5" t="s">
        <v>2011</v>
      </c>
      <c r="Y1341" s="5" t="s">
        <v>2012</v>
      </c>
      <c r="Z1341" s="5" t="s">
        <v>2013</v>
      </c>
      <c r="AG1341" s="14" t="s">
        <v>55</v>
      </c>
      <c r="AH1341" s="14" t="s">
        <v>1603</v>
      </c>
      <c r="AI1341" s="14" t="s">
        <v>124</v>
      </c>
    </row>
    <row r="1342" spans="1:37">
      <c r="A1342" s="5" t="s">
        <v>6010</v>
      </c>
      <c r="B1342" s="5" t="s">
        <v>6011</v>
      </c>
      <c r="C1342" s="6" t="s">
        <v>43</v>
      </c>
      <c r="D1342" s="6" t="s">
        <v>2114</v>
      </c>
      <c r="E1342" s="6" t="s">
        <v>1386</v>
      </c>
      <c r="F1342" s="6" t="s">
        <v>46</v>
      </c>
      <c r="G1342" s="6" t="s">
        <v>6012</v>
      </c>
      <c r="H1342" s="7">
        <v>16.34</v>
      </c>
      <c r="I1342" s="19" t="s">
        <v>1589</v>
      </c>
      <c r="J1342" s="19" t="s">
        <v>2162</v>
      </c>
      <c r="K1342" s="5" t="s">
        <v>2163</v>
      </c>
      <c r="L1342" s="5" t="s">
        <v>2164</v>
      </c>
      <c r="M1342" s="5" t="s">
        <v>2165</v>
      </c>
      <c r="N1342" s="5" t="s">
        <v>2166</v>
      </c>
      <c r="O1342" s="5" t="s">
        <v>6013</v>
      </c>
      <c r="P1342" s="5" t="s">
        <v>6014</v>
      </c>
      <c r="Q1342" s="5" t="s">
        <v>6015</v>
      </c>
      <c r="R1342" s="5"/>
      <c r="W1342" s="5" t="s">
        <v>2170</v>
      </c>
      <c r="X1342" s="5" t="s">
        <v>2171</v>
      </c>
      <c r="Y1342" s="5" t="s">
        <v>2172</v>
      </c>
      <c r="Z1342" s="5" t="s">
        <v>2173</v>
      </c>
      <c r="AG1342" s="14" t="s">
        <v>55</v>
      </c>
      <c r="AH1342" s="14" t="s">
        <v>1603</v>
      </c>
      <c r="AI1342" s="14" t="s">
        <v>124</v>
      </c>
    </row>
    <row r="1343" spans="1:37">
      <c r="A1343" s="5" t="s">
        <v>6016</v>
      </c>
      <c r="B1343" s="5" t="s">
        <v>6017</v>
      </c>
      <c r="C1343" s="6" t="s">
        <v>6018</v>
      </c>
      <c r="D1343" s="6" t="s">
        <v>2189</v>
      </c>
      <c r="E1343" s="6" t="s">
        <v>1386</v>
      </c>
      <c r="F1343" s="6" t="s">
        <v>46</v>
      </c>
      <c r="G1343" s="6" t="s">
        <v>6019</v>
      </c>
      <c r="H1343" s="7">
        <v>12.79</v>
      </c>
      <c r="I1343" s="19" t="s">
        <v>1589</v>
      </c>
      <c r="J1343" s="19" t="s">
        <v>2191</v>
      </c>
      <c r="K1343" s="5" t="s">
        <v>2192</v>
      </c>
      <c r="L1343" s="5" t="s">
        <v>2193</v>
      </c>
      <c r="M1343" s="5" t="s">
        <v>2194</v>
      </c>
      <c r="N1343" s="5" t="s">
        <v>2195</v>
      </c>
      <c r="O1343" s="5" t="s">
        <v>6020</v>
      </c>
      <c r="P1343" s="5" t="s">
        <v>6021</v>
      </c>
      <c r="Q1343" s="5" t="s">
        <v>6022</v>
      </c>
      <c r="R1343" s="5"/>
      <c r="Y1343" s="5" t="s">
        <v>2086</v>
      </c>
      <c r="AG1343" s="14" t="s">
        <v>55</v>
      </c>
      <c r="AH1343" s="14" t="s">
        <v>1603</v>
      </c>
      <c r="AI1343" s="14" t="s">
        <v>2087</v>
      </c>
    </row>
    <row r="1344" spans="1:37">
      <c r="A1344" s="5" t="s">
        <v>6023</v>
      </c>
      <c r="B1344" s="5" t="s">
        <v>6017</v>
      </c>
      <c r="C1344" s="6" t="s">
        <v>43</v>
      </c>
      <c r="D1344" s="6" t="s">
        <v>2189</v>
      </c>
      <c r="E1344" s="6" t="s">
        <v>2015</v>
      </c>
      <c r="F1344" s="6" t="s">
        <v>46</v>
      </c>
      <c r="G1344" s="6" t="s">
        <v>6024</v>
      </c>
      <c r="H1344" s="7">
        <v>12.79</v>
      </c>
      <c r="I1344" s="19" t="s">
        <v>1589</v>
      </c>
      <c r="J1344" s="19" t="s">
        <v>2191</v>
      </c>
      <c r="K1344" s="5" t="s">
        <v>2192</v>
      </c>
      <c r="L1344" s="5" t="s">
        <v>2193</v>
      </c>
      <c r="M1344" s="5" t="s">
        <v>2194</v>
      </c>
      <c r="N1344" s="5" t="s">
        <v>2195</v>
      </c>
      <c r="O1344" s="5" t="s">
        <v>6020</v>
      </c>
      <c r="P1344" s="5" t="s">
        <v>6021</v>
      </c>
      <c r="Q1344" s="5" t="s">
        <v>6022</v>
      </c>
      <c r="R1344" s="5"/>
      <c r="Y1344" s="5" t="s">
        <v>2086</v>
      </c>
      <c r="AG1344" s="14" t="s">
        <v>55</v>
      </c>
      <c r="AH1344" s="14" t="s">
        <v>1603</v>
      </c>
      <c r="AI1344" s="14" t="s">
        <v>2087</v>
      </c>
    </row>
    <row r="1345" spans="1:37">
      <c r="A1345" s="5" t="s">
        <v>6025</v>
      </c>
      <c r="B1345" s="5" t="s">
        <v>6026</v>
      </c>
      <c r="C1345" s="6" t="s">
        <v>43</v>
      </c>
      <c r="D1345" s="6" t="s">
        <v>239</v>
      </c>
      <c r="E1345" s="6" t="s">
        <v>1540</v>
      </c>
      <c r="F1345" s="6" t="s">
        <v>46</v>
      </c>
      <c r="G1345" s="6" t="s">
        <v>6027</v>
      </c>
      <c r="H1345" s="7">
        <v>18.22</v>
      </c>
      <c r="I1345" s="19" t="s">
        <v>1589</v>
      </c>
      <c r="J1345" s="19" t="s">
        <v>2254</v>
      </c>
      <c r="K1345" s="5" t="s">
        <v>2255</v>
      </c>
      <c r="L1345" s="5" t="s">
        <v>2256</v>
      </c>
      <c r="M1345" s="5" t="s">
        <v>2257</v>
      </c>
      <c r="N1345" s="5" t="s">
        <v>2258</v>
      </c>
      <c r="O1345" s="5" t="s">
        <v>6028</v>
      </c>
      <c r="P1345" s="5" t="s">
        <v>6029</v>
      </c>
      <c r="Q1345" s="5" t="s">
        <v>6030</v>
      </c>
      <c r="R1345" s="5" t="s">
        <v>6031</v>
      </c>
      <c r="Y1345" s="5" t="s">
        <v>2263</v>
      </c>
      <c r="AG1345" s="14" t="s">
        <v>55</v>
      </c>
      <c r="AH1345" s="14" t="s">
        <v>1603</v>
      </c>
      <c r="AI1345" s="14" t="s">
        <v>2264</v>
      </c>
    </row>
    <row r="1346" spans="1:37">
      <c r="A1346" s="5" t="s">
        <v>6032</v>
      </c>
      <c r="B1346" s="5" t="s">
        <v>6033</v>
      </c>
      <c r="C1346" s="6" t="s">
        <v>43</v>
      </c>
      <c r="D1346" s="6" t="s">
        <v>239</v>
      </c>
      <c r="E1346" s="6" t="s">
        <v>1540</v>
      </c>
      <c r="F1346" s="6" t="s">
        <v>46</v>
      </c>
      <c r="G1346" s="6" t="s">
        <v>5691</v>
      </c>
      <c r="H1346" s="7">
        <v>19.02</v>
      </c>
      <c r="I1346" s="19" t="s">
        <v>1589</v>
      </c>
      <c r="J1346" s="19" t="s">
        <v>2254</v>
      </c>
      <c r="K1346" s="5" t="s">
        <v>2271</v>
      </c>
      <c r="L1346" s="5" t="s">
        <v>2272</v>
      </c>
      <c r="M1346" s="5" t="s">
        <v>2273</v>
      </c>
      <c r="N1346" s="5" t="s">
        <v>2274</v>
      </c>
      <c r="O1346" s="5" t="s">
        <v>6034</v>
      </c>
      <c r="P1346" s="5" t="s">
        <v>6035</v>
      </c>
      <c r="Q1346" s="5" t="s">
        <v>6036</v>
      </c>
      <c r="R1346" s="5" t="s">
        <v>6037</v>
      </c>
      <c r="Y1346" s="5" t="s">
        <v>2263</v>
      </c>
      <c r="AG1346" s="14" t="s">
        <v>55</v>
      </c>
      <c r="AH1346" s="14" t="s">
        <v>1603</v>
      </c>
      <c r="AI1346" s="14" t="s">
        <v>2264</v>
      </c>
    </row>
    <row r="1347" spans="1:37">
      <c r="A1347" s="5" t="s">
        <v>6038</v>
      </c>
      <c r="B1347" s="5" t="s">
        <v>6039</v>
      </c>
      <c r="C1347" s="6" t="s">
        <v>43</v>
      </c>
      <c r="D1347" s="6" t="s">
        <v>1645</v>
      </c>
      <c r="E1347" s="6" t="s">
        <v>1386</v>
      </c>
      <c r="F1347" s="6" t="s">
        <v>46</v>
      </c>
      <c r="G1347" s="6" t="s">
        <v>1170</v>
      </c>
      <c r="H1347" s="7">
        <v>24.26</v>
      </c>
      <c r="I1347" s="19" t="s">
        <v>2283</v>
      </c>
      <c r="J1347" s="19" t="s">
        <v>2512</v>
      </c>
      <c r="K1347" s="6" t="s">
        <v>6040</v>
      </c>
      <c r="L1347" s="6" t="s">
        <v>6041</v>
      </c>
      <c r="M1347" s="6" t="s">
        <v>6042</v>
      </c>
      <c r="N1347" s="6" t="s">
        <v>6043</v>
      </c>
      <c r="O1347" s="6" t="s">
        <v>6044</v>
      </c>
      <c r="P1347" s="6" t="s">
        <v>6045</v>
      </c>
      <c r="Q1347" s="6" t="s">
        <v>6046</v>
      </c>
      <c r="R1347" s="6" t="s">
        <v>6047</v>
      </c>
      <c r="AG1347" s="14" t="s">
        <v>55</v>
      </c>
      <c r="AH1347" s="14" t="s">
        <v>1603</v>
      </c>
      <c r="AI1347" s="14" t="s">
        <v>1603</v>
      </c>
    </row>
    <row r="1348" spans="1:37">
      <c r="A1348" s="5" t="s">
        <v>6048</v>
      </c>
      <c r="B1348" s="5" t="s">
        <v>6049</v>
      </c>
      <c r="C1348" s="6" t="s">
        <v>43</v>
      </c>
      <c r="D1348" s="6" t="s">
        <v>1390</v>
      </c>
      <c r="E1348" s="6" t="s">
        <v>1386</v>
      </c>
      <c r="F1348" s="6" t="s">
        <v>46</v>
      </c>
      <c r="G1348" s="6" t="s">
        <v>6050</v>
      </c>
      <c r="H1348" s="7">
        <v>9.89</v>
      </c>
      <c r="I1348" s="19" t="s">
        <v>1589</v>
      </c>
      <c r="J1348" s="19" t="s">
        <v>2650</v>
      </c>
      <c r="K1348" s="20" t="s">
        <v>2651</v>
      </c>
      <c r="L1348" s="20" t="s">
        <v>2652</v>
      </c>
      <c r="M1348" s="20" t="s">
        <v>2653</v>
      </c>
      <c r="N1348" s="20" t="s">
        <v>2654</v>
      </c>
      <c r="O1348" s="20" t="s">
        <v>6051</v>
      </c>
      <c r="P1348" s="20" t="s">
        <v>6052</v>
      </c>
      <c r="Q1348" s="20" t="s">
        <v>6053</v>
      </c>
      <c r="R1348" s="5" t="s">
        <v>6054</v>
      </c>
      <c r="W1348" s="20" t="s">
        <v>2010</v>
      </c>
      <c r="X1348" s="20" t="s">
        <v>2011</v>
      </c>
      <c r="Y1348" s="20" t="s">
        <v>2012</v>
      </c>
      <c r="Z1348" s="20" t="s">
        <v>2013</v>
      </c>
      <c r="AG1348" s="14" t="s">
        <v>55</v>
      </c>
      <c r="AH1348" s="14" t="s">
        <v>1603</v>
      </c>
      <c r="AI1348" s="14" t="s">
        <v>124</v>
      </c>
    </row>
    <row r="1349" spans="1:37">
      <c r="A1349" s="5" t="s">
        <v>6055</v>
      </c>
      <c r="B1349" s="5" t="s">
        <v>6056</v>
      </c>
      <c r="C1349" s="6" t="s">
        <v>43</v>
      </c>
      <c r="D1349" s="6" t="s">
        <v>1390</v>
      </c>
      <c r="E1349" s="6" t="s">
        <v>1386</v>
      </c>
      <c r="F1349" s="6" t="s">
        <v>46</v>
      </c>
      <c r="G1349" s="6" t="s">
        <v>6057</v>
      </c>
      <c r="H1349" s="7">
        <v>12.95</v>
      </c>
      <c r="I1349" s="19" t="s">
        <v>1589</v>
      </c>
      <c r="J1349" s="19" t="s">
        <v>2650</v>
      </c>
      <c r="K1349" s="20" t="s">
        <v>2662</v>
      </c>
      <c r="L1349" s="20" t="s">
        <v>2663</v>
      </c>
      <c r="M1349" s="20" t="s">
        <v>2664</v>
      </c>
      <c r="N1349" s="20" t="s">
        <v>2665</v>
      </c>
      <c r="O1349" s="20" t="s">
        <v>6058</v>
      </c>
      <c r="P1349" s="20" t="s">
        <v>6059</v>
      </c>
      <c r="Q1349" s="20" t="s">
        <v>6060</v>
      </c>
      <c r="R1349" s="5" t="s">
        <v>6061</v>
      </c>
      <c r="W1349" s="20" t="s">
        <v>2010</v>
      </c>
      <c r="X1349" s="20" t="s">
        <v>2011</v>
      </c>
      <c r="Y1349" s="20" t="s">
        <v>2012</v>
      </c>
      <c r="Z1349" s="20" t="s">
        <v>2013</v>
      </c>
      <c r="AG1349" s="14" t="s">
        <v>55</v>
      </c>
      <c r="AH1349" s="14" t="s">
        <v>1603</v>
      </c>
      <c r="AI1349" s="14" t="s">
        <v>124</v>
      </c>
    </row>
    <row r="1350" spans="1:37">
      <c r="A1350" s="5" t="s">
        <v>6062</v>
      </c>
      <c r="B1350" s="5" t="s">
        <v>6063</v>
      </c>
      <c r="C1350" s="6" t="s">
        <v>43</v>
      </c>
      <c r="D1350" s="6" t="s">
        <v>1390</v>
      </c>
      <c r="E1350" s="6" t="s">
        <v>1386</v>
      </c>
      <c r="F1350" s="6" t="s">
        <v>46</v>
      </c>
      <c r="G1350" s="6" t="s">
        <v>6064</v>
      </c>
      <c r="H1350" s="7">
        <v>12.44</v>
      </c>
      <c r="I1350" s="19" t="s">
        <v>1589</v>
      </c>
      <c r="J1350" s="19" t="s">
        <v>2650</v>
      </c>
      <c r="K1350" s="5" t="s">
        <v>2674</v>
      </c>
      <c r="L1350" s="5" t="s">
        <v>2675</v>
      </c>
      <c r="M1350" s="5" t="s">
        <v>2676</v>
      </c>
      <c r="N1350" s="5" t="s">
        <v>2677</v>
      </c>
      <c r="O1350" s="5" t="s">
        <v>6065</v>
      </c>
      <c r="P1350" s="5" t="s">
        <v>6066</v>
      </c>
      <c r="Q1350" s="5" t="s">
        <v>6067</v>
      </c>
      <c r="R1350" s="5" t="s">
        <v>6068</v>
      </c>
      <c r="AG1350" s="14" t="s">
        <v>55</v>
      </c>
      <c r="AH1350" s="14" t="s">
        <v>1603</v>
      </c>
      <c r="AI1350" s="14" t="s">
        <v>2087</v>
      </c>
    </row>
    <row r="1351" spans="1:37">
      <c r="A1351" s="5" t="s">
        <v>6069</v>
      </c>
      <c r="B1351" s="5" t="s">
        <v>6070</v>
      </c>
      <c r="C1351" s="6" t="s">
        <v>43</v>
      </c>
      <c r="D1351" s="6" t="s">
        <v>1390</v>
      </c>
      <c r="E1351" s="6" t="s">
        <v>1386</v>
      </c>
      <c r="F1351" s="6" t="s">
        <v>46</v>
      </c>
      <c r="G1351" s="6" t="s">
        <v>6071</v>
      </c>
      <c r="H1351" s="7">
        <v>15.13</v>
      </c>
      <c r="I1351" s="19" t="s">
        <v>1589</v>
      </c>
      <c r="J1351" s="19" t="s">
        <v>2650</v>
      </c>
      <c r="K1351" s="5" t="s">
        <v>2685</v>
      </c>
      <c r="L1351" s="5" t="s">
        <v>2686</v>
      </c>
      <c r="M1351" s="5" t="s">
        <v>2687</v>
      </c>
      <c r="N1351" s="5" t="s">
        <v>2688</v>
      </c>
      <c r="O1351" s="5" t="s">
        <v>6072</v>
      </c>
      <c r="P1351" s="5" t="s">
        <v>6073</v>
      </c>
      <c r="Q1351" s="5" t="s">
        <v>6074</v>
      </c>
      <c r="R1351" s="5" t="s">
        <v>6075</v>
      </c>
      <c r="AG1351" s="14" t="s">
        <v>55</v>
      </c>
      <c r="AH1351" s="14" t="s">
        <v>1603</v>
      </c>
      <c r="AI1351" s="14" t="s">
        <v>2087</v>
      </c>
    </row>
    <row r="1352" spans="1:37">
      <c r="A1352" s="6" t="s">
        <v>6076</v>
      </c>
      <c r="B1352" s="6" t="s">
        <v>6077</v>
      </c>
      <c r="C1352" s="6" t="s">
        <v>43</v>
      </c>
      <c r="D1352" s="6" t="s">
        <v>239</v>
      </c>
      <c r="E1352" s="6" t="s">
        <v>1540</v>
      </c>
      <c r="F1352" s="6" t="s">
        <v>46</v>
      </c>
      <c r="G1352" s="6" t="s">
        <v>6078</v>
      </c>
      <c r="I1352" s="6" t="s">
        <v>48</v>
      </c>
      <c r="J1352" s="6" t="s">
        <v>48</v>
      </c>
      <c r="K1352" s="6"/>
      <c r="L1352" s="6"/>
      <c r="M1352" s="6"/>
      <c r="N1352" s="6"/>
      <c r="O1352" s="6"/>
      <c r="P1352" s="6"/>
      <c r="Q1352" s="6"/>
      <c r="R1352" s="6"/>
      <c r="S1352" s="6"/>
      <c r="T1352" s="6"/>
      <c r="U1352" s="6"/>
      <c r="V1352" s="6"/>
      <c r="W1352" s="6"/>
      <c r="X1352" s="6"/>
      <c r="Y1352" s="6"/>
      <c r="Z1352" s="6"/>
      <c r="AA1352" s="6"/>
      <c r="AB1352" s="6"/>
      <c r="AC1352" s="6"/>
      <c r="AD1352" s="6"/>
      <c r="AE1352" s="6"/>
      <c r="AF1352" s="6"/>
      <c r="AG1352" s="15" t="s">
        <v>55</v>
      </c>
      <c r="AH1352" s="15"/>
      <c r="AI1352" s="15"/>
      <c r="AJ1352" s="6"/>
      <c r="AK1352" s="6"/>
    </row>
    <row r="1353" spans="1:37" s="6" customFormat="1">
      <c r="A1353" s="5" t="s">
        <v>6079</v>
      </c>
      <c r="B1353" s="5" t="s">
        <v>6080</v>
      </c>
      <c r="C1353" s="6" t="s">
        <v>43</v>
      </c>
      <c r="D1353" s="6" t="s">
        <v>239</v>
      </c>
      <c r="E1353" s="6" t="s">
        <v>1386</v>
      </c>
      <c r="F1353" s="6" t="s">
        <v>46</v>
      </c>
      <c r="G1353" s="6" t="s">
        <v>5132</v>
      </c>
      <c r="H1353" s="7">
        <v>7.09</v>
      </c>
      <c r="I1353" s="19" t="s">
        <v>1589</v>
      </c>
      <c r="J1353" s="19" t="s">
        <v>2696</v>
      </c>
      <c r="K1353" s="5" t="s">
        <v>2733</v>
      </c>
      <c r="L1353" s="5" t="s">
        <v>2734</v>
      </c>
      <c r="M1353" s="5" t="s">
        <v>2735</v>
      </c>
      <c r="N1353" s="5" t="s">
        <v>2736</v>
      </c>
      <c r="O1353" s="5" t="s">
        <v>6081</v>
      </c>
      <c r="P1353" s="5" t="s">
        <v>6082</v>
      </c>
      <c r="Q1353" s="5" t="s">
        <v>6083</v>
      </c>
      <c r="R1353" s="5" t="s">
        <v>6084</v>
      </c>
      <c r="S1353" s="5"/>
      <c r="T1353" s="5"/>
      <c r="U1353" s="5"/>
      <c r="V1353" s="5"/>
      <c r="W1353" s="5"/>
      <c r="X1353" s="5"/>
      <c r="Y1353" s="5"/>
      <c r="Z1353" s="5"/>
      <c r="AA1353" s="5"/>
      <c r="AB1353" s="5"/>
      <c r="AC1353" s="5"/>
      <c r="AD1353" s="5"/>
      <c r="AE1353" s="5"/>
      <c r="AF1353" s="5"/>
      <c r="AG1353" s="14" t="s">
        <v>55</v>
      </c>
      <c r="AH1353" s="14" t="s">
        <v>1603</v>
      </c>
      <c r="AI1353" s="14" t="s">
        <v>1604</v>
      </c>
      <c r="AJ1353" s="5"/>
      <c r="AK1353" s="5"/>
    </row>
    <row r="1354" spans="1:37">
      <c r="A1354" s="5" t="s">
        <v>6085</v>
      </c>
      <c r="B1354" s="5" t="s">
        <v>6080</v>
      </c>
      <c r="C1354" s="6" t="s">
        <v>43</v>
      </c>
      <c r="D1354" s="6" t="s">
        <v>239</v>
      </c>
      <c r="E1354" s="6" t="s">
        <v>2047</v>
      </c>
      <c r="F1354" s="6" t="s">
        <v>46</v>
      </c>
      <c r="G1354" s="6" t="s">
        <v>6086</v>
      </c>
      <c r="H1354" s="7">
        <v>7.09</v>
      </c>
      <c r="I1354" s="19" t="s">
        <v>1589</v>
      </c>
      <c r="J1354" s="19" t="s">
        <v>2696</v>
      </c>
      <c r="K1354" s="5" t="s">
        <v>2733</v>
      </c>
      <c r="L1354" s="5" t="s">
        <v>2734</v>
      </c>
      <c r="M1354" s="5" t="s">
        <v>2735</v>
      </c>
      <c r="N1354" s="5" t="s">
        <v>2736</v>
      </c>
      <c r="O1354" s="5" t="s">
        <v>6081</v>
      </c>
      <c r="P1354" s="5" t="s">
        <v>6082</v>
      </c>
      <c r="Q1354" s="5" t="s">
        <v>6083</v>
      </c>
      <c r="R1354" s="5" t="s">
        <v>6084</v>
      </c>
      <c r="AG1354" s="14" t="s">
        <v>55</v>
      </c>
      <c r="AH1354" s="14" t="s">
        <v>1603</v>
      </c>
      <c r="AI1354" s="14" t="s">
        <v>1604</v>
      </c>
    </row>
    <row r="1355" spans="1:37">
      <c r="A1355" s="5" t="s">
        <v>6087</v>
      </c>
      <c r="B1355" s="5" t="s">
        <v>6088</v>
      </c>
      <c r="C1355" s="6" t="s">
        <v>43</v>
      </c>
      <c r="D1355" s="6" t="s">
        <v>239</v>
      </c>
      <c r="E1355" s="6" t="s">
        <v>1386</v>
      </c>
      <c r="F1355" s="6" t="s">
        <v>46</v>
      </c>
      <c r="G1355" s="6" t="s">
        <v>6089</v>
      </c>
      <c r="H1355" s="7">
        <v>8.9</v>
      </c>
      <c r="I1355" s="19" t="s">
        <v>1589</v>
      </c>
      <c r="J1355" s="19" t="s">
        <v>2696</v>
      </c>
      <c r="K1355" s="5" t="s">
        <v>2757</v>
      </c>
      <c r="L1355" s="5" t="s">
        <v>2758</v>
      </c>
      <c r="M1355" s="5" t="s">
        <v>2759</v>
      </c>
      <c r="N1355" s="5" t="s">
        <v>2760</v>
      </c>
      <c r="O1355" s="5" t="s">
        <v>6090</v>
      </c>
      <c r="P1355" s="5" t="s">
        <v>6091</v>
      </c>
      <c r="Q1355" s="5" t="s">
        <v>6092</v>
      </c>
      <c r="R1355" s="5" t="s">
        <v>6093</v>
      </c>
      <c r="AG1355" s="14" t="s">
        <v>55</v>
      </c>
      <c r="AH1355" s="14" t="s">
        <v>1603</v>
      </c>
      <c r="AI1355" s="14" t="s">
        <v>1604</v>
      </c>
    </row>
    <row r="1356" spans="1:37">
      <c r="A1356" s="5" t="s">
        <v>6094</v>
      </c>
      <c r="B1356" s="5" t="s">
        <v>6088</v>
      </c>
      <c r="C1356" s="6" t="s">
        <v>43</v>
      </c>
      <c r="D1356" s="6" t="s">
        <v>239</v>
      </c>
      <c r="E1356" s="6" t="s">
        <v>2047</v>
      </c>
      <c r="F1356" s="6" t="s">
        <v>46</v>
      </c>
      <c r="G1356" s="6" t="s">
        <v>6095</v>
      </c>
      <c r="H1356" s="7">
        <v>8.9</v>
      </c>
      <c r="I1356" s="19" t="s">
        <v>1589</v>
      </c>
      <c r="J1356" s="19" t="s">
        <v>2696</v>
      </c>
      <c r="K1356" s="5" t="s">
        <v>2757</v>
      </c>
      <c r="L1356" s="5" t="s">
        <v>2758</v>
      </c>
      <c r="M1356" s="5" t="s">
        <v>2759</v>
      </c>
      <c r="N1356" s="5" t="s">
        <v>2760</v>
      </c>
      <c r="O1356" s="5" t="s">
        <v>6090</v>
      </c>
      <c r="P1356" s="5" t="s">
        <v>6091</v>
      </c>
      <c r="Q1356" s="5" t="s">
        <v>6092</v>
      </c>
      <c r="R1356" s="5" t="s">
        <v>6093</v>
      </c>
      <c r="AG1356" s="14" t="s">
        <v>55</v>
      </c>
      <c r="AH1356" s="14" t="s">
        <v>1603</v>
      </c>
      <c r="AI1356" s="14" t="s">
        <v>1604</v>
      </c>
    </row>
    <row r="1357" spans="1:37">
      <c r="A1357" s="5" t="s">
        <v>6096</v>
      </c>
      <c r="B1357" s="5" t="s">
        <v>6088</v>
      </c>
      <c r="C1357" s="6" t="s">
        <v>43</v>
      </c>
      <c r="D1357" s="6" t="s">
        <v>239</v>
      </c>
      <c r="E1357" s="6" t="s">
        <v>2065</v>
      </c>
      <c r="F1357" s="6" t="s">
        <v>46</v>
      </c>
      <c r="G1357" s="6" t="s">
        <v>6097</v>
      </c>
      <c r="H1357" s="7">
        <v>8.9</v>
      </c>
      <c r="I1357" s="19" t="s">
        <v>1589</v>
      </c>
      <c r="J1357" s="19" t="s">
        <v>2696</v>
      </c>
      <c r="K1357" s="5" t="s">
        <v>2757</v>
      </c>
      <c r="L1357" s="5" t="s">
        <v>2758</v>
      </c>
      <c r="M1357" s="5" t="s">
        <v>2759</v>
      </c>
      <c r="N1357" s="5" t="s">
        <v>2760</v>
      </c>
      <c r="O1357" s="5" t="s">
        <v>6090</v>
      </c>
      <c r="P1357" s="5" t="s">
        <v>6091</v>
      </c>
      <c r="Q1357" s="5" t="s">
        <v>6092</v>
      </c>
      <c r="R1357" s="5" t="s">
        <v>6093</v>
      </c>
      <c r="AG1357" s="14" t="s">
        <v>55</v>
      </c>
      <c r="AH1357" s="14" t="s">
        <v>1603</v>
      </c>
      <c r="AI1357" s="14" t="s">
        <v>1604</v>
      </c>
    </row>
    <row r="1358" spans="1:37">
      <c r="A1358" s="5" t="s">
        <v>6098</v>
      </c>
      <c r="B1358" s="5" t="s">
        <v>6099</v>
      </c>
      <c r="C1358" s="6" t="s">
        <v>43</v>
      </c>
      <c r="D1358" s="6" t="s">
        <v>239</v>
      </c>
      <c r="E1358" s="6" t="s">
        <v>2047</v>
      </c>
      <c r="F1358" s="6" t="s">
        <v>46</v>
      </c>
      <c r="G1358" s="6" t="s">
        <v>6100</v>
      </c>
      <c r="H1358" s="7">
        <v>11.5</v>
      </c>
      <c r="I1358" s="19" t="s">
        <v>1589</v>
      </c>
      <c r="J1358" s="19" t="s">
        <v>2696</v>
      </c>
      <c r="K1358" s="5" t="s">
        <v>2774</v>
      </c>
      <c r="L1358" s="5" t="s">
        <v>2775</v>
      </c>
      <c r="M1358" s="5" t="s">
        <v>2776</v>
      </c>
      <c r="N1358" s="5" t="s">
        <v>2777</v>
      </c>
      <c r="O1358" s="5" t="s">
        <v>6101</v>
      </c>
      <c r="P1358" s="5" t="s">
        <v>6102</v>
      </c>
      <c r="Q1358" s="5" t="s">
        <v>6103</v>
      </c>
      <c r="R1358" s="5" t="s">
        <v>6104</v>
      </c>
      <c r="AG1358" s="14" t="s">
        <v>55</v>
      </c>
      <c r="AH1358" s="14" t="s">
        <v>1603</v>
      </c>
      <c r="AI1358" s="14" t="s">
        <v>1604</v>
      </c>
    </row>
    <row r="1359" spans="1:37">
      <c r="A1359" s="5" t="s">
        <v>6105</v>
      </c>
      <c r="B1359" s="5" t="s">
        <v>6099</v>
      </c>
      <c r="C1359" s="6" t="s">
        <v>43</v>
      </c>
      <c r="D1359" s="6" t="s">
        <v>239</v>
      </c>
      <c r="E1359" s="6" t="s">
        <v>2065</v>
      </c>
      <c r="F1359" s="6" t="s">
        <v>46</v>
      </c>
      <c r="G1359" s="6" t="s">
        <v>5903</v>
      </c>
      <c r="H1359" s="7">
        <v>11.5</v>
      </c>
      <c r="I1359" s="19" t="s">
        <v>1589</v>
      </c>
      <c r="J1359" s="19" t="s">
        <v>2696</v>
      </c>
      <c r="K1359" s="5" t="s">
        <v>2774</v>
      </c>
      <c r="L1359" s="5" t="s">
        <v>2775</v>
      </c>
      <c r="M1359" s="5" t="s">
        <v>2776</v>
      </c>
      <c r="N1359" s="5" t="s">
        <v>2777</v>
      </c>
      <c r="O1359" s="5" t="s">
        <v>6101</v>
      </c>
      <c r="P1359" s="5" t="s">
        <v>6102</v>
      </c>
      <c r="Q1359" s="5" t="s">
        <v>6103</v>
      </c>
      <c r="R1359" s="5" t="s">
        <v>6104</v>
      </c>
      <c r="AG1359" s="14" t="s">
        <v>55</v>
      </c>
      <c r="AH1359" s="14" t="s">
        <v>1603</v>
      </c>
      <c r="AI1359" s="14" t="s">
        <v>1604</v>
      </c>
    </row>
    <row r="1360" spans="1:37">
      <c r="A1360" s="6" t="s">
        <v>6106</v>
      </c>
      <c r="B1360" s="6" t="s">
        <v>6107</v>
      </c>
      <c r="C1360" s="6" t="s">
        <v>43</v>
      </c>
      <c r="D1360" s="6" t="s">
        <v>239</v>
      </c>
      <c r="E1360" s="6" t="s">
        <v>2047</v>
      </c>
      <c r="F1360" s="6" t="s">
        <v>46</v>
      </c>
      <c r="G1360" s="6" t="s">
        <v>6108</v>
      </c>
      <c r="I1360" s="19" t="s">
        <v>48</v>
      </c>
      <c r="J1360" s="19" t="s">
        <v>48</v>
      </c>
      <c r="K1360" s="6"/>
      <c r="L1360" s="6"/>
      <c r="M1360" s="6"/>
      <c r="N1360" s="6"/>
      <c r="O1360" s="6"/>
      <c r="P1360" s="6"/>
      <c r="Q1360" s="6"/>
      <c r="R1360" s="6"/>
      <c r="S1360" s="6"/>
      <c r="T1360" s="6"/>
      <c r="U1360" s="6"/>
      <c r="V1360" s="6"/>
      <c r="W1360" s="6"/>
      <c r="X1360" s="6"/>
      <c r="Y1360" s="6"/>
      <c r="Z1360" s="6"/>
      <c r="AA1360" s="6"/>
      <c r="AB1360" s="6"/>
      <c r="AC1360" s="6"/>
      <c r="AD1360" s="6"/>
      <c r="AE1360" s="6"/>
      <c r="AF1360" s="6"/>
      <c r="AG1360" s="15" t="s">
        <v>55</v>
      </c>
      <c r="AH1360" s="15"/>
      <c r="AI1360" s="15"/>
      <c r="AJ1360" s="6"/>
      <c r="AK1360" s="6"/>
    </row>
    <row r="1361" spans="1:37" s="6" customFormat="1">
      <c r="A1361" s="5" t="s">
        <v>6109</v>
      </c>
      <c r="B1361" s="5" t="s">
        <v>6110</v>
      </c>
      <c r="C1361" s="6" t="s">
        <v>43</v>
      </c>
      <c r="D1361" s="6" t="s">
        <v>239</v>
      </c>
      <c r="E1361" s="6" t="s">
        <v>2065</v>
      </c>
      <c r="F1361" s="6" t="s">
        <v>46</v>
      </c>
      <c r="G1361" s="6" t="s">
        <v>6111</v>
      </c>
      <c r="H1361" s="7">
        <v>11.75</v>
      </c>
      <c r="I1361" s="19" t="s">
        <v>1589</v>
      </c>
      <c r="J1361" s="19" t="s">
        <v>2696</v>
      </c>
      <c r="K1361" s="5" t="s">
        <v>2790</v>
      </c>
      <c r="L1361" s="5" t="s">
        <v>2791</v>
      </c>
      <c r="M1361" s="5" t="s">
        <v>2792</v>
      </c>
      <c r="N1361" s="5" t="s">
        <v>2793</v>
      </c>
      <c r="O1361" s="5" t="s">
        <v>6112</v>
      </c>
      <c r="P1361" s="5" t="s">
        <v>6113</v>
      </c>
      <c r="Q1361" s="5" t="s">
        <v>6114</v>
      </c>
      <c r="R1361" s="5" t="s">
        <v>6115</v>
      </c>
      <c r="S1361" s="5"/>
      <c r="T1361" s="5"/>
      <c r="U1361" s="5"/>
      <c r="V1361" s="5"/>
      <c r="W1361" s="5"/>
      <c r="X1361" s="5"/>
      <c r="Y1361" s="5"/>
      <c r="Z1361" s="5"/>
      <c r="AA1361" s="5"/>
      <c r="AB1361" s="5"/>
      <c r="AC1361" s="5"/>
      <c r="AD1361" s="5"/>
      <c r="AE1361" s="5"/>
      <c r="AF1361" s="5"/>
      <c r="AG1361" s="14" t="s">
        <v>55</v>
      </c>
      <c r="AH1361" s="14" t="s">
        <v>1603</v>
      </c>
      <c r="AI1361" s="14" t="s">
        <v>1604</v>
      </c>
      <c r="AJ1361" s="5"/>
      <c r="AK1361" s="5"/>
    </row>
    <row r="1362" spans="1:37">
      <c r="A1362" s="5" t="s">
        <v>6116</v>
      </c>
      <c r="B1362" s="5" t="s">
        <v>6117</v>
      </c>
      <c r="C1362" s="6" t="s">
        <v>43</v>
      </c>
      <c r="D1362" s="6" t="s">
        <v>239</v>
      </c>
      <c r="E1362" s="6" t="s">
        <v>2047</v>
      </c>
      <c r="F1362" s="6" t="s">
        <v>46</v>
      </c>
      <c r="G1362" s="6" t="s">
        <v>6118</v>
      </c>
      <c r="H1362" s="7">
        <v>12.11</v>
      </c>
      <c r="I1362" s="19" t="s">
        <v>1589</v>
      </c>
      <c r="J1362" s="19" t="s">
        <v>2696</v>
      </c>
      <c r="K1362" s="5" t="s">
        <v>2809</v>
      </c>
      <c r="L1362" s="5" t="s">
        <v>2810</v>
      </c>
      <c r="M1362" s="5" t="s">
        <v>2811</v>
      </c>
      <c r="N1362" s="5" t="s">
        <v>2812</v>
      </c>
      <c r="O1362" s="5" t="s">
        <v>6119</v>
      </c>
      <c r="P1362" s="5" t="s">
        <v>6120</v>
      </c>
      <c r="Q1362" s="5" t="s">
        <v>6121</v>
      </c>
      <c r="R1362" s="5" t="s">
        <v>6122</v>
      </c>
      <c r="AG1362" s="14" t="s">
        <v>55</v>
      </c>
      <c r="AH1362" s="14" t="s">
        <v>1603</v>
      </c>
      <c r="AI1362" s="14" t="s">
        <v>1604</v>
      </c>
    </row>
    <row r="1363" spans="1:37">
      <c r="A1363" s="6" t="s">
        <v>6123</v>
      </c>
      <c r="B1363" s="6" t="s">
        <v>6124</v>
      </c>
      <c r="C1363" s="6" t="s">
        <v>43</v>
      </c>
      <c r="D1363" s="6" t="s">
        <v>239</v>
      </c>
      <c r="E1363" s="6" t="s">
        <v>2047</v>
      </c>
      <c r="F1363" s="6" t="s">
        <v>46</v>
      </c>
      <c r="G1363" s="6" t="s">
        <v>5912</v>
      </c>
      <c r="I1363" s="19" t="s">
        <v>48</v>
      </c>
      <c r="J1363" s="19" t="s">
        <v>48</v>
      </c>
      <c r="K1363" s="6"/>
      <c r="L1363" s="6"/>
      <c r="M1363" s="6"/>
      <c r="N1363" s="6"/>
      <c r="O1363" s="6"/>
      <c r="P1363" s="6"/>
      <c r="Q1363" s="6"/>
      <c r="R1363" s="6"/>
      <c r="S1363" s="6"/>
      <c r="T1363" s="6"/>
      <c r="U1363" s="6"/>
      <c r="V1363" s="6"/>
      <c r="W1363" s="6"/>
      <c r="X1363" s="6"/>
      <c r="Y1363" s="6"/>
      <c r="Z1363" s="6"/>
      <c r="AA1363" s="6"/>
      <c r="AB1363" s="6"/>
      <c r="AC1363" s="6"/>
      <c r="AD1363" s="6"/>
      <c r="AE1363" s="6"/>
      <c r="AF1363" s="6"/>
      <c r="AG1363" s="15" t="s">
        <v>55</v>
      </c>
      <c r="AH1363" s="15"/>
      <c r="AI1363" s="15"/>
      <c r="AJ1363" s="6"/>
      <c r="AK1363" s="6"/>
    </row>
    <row r="1364" spans="1:37" s="6" customFormat="1">
      <c r="A1364" s="5" t="s">
        <v>6125</v>
      </c>
      <c r="B1364" s="5" t="s">
        <v>6126</v>
      </c>
      <c r="C1364" s="6" t="s">
        <v>43</v>
      </c>
      <c r="D1364" s="6" t="s">
        <v>239</v>
      </c>
      <c r="E1364" s="6" t="s">
        <v>1540</v>
      </c>
      <c r="F1364" s="6" t="s">
        <v>46</v>
      </c>
      <c r="G1364" s="6" t="s">
        <v>6127</v>
      </c>
      <c r="H1364" s="7">
        <v>17.440000000000001</v>
      </c>
      <c r="I1364" s="19" t="s">
        <v>1589</v>
      </c>
      <c r="J1364" s="19" t="s">
        <v>2254</v>
      </c>
      <c r="K1364" s="5" t="s">
        <v>2972</v>
      </c>
      <c r="L1364" s="5" t="s">
        <v>2973</v>
      </c>
      <c r="M1364" s="5" t="s">
        <v>2974</v>
      </c>
      <c r="N1364" s="5" t="s">
        <v>2975</v>
      </c>
      <c r="O1364" s="5" t="s">
        <v>6128</v>
      </c>
      <c r="P1364" s="5" t="s">
        <v>6129</v>
      </c>
      <c r="Q1364" s="5" t="s">
        <v>6130</v>
      </c>
      <c r="R1364" s="5" t="s">
        <v>6131</v>
      </c>
      <c r="S1364" s="5"/>
      <c r="T1364" s="5"/>
      <c r="U1364" s="5"/>
      <c r="V1364" s="5"/>
      <c r="W1364" s="5"/>
      <c r="X1364" s="5"/>
      <c r="Y1364" s="5" t="s">
        <v>2980</v>
      </c>
      <c r="Z1364" s="5"/>
      <c r="AA1364" s="5"/>
      <c r="AB1364" s="5"/>
      <c r="AC1364" s="5"/>
      <c r="AD1364" s="5"/>
      <c r="AE1364" s="5"/>
      <c r="AF1364" s="5"/>
      <c r="AG1364" s="14" t="s">
        <v>55</v>
      </c>
      <c r="AH1364" s="14" t="s">
        <v>1603</v>
      </c>
      <c r="AI1364" s="14" t="s">
        <v>2264</v>
      </c>
      <c r="AJ1364" s="5"/>
      <c r="AK1364" s="5"/>
    </row>
    <row r="1365" spans="1:37">
      <c r="A1365" s="5" t="s">
        <v>6132</v>
      </c>
      <c r="B1365" s="5" t="s">
        <v>6133</v>
      </c>
      <c r="C1365" s="6" t="s">
        <v>43</v>
      </c>
      <c r="D1365" s="6" t="s">
        <v>239</v>
      </c>
      <c r="E1365" s="6" t="s">
        <v>1540</v>
      </c>
      <c r="F1365" s="6" t="s">
        <v>46</v>
      </c>
      <c r="G1365" s="6" t="s">
        <v>6134</v>
      </c>
      <c r="H1365" s="7">
        <v>18.350000000000001</v>
      </c>
      <c r="I1365" s="19" t="s">
        <v>1589</v>
      </c>
      <c r="J1365" s="19" t="s">
        <v>2254</v>
      </c>
      <c r="K1365" s="5" t="s">
        <v>3069</v>
      </c>
      <c r="L1365" s="5" t="s">
        <v>3070</v>
      </c>
      <c r="M1365" s="5" t="s">
        <v>3071</v>
      </c>
      <c r="N1365" s="5" t="s">
        <v>3072</v>
      </c>
      <c r="O1365" s="5" t="s">
        <v>6135</v>
      </c>
      <c r="P1365" s="5" t="s">
        <v>6136</v>
      </c>
      <c r="Q1365" s="5" t="s">
        <v>6137</v>
      </c>
      <c r="R1365" s="5" t="s">
        <v>6138</v>
      </c>
      <c r="Y1365" s="5" t="s">
        <v>2980</v>
      </c>
      <c r="AG1365" s="14" t="s">
        <v>55</v>
      </c>
      <c r="AH1365" s="14" t="s">
        <v>1603</v>
      </c>
      <c r="AI1365" s="14" t="s">
        <v>2264</v>
      </c>
    </row>
    <row r="1366" spans="1:37">
      <c r="A1366" s="5" t="s">
        <v>6139</v>
      </c>
      <c r="B1366" s="5" t="s">
        <v>6140</v>
      </c>
      <c r="C1366" s="6" t="s">
        <v>43</v>
      </c>
      <c r="D1366" s="6" t="s">
        <v>2114</v>
      </c>
      <c r="E1366" s="6" t="s">
        <v>1386</v>
      </c>
      <c r="F1366" s="6" t="s">
        <v>46</v>
      </c>
      <c r="G1366" s="6" t="s">
        <v>6141</v>
      </c>
      <c r="H1366" s="7">
        <v>16.489999999999998</v>
      </c>
      <c r="I1366" s="19" t="s">
        <v>1589</v>
      </c>
      <c r="J1366" s="19" t="s">
        <v>2162</v>
      </c>
      <c r="K1366" s="5" t="s">
        <v>2163</v>
      </c>
      <c r="L1366" s="5" t="s">
        <v>2164</v>
      </c>
      <c r="M1366" s="5" t="s">
        <v>2165</v>
      </c>
      <c r="N1366" s="5" t="s">
        <v>2166</v>
      </c>
      <c r="O1366" s="5" t="s">
        <v>6142</v>
      </c>
      <c r="P1366" s="5" t="s">
        <v>6143</v>
      </c>
      <c r="Q1366" s="5" t="s">
        <v>6144</v>
      </c>
      <c r="R1366" s="5"/>
      <c r="W1366" s="5" t="s">
        <v>2170</v>
      </c>
      <c r="X1366" s="5" t="s">
        <v>2171</v>
      </c>
      <c r="Y1366" s="5" t="s">
        <v>2172</v>
      </c>
      <c r="Z1366" s="5" t="s">
        <v>2173</v>
      </c>
      <c r="AG1366" s="14" t="s">
        <v>55</v>
      </c>
      <c r="AH1366" s="14" t="s">
        <v>1603</v>
      </c>
      <c r="AI1366" s="14" t="s">
        <v>124</v>
      </c>
    </row>
    <row r="1367" spans="1:37">
      <c r="A1367" s="6" t="s">
        <v>6145</v>
      </c>
      <c r="B1367" s="6" t="s">
        <v>6146</v>
      </c>
      <c r="C1367" s="6" t="s">
        <v>43</v>
      </c>
      <c r="D1367" s="6" t="s">
        <v>239</v>
      </c>
      <c r="E1367" s="6" t="s">
        <v>1540</v>
      </c>
      <c r="F1367" s="6" t="s">
        <v>46</v>
      </c>
      <c r="G1367" s="6" t="s">
        <v>6147</v>
      </c>
      <c r="I1367" s="6" t="s">
        <v>48</v>
      </c>
      <c r="J1367" s="6" t="s">
        <v>48</v>
      </c>
      <c r="K1367" s="6"/>
      <c r="L1367" s="6"/>
      <c r="M1367" s="6"/>
      <c r="N1367" s="6"/>
      <c r="O1367" s="6"/>
      <c r="P1367" s="6"/>
      <c r="Q1367" s="6"/>
      <c r="R1367" s="6"/>
      <c r="S1367" s="6"/>
      <c r="T1367" s="6"/>
      <c r="U1367" s="6"/>
      <c r="V1367" s="6"/>
      <c r="W1367" s="6"/>
      <c r="X1367" s="6"/>
      <c r="Y1367" s="6"/>
      <c r="Z1367" s="6"/>
      <c r="AA1367" s="6"/>
      <c r="AB1367" s="6"/>
      <c r="AC1367" s="6"/>
      <c r="AD1367" s="6"/>
      <c r="AE1367" s="6"/>
      <c r="AF1367" s="6"/>
      <c r="AG1367" s="15" t="s">
        <v>55</v>
      </c>
      <c r="AH1367" s="15"/>
      <c r="AI1367" s="15"/>
      <c r="AJ1367" s="6"/>
      <c r="AK1367" s="6"/>
    </row>
    <row r="1368" spans="1:37" s="6" customFormat="1">
      <c r="A1368" s="6" t="s">
        <v>6148</v>
      </c>
      <c r="B1368" s="6" t="s">
        <v>6149</v>
      </c>
      <c r="C1368" s="6" t="s">
        <v>43</v>
      </c>
      <c r="D1368" s="6" t="s">
        <v>239</v>
      </c>
      <c r="E1368" s="6" t="s">
        <v>1540</v>
      </c>
      <c r="F1368" s="6" t="s">
        <v>46</v>
      </c>
      <c r="G1368" s="6" t="s">
        <v>6150</v>
      </c>
      <c r="H1368" s="7"/>
      <c r="I1368" s="16" t="s">
        <v>48</v>
      </c>
      <c r="J1368" s="16" t="s">
        <v>48</v>
      </c>
      <c r="AG1368" s="15" t="s">
        <v>55</v>
      </c>
      <c r="AH1368" s="15"/>
      <c r="AI1368" s="15"/>
    </row>
    <row r="1369" spans="1:37" s="6" customFormat="1">
      <c r="A1369" s="6" t="s">
        <v>6151</v>
      </c>
      <c r="B1369" s="6" t="s">
        <v>6152</v>
      </c>
      <c r="C1369" s="6" t="s">
        <v>43</v>
      </c>
      <c r="D1369" s="6" t="s">
        <v>239</v>
      </c>
      <c r="E1369" s="6" t="s">
        <v>1540</v>
      </c>
      <c r="F1369" s="6" t="s">
        <v>46</v>
      </c>
      <c r="G1369" s="6" t="s">
        <v>6153</v>
      </c>
      <c r="H1369" s="7"/>
      <c r="I1369" s="16" t="s">
        <v>48</v>
      </c>
      <c r="J1369" s="16" t="s">
        <v>48</v>
      </c>
      <c r="AG1369" s="15" t="s">
        <v>55</v>
      </c>
      <c r="AH1369" s="15"/>
      <c r="AI1369" s="15"/>
    </row>
    <row r="1370" spans="1:37" s="6" customFormat="1">
      <c r="A1370" s="6" t="s">
        <v>6154</v>
      </c>
      <c r="B1370" s="6" t="s">
        <v>6155</v>
      </c>
      <c r="C1370" s="6" t="s">
        <v>43</v>
      </c>
      <c r="D1370" s="6" t="s">
        <v>239</v>
      </c>
      <c r="E1370" s="6" t="s">
        <v>1540</v>
      </c>
      <c r="F1370" s="6" t="s">
        <v>46</v>
      </c>
      <c r="G1370" s="6" t="s">
        <v>5710</v>
      </c>
      <c r="H1370" s="7"/>
      <c r="I1370" s="6" t="s">
        <v>48</v>
      </c>
      <c r="J1370" s="6" t="s">
        <v>48</v>
      </c>
      <c r="AG1370" s="15" t="s">
        <v>55</v>
      </c>
      <c r="AH1370" s="15"/>
      <c r="AI1370" s="15"/>
    </row>
    <row r="1371" spans="1:37" s="6" customFormat="1">
      <c r="A1371" s="6" t="s">
        <v>6156</v>
      </c>
      <c r="B1371" s="6" t="s">
        <v>6157</v>
      </c>
      <c r="C1371" s="6" t="s">
        <v>43</v>
      </c>
      <c r="D1371" s="6" t="s">
        <v>239</v>
      </c>
      <c r="E1371" s="6" t="s">
        <v>1540</v>
      </c>
      <c r="F1371" s="6" t="s">
        <v>46</v>
      </c>
      <c r="G1371" s="6" t="s">
        <v>6158</v>
      </c>
      <c r="H1371" s="7"/>
      <c r="I1371" s="16" t="s">
        <v>48</v>
      </c>
      <c r="J1371" s="16" t="s">
        <v>48</v>
      </c>
      <c r="AG1371" s="15" t="s">
        <v>55</v>
      </c>
      <c r="AH1371" s="15"/>
      <c r="AI1371" s="15"/>
    </row>
    <row r="1372" spans="1:37" s="6" customFormat="1">
      <c r="A1372" s="6" t="s">
        <v>6159</v>
      </c>
      <c r="B1372" s="6" t="s">
        <v>6160</v>
      </c>
      <c r="C1372" s="6" t="s">
        <v>43</v>
      </c>
      <c r="D1372" s="6" t="s">
        <v>239</v>
      </c>
      <c r="E1372" s="6" t="s">
        <v>1540</v>
      </c>
      <c r="F1372" s="6" t="s">
        <v>46</v>
      </c>
      <c r="G1372" s="6" t="s">
        <v>6161</v>
      </c>
      <c r="H1372" s="7"/>
      <c r="I1372" s="16" t="s">
        <v>48</v>
      </c>
      <c r="J1372" s="16" t="s">
        <v>48</v>
      </c>
      <c r="AG1372" s="15" t="s">
        <v>55</v>
      </c>
      <c r="AH1372" s="15"/>
      <c r="AI1372" s="15"/>
    </row>
    <row r="1373" spans="1:37" s="6" customFormat="1">
      <c r="A1373" s="6" t="s">
        <v>6162</v>
      </c>
      <c r="B1373" s="6" t="s">
        <v>6163</v>
      </c>
      <c r="C1373" s="6" t="s">
        <v>43</v>
      </c>
      <c r="D1373" s="6" t="s">
        <v>239</v>
      </c>
      <c r="E1373" s="6" t="s">
        <v>1540</v>
      </c>
      <c r="F1373" s="6" t="s">
        <v>46</v>
      </c>
      <c r="G1373" s="6" t="s">
        <v>6153</v>
      </c>
      <c r="H1373" s="7"/>
      <c r="I1373" s="16" t="s">
        <v>48</v>
      </c>
      <c r="J1373" s="16" t="s">
        <v>48</v>
      </c>
      <c r="AG1373" s="15" t="s">
        <v>55</v>
      </c>
      <c r="AH1373" s="15"/>
      <c r="AI1373" s="15"/>
    </row>
    <row r="1374" spans="1:37" s="6" customFormat="1">
      <c r="A1374" s="6" t="s">
        <v>6164</v>
      </c>
      <c r="B1374" s="6" t="s">
        <v>6165</v>
      </c>
      <c r="C1374" s="6" t="s">
        <v>43</v>
      </c>
      <c r="D1374" s="6" t="s">
        <v>239</v>
      </c>
      <c r="E1374" s="6" t="s">
        <v>2047</v>
      </c>
      <c r="F1374" s="6" t="s">
        <v>46</v>
      </c>
      <c r="G1374" s="6" t="s">
        <v>6166</v>
      </c>
      <c r="H1374" s="7"/>
      <c r="I1374" s="19" t="s">
        <v>48</v>
      </c>
      <c r="J1374" s="19" t="s">
        <v>48</v>
      </c>
      <c r="AG1374" s="15" t="s">
        <v>55</v>
      </c>
      <c r="AH1374" s="15"/>
      <c r="AI1374" s="15"/>
    </row>
    <row r="1375" spans="1:37" s="6" customFormat="1">
      <c r="A1375" s="6" t="s">
        <v>6167</v>
      </c>
      <c r="B1375" s="6" t="s">
        <v>6168</v>
      </c>
      <c r="C1375" s="6" t="s">
        <v>43</v>
      </c>
      <c r="D1375" s="6" t="s">
        <v>239</v>
      </c>
      <c r="E1375" s="6" t="s">
        <v>1540</v>
      </c>
      <c r="F1375" s="6" t="s">
        <v>46</v>
      </c>
      <c r="G1375" s="6" t="s">
        <v>6169</v>
      </c>
      <c r="H1375" s="7"/>
      <c r="I1375" s="16" t="s">
        <v>48</v>
      </c>
      <c r="J1375" s="16" t="s">
        <v>48</v>
      </c>
      <c r="AG1375" s="15" t="s">
        <v>55</v>
      </c>
      <c r="AH1375" s="15"/>
      <c r="AI1375" s="15"/>
    </row>
    <row r="1376" spans="1:37" s="6" customFormat="1">
      <c r="A1376" s="6" t="s">
        <v>6170</v>
      </c>
      <c r="B1376" s="6" t="s">
        <v>6171</v>
      </c>
      <c r="C1376" s="6" t="s">
        <v>43</v>
      </c>
      <c r="D1376" s="6" t="s">
        <v>239</v>
      </c>
      <c r="E1376" s="6" t="s">
        <v>1540</v>
      </c>
      <c r="F1376" s="6" t="s">
        <v>46</v>
      </c>
      <c r="G1376" s="6" t="s">
        <v>6172</v>
      </c>
      <c r="H1376" s="7"/>
      <c r="I1376" s="16" t="s">
        <v>48</v>
      </c>
      <c r="J1376" s="16" t="s">
        <v>48</v>
      </c>
      <c r="AG1376" s="15" t="s">
        <v>55</v>
      </c>
      <c r="AH1376" s="15"/>
      <c r="AI1376" s="15"/>
    </row>
    <row r="1377" spans="1:37" s="6" customFormat="1">
      <c r="A1377" s="6" t="s">
        <v>6173</v>
      </c>
      <c r="B1377" s="6" t="s">
        <v>6174</v>
      </c>
      <c r="C1377" s="6" t="s">
        <v>5970</v>
      </c>
      <c r="D1377" s="6" t="s">
        <v>1977</v>
      </c>
      <c r="E1377" s="6" t="s">
        <v>1386</v>
      </c>
      <c r="F1377" s="6" t="s">
        <v>46</v>
      </c>
      <c r="G1377" s="6" t="s">
        <v>6175</v>
      </c>
      <c r="H1377" s="7"/>
      <c r="I1377" s="16" t="s">
        <v>48</v>
      </c>
      <c r="J1377" s="16" t="s">
        <v>48</v>
      </c>
      <c r="AG1377" s="15" t="s">
        <v>55</v>
      </c>
      <c r="AH1377" s="15"/>
      <c r="AI1377" s="15"/>
    </row>
    <row r="1378" spans="1:37" s="6" customFormat="1">
      <c r="A1378" s="6" t="s">
        <v>6176</v>
      </c>
      <c r="B1378" s="6" t="s">
        <v>6177</v>
      </c>
      <c r="C1378" s="6" t="s">
        <v>43</v>
      </c>
      <c r="D1378" s="6" t="s">
        <v>2114</v>
      </c>
      <c r="E1378" s="6" t="s">
        <v>2015</v>
      </c>
      <c r="F1378" s="6" t="s">
        <v>46</v>
      </c>
      <c r="G1378" s="6" t="s">
        <v>6178</v>
      </c>
      <c r="H1378" s="7"/>
      <c r="I1378" s="16" t="s">
        <v>48</v>
      </c>
      <c r="J1378" s="16" t="s">
        <v>48</v>
      </c>
      <c r="AG1378" s="15" t="s">
        <v>55</v>
      </c>
      <c r="AH1378" s="15"/>
      <c r="AI1378" s="15"/>
    </row>
    <row r="1379" spans="1:37" s="6" customFormat="1">
      <c r="A1379" s="5" t="s">
        <v>6179</v>
      </c>
      <c r="B1379" s="5" t="s">
        <v>6180</v>
      </c>
      <c r="C1379" s="6" t="s">
        <v>43</v>
      </c>
      <c r="D1379" s="6" t="s">
        <v>2114</v>
      </c>
      <c r="E1379" s="6" t="s">
        <v>1386</v>
      </c>
      <c r="F1379" s="6" t="s">
        <v>46</v>
      </c>
      <c r="G1379" s="6" t="s">
        <v>6181</v>
      </c>
      <c r="H1379" s="7">
        <v>19.059999999999999</v>
      </c>
      <c r="I1379" s="19" t="s">
        <v>1589</v>
      </c>
      <c r="J1379" s="19" t="s">
        <v>2162</v>
      </c>
      <c r="K1379" s="5" t="s">
        <v>2163</v>
      </c>
      <c r="L1379" s="5" t="s">
        <v>2164</v>
      </c>
      <c r="M1379" s="5" t="s">
        <v>2165</v>
      </c>
      <c r="N1379" s="5" t="s">
        <v>2166</v>
      </c>
      <c r="O1379" s="5" t="s">
        <v>6182</v>
      </c>
      <c r="P1379" s="5" t="s">
        <v>6183</v>
      </c>
      <c r="Q1379" s="5" t="s">
        <v>6184</v>
      </c>
      <c r="R1379" s="5"/>
      <c r="S1379" s="5"/>
      <c r="T1379" s="5"/>
      <c r="U1379" s="5"/>
      <c r="V1379" s="5"/>
      <c r="W1379" s="5" t="s">
        <v>2170</v>
      </c>
      <c r="X1379" s="5" t="s">
        <v>2171</v>
      </c>
      <c r="Y1379" s="5" t="s">
        <v>2172</v>
      </c>
      <c r="Z1379" s="5" t="s">
        <v>2173</v>
      </c>
      <c r="AA1379" s="5"/>
      <c r="AB1379" s="5"/>
      <c r="AC1379" s="5"/>
      <c r="AD1379" s="5"/>
      <c r="AE1379" s="5"/>
      <c r="AF1379" s="5"/>
      <c r="AG1379" s="14" t="s">
        <v>55</v>
      </c>
      <c r="AH1379" s="14" t="s">
        <v>1603</v>
      </c>
      <c r="AI1379" s="14" t="s">
        <v>124</v>
      </c>
      <c r="AJ1379" s="5"/>
      <c r="AK1379" s="5"/>
    </row>
    <row r="1380" spans="1:37">
      <c r="A1380" s="5" t="s">
        <v>6185</v>
      </c>
      <c r="B1380" s="5" t="s">
        <v>6186</v>
      </c>
      <c r="C1380" s="6" t="s">
        <v>6018</v>
      </c>
      <c r="D1380" s="6" t="s">
        <v>2189</v>
      </c>
      <c r="E1380" s="6" t="s">
        <v>1386</v>
      </c>
      <c r="F1380" s="6" t="s">
        <v>46</v>
      </c>
      <c r="G1380" s="6" t="s">
        <v>6187</v>
      </c>
      <c r="H1380" s="7">
        <v>14.92</v>
      </c>
      <c r="I1380" s="19" t="s">
        <v>1589</v>
      </c>
      <c r="J1380" s="19" t="s">
        <v>2191</v>
      </c>
      <c r="K1380" s="5" t="s">
        <v>2192</v>
      </c>
      <c r="L1380" s="5" t="s">
        <v>2193</v>
      </c>
      <c r="M1380" s="5" t="s">
        <v>2194</v>
      </c>
      <c r="N1380" s="5" t="s">
        <v>2195</v>
      </c>
      <c r="O1380" s="5" t="s">
        <v>6188</v>
      </c>
      <c r="P1380" s="5" t="s">
        <v>6189</v>
      </c>
      <c r="Q1380" s="5" t="s">
        <v>6190</v>
      </c>
      <c r="R1380" s="5"/>
      <c r="Y1380" s="5" t="s">
        <v>2086</v>
      </c>
      <c r="AG1380" s="14" t="s">
        <v>55</v>
      </c>
      <c r="AH1380" s="14" t="s">
        <v>1603</v>
      </c>
      <c r="AI1380" s="14" t="s">
        <v>2087</v>
      </c>
    </row>
    <row r="1381" spans="1:37">
      <c r="A1381" s="5" t="s">
        <v>6191</v>
      </c>
      <c r="B1381" s="5" t="s">
        <v>6192</v>
      </c>
      <c r="C1381" s="6" t="s">
        <v>43</v>
      </c>
      <c r="D1381" s="6" t="s">
        <v>239</v>
      </c>
      <c r="E1381" s="6" t="s">
        <v>2047</v>
      </c>
      <c r="F1381" s="6" t="s">
        <v>46</v>
      </c>
      <c r="G1381" s="6" t="s">
        <v>6086</v>
      </c>
      <c r="H1381" s="7">
        <v>8.27</v>
      </c>
      <c r="I1381" s="19" t="s">
        <v>1589</v>
      </c>
      <c r="J1381" s="19" t="s">
        <v>2696</v>
      </c>
      <c r="K1381" s="5" t="s">
        <v>2733</v>
      </c>
      <c r="L1381" s="5" t="s">
        <v>2734</v>
      </c>
      <c r="M1381" s="5" t="s">
        <v>2735</v>
      </c>
      <c r="N1381" s="5" t="s">
        <v>2736</v>
      </c>
      <c r="O1381" s="5" t="s">
        <v>6193</v>
      </c>
      <c r="P1381" s="5" t="s">
        <v>6194</v>
      </c>
      <c r="Q1381" s="5" t="s">
        <v>6195</v>
      </c>
      <c r="R1381" s="5" t="s">
        <v>6196</v>
      </c>
      <c r="AG1381" s="14" t="s">
        <v>55</v>
      </c>
      <c r="AH1381" s="14" t="s">
        <v>1603</v>
      </c>
      <c r="AI1381" s="14" t="s">
        <v>1604</v>
      </c>
    </row>
    <row r="1382" spans="1:37">
      <c r="A1382" s="6" t="s">
        <v>6197</v>
      </c>
      <c r="B1382" s="6" t="s">
        <v>6198</v>
      </c>
      <c r="C1382" s="6" t="s">
        <v>43</v>
      </c>
      <c r="D1382" s="6" t="s">
        <v>239</v>
      </c>
      <c r="E1382" s="6" t="s">
        <v>1540</v>
      </c>
      <c r="F1382" s="6" t="s">
        <v>46</v>
      </c>
      <c r="G1382" s="6" t="s">
        <v>243</v>
      </c>
      <c r="I1382" s="16" t="s">
        <v>48</v>
      </c>
      <c r="J1382" s="16" t="s">
        <v>48</v>
      </c>
      <c r="K1382" s="6"/>
      <c r="L1382" s="6"/>
      <c r="M1382" s="6"/>
      <c r="N1382" s="6"/>
      <c r="O1382" s="6"/>
      <c r="P1382" s="6"/>
      <c r="Q1382" s="6"/>
      <c r="R1382" s="6"/>
      <c r="S1382" s="6"/>
      <c r="T1382" s="6"/>
      <c r="U1382" s="6"/>
      <c r="V1382" s="6"/>
      <c r="W1382" s="6"/>
      <c r="X1382" s="6"/>
      <c r="Y1382" s="6"/>
      <c r="Z1382" s="6"/>
      <c r="AA1382" s="6"/>
      <c r="AB1382" s="6"/>
      <c r="AC1382" s="6"/>
      <c r="AD1382" s="6"/>
      <c r="AE1382" s="6"/>
      <c r="AF1382" s="6"/>
      <c r="AG1382" s="15" t="s">
        <v>55</v>
      </c>
      <c r="AH1382" s="15"/>
      <c r="AI1382" s="15"/>
      <c r="AJ1382" s="6"/>
      <c r="AK1382" s="6"/>
    </row>
    <row r="1383" spans="1:37" s="6" customFormat="1">
      <c r="A1383" s="6" t="s">
        <v>6199</v>
      </c>
      <c r="B1383" s="6" t="s">
        <v>6200</v>
      </c>
      <c r="C1383" s="6" t="s">
        <v>43</v>
      </c>
      <c r="D1383" s="6" t="s">
        <v>239</v>
      </c>
      <c r="E1383" s="6" t="s">
        <v>1540</v>
      </c>
      <c r="F1383" s="6" t="s">
        <v>46</v>
      </c>
      <c r="G1383" s="6" t="s">
        <v>6201</v>
      </c>
      <c r="H1383" s="7"/>
      <c r="I1383" s="16" t="s">
        <v>48</v>
      </c>
      <c r="J1383" s="16" t="s">
        <v>48</v>
      </c>
      <c r="AG1383" s="15" t="s">
        <v>55</v>
      </c>
      <c r="AH1383" s="15"/>
      <c r="AI1383" s="15"/>
    </row>
    <row r="1384" spans="1:37" s="6" customFormat="1">
      <c r="A1384" s="6" t="s">
        <v>6202</v>
      </c>
      <c r="B1384" s="6" t="s">
        <v>6203</v>
      </c>
      <c r="C1384" s="6" t="s">
        <v>43</v>
      </c>
      <c r="D1384" s="6" t="s">
        <v>239</v>
      </c>
      <c r="E1384" s="6" t="s">
        <v>1540</v>
      </c>
      <c r="F1384" s="6" t="s">
        <v>46</v>
      </c>
      <c r="G1384" s="6" t="s">
        <v>6204</v>
      </c>
      <c r="H1384" s="7"/>
      <c r="I1384" s="16" t="s">
        <v>48</v>
      </c>
      <c r="J1384" s="16" t="s">
        <v>48</v>
      </c>
      <c r="AG1384" s="15" t="s">
        <v>55</v>
      </c>
      <c r="AH1384" s="15"/>
      <c r="AI1384" s="15"/>
    </row>
    <row r="1385" spans="1:37" s="6" customFormat="1">
      <c r="A1385" s="6" t="s">
        <v>6205</v>
      </c>
      <c r="B1385" s="6" t="s">
        <v>6206</v>
      </c>
      <c r="C1385" s="6" t="s">
        <v>43</v>
      </c>
      <c r="D1385" s="6" t="s">
        <v>239</v>
      </c>
      <c r="E1385" s="6" t="s">
        <v>1540</v>
      </c>
      <c r="F1385" s="6" t="s">
        <v>46</v>
      </c>
      <c r="G1385" s="6" t="s">
        <v>6207</v>
      </c>
      <c r="H1385" s="7"/>
      <c r="I1385" s="16" t="s">
        <v>48</v>
      </c>
      <c r="J1385" s="16" t="s">
        <v>48</v>
      </c>
      <c r="AG1385" s="15" t="s">
        <v>55</v>
      </c>
      <c r="AH1385" s="15"/>
      <c r="AI1385" s="15"/>
    </row>
    <row r="1386" spans="1:37" s="6" customFormat="1">
      <c r="A1386" s="6" t="s">
        <v>6208</v>
      </c>
      <c r="B1386" s="6" t="s">
        <v>6209</v>
      </c>
      <c r="C1386" s="6" t="s">
        <v>43</v>
      </c>
      <c r="D1386" s="6" t="s">
        <v>239</v>
      </c>
      <c r="E1386" s="6" t="s">
        <v>1540</v>
      </c>
      <c r="F1386" s="6" t="s">
        <v>46</v>
      </c>
      <c r="G1386" s="6" t="s">
        <v>6210</v>
      </c>
      <c r="H1386" s="7"/>
      <c r="I1386" s="6" t="s">
        <v>48</v>
      </c>
      <c r="J1386" s="6" t="s">
        <v>48</v>
      </c>
      <c r="AG1386" s="15" t="s">
        <v>55</v>
      </c>
      <c r="AH1386" s="15"/>
      <c r="AI1386" s="15"/>
    </row>
    <row r="1387" spans="1:37" s="6" customFormat="1">
      <c r="A1387" s="6" t="s">
        <v>6211</v>
      </c>
      <c r="B1387" s="6" t="s">
        <v>6212</v>
      </c>
      <c r="C1387" s="6" t="s">
        <v>43</v>
      </c>
      <c r="D1387" s="6" t="s">
        <v>239</v>
      </c>
      <c r="E1387" s="6" t="s">
        <v>1540</v>
      </c>
      <c r="F1387" s="6" t="s">
        <v>46</v>
      </c>
      <c r="G1387" s="6" t="s">
        <v>6213</v>
      </c>
      <c r="H1387" s="7"/>
      <c r="I1387" s="16" t="s">
        <v>48</v>
      </c>
      <c r="J1387" s="16" t="s">
        <v>48</v>
      </c>
      <c r="AG1387" s="15" t="s">
        <v>55</v>
      </c>
      <c r="AH1387" s="15"/>
      <c r="AI1387" s="15"/>
    </row>
    <row r="1388" spans="1:37" s="6" customFormat="1">
      <c r="A1388" s="6" t="s">
        <v>6214</v>
      </c>
      <c r="B1388" s="6" t="s">
        <v>6215</v>
      </c>
      <c r="C1388" s="6" t="s">
        <v>43</v>
      </c>
      <c r="D1388" s="6" t="s">
        <v>239</v>
      </c>
      <c r="E1388" s="6" t="s">
        <v>1540</v>
      </c>
      <c r="F1388" s="6" t="s">
        <v>46</v>
      </c>
      <c r="G1388" s="6" t="s">
        <v>6216</v>
      </c>
      <c r="H1388" s="7"/>
      <c r="I1388" s="6" t="s">
        <v>48</v>
      </c>
      <c r="J1388" s="6" t="s">
        <v>48</v>
      </c>
      <c r="AG1388" s="15" t="s">
        <v>55</v>
      </c>
      <c r="AH1388" s="15"/>
      <c r="AI1388" s="15"/>
    </row>
    <row r="1389" spans="1:37" s="6" customFormat="1">
      <c r="A1389" s="6" t="s">
        <v>6217</v>
      </c>
      <c r="B1389" s="6" t="s">
        <v>6218</v>
      </c>
      <c r="C1389" s="6" t="s">
        <v>2281</v>
      </c>
      <c r="D1389" s="6" t="s">
        <v>1645</v>
      </c>
      <c r="E1389" s="6" t="s">
        <v>2065</v>
      </c>
      <c r="F1389" s="6" t="s">
        <v>46</v>
      </c>
      <c r="G1389" s="6" t="s">
        <v>6219</v>
      </c>
      <c r="H1389" s="7"/>
      <c r="I1389" s="16" t="s">
        <v>48</v>
      </c>
      <c r="J1389" s="16" t="s">
        <v>48</v>
      </c>
      <c r="AG1389" s="15" t="s">
        <v>55</v>
      </c>
      <c r="AH1389" s="15"/>
      <c r="AI1389" s="15"/>
    </row>
    <row r="1390" spans="1:37" s="6" customFormat="1">
      <c r="A1390" s="6" t="s">
        <v>6220</v>
      </c>
      <c r="B1390" s="6" t="s">
        <v>6221</v>
      </c>
      <c r="C1390" s="6" t="s">
        <v>43</v>
      </c>
      <c r="D1390" s="6" t="s">
        <v>239</v>
      </c>
      <c r="E1390" s="6" t="s">
        <v>1540</v>
      </c>
      <c r="F1390" s="6" t="s">
        <v>46</v>
      </c>
      <c r="G1390" s="6" t="s">
        <v>6222</v>
      </c>
      <c r="H1390" s="7"/>
      <c r="I1390" s="16" t="s">
        <v>48</v>
      </c>
      <c r="J1390" s="16" t="s">
        <v>48</v>
      </c>
      <c r="AG1390" s="15" t="s">
        <v>55</v>
      </c>
      <c r="AH1390" s="15"/>
      <c r="AI1390" s="15"/>
    </row>
    <row r="1391" spans="1:37" s="6" customFormat="1">
      <c r="A1391" s="6" t="s">
        <v>6223</v>
      </c>
      <c r="B1391" s="6" t="s">
        <v>6224</v>
      </c>
      <c r="C1391" s="6" t="s">
        <v>2672</v>
      </c>
      <c r="D1391" s="6" t="s">
        <v>1390</v>
      </c>
      <c r="E1391" s="6" t="s">
        <v>1386</v>
      </c>
      <c r="F1391" s="6" t="s">
        <v>46</v>
      </c>
      <c r="G1391" s="6" t="s">
        <v>6225</v>
      </c>
      <c r="H1391" s="7"/>
      <c r="I1391" s="19" t="s">
        <v>48</v>
      </c>
      <c r="J1391" s="19" t="s">
        <v>48</v>
      </c>
      <c r="AG1391" s="15" t="s">
        <v>55</v>
      </c>
      <c r="AH1391" s="15"/>
      <c r="AI1391" s="15"/>
    </row>
    <row r="1392" spans="1:37" s="6" customFormat="1">
      <c r="A1392" s="5" t="s">
        <v>6226</v>
      </c>
      <c r="B1392" s="5" t="s">
        <v>6227</v>
      </c>
      <c r="C1392" s="6" t="s">
        <v>5639</v>
      </c>
      <c r="D1392" s="6" t="s">
        <v>1977</v>
      </c>
      <c r="E1392" s="6" t="s">
        <v>2139</v>
      </c>
      <c r="F1392" s="6" t="s">
        <v>46</v>
      </c>
      <c r="G1392" s="6" t="s">
        <v>6228</v>
      </c>
      <c r="H1392" s="7">
        <v>11.66</v>
      </c>
      <c r="I1392" s="19" t="s">
        <v>1589</v>
      </c>
      <c r="J1392" s="19" t="s">
        <v>2001</v>
      </c>
      <c r="K1392" s="20" t="s">
        <v>2002</v>
      </c>
      <c r="L1392" s="20" t="s">
        <v>2003</v>
      </c>
      <c r="M1392" s="20" t="s">
        <v>2004</v>
      </c>
      <c r="N1392" s="20" t="s">
        <v>2005</v>
      </c>
      <c r="O1392" s="20" t="s">
        <v>6229</v>
      </c>
      <c r="P1392" s="20" t="s">
        <v>6230</v>
      </c>
      <c r="Q1392" s="20" t="s">
        <v>6231</v>
      </c>
      <c r="R1392" s="5" t="s">
        <v>6232</v>
      </c>
      <c r="S1392" s="5"/>
      <c r="T1392" s="5"/>
      <c r="U1392" s="5"/>
      <c r="V1392" s="5"/>
      <c r="W1392" s="20" t="s">
        <v>2010</v>
      </c>
      <c r="X1392" s="20" t="s">
        <v>2011</v>
      </c>
      <c r="Y1392" s="20" t="s">
        <v>2012</v>
      </c>
      <c r="Z1392" s="20" t="s">
        <v>2013</v>
      </c>
      <c r="AA1392" s="5"/>
      <c r="AB1392" s="5"/>
      <c r="AC1392" s="5"/>
      <c r="AD1392" s="5"/>
      <c r="AE1392" s="5"/>
      <c r="AF1392" s="5"/>
      <c r="AG1392" s="14" t="s">
        <v>55</v>
      </c>
      <c r="AH1392" s="14" t="s">
        <v>1603</v>
      </c>
      <c r="AI1392" s="14" t="s">
        <v>124</v>
      </c>
      <c r="AJ1392" s="5"/>
      <c r="AK1392" s="5"/>
    </row>
    <row r="1393" spans="1:37">
      <c r="A1393" s="5" t="s">
        <v>6233</v>
      </c>
      <c r="B1393" s="5" t="s">
        <v>6227</v>
      </c>
      <c r="C1393" s="6" t="s">
        <v>5639</v>
      </c>
      <c r="D1393" s="6" t="s">
        <v>1977</v>
      </c>
      <c r="E1393" s="6" t="s">
        <v>1386</v>
      </c>
      <c r="F1393" s="6" t="s">
        <v>46</v>
      </c>
      <c r="G1393" s="6" t="s">
        <v>6064</v>
      </c>
      <c r="H1393" s="7">
        <v>11.66</v>
      </c>
      <c r="I1393" s="19" t="s">
        <v>1589</v>
      </c>
      <c r="J1393" s="19" t="s">
        <v>2001</v>
      </c>
      <c r="K1393" s="20" t="s">
        <v>2002</v>
      </c>
      <c r="L1393" s="20" t="s">
        <v>2003</v>
      </c>
      <c r="M1393" s="20" t="s">
        <v>2004</v>
      </c>
      <c r="N1393" s="20" t="s">
        <v>2005</v>
      </c>
      <c r="O1393" s="20" t="s">
        <v>6229</v>
      </c>
      <c r="P1393" s="20" t="s">
        <v>6230</v>
      </c>
      <c r="Q1393" s="20" t="s">
        <v>6231</v>
      </c>
      <c r="R1393" s="5" t="s">
        <v>6232</v>
      </c>
      <c r="W1393" s="20" t="s">
        <v>2010</v>
      </c>
      <c r="X1393" s="20" t="s">
        <v>2011</v>
      </c>
      <c r="Y1393" s="20" t="s">
        <v>2012</v>
      </c>
      <c r="Z1393" s="20" t="s">
        <v>2013</v>
      </c>
      <c r="AG1393" s="14" t="s">
        <v>55</v>
      </c>
      <c r="AH1393" s="14" t="s">
        <v>1603</v>
      </c>
      <c r="AI1393" s="14" t="s">
        <v>124</v>
      </c>
    </row>
    <row r="1394" spans="1:37">
      <c r="A1394" s="5" t="s">
        <v>6234</v>
      </c>
      <c r="B1394" s="5" t="s">
        <v>6227</v>
      </c>
      <c r="C1394" s="6" t="s">
        <v>5639</v>
      </c>
      <c r="D1394" s="6" t="s">
        <v>1977</v>
      </c>
      <c r="E1394" s="6" t="s">
        <v>2015</v>
      </c>
      <c r="F1394" s="6" t="s">
        <v>46</v>
      </c>
      <c r="G1394" s="6" t="s">
        <v>6050</v>
      </c>
      <c r="H1394" s="7">
        <v>11.66</v>
      </c>
      <c r="I1394" s="19" t="s">
        <v>1589</v>
      </c>
      <c r="J1394" s="19" t="s">
        <v>2001</v>
      </c>
      <c r="K1394" s="20" t="s">
        <v>2002</v>
      </c>
      <c r="L1394" s="20" t="s">
        <v>2003</v>
      </c>
      <c r="M1394" s="20" t="s">
        <v>2004</v>
      </c>
      <c r="N1394" s="20" t="s">
        <v>2005</v>
      </c>
      <c r="O1394" s="20" t="s">
        <v>6229</v>
      </c>
      <c r="P1394" s="20" t="s">
        <v>6230</v>
      </c>
      <c r="Q1394" s="20" t="s">
        <v>6231</v>
      </c>
      <c r="R1394" s="5" t="s">
        <v>6232</v>
      </c>
      <c r="W1394" s="20" t="s">
        <v>2010</v>
      </c>
      <c r="X1394" s="20" t="s">
        <v>2011</v>
      </c>
      <c r="Y1394" s="20" t="s">
        <v>2012</v>
      </c>
      <c r="Z1394" s="20" t="s">
        <v>2013</v>
      </c>
      <c r="AG1394" s="14" t="s">
        <v>55</v>
      </c>
      <c r="AH1394" s="14" t="s">
        <v>1603</v>
      </c>
      <c r="AI1394" s="14" t="s">
        <v>124</v>
      </c>
    </row>
    <row r="1395" spans="1:37">
      <c r="A1395" s="5" t="s">
        <v>6235</v>
      </c>
      <c r="B1395" s="5" t="s">
        <v>6236</v>
      </c>
      <c r="C1395" s="6" t="s">
        <v>43</v>
      </c>
      <c r="D1395" s="6" t="s">
        <v>1977</v>
      </c>
      <c r="E1395" s="6" t="s">
        <v>4069</v>
      </c>
      <c r="F1395" s="6" t="s">
        <v>46</v>
      </c>
      <c r="G1395" s="6" t="s">
        <v>6237</v>
      </c>
      <c r="H1395" s="7">
        <v>14.7</v>
      </c>
      <c r="I1395" s="19" t="s">
        <v>1589</v>
      </c>
      <c r="J1395" s="19" t="s">
        <v>2001</v>
      </c>
      <c r="K1395" s="20" t="s">
        <v>2023</v>
      </c>
      <c r="L1395" s="20" t="s">
        <v>2024</v>
      </c>
      <c r="M1395" s="20" t="s">
        <v>2025</v>
      </c>
      <c r="N1395" s="20" t="s">
        <v>2026</v>
      </c>
      <c r="O1395" s="20" t="s">
        <v>6238</v>
      </c>
      <c r="P1395" s="20" t="s">
        <v>6239</v>
      </c>
      <c r="Q1395" s="20" t="s">
        <v>6240</v>
      </c>
      <c r="R1395" s="5" t="s">
        <v>6241</v>
      </c>
      <c r="W1395" s="20" t="s">
        <v>2010</v>
      </c>
      <c r="X1395" s="20" t="s">
        <v>2011</v>
      </c>
      <c r="Y1395" s="20" t="s">
        <v>2012</v>
      </c>
      <c r="Z1395" s="20" t="s">
        <v>2013</v>
      </c>
      <c r="AG1395" s="14" t="s">
        <v>55</v>
      </c>
      <c r="AH1395" s="14" t="s">
        <v>1603</v>
      </c>
      <c r="AI1395" s="14" t="s">
        <v>124</v>
      </c>
    </row>
    <row r="1396" spans="1:37">
      <c r="A1396" s="5" t="s">
        <v>6242</v>
      </c>
      <c r="B1396" s="5" t="s">
        <v>6236</v>
      </c>
      <c r="C1396" s="6" t="s">
        <v>6243</v>
      </c>
      <c r="D1396" s="6" t="s">
        <v>1977</v>
      </c>
      <c r="E1396" s="6" t="s">
        <v>1386</v>
      </c>
      <c r="F1396" s="6" t="s">
        <v>46</v>
      </c>
      <c r="G1396" s="6" t="s">
        <v>6244</v>
      </c>
      <c r="H1396" s="7">
        <v>14.7</v>
      </c>
      <c r="I1396" s="19" t="s">
        <v>1589</v>
      </c>
      <c r="J1396" s="19" t="s">
        <v>2001</v>
      </c>
      <c r="K1396" s="20" t="s">
        <v>2023</v>
      </c>
      <c r="L1396" s="20" t="s">
        <v>2024</v>
      </c>
      <c r="M1396" s="20" t="s">
        <v>2025</v>
      </c>
      <c r="N1396" s="20" t="s">
        <v>2026</v>
      </c>
      <c r="O1396" s="20" t="s">
        <v>6238</v>
      </c>
      <c r="P1396" s="20" t="s">
        <v>6239</v>
      </c>
      <c r="Q1396" s="20" t="s">
        <v>6240</v>
      </c>
      <c r="R1396" s="5" t="s">
        <v>6241</v>
      </c>
      <c r="W1396" s="20" t="s">
        <v>2010</v>
      </c>
      <c r="X1396" s="20" t="s">
        <v>2011</v>
      </c>
      <c r="Y1396" s="20" t="s">
        <v>2012</v>
      </c>
      <c r="Z1396" s="20" t="s">
        <v>2013</v>
      </c>
      <c r="AG1396" s="14" t="s">
        <v>55</v>
      </c>
      <c r="AH1396" s="14" t="s">
        <v>1603</v>
      </c>
      <c r="AI1396" s="14" t="s">
        <v>124</v>
      </c>
    </row>
    <row r="1397" spans="1:37">
      <c r="A1397" s="5" t="s">
        <v>6245</v>
      </c>
      <c r="B1397" s="5" t="s">
        <v>6236</v>
      </c>
      <c r="C1397" s="6" t="s">
        <v>6243</v>
      </c>
      <c r="D1397" s="6" t="s">
        <v>1977</v>
      </c>
      <c r="E1397" s="6" t="s">
        <v>2015</v>
      </c>
      <c r="F1397" s="6" t="s">
        <v>46</v>
      </c>
      <c r="G1397" s="6" t="s">
        <v>6246</v>
      </c>
      <c r="H1397" s="7">
        <v>14.7</v>
      </c>
      <c r="I1397" s="19" t="s">
        <v>1589</v>
      </c>
      <c r="J1397" s="19" t="s">
        <v>2001</v>
      </c>
      <c r="K1397" s="20" t="s">
        <v>2023</v>
      </c>
      <c r="L1397" s="20" t="s">
        <v>2024</v>
      </c>
      <c r="M1397" s="20" t="s">
        <v>2025</v>
      </c>
      <c r="N1397" s="20" t="s">
        <v>2026</v>
      </c>
      <c r="O1397" s="20" t="s">
        <v>6238</v>
      </c>
      <c r="P1397" s="20" t="s">
        <v>6239</v>
      </c>
      <c r="Q1397" s="20" t="s">
        <v>6240</v>
      </c>
      <c r="R1397" s="5" t="s">
        <v>6241</v>
      </c>
      <c r="W1397" s="20" t="s">
        <v>2010</v>
      </c>
      <c r="X1397" s="20" t="s">
        <v>2011</v>
      </c>
      <c r="Y1397" s="20" t="s">
        <v>2012</v>
      </c>
      <c r="Z1397" s="20" t="s">
        <v>2013</v>
      </c>
      <c r="AG1397" s="14" t="s">
        <v>55</v>
      </c>
      <c r="AH1397" s="14" t="s">
        <v>1603</v>
      </c>
      <c r="AI1397" s="14" t="s">
        <v>124</v>
      </c>
    </row>
    <row r="1398" spans="1:37">
      <c r="A1398" s="5" t="s">
        <v>6247</v>
      </c>
      <c r="B1398" s="5" t="s">
        <v>6248</v>
      </c>
      <c r="C1398" s="6" t="s">
        <v>43</v>
      </c>
      <c r="D1398" s="6" t="s">
        <v>1977</v>
      </c>
      <c r="E1398" s="6" t="s">
        <v>1386</v>
      </c>
      <c r="F1398" s="6" t="s">
        <v>46</v>
      </c>
      <c r="G1398" s="6" t="s">
        <v>6249</v>
      </c>
      <c r="H1398" s="7">
        <v>15.49</v>
      </c>
      <c r="I1398" s="19" t="s">
        <v>1589</v>
      </c>
      <c r="J1398" s="19" t="s">
        <v>2001</v>
      </c>
      <c r="K1398" s="20" t="s">
        <v>2036</v>
      </c>
      <c r="L1398" s="20" t="s">
        <v>2037</v>
      </c>
      <c r="M1398" s="20" t="s">
        <v>2038</v>
      </c>
      <c r="N1398" s="20" t="s">
        <v>2039</v>
      </c>
      <c r="O1398" s="20" t="s">
        <v>6250</v>
      </c>
      <c r="P1398" s="20" t="s">
        <v>6251</v>
      </c>
      <c r="Q1398" s="20" t="s">
        <v>6252</v>
      </c>
      <c r="R1398" s="5" t="s">
        <v>6253</v>
      </c>
      <c r="W1398" s="20" t="s">
        <v>2010</v>
      </c>
      <c r="X1398" s="20" t="s">
        <v>2011</v>
      </c>
      <c r="Y1398" s="20" t="s">
        <v>2012</v>
      </c>
      <c r="Z1398" s="20" t="s">
        <v>2013</v>
      </c>
      <c r="AG1398" s="14" t="s">
        <v>55</v>
      </c>
      <c r="AH1398" s="14" t="s">
        <v>1603</v>
      </c>
      <c r="AI1398" s="14" t="s">
        <v>124</v>
      </c>
    </row>
    <row r="1399" spans="1:37">
      <c r="A1399" s="5" t="s">
        <v>6254</v>
      </c>
      <c r="B1399" s="5" t="s">
        <v>6248</v>
      </c>
      <c r="C1399" s="6" t="s">
        <v>43</v>
      </c>
      <c r="D1399" s="6" t="s">
        <v>1977</v>
      </c>
      <c r="E1399" s="6" t="s">
        <v>2015</v>
      </c>
      <c r="F1399" s="6" t="s">
        <v>46</v>
      </c>
      <c r="G1399" s="6" t="s">
        <v>6255</v>
      </c>
      <c r="H1399" s="7">
        <v>15.49</v>
      </c>
      <c r="I1399" s="19" t="s">
        <v>1589</v>
      </c>
      <c r="J1399" s="19" t="s">
        <v>2001</v>
      </c>
      <c r="K1399" s="20" t="s">
        <v>2036</v>
      </c>
      <c r="L1399" s="20" t="s">
        <v>2037</v>
      </c>
      <c r="M1399" s="20" t="s">
        <v>2038</v>
      </c>
      <c r="N1399" s="20" t="s">
        <v>2039</v>
      </c>
      <c r="O1399" s="20" t="s">
        <v>6250</v>
      </c>
      <c r="P1399" s="20" t="s">
        <v>6251</v>
      </c>
      <c r="Q1399" s="20" t="s">
        <v>6252</v>
      </c>
      <c r="R1399" s="5" t="s">
        <v>6253</v>
      </c>
      <c r="W1399" s="20" t="s">
        <v>2010</v>
      </c>
      <c r="X1399" s="20" t="s">
        <v>2011</v>
      </c>
      <c r="Y1399" s="20" t="s">
        <v>2012</v>
      </c>
      <c r="Z1399" s="20" t="s">
        <v>2013</v>
      </c>
      <c r="AG1399" s="14" t="s">
        <v>55</v>
      </c>
      <c r="AH1399" s="14" t="s">
        <v>1603</v>
      </c>
      <c r="AI1399" s="14" t="s">
        <v>124</v>
      </c>
    </row>
    <row r="1400" spans="1:37">
      <c r="A1400" s="5" t="s">
        <v>6256</v>
      </c>
      <c r="B1400" s="5" t="s">
        <v>6257</v>
      </c>
      <c r="C1400" s="6" t="s">
        <v>43</v>
      </c>
      <c r="D1400" s="6" t="s">
        <v>1977</v>
      </c>
      <c r="E1400" s="6" t="s">
        <v>1386</v>
      </c>
      <c r="F1400" s="6" t="s">
        <v>46</v>
      </c>
      <c r="G1400" s="6" t="s">
        <v>6258</v>
      </c>
      <c r="H1400" s="7">
        <v>26.75</v>
      </c>
      <c r="I1400" s="19" t="s">
        <v>1589</v>
      </c>
      <c r="J1400" s="19" t="s">
        <v>2001</v>
      </c>
      <c r="K1400" s="20" t="s">
        <v>2054</v>
      </c>
      <c r="L1400" s="20" t="s">
        <v>2055</v>
      </c>
      <c r="M1400" s="20" t="s">
        <v>2056</v>
      </c>
      <c r="N1400" s="20" t="s">
        <v>2057</v>
      </c>
      <c r="O1400" s="20" t="s">
        <v>6259</v>
      </c>
      <c r="P1400" s="20" t="s">
        <v>6260</v>
      </c>
      <c r="Q1400" s="20" t="s">
        <v>6261</v>
      </c>
      <c r="R1400" s="5" t="s">
        <v>6262</v>
      </c>
      <c r="W1400" s="20" t="s">
        <v>2010</v>
      </c>
      <c r="X1400" s="20" t="s">
        <v>2011</v>
      </c>
      <c r="Y1400" s="20" t="s">
        <v>2012</v>
      </c>
      <c r="Z1400" s="20" t="s">
        <v>2013</v>
      </c>
      <c r="AG1400" s="14" t="s">
        <v>55</v>
      </c>
      <c r="AH1400" s="14" t="s">
        <v>1603</v>
      </c>
      <c r="AI1400" s="14" t="s">
        <v>124</v>
      </c>
    </row>
    <row r="1401" spans="1:37">
      <c r="A1401" s="5" t="s">
        <v>6263</v>
      </c>
      <c r="B1401" s="5" t="s">
        <v>6257</v>
      </c>
      <c r="C1401" s="6" t="s">
        <v>43</v>
      </c>
      <c r="D1401" s="6" t="s">
        <v>1977</v>
      </c>
      <c r="E1401" s="6" t="s">
        <v>2015</v>
      </c>
      <c r="F1401" s="6" t="s">
        <v>46</v>
      </c>
      <c r="G1401" s="6" t="s">
        <v>6264</v>
      </c>
      <c r="H1401" s="7">
        <v>26.75</v>
      </c>
      <c r="I1401" s="19" t="s">
        <v>1589</v>
      </c>
      <c r="J1401" s="19" t="s">
        <v>2001</v>
      </c>
      <c r="K1401" s="20" t="s">
        <v>2054</v>
      </c>
      <c r="L1401" s="20" t="s">
        <v>2055</v>
      </c>
      <c r="M1401" s="20" t="s">
        <v>2056</v>
      </c>
      <c r="N1401" s="20" t="s">
        <v>2057</v>
      </c>
      <c r="O1401" s="20" t="s">
        <v>6259</v>
      </c>
      <c r="P1401" s="20" t="s">
        <v>6260</v>
      </c>
      <c r="Q1401" s="20" t="s">
        <v>6261</v>
      </c>
      <c r="R1401" s="5" t="s">
        <v>6262</v>
      </c>
      <c r="W1401" s="20" t="s">
        <v>2010</v>
      </c>
      <c r="X1401" s="20" t="s">
        <v>2011</v>
      </c>
      <c r="Y1401" s="20" t="s">
        <v>2012</v>
      </c>
      <c r="Z1401" s="20" t="s">
        <v>2013</v>
      </c>
      <c r="AG1401" s="14" t="s">
        <v>55</v>
      </c>
      <c r="AH1401" s="14" t="s">
        <v>1603</v>
      </c>
      <c r="AI1401" s="14" t="s">
        <v>124</v>
      </c>
    </row>
    <row r="1402" spans="1:37">
      <c r="A1402" s="5" t="s">
        <v>6265</v>
      </c>
      <c r="B1402" s="5" t="s">
        <v>6266</v>
      </c>
      <c r="C1402" s="6" t="s">
        <v>43</v>
      </c>
      <c r="D1402" s="6" t="s">
        <v>1977</v>
      </c>
      <c r="E1402" s="6" t="s">
        <v>2065</v>
      </c>
      <c r="F1402" s="6" t="s">
        <v>46</v>
      </c>
      <c r="G1402" s="6" t="s">
        <v>6267</v>
      </c>
      <c r="H1402" s="7">
        <v>26.75</v>
      </c>
      <c r="I1402" s="19" t="s">
        <v>1589</v>
      </c>
      <c r="J1402" s="19" t="s">
        <v>2001</v>
      </c>
      <c r="K1402" s="20" t="s">
        <v>2054</v>
      </c>
      <c r="L1402" s="20" t="s">
        <v>2055</v>
      </c>
      <c r="M1402" s="20" t="s">
        <v>2056</v>
      </c>
      <c r="N1402" s="20" t="s">
        <v>2057</v>
      </c>
      <c r="O1402" s="20" t="s">
        <v>6259</v>
      </c>
      <c r="P1402" s="20" t="s">
        <v>6260</v>
      </c>
      <c r="Q1402" s="20" t="s">
        <v>6261</v>
      </c>
      <c r="R1402" s="5" t="s">
        <v>6262</v>
      </c>
      <c r="W1402" s="20" t="s">
        <v>2010</v>
      </c>
      <c r="X1402" s="20" t="s">
        <v>2011</v>
      </c>
      <c r="Y1402" s="20" t="s">
        <v>2012</v>
      </c>
      <c r="Z1402" s="20" t="s">
        <v>2013</v>
      </c>
      <c r="AG1402" s="14" t="s">
        <v>55</v>
      </c>
      <c r="AH1402" s="14" t="s">
        <v>1603</v>
      </c>
      <c r="AI1402" s="14" t="s">
        <v>124</v>
      </c>
    </row>
    <row r="1403" spans="1:37">
      <c r="A1403" s="6" t="s">
        <v>6268</v>
      </c>
      <c r="B1403" s="6" t="s">
        <v>6269</v>
      </c>
      <c r="C1403" s="6" t="s">
        <v>3161</v>
      </c>
      <c r="D1403" s="6" t="s">
        <v>2069</v>
      </c>
      <c r="E1403" s="6" t="s">
        <v>1540</v>
      </c>
      <c r="F1403" s="6" t="s">
        <v>46</v>
      </c>
      <c r="G1403" s="6" t="s">
        <v>6270</v>
      </c>
      <c r="I1403" s="6" t="s">
        <v>48</v>
      </c>
      <c r="J1403" s="6" t="s">
        <v>48</v>
      </c>
      <c r="K1403" s="6"/>
      <c r="L1403" s="6"/>
      <c r="M1403" s="6"/>
      <c r="N1403" s="6"/>
      <c r="O1403" s="6"/>
      <c r="P1403" s="6"/>
      <c r="Q1403" s="6"/>
      <c r="R1403" s="6"/>
      <c r="S1403" s="6"/>
      <c r="T1403" s="6"/>
      <c r="U1403" s="6"/>
      <c r="V1403" s="6"/>
      <c r="W1403" s="6"/>
      <c r="X1403" s="6"/>
      <c r="Y1403" s="6"/>
      <c r="Z1403" s="6"/>
      <c r="AA1403" s="6"/>
      <c r="AB1403" s="6"/>
      <c r="AC1403" s="6"/>
      <c r="AD1403" s="6"/>
      <c r="AE1403" s="6"/>
      <c r="AF1403" s="6"/>
      <c r="AG1403" s="15" t="s">
        <v>55</v>
      </c>
      <c r="AH1403" s="15"/>
      <c r="AI1403" s="15"/>
      <c r="AJ1403" s="6"/>
      <c r="AK1403" s="6"/>
    </row>
    <row r="1404" spans="1:37" s="6" customFormat="1">
      <c r="A1404" s="5" t="s">
        <v>6271</v>
      </c>
      <c r="B1404" s="5" t="s">
        <v>6272</v>
      </c>
      <c r="C1404" s="6" t="s">
        <v>43</v>
      </c>
      <c r="D1404" s="6" t="s">
        <v>2069</v>
      </c>
      <c r="E1404" s="6" t="s">
        <v>2070</v>
      </c>
      <c r="F1404" s="6" t="s">
        <v>46</v>
      </c>
      <c r="G1404" s="6" t="s">
        <v>6273</v>
      </c>
      <c r="H1404" s="7">
        <v>23.83</v>
      </c>
      <c r="I1404" s="19" t="s">
        <v>1589</v>
      </c>
      <c r="J1404" s="19" t="s">
        <v>2078</v>
      </c>
      <c r="K1404" s="5" t="s">
        <v>2079</v>
      </c>
      <c r="L1404" s="5" t="s">
        <v>2080</v>
      </c>
      <c r="M1404" s="5" t="s">
        <v>2081</v>
      </c>
      <c r="N1404" s="5" t="s">
        <v>2082</v>
      </c>
      <c r="O1404" s="5" t="s">
        <v>6274</v>
      </c>
      <c r="P1404" s="5" t="s">
        <v>6275</v>
      </c>
      <c r="Q1404" s="5" t="s">
        <v>6276</v>
      </c>
      <c r="R1404" s="5"/>
      <c r="S1404" s="5"/>
      <c r="T1404" s="5"/>
      <c r="U1404" s="5"/>
      <c r="V1404" s="5"/>
      <c r="W1404" s="5"/>
      <c r="X1404" s="5"/>
      <c r="Y1404" s="5" t="s">
        <v>2086</v>
      </c>
      <c r="Z1404" s="5"/>
      <c r="AA1404" s="5"/>
      <c r="AB1404" s="5"/>
      <c r="AC1404" s="5"/>
      <c r="AD1404" s="5"/>
      <c r="AE1404" s="5"/>
      <c r="AF1404" s="5"/>
      <c r="AG1404" s="14" t="s">
        <v>55</v>
      </c>
      <c r="AH1404" s="14" t="s">
        <v>1603</v>
      </c>
      <c r="AI1404" s="14" t="s">
        <v>2087</v>
      </c>
      <c r="AJ1404" s="5"/>
      <c r="AK1404" s="5"/>
    </row>
    <row r="1405" spans="1:37">
      <c r="A1405" s="5" t="s">
        <v>6277</v>
      </c>
      <c r="B1405" s="5" t="s">
        <v>6278</v>
      </c>
      <c r="C1405" s="6" t="s">
        <v>43</v>
      </c>
      <c r="D1405" s="6" t="s">
        <v>2114</v>
      </c>
      <c r="E1405" s="6" t="s">
        <v>1386</v>
      </c>
      <c r="F1405" s="6" t="s">
        <v>46</v>
      </c>
      <c r="G1405" s="6" t="s">
        <v>6279</v>
      </c>
      <c r="H1405" s="7">
        <v>13.31</v>
      </c>
      <c r="I1405" s="19" t="s">
        <v>1589</v>
      </c>
      <c r="J1405" s="19" t="s">
        <v>2001</v>
      </c>
      <c r="K1405" s="5" t="s">
        <v>2116</v>
      </c>
      <c r="L1405" s="5" t="s">
        <v>2117</v>
      </c>
      <c r="M1405" s="5" t="s">
        <v>2118</v>
      </c>
      <c r="N1405" s="5" t="s">
        <v>2119</v>
      </c>
      <c r="O1405" s="5" t="s">
        <v>6280</v>
      </c>
      <c r="P1405" s="5" t="s">
        <v>6281</v>
      </c>
      <c r="Q1405" s="5" t="s">
        <v>6282</v>
      </c>
      <c r="R1405" s="5"/>
      <c r="W1405" s="5" t="s">
        <v>2123</v>
      </c>
      <c r="X1405" s="5" t="s">
        <v>2011</v>
      </c>
      <c r="Y1405" s="5" t="s">
        <v>2012</v>
      </c>
      <c r="Z1405" s="5" t="s">
        <v>2013</v>
      </c>
      <c r="AG1405" s="14" t="s">
        <v>55</v>
      </c>
      <c r="AH1405" s="14" t="s">
        <v>1603</v>
      </c>
      <c r="AI1405" s="14" t="s">
        <v>124</v>
      </c>
    </row>
    <row r="1406" spans="1:37">
      <c r="A1406" s="5" t="s">
        <v>6283</v>
      </c>
      <c r="B1406" s="5" t="s">
        <v>6278</v>
      </c>
      <c r="C1406" s="6" t="s">
        <v>5663</v>
      </c>
      <c r="D1406" s="6" t="s">
        <v>2114</v>
      </c>
      <c r="E1406" s="6" t="s">
        <v>2015</v>
      </c>
      <c r="F1406" s="6" t="s">
        <v>46</v>
      </c>
      <c r="G1406" s="6" t="s">
        <v>6284</v>
      </c>
      <c r="H1406" s="7">
        <v>13.31</v>
      </c>
      <c r="I1406" s="19" t="s">
        <v>1589</v>
      </c>
      <c r="J1406" s="19" t="s">
        <v>2001</v>
      </c>
      <c r="K1406" s="5" t="s">
        <v>2116</v>
      </c>
      <c r="L1406" s="5" t="s">
        <v>2117</v>
      </c>
      <c r="M1406" s="5" t="s">
        <v>2118</v>
      </c>
      <c r="N1406" s="5" t="s">
        <v>2119</v>
      </c>
      <c r="O1406" s="5" t="s">
        <v>6280</v>
      </c>
      <c r="P1406" s="5" t="s">
        <v>6281</v>
      </c>
      <c r="Q1406" s="5" t="s">
        <v>6282</v>
      </c>
      <c r="R1406" s="5"/>
      <c r="W1406" s="5" t="s">
        <v>2123</v>
      </c>
      <c r="X1406" s="5" t="s">
        <v>2011</v>
      </c>
      <c r="Y1406" s="5" t="s">
        <v>2012</v>
      </c>
      <c r="Z1406" s="5" t="s">
        <v>2013</v>
      </c>
      <c r="AG1406" s="14" t="s">
        <v>55</v>
      </c>
      <c r="AH1406" s="14" t="s">
        <v>1603</v>
      </c>
      <c r="AI1406" s="14" t="s">
        <v>124</v>
      </c>
    </row>
    <row r="1407" spans="1:37">
      <c r="A1407" s="5" t="s">
        <v>6285</v>
      </c>
      <c r="B1407" s="5" t="s">
        <v>6286</v>
      </c>
      <c r="C1407" s="6" t="s">
        <v>43</v>
      </c>
      <c r="D1407" s="6" t="s">
        <v>2114</v>
      </c>
      <c r="E1407" s="6" t="s">
        <v>1386</v>
      </c>
      <c r="F1407" s="6" t="s">
        <v>46</v>
      </c>
      <c r="G1407" s="6" t="s">
        <v>6287</v>
      </c>
      <c r="H1407" s="7">
        <v>17.34</v>
      </c>
      <c r="I1407" s="19" t="s">
        <v>1589</v>
      </c>
      <c r="J1407" s="19" t="s">
        <v>2001</v>
      </c>
      <c r="K1407" s="5" t="s">
        <v>2131</v>
      </c>
      <c r="L1407" s="5" t="s">
        <v>2132</v>
      </c>
      <c r="M1407" s="5" t="s">
        <v>2133</v>
      </c>
      <c r="N1407" s="5" t="s">
        <v>2134</v>
      </c>
      <c r="O1407" s="5" t="s">
        <v>6288</v>
      </c>
      <c r="P1407" s="5" t="s">
        <v>6289</v>
      </c>
      <c r="Q1407" s="5" t="s">
        <v>6290</v>
      </c>
      <c r="R1407" s="5"/>
      <c r="W1407" s="5" t="s">
        <v>2123</v>
      </c>
      <c r="X1407" s="5" t="s">
        <v>2011</v>
      </c>
      <c r="Y1407" s="5" t="s">
        <v>2012</v>
      </c>
      <c r="Z1407" s="5" t="s">
        <v>2013</v>
      </c>
      <c r="AG1407" s="14" t="s">
        <v>55</v>
      </c>
      <c r="AH1407" s="14" t="s">
        <v>1603</v>
      </c>
      <c r="AI1407" s="14" t="s">
        <v>124</v>
      </c>
    </row>
    <row r="1408" spans="1:37">
      <c r="A1408" s="5" t="s">
        <v>6291</v>
      </c>
      <c r="B1408" s="5" t="s">
        <v>6286</v>
      </c>
      <c r="C1408" s="6" t="s">
        <v>43</v>
      </c>
      <c r="D1408" s="6" t="s">
        <v>2114</v>
      </c>
      <c r="E1408" s="6" t="s">
        <v>2015</v>
      </c>
      <c r="F1408" s="6" t="s">
        <v>46</v>
      </c>
      <c r="G1408" s="6" t="s">
        <v>6292</v>
      </c>
      <c r="H1408" s="7">
        <v>17.34</v>
      </c>
      <c r="I1408" s="19" t="s">
        <v>1589</v>
      </c>
      <c r="J1408" s="19" t="s">
        <v>2001</v>
      </c>
      <c r="K1408" s="5" t="s">
        <v>2131</v>
      </c>
      <c r="L1408" s="5" t="s">
        <v>2132</v>
      </c>
      <c r="M1408" s="5" t="s">
        <v>2133</v>
      </c>
      <c r="N1408" s="5" t="s">
        <v>2134</v>
      </c>
      <c r="O1408" s="5" t="s">
        <v>6288</v>
      </c>
      <c r="P1408" s="5" t="s">
        <v>6289</v>
      </c>
      <c r="Q1408" s="5" t="s">
        <v>6290</v>
      </c>
      <c r="R1408" s="5"/>
      <c r="W1408" s="5" t="s">
        <v>2123</v>
      </c>
      <c r="X1408" s="5" t="s">
        <v>2011</v>
      </c>
      <c r="Y1408" s="5" t="s">
        <v>2012</v>
      </c>
      <c r="Z1408" s="5" t="s">
        <v>2013</v>
      </c>
      <c r="AG1408" s="14" t="s">
        <v>55</v>
      </c>
      <c r="AH1408" s="14" t="s">
        <v>1603</v>
      </c>
      <c r="AI1408" s="14" t="s">
        <v>124</v>
      </c>
    </row>
    <row r="1409" spans="1:37">
      <c r="A1409" s="5" t="s">
        <v>6293</v>
      </c>
      <c r="B1409" s="5" t="s">
        <v>6286</v>
      </c>
      <c r="C1409" s="6" t="s">
        <v>43</v>
      </c>
      <c r="D1409" s="6" t="s">
        <v>2114</v>
      </c>
      <c r="E1409" s="6" t="s">
        <v>1386</v>
      </c>
      <c r="F1409" s="6" t="s">
        <v>46</v>
      </c>
      <c r="G1409" s="6" t="s">
        <v>6294</v>
      </c>
      <c r="H1409" s="7">
        <v>17.34</v>
      </c>
      <c r="I1409" s="19" t="s">
        <v>1589</v>
      </c>
      <c r="J1409" s="19" t="s">
        <v>2001</v>
      </c>
      <c r="K1409" s="5" t="s">
        <v>2131</v>
      </c>
      <c r="L1409" s="5" t="s">
        <v>2132</v>
      </c>
      <c r="M1409" s="5" t="s">
        <v>2133</v>
      </c>
      <c r="N1409" s="5" t="s">
        <v>2134</v>
      </c>
      <c r="O1409" s="5" t="s">
        <v>6288</v>
      </c>
      <c r="P1409" s="5" t="s">
        <v>6289</v>
      </c>
      <c r="Q1409" s="5" t="s">
        <v>6290</v>
      </c>
      <c r="R1409" s="5"/>
      <c r="W1409" s="5" t="s">
        <v>2123</v>
      </c>
      <c r="X1409" s="5" t="s">
        <v>2011</v>
      </c>
      <c r="Y1409" s="5" t="s">
        <v>2012</v>
      </c>
      <c r="Z1409" s="5" t="s">
        <v>2013</v>
      </c>
      <c r="AG1409" s="14" t="s">
        <v>55</v>
      </c>
      <c r="AH1409" s="14" t="s">
        <v>1603</v>
      </c>
      <c r="AI1409" s="14" t="s">
        <v>124</v>
      </c>
    </row>
    <row r="1410" spans="1:37">
      <c r="A1410" s="5" t="s">
        <v>6295</v>
      </c>
      <c r="B1410" s="5" t="s">
        <v>6296</v>
      </c>
      <c r="C1410" s="6" t="s">
        <v>43</v>
      </c>
      <c r="D1410" s="6" t="s">
        <v>2114</v>
      </c>
      <c r="E1410" s="6" t="s">
        <v>1386</v>
      </c>
      <c r="F1410" s="6" t="s">
        <v>46</v>
      </c>
      <c r="G1410" s="6" t="s">
        <v>6297</v>
      </c>
      <c r="H1410" s="7">
        <v>18.3</v>
      </c>
      <c r="I1410" s="19" t="s">
        <v>1589</v>
      </c>
      <c r="J1410" s="19" t="s">
        <v>2001</v>
      </c>
      <c r="K1410" s="6" t="s">
        <v>2148</v>
      </c>
      <c r="L1410" s="6" t="s">
        <v>2149</v>
      </c>
      <c r="M1410" s="6" t="s">
        <v>2150</v>
      </c>
      <c r="N1410" s="6" t="s">
        <v>2151</v>
      </c>
      <c r="O1410" s="6" t="s">
        <v>6298</v>
      </c>
      <c r="P1410" s="6" t="s">
        <v>6299</v>
      </c>
      <c r="Q1410" s="6" t="s">
        <v>6300</v>
      </c>
      <c r="R1410" s="5"/>
      <c r="W1410" s="20" t="s">
        <v>2010</v>
      </c>
      <c r="X1410" s="20" t="s">
        <v>2011</v>
      </c>
      <c r="Y1410" s="20" t="s">
        <v>2012</v>
      </c>
      <c r="Z1410" s="20" t="s">
        <v>2013</v>
      </c>
      <c r="AG1410" s="14" t="s">
        <v>55</v>
      </c>
      <c r="AH1410" s="14" t="s">
        <v>1603</v>
      </c>
      <c r="AI1410" s="14" t="s">
        <v>124</v>
      </c>
    </row>
    <row r="1411" spans="1:37">
      <c r="A1411" s="5" t="s">
        <v>6301</v>
      </c>
      <c r="B1411" s="5" t="s">
        <v>6296</v>
      </c>
      <c r="C1411" s="6" t="s">
        <v>43</v>
      </c>
      <c r="D1411" s="6" t="s">
        <v>2114</v>
      </c>
      <c r="E1411" s="6" t="s">
        <v>2015</v>
      </c>
      <c r="F1411" s="6" t="s">
        <v>46</v>
      </c>
      <c r="G1411" s="6" t="s">
        <v>6302</v>
      </c>
      <c r="H1411" s="7">
        <v>18.3</v>
      </c>
      <c r="I1411" s="19" t="s">
        <v>1589</v>
      </c>
      <c r="J1411" s="19" t="s">
        <v>2001</v>
      </c>
      <c r="K1411" s="6" t="s">
        <v>2148</v>
      </c>
      <c r="L1411" s="6" t="s">
        <v>2149</v>
      </c>
      <c r="M1411" s="6" t="s">
        <v>2150</v>
      </c>
      <c r="N1411" s="6" t="s">
        <v>2151</v>
      </c>
      <c r="O1411" s="6" t="s">
        <v>6298</v>
      </c>
      <c r="P1411" s="6" t="s">
        <v>6299</v>
      </c>
      <c r="Q1411" s="6" t="s">
        <v>6300</v>
      </c>
      <c r="R1411" s="5"/>
      <c r="W1411" s="20" t="s">
        <v>2010</v>
      </c>
      <c r="X1411" s="20" t="s">
        <v>2011</v>
      </c>
      <c r="Y1411" s="20" t="s">
        <v>2012</v>
      </c>
      <c r="Z1411" s="20" t="s">
        <v>2013</v>
      </c>
      <c r="AG1411" s="14" t="s">
        <v>55</v>
      </c>
      <c r="AH1411" s="14" t="s">
        <v>1603</v>
      </c>
      <c r="AI1411" s="14" t="s">
        <v>124</v>
      </c>
    </row>
    <row r="1412" spans="1:37">
      <c r="A1412" s="5" t="s">
        <v>6303</v>
      </c>
      <c r="B1412" s="5" t="s">
        <v>6296</v>
      </c>
      <c r="C1412" s="6" t="s">
        <v>43</v>
      </c>
      <c r="D1412" s="6" t="s">
        <v>2114</v>
      </c>
      <c r="E1412" s="6" t="s">
        <v>2015</v>
      </c>
      <c r="F1412" s="6" t="s">
        <v>46</v>
      </c>
      <c r="G1412" s="6" t="s">
        <v>6304</v>
      </c>
      <c r="H1412" s="7">
        <v>18.3</v>
      </c>
      <c r="I1412" s="19" t="s">
        <v>1589</v>
      </c>
      <c r="J1412" s="19" t="s">
        <v>2001</v>
      </c>
      <c r="K1412" s="6" t="s">
        <v>2148</v>
      </c>
      <c r="L1412" s="6" t="s">
        <v>2149</v>
      </c>
      <c r="M1412" s="6" t="s">
        <v>2150</v>
      </c>
      <c r="N1412" s="6" t="s">
        <v>2151</v>
      </c>
      <c r="O1412" s="6" t="s">
        <v>6298</v>
      </c>
      <c r="P1412" s="6" t="s">
        <v>6299</v>
      </c>
      <c r="Q1412" s="6" t="s">
        <v>6300</v>
      </c>
      <c r="R1412" s="5"/>
      <c r="W1412" s="20" t="s">
        <v>2010</v>
      </c>
      <c r="X1412" s="20" t="s">
        <v>2011</v>
      </c>
      <c r="Y1412" s="20" t="s">
        <v>2012</v>
      </c>
      <c r="Z1412" s="20" t="s">
        <v>2013</v>
      </c>
      <c r="AG1412" s="14" t="s">
        <v>55</v>
      </c>
      <c r="AH1412" s="14" t="s">
        <v>1603</v>
      </c>
      <c r="AI1412" s="14" t="s">
        <v>124</v>
      </c>
    </row>
    <row r="1413" spans="1:37">
      <c r="A1413" s="5" t="s">
        <v>6305</v>
      </c>
      <c r="B1413" s="5" t="s">
        <v>6306</v>
      </c>
      <c r="C1413" s="6" t="s">
        <v>43</v>
      </c>
      <c r="D1413" s="6" t="s">
        <v>2114</v>
      </c>
      <c r="E1413" s="6" t="s">
        <v>1386</v>
      </c>
      <c r="F1413" s="6" t="s">
        <v>46</v>
      </c>
      <c r="G1413" s="6" t="s">
        <v>6307</v>
      </c>
      <c r="H1413" s="7">
        <v>21.78</v>
      </c>
      <c r="I1413" s="19" t="s">
        <v>1589</v>
      </c>
      <c r="J1413" s="19" t="s">
        <v>2162</v>
      </c>
      <c r="K1413" s="5" t="s">
        <v>2163</v>
      </c>
      <c r="L1413" s="5" t="s">
        <v>2164</v>
      </c>
      <c r="M1413" s="5" t="s">
        <v>2165</v>
      </c>
      <c r="N1413" s="5" t="s">
        <v>2166</v>
      </c>
      <c r="O1413" s="5" t="s">
        <v>6308</v>
      </c>
      <c r="P1413" s="5" t="s">
        <v>6309</v>
      </c>
      <c r="Q1413" s="5" t="s">
        <v>6310</v>
      </c>
      <c r="R1413" s="5"/>
      <c r="W1413" s="5" t="s">
        <v>2170</v>
      </c>
      <c r="X1413" s="5" t="s">
        <v>2171</v>
      </c>
      <c r="Y1413" s="5" t="s">
        <v>2172</v>
      </c>
      <c r="Z1413" s="5" t="s">
        <v>2173</v>
      </c>
      <c r="AG1413" s="14" t="s">
        <v>55</v>
      </c>
      <c r="AH1413" s="14" t="s">
        <v>1603</v>
      </c>
      <c r="AI1413" s="14" t="s">
        <v>124</v>
      </c>
    </row>
    <row r="1414" spans="1:37">
      <c r="A1414" s="5" t="s">
        <v>6311</v>
      </c>
      <c r="B1414" s="5" t="s">
        <v>6312</v>
      </c>
      <c r="C1414" s="6" t="s">
        <v>43</v>
      </c>
      <c r="D1414" s="6" t="s">
        <v>2114</v>
      </c>
      <c r="E1414" s="6" t="s">
        <v>2015</v>
      </c>
      <c r="F1414" s="6" t="s">
        <v>46</v>
      </c>
      <c r="G1414" s="6" t="s">
        <v>6313</v>
      </c>
      <c r="H1414" s="7">
        <v>37.880000000000003</v>
      </c>
      <c r="I1414" s="19" t="s">
        <v>1589</v>
      </c>
      <c r="J1414" s="19" t="s">
        <v>2001</v>
      </c>
      <c r="K1414" s="6" t="s">
        <v>4178</v>
      </c>
      <c r="L1414" s="6" t="s">
        <v>4179</v>
      </c>
      <c r="M1414" s="6" t="s">
        <v>4180</v>
      </c>
      <c r="N1414" s="6" t="s">
        <v>4181</v>
      </c>
      <c r="O1414" s="6" t="s">
        <v>6314</v>
      </c>
      <c r="P1414" s="6" t="s">
        <v>6315</v>
      </c>
      <c r="Q1414" s="6" t="s">
        <v>6316</v>
      </c>
      <c r="R1414" s="5"/>
      <c r="AG1414" s="14" t="s">
        <v>55</v>
      </c>
      <c r="AH1414" s="14" t="s">
        <v>1603</v>
      </c>
      <c r="AI1414" s="14" t="s">
        <v>124</v>
      </c>
    </row>
    <row r="1415" spans="1:37">
      <c r="A1415" s="6" t="s">
        <v>6317</v>
      </c>
      <c r="B1415" s="6" t="s">
        <v>6318</v>
      </c>
      <c r="C1415" s="6" t="s">
        <v>43</v>
      </c>
      <c r="D1415" s="6" t="s">
        <v>239</v>
      </c>
      <c r="E1415" s="6" t="s">
        <v>1540</v>
      </c>
      <c r="F1415" s="6" t="s">
        <v>46</v>
      </c>
      <c r="G1415" s="6" t="s">
        <v>6319</v>
      </c>
      <c r="I1415" s="6" t="s">
        <v>48</v>
      </c>
      <c r="J1415" s="6" t="s">
        <v>48</v>
      </c>
      <c r="K1415" s="6"/>
      <c r="L1415" s="6"/>
      <c r="M1415" s="6"/>
      <c r="N1415" s="6"/>
      <c r="O1415" s="6"/>
      <c r="P1415" s="6"/>
      <c r="Q1415" s="6"/>
      <c r="R1415" s="6"/>
      <c r="S1415" s="6"/>
      <c r="T1415" s="6"/>
      <c r="U1415" s="6"/>
      <c r="V1415" s="6"/>
      <c r="W1415" s="6"/>
      <c r="X1415" s="6"/>
      <c r="Y1415" s="6"/>
      <c r="Z1415" s="6"/>
      <c r="AA1415" s="6"/>
      <c r="AB1415" s="6"/>
      <c r="AC1415" s="6"/>
      <c r="AD1415" s="6"/>
      <c r="AE1415" s="6"/>
      <c r="AF1415" s="6"/>
      <c r="AG1415" s="15" t="s">
        <v>55</v>
      </c>
      <c r="AH1415" s="15"/>
      <c r="AI1415" s="15"/>
      <c r="AJ1415" s="6"/>
      <c r="AK1415" s="6"/>
    </row>
    <row r="1416" spans="1:37" s="6" customFormat="1">
      <c r="A1416" s="5" t="s">
        <v>6320</v>
      </c>
      <c r="B1416" s="5" t="s">
        <v>6321</v>
      </c>
      <c r="C1416" s="6" t="s">
        <v>6018</v>
      </c>
      <c r="D1416" s="6" t="s">
        <v>2189</v>
      </c>
      <c r="E1416" s="6" t="s">
        <v>1386</v>
      </c>
      <c r="F1416" s="6" t="s">
        <v>46</v>
      </c>
      <c r="G1416" s="6" t="s">
        <v>6322</v>
      </c>
      <c r="H1416" s="7">
        <v>17.05</v>
      </c>
      <c r="I1416" s="19" t="s">
        <v>1589</v>
      </c>
      <c r="J1416" s="19" t="s">
        <v>2191</v>
      </c>
      <c r="K1416" s="5" t="s">
        <v>2192</v>
      </c>
      <c r="L1416" s="5" t="s">
        <v>2193</v>
      </c>
      <c r="M1416" s="5" t="s">
        <v>2194</v>
      </c>
      <c r="N1416" s="5" t="s">
        <v>2195</v>
      </c>
      <c r="O1416" s="5" t="s">
        <v>6188</v>
      </c>
      <c r="P1416" s="5" t="s">
        <v>6323</v>
      </c>
      <c r="Q1416" s="5" t="s">
        <v>6324</v>
      </c>
      <c r="R1416" s="5"/>
      <c r="S1416" s="5"/>
      <c r="T1416" s="5"/>
      <c r="U1416" s="5"/>
      <c r="V1416" s="5"/>
      <c r="W1416" s="5"/>
      <c r="X1416" s="5"/>
      <c r="Y1416" s="5" t="s">
        <v>2086</v>
      </c>
      <c r="Z1416" s="5"/>
      <c r="AA1416" s="5"/>
      <c r="AB1416" s="5"/>
      <c r="AC1416" s="5"/>
      <c r="AD1416" s="5"/>
      <c r="AE1416" s="5"/>
      <c r="AF1416" s="5"/>
      <c r="AG1416" s="14" t="s">
        <v>55</v>
      </c>
      <c r="AH1416" s="14" t="s">
        <v>1603</v>
      </c>
      <c r="AI1416" s="14" t="s">
        <v>2087</v>
      </c>
      <c r="AJ1416" s="5"/>
      <c r="AK1416" s="5"/>
    </row>
    <row r="1417" spans="1:37">
      <c r="A1417" s="5" t="s">
        <v>6325</v>
      </c>
      <c r="B1417" s="5" t="s">
        <v>6321</v>
      </c>
      <c r="C1417" s="6" t="s">
        <v>43</v>
      </c>
      <c r="D1417" s="6" t="s">
        <v>2189</v>
      </c>
      <c r="E1417" s="6" t="s">
        <v>2015</v>
      </c>
      <c r="F1417" s="6" t="s">
        <v>46</v>
      </c>
      <c r="G1417" s="6" t="s">
        <v>6326</v>
      </c>
      <c r="H1417" s="7">
        <v>17.05</v>
      </c>
      <c r="I1417" s="19" t="s">
        <v>1589</v>
      </c>
      <c r="J1417" s="19" t="s">
        <v>2191</v>
      </c>
      <c r="K1417" s="5" t="s">
        <v>2192</v>
      </c>
      <c r="L1417" s="5" t="s">
        <v>2193</v>
      </c>
      <c r="M1417" s="5" t="s">
        <v>2194</v>
      </c>
      <c r="N1417" s="5" t="s">
        <v>2195</v>
      </c>
      <c r="O1417" s="5" t="s">
        <v>6327</v>
      </c>
      <c r="P1417" s="5" t="s">
        <v>6323</v>
      </c>
      <c r="Q1417" s="5" t="s">
        <v>6324</v>
      </c>
      <c r="R1417" s="5"/>
      <c r="Y1417" s="5" t="s">
        <v>2086</v>
      </c>
      <c r="AG1417" s="14" t="s">
        <v>55</v>
      </c>
      <c r="AH1417" s="14" t="s">
        <v>1603</v>
      </c>
      <c r="AI1417" s="14" t="s">
        <v>2087</v>
      </c>
    </row>
    <row r="1418" spans="1:37">
      <c r="A1418" s="5" t="s">
        <v>6328</v>
      </c>
      <c r="B1418" s="5" t="s">
        <v>6329</v>
      </c>
      <c r="C1418" s="6" t="s">
        <v>43</v>
      </c>
      <c r="D1418" s="6" t="s">
        <v>2189</v>
      </c>
      <c r="E1418" s="6" t="s">
        <v>2070</v>
      </c>
      <c r="F1418" s="6" t="s">
        <v>46</v>
      </c>
      <c r="G1418" s="6" t="s">
        <v>1239</v>
      </c>
      <c r="H1418" s="7">
        <v>20.149999999999999</v>
      </c>
      <c r="I1418" s="19" t="s">
        <v>1589</v>
      </c>
      <c r="J1418" s="19" t="s">
        <v>2191</v>
      </c>
      <c r="K1418" s="5" t="s">
        <v>2218</v>
      </c>
      <c r="L1418" s="5" t="s">
        <v>2219</v>
      </c>
      <c r="M1418" s="5" t="s">
        <v>2220</v>
      </c>
      <c r="N1418" s="5" t="s">
        <v>2221</v>
      </c>
      <c r="O1418" s="5" t="s">
        <v>6330</v>
      </c>
      <c r="P1418" s="5" t="s">
        <v>6331</v>
      </c>
      <c r="Q1418" s="5" t="s">
        <v>6332</v>
      </c>
      <c r="R1418" s="5"/>
      <c r="AG1418" s="14" t="s">
        <v>55</v>
      </c>
      <c r="AH1418" s="14" t="s">
        <v>1603</v>
      </c>
      <c r="AI1418" s="14" t="s">
        <v>2087</v>
      </c>
    </row>
    <row r="1419" spans="1:37">
      <c r="A1419" s="5" t="s">
        <v>6333</v>
      </c>
      <c r="B1419" s="5" t="s">
        <v>6329</v>
      </c>
      <c r="C1419" s="6" t="s">
        <v>5436</v>
      </c>
      <c r="D1419" s="6" t="s">
        <v>2189</v>
      </c>
      <c r="E1419" s="6" t="s">
        <v>1540</v>
      </c>
      <c r="F1419" s="6" t="s">
        <v>46</v>
      </c>
      <c r="G1419" s="6" t="s">
        <v>6334</v>
      </c>
      <c r="H1419" s="7">
        <v>20.149999999999999</v>
      </c>
      <c r="I1419" s="19" t="s">
        <v>1589</v>
      </c>
      <c r="J1419" s="19" t="s">
        <v>2191</v>
      </c>
      <c r="K1419" s="5" t="s">
        <v>2218</v>
      </c>
      <c r="L1419" s="5" t="s">
        <v>2219</v>
      </c>
      <c r="M1419" s="5" t="s">
        <v>2220</v>
      </c>
      <c r="N1419" s="5" t="s">
        <v>2221</v>
      </c>
      <c r="O1419" s="5" t="s">
        <v>6330</v>
      </c>
      <c r="P1419" s="5" t="s">
        <v>6331</v>
      </c>
      <c r="Q1419" s="5" t="s">
        <v>6332</v>
      </c>
      <c r="R1419" s="5"/>
      <c r="AG1419" s="14" t="s">
        <v>55</v>
      </c>
      <c r="AH1419" s="14" t="s">
        <v>1603</v>
      </c>
      <c r="AI1419" s="14" t="s">
        <v>2087</v>
      </c>
    </row>
    <row r="1420" spans="1:37">
      <c r="A1420" s="5" t="s">
        <v>6335</v>
      </c>
      <c r="B1420" s="5" t="s">
        <v>6336</v>
      </c>
      <c r="C1420" s="6" t="s">
        <v>43</v>
      </c>
      <c r="D1420" s="6" t="s">
        <v>239</v>
      </c>
      <c r="E1420" s="6" t="s">
        <v>1540</v>
      </c>
      <c r="F1420" s="6" t="s">
        <v>46</v>
      </c>
      <c r="G1420" s="6" t="s">
        <v>6337</v>
      </c>
      <c r="H1420" s="7">
        <v>24.29</v>
      </c>
      <c r="I1420" s="19" t="s">
        <v>1589</v>
      </c>
      <c r="J1420" s="19" t="s">
        <v>2254</v>
      </c>
      <c r="K1420" s="5" t="s">
        <v>2255</v>
      </c>
      <c r="L1420" s="5" t="s">
        <v>2256</v>
      </c>
      <c r="M1420" s="5" t="s">
        <v>2257</v>
      </c>
      <c r="N1420" s="5" t="s">
        <v>2258</v>
      </c>
      <c r="O1420" s="5" t="s">
        <v>6338</v>
      </c>
      <c r="P1420" s="5" t="s">
        <v>6339</v>
      </c>
      <c r="Q1420" s="5" t="s">
        <v>6340</v>
      </c>
      <c r="R1420" s="5" t="s">
        <v>6341</v>
      </c>
      <c r="Y1420" s="5" t="s">
        <v>2263</v>
      </c>
      <c r="AG1420" s="14" t="s">
        <v>55</v>
      </c>
      <c r="AH1420" s="14" t="s">
        <v>1603</v>
      </c>
      <c r="AI1420" s="14" t="s">
        <v>2264</v>
      </c>
    </row>
    <row r="1421" spans="1:37">
      <c r="A1421" s="5" t="s">
        <v>6342</v>
      </c>
      <c r="B1421" s="5" t="s">
        <v>6343</v>
      </c>
      <c r="C1421" s="6" t="s">
        <v>43</v>
      </c>
      <c r="D1421" s="6" t="s">
        <v>239</v>
      </c>
      <c r="E1421" s="6" t="s">
        <v>1540</v>
      </c>
      <c r="F1421" s="6" t="s">
        <v>46</v>
      </c>
      <c r="G1421" s="6" t="s">
        <v>6344</v>
      </c>
      <c r="H1421" s="7">
        <v>25.36</v>
      </c>
      <c r="I1421" s="19" t="s">
        <v>1589</v>
      </c>
      <c r="J1421" s="19" t="s">
        <v>2254</v>
      </c>
      <c r="K1421" s="5" t="s">
        <v>2271</v>
      </c>
      <c r="L1421" s="5" t="s">
        <v>2272</v>
      </c>
      <c r="M1421" s="5" t="s">
        <v>2273</v>
      </c>
      <c r="N1421" s="5" t="s">
        <v>2274</v>
      </c>
      <c r="O1421" s="5" t="s">
        <v>6345</v>
      </c>
      <c r="P1421" s="5" t="s">
        <v>6346</v>
      </c>
      <c r="Q1421" s="5" t="s">
        <v>6347</v>
      </c>
      <c r="R1421" s="5" t="s">
        <v>6348</v>
      </c>
      <c r="Y1421" s="5" t="s">
        <v>2263</v>
      </c>
      <c r="AG1421" s="14" t="s">
        <v>55</v>
      </c>
      <c r="AH1421" s="14" t="s">
        <v>1603</v>
      </c>
      <c r="AI1421" s="14" t="s">
        <v>2264</v>
      </c>
    </row>
    <row r="1422" spans="1:37">
      <c r="A1422" s="5" t="s">
        <v>6349</v>
      </c>
      <c r="B1422" s="5" t="s">
        <v>6350</v>
      </c>
      <c r="C1422" s="6" t="s">
        <v>2281</v>
      </c>
      <c r="D1422" s="6" t="s">
        <v>1645</v>
      </c>
      <c r="E1422" s="6" t="s">
        <v>1386</v>
      </c>
      <c r="F1422" s="6" t="s">
        <v>46</v>
      </c>
      <c r="G1422" s="6" t="s">
        <v>6351</v>
      </c>
      <c r="H1422" s="7">
        <v>27.66</v>
      </c>
      <c r="I1422" s="19" t="s">
        <v>2283</v>
      </c>
      <c r="J1422" s="19" t="s">
        <v>2284</v>
      </c>
      <c r="K1422" s="6" t="s">
        <v>2285</v>
      </c>
      <c r="L1422" s="6" t="s">
        <v>2286</v>
      </c>
      <c r="M1422" s="6" t="s">
        <v>2287</v>
      </c>
      <c r="N1422" s="6" t="s">
        <v>2288</v>
      </c>
      <c r="O1422" s="6" t="s">
        <v>6352</v>
      </c>
      <c r="P1422" s="6" t="s">
        <v>6353</v>
      </c>
      <c r="Q1422" s="6" t="s">
        <v>6354</v>
      </c>
      <c r="R1422" s="6" t="s">
        <v>6355</v>
      </c>
      <c r="AG1422" s="14" t="s">
        <v>55</v>
      </c>
      <c r="AH1422" s="14" t="s">
        <v>1603</v>
      </c>
      <c r="AI1422" s="14" t="s">
        <v>1603</v>
      </c>
    </row>
    <row r="1423" spans="1:37">
      <c r="A1423" s="5" t="s">
        <v>6356</v>
      </c>
      <c r="B1423" s="5" t="s">
        <v>6357</v>
      </c>
      <c r="C1423" s="6" t="s">
        <v>2281</v>
      </c>
      <c r="D1423" s="6" t="s">
        <v>1645</v>
      </c>
      <c r="E1423" s="6" t="s">
        <v>1386</v>
      </c>
      <c r="F1423" s="6" t="s">
        <v>46</v>
      </c>
      <c r="G1423" s="6" t="s">
        <v>6358</v>
      </c>
      <c r="H1423" s="7">
        <v>32.89</v>
      </c>
      <c r="I1423" s="19" t="s">
        <v>2283</v>
      </c>
      <c r="J1423" s="19" t="s">
        <v>2284</v>
      </c>
      <c r="K1423" s="6" t="s">
        <v>2366</v>
      </c>
      <c r="L1423" s="6" t="s">
        <v>2367</v>
      </c>
      <c r="M1423" s="6" t="s">
        <v>2368</v>
      </c>
      <c r="N1423" s="6" t="s">
        <v>2369</v>
      </c>
      <c r="O1423" s="6" t="s">
        <v>6359</v>
      </c>
      <c r="P1423" s="6" t="s">
        <v>6360</v>
      </c>
      <c r="Q1423" s="6" t="s">
        <v>6361</v>
      </c>
      <c r="R1423" s="6" t="s">
        <v>6362</v>
      </c>
      <c r="AG1423" s="14" t="s">
        <v>55</v>
      </c>
      <c r="AH1423" s="14" t="s">
        <v>1603</v>
      </c>
      <c r="AI1423" s="14" t="s">
        <v>1603</v>
      </c>
    </row>
    <row r="1424" spans="1:37">
      <c r="A1424" s="6" t="s">
        <v>6363</v>
      </c>
      <c r="B1424" s="6" t="s">
        <v>6364</v>
      </c>
      <c r="C1424" s="6" t="s">
        <v>6365</v>
      </c>
      <c r="D1424" s="6" t="s">
        <v>1645</v>
      </c>
      <c r="E1424" s="6" t="s">
        <v>2015</v>
      </c>
      <c r="F1424" s="6" t="s">
        <v>46</v>
      </c>
      <c r="G1424" s="6" t="s">
        <v>6366</v>
      </c>
      <c r="I1424" s="19" t="s">
        <v>48</v>
      </c>
      <c r="J1424" s="19" t="s">
        <v>48</v>
      </c>
      <c r="K1424" s="6"/>
      <c r="L1424" s="6"/>
      <c r="M1424" s="6"/>
      <c r="N1424" s="6"/>
      <c r="O1424" s="6"/>
      <c r="P1424" s="6"/>
      <c r="Q1424" s="6"/>
      <c r="R1424" s="6"/>
      <c r="S1424" s="6"/>
      <c r="T1424" s="6"/>
      <c r="U1424" s="6"/>
      <c r="V1424" s="6"/>
      <c r="W1424" s="6"/>
      <c r="X1424" s="6"/>
      <c r="Y1424" s="6"/>
      <c r="Z1424" s="6"/>
      <c r="AA1424" s="6"/>
      <c r="AB1424" s="6"/>
      <c r="AC1424" s="6"/>
      <c r="AD1424" s="6"/>
      <c r="AE1424" s="6"/>
      <c r="AF1424" s="6"/>
      <c r="AG1424" s="15" t="s">
        <v>55</v>
      </c>
      <c r="AH1424" s="15"/>
      <c r="AI1424" s="15"/>
      <c r="AJ1424" s="6"/>
      <c r="AK1424" s="6"/>
    </row>
    <row r="1425" spans="1:37" s="6" customFormat="1">
      <c r="A1425" s="5" t="s">
        <v>6367</v>
      </c>
      <c r="B1425" s="5" t="s">
        <v>6368</v>
      </c>
      <c r="C1425" s="6" t="s">
        <v>43</v>
      </c>
      <c r="D1425" s="6" t="s">
        <v>1645</v>
      </c>
      <c r="E1425" s="6" t="s">
        <v>1386</v>
      </c>
      <c r="F1425" s="6" t="s">
        <v>46</v>
      </c>
      <c r="G1425" s="6" t="s">
        <v>6369</v>
      </c>
      <c r="H1425" s="7">
        <v>32.340000000000003</v>
      </c>
      <c r="I1425" s="19" t="s">
        <v>2283</v>
      </c>
      <c r="J1425" s="19" t="s">
        <v>2512</v>
      </c>
      <c r="K1425" s="5" t="s">
        <v>6040</v>
      </c>
      <c r="L1425" s="5" t="s">
        <v>6041</v>
      </c>
      <c r="M1425" s="5" t="s">
        <v>6042</v>
      </c>
      <c r="N1425" s="5" t="s">
        <v>6043</v>
      </c>
      <c r="O1425" s="5" t="s">
        <v>6370</v>
      </c>
      <c r="P1425" s="5" t="s">
        <v>6371</v>
      </c>
      <c r="Q1425" s="5" t="s">
        <v>6372</v>
      </c>
      <c r="R1425" s="5" t="s">
        <v>6373</v>
      </c>
      <c r="S1425" s="5"/>
      <c r="T1425" s="5"/>
      <c r="U1425" s="5"/>
      <c r="V1425" s="5"/>
      <c r="W1425" s="5"/>
      <c r="X1425" s="5"/>
      <c r="Y1425" s="5"/>
      <c r="Z1425" s="5"/>
      <c r="AA1425" s="5"/>
      <c r="AB1425" s="5"/>
      <c r="AC1425" s="5"/>
      <c r="AD1425" s="5"/>
      <c r="AE1425" s="5"/>
      <c r="AF1425" s="5"/>
      <c r="AG1425" s="14" t="s">
        <v>55</v>
      </c>
      <c r="AH1425" s="14" t="s">
        <v>1603</v>
      </c>
      <c r="AI1425" s="14" t="s">
        <v>1603</v>
      </c>
      <c r="AJ1425" s="5"/>
      <c r="AK1425" s="5"/>
    </row>
    <row r="1426" spans="1:37">
      <c r="A1426" s="5" t="s">
        <v>6374</v>
      </c>
      <c r="B1426" s="5" t="s">
        <v>6375</v>
      </c>
      <c r="C1426" s="6" t="s">
        <v>6365</v>
      </c>
      <c r="D1426" s="6" t="s">
        <v>1645</v>
      </c>
      <c r="E1426" s="6" t="s">
        <v>2139</v>
      </c>
      <c r="F1426" s="6" t="s">
        <v>46</v>
      </c>
      <c r="G1426" s="6" t="s">
        <v>6376</v>
      </c>
      <c r="H1426" s="7">
        <v>19.54</v>
      </c>
      <c r="I1426" s="19" t="s">
        <v>2283</v>
      </c>
      <c r="J1426" s="19" t="s">
        <v>2466</v>
      </c>
      <c r="K1426" s="5" t="s">
        <v>6377</v>
      </c>
      <c r="L1426" s="5" t="s">
        <v>6378</v>
      </c>
      <c r="M1426" s="5" t="s">
        <v>6379</v>
      </c>
      <c r="N1426" s="5" t="s">
        <v>6380</v>
      </c>
      <c r="O1426" s="5" t="s">
        <v>6381</v>
      </c>
      <c r="P1426" s="5" t="s">
        <v>6382</v>
      </c>
      <c r="Q1426" s="5" t="s">
        <v>6383</v>
      </c>
      <c r="R1426" s="5" t="s">
        <v>6384</v>
      </c>
      <c r="AG1426" s="14" t="s">
        <v>55</v>
      </c>
      <c r="AH1426" s="14" t="s">
        <v>1603</v>
      </c>
      <c r="AI1426" s="14" t="s">
        <v>1603</v>
      </c>
    </row>
    <row r="1427" spans="1:37">
      <c r="A1427" s="5" t="s">
        <v>6385</v>
      </c>
      <c r="B1427" s="5" t="s">
        <v>6375</v>
      </c>
      <c r="C1427" s="6" t="s">
        <v>6365</v>
      </c>
      <c r="D1427" s="6" t="s">
        <v>1645</v>
      </c>
      <c r="E1427" s="6" t="s">
        <v>1386</v>
      </c>
      <c r="F1427" s="6" t="s">
        <v>46</v>
      </c>
      <c r="G1427" s="6" t="s">
        <v>6386</v>
      </c>
      <c r="H1427" s="7">
        <v>19.54</v>
      </c>
      <c r="I1427" s="19" t="s">
        <v>2283</v>
      </c>
      <c r="J1427" s="19" t="s">
        <v>2466</v>
      </c>
      <c r="K1427" s="5" t="s">
        <v>6377</v>
      </c>
      <c r="L1427" s="5" t="s">
        <v>6378</v>
      </c>
      <c r="M1427" s="5" t="s">
        <v>6379</v>
      </c>
      <c r="N1427" s="5" t="s">
        <v>6380</v>
      </c>
      <c r="O1427" s="5" t="s">
        <v>6381</v>
      </c>
      <c r="P1427" s="5" t="s">
        <v>6382</v>
      </c>
      <c r="Q1427" s="5" t="s">
        <v>6383</v>
      </c>
      <c r="R1427" s="5" t="s">
        <v>6384</v>
      </c>
      <c r="AG1427" s="14" t="s">
        <v>55</v>
      </c>
      <c r="AH1427" s="14" t="s">
        <v>1603</v>
      </c>
      <c r="AI1427" s="14" t="s">
        <v>1603</v>
      </c>
    </row>
    <row r="1428" spans="1:37">
      <c r="A1428" s="5" t="s">
        <v>6387</v>
      </c>
      <c r="B1428" s="5" t="s">
        <v>6375</v>
      </c>
      <c r="C1428" s="6" t="s">
        <v>6365</v>
      </c>
      <c r="D1428" s="6" t="s">
        <v>1645</v>
      </c>
      <c r="E1428" s="6" t="s">
        <v>2015</v>
      </c>
      <c r="F1428" s="6" t="s">
        <v>46</v>
      </c>
      <c r="G1428" s="6" t="s">
        <v>6388</v>
      </c>
      <c r="H1428" s="7">
        <v>19.54</v>
      </c>
      <c r="I1428" s="19" t="s">
        <v>2283</v>
      </c>
      <c r="J1428" s="19" t="s">
        <v>2466</v>
      </c>
      <c r="K1428" s="5" t="s">
        <v>6377</v>
      </c>
      <c r="L1428" s="5" t="s">
        <v>6378</v>
      </c>
      <c r="M1428" s="5" t="s">
        <v>6379</v>
      </c>
      <c r="N1428" s="5" t="s">
        <v>6380</v>
      </c>
      <c r="O1428" s="5" t="s">
        <v>6381</v>
      </c>
      <c r="P1428" s="5" t="s">
        <v>6382</v>
      </c>
      <c r="Q1428" s="5" t="s">
        <v>6383</v>
      </c>
      <c r="R1428" s="5" t="s">
        <v>6384</v>
      </c>
      <c r="AG1428" s="14" t="s">
        <v>55</v>
      </c>
      <c r="AH1428" s="14" t="s">
        <v>1603</v>
      </c>
      <c r="AI1428" s="14" t="s">
        <v>1603</v>
      </c>
    </row>
    <row r="1429" spans="1:37">
      <c r="A1429" s="5" t="s">
        <v>6389</v>
      </c>
      <c r="B1429" s="5" t="s">
        <v>6390</v>
      </c>
      <c r="C1429" s="6" t="s">
        <v>3816</v>
      </c>
      <c r="D1429" s="6" t="s">
        <v>1645</v>
      </c>
      <c r="E1429" s="6" t="s">
        <v>2139</v>
      </c>
      <c r="F1429" s="6" t="s">
        <v>46</v>
      </c>
      <c r="G1429" s="6" t="s">
        <v>6391</v>
      </c>
      <c r="H1429" s="7">
        <v>21.78</v>
      </c>
      <c r="I1429" s="19" t="s">
        <v>2283</v>
      </c>
      <c r="J1429" s="19" t="s">
        <v>2481</v>
      </c>
      <c r="K1429" s="23" t="s">
        <v>6392</v>
      </c>
      <c r="L1429" s="23" t="s">
        <v>6393</v>
      </c>
      <c r="M1429" s="23" t="s">
        <v>6394</v>
      </c>
      <c r="N1429" s="23" t="s">
        <v>6395</v>
      </c>
      <c r="O1429" s="23" t="s">
        <v>6396</v>
      </c>
      <c r="P1429" s="23" t="s">
        <v>6397</v>
      </c>
      <c r="Q1429" s="23" t="s">
        <v>6398</v>
      </c>
      <c r="R1429" s="23" t="s">
        <v>6399</v>
      </c>
      <c r="S1429" s="23"/>
      <c r="T1429" s="23"/>
      <c r="U1429" s="23"/>
      <c r="V1429" s="23"/>
      <c r="W1429" s="23"/>
      <c r="X1429" s="23"/>
      <c r="Y1429" s="23"/>
      <c r="Z1429" s="23"/>
      <c r="AA1429" s="23"/>
      <c r="AB1429" s="23"/>
      <c r="AC1429" s="23"/>
      <c r="AD1429" s="23"/>
      <c r="AE1429" s="23"/>
      <c r="AF1429" s="23"/>
      <c r="AG1429" s="14" t="s">
        <v>55</v>
      </c>
      <c r="AH1429" s="14" t="s">
        <v>1603</v>
      </c>
      <c r="AI1429" s="14" t="s">
        <v>1603</v>
      </c>
      <c r="AJ1429" s="23"/>
      <c r="AK1429" s="23"/>
    </row>
    <row r="1430" spans="1:37">
      <c r="A1430" s="5" t="s">
        <v>6400</v>
      </c>
      <c r="B1430" s="5" t="s">
        <v>6390</v>
      </c>
      <c r="C1430" s="6" t="s">
        <v>3816</v>
      </c>
      <c r="D1430" s="6" t="s">
        <v>1645</v>
      </c>
      <c r="E1430" s="6" t="s">
        <v>1386</v>
      </c>
      <c r="F1430" s="6" t="s">
        <v>46</v>
      </c>
      <c r="G1430" s="6" t="s">
        <v>6264</v>
      </c>
      <c r="H1430" s="7">
        <v>21.78</v>
      </c>
      <c r="I1430" s="19" t="s">
        <v>2283</v>
      </c>
      <c r="J1430" s="19" t="s">
        <v>2481</v>
      </c>
      <c r="K1430" s="23" t="s">
        <v>6392</v>
      </c>
      <c r="L1430" s="23" t="s">
        <v>6393</v>
      </c>
      <c r="M1430" s="23" t="s">
        <v>6394</v>
      </c>
      <c r="N1430" s="23" t="s">
        <v>6395</v>
      </c>
      <c r="O1430" s="23" t="s">
        <v>6396</v>
      </c>
      <c r="P1430" s="23" t="s">
        <v>6397</v>
      </c>
      <c r="Q1430" s="23" t="s">
        <v>6398</v>
      </c>
      <c r="R1430" s="23" t="s">
        <v>6399</v>
      </c>
      <c r="S1430" s="23"/>
      <c r="T1430" s="23"/>
      <c r="U1430" s="23"/>
      <c r="V1430" s="23"/>
      <c r="W1430" s="23"/>
      <c r="X1430" s="23"/>
      <c r="Y1430" s="23"/>
      <c r="Z1430" s="23"/>
      <c r="AA1430" s="23"/>
      <c r="AB1430" s="23"/>
      <c r="AC1430" s="23"/>
      <c r="AD1430" s="23"/>
      <c r="AE1430" s="23"/>
      <c r="AF1430" s="23"/>
      <c r="AG1430" s="14" t="s">
        <v>55</v>
      </c>
      <c r="AH1430" s="14" t="s">
        <v>1603</v>
      </c>
      <c r="AI1430" s="14" t="s">
        <v>1603</v>
      </c>
      <c r="AJ1430" s="23"/>
      <c r="AK1430" s="23"/>
    </row>
    <row r="1431" spans="1:37">
      <c r="A1431" s="5" t="s">
        <v>6401</v>
      </c>
      <c r="B1431" s="5" t="s">
        <v>6390</v>
      </c>
      <c r="C1431" s="6" t="s">
        <v>3816</v>
      </c>
      <c r="D1431" s="6" t="s">
        <v>1645</v>
      </c>
      <c r="E1431" s="6" t="s">
        <v>2015</v>
      </c>
      <c r="F1431" s="6" t="s">
        <v>46</v>
      </c>
      <c r="G1431" s="6" t="s">
        <v>6391</v>
      </c>
      <c r="H1431" s="7">
        <v>21.78</v>
      </c>
      <c r="I1431" s="19" t="s">
        <v>2283</v>
      </c>
      <c r="J1431" s="19" t="s">
        <v>2481</v>
      </c>
      <c r="K1431" s="5" t="s">
        <v>6392</v>
      </c>
      <c r="L1431" s="5" t="s">
        <v>6393</v>
      </c>
      <c r="M1431" s="5" t="s">
        <v>6394</v>
      </c>
      <c r="N1431" s="5" t="s">
        <v>6395</v>
      </c>
      <c r="O1431" s="5" t="s">
        <v>6396</v>
      </c>
      <c r="P1431" s="5" t="s">
        <v>6397</v>
      </c>
      <c r="Q1431" s="5" t="s">
        <v>6398</v>
      </c>
      <c r="R1431" s="5" t="s">
        <v>6399</v>
      </c>
      <c r="AG1431" s="14" t="s">
        <v>55</v>
      </c>
      <c r="AH1431" s="14" t="s">
        <v>1603</v>
      </c>
      <c r="AI1431" s="14" t="s">
        <v>1603</v>
      </c>
    </row>
    <row r="1432" spans="1:37">
      <c r="A1432" s="5" t="s">
        <v>6402</v>
      </c>
      <c r="B1432" s="5" t="s">
        <v>6403</v>
      </c>
      <c r="C1432" s="6" t="s">
        <v>2281</v>
      </c>
      <c r="D1432" s="6" t="s">
        <v>1645</v>
      </c>
      <c r="E1432" s="6" t="s">
        <v>1386</v>
      </c>
      <c r="F1432" s="6" t="s">
        <v>46</v>
      </c>
      <c r="G1432" s="6" t="s">
        <v>6404</v>
      </c>
      <c r="H1432" s="7">
        <v>24.02</v>
      </c>
      <c r="I1432" s="19" t="s">
        <v>2283</v>
      </c>
      <c r="J1432" s="19" t="s">
        <v>2512</v>
      </c>
      <c r="K1432" s="6" t="s">
        <v>2513</v>
      </c>
      <c r="L1432" s="6" t="s">
        <v>2514</v>
      </c>
      <c r="M1432" s="6" t="s">
        <v>2515</v>
      </c>
      <c r="N1432" s="6" t="s">
        <v>2516</v>
      </c>
      <c r="O1432" s="6" t="s">
        <v>6405</v>
      </c>
      <c r="P1432" s="6" t="s">
        <v>6406</v>
      </c>
      <c r="Q1432" s="6" t="s">
        <v>6407</v>
      </c>
      <c r="R1432" s="6" t="s">
        <v>6408</v>
      </c>
      <c r="AG1432" s="14" t="s">
        <v>55</v>
      </c>
      <c r="AH1432" s="14" t="s">
        <v>1603</v>
      </c>
      <c r="AI1432" s="14" t="s">
        <v>1603</v>
      </c>
    </row>
    <row r="1433" spans="1:37">
      <c r="A1433" s="5" t="s">
        <v>6409</v>
      </c>
      <c r="B1433" s="5" t="s">
        <v>6403</v>
      </c>
      <c r="C1433" s="6" t="s">
        <v>2281</v>
      </c>
      <c r="D1433" s="6" t="s">
        <v>1645</v>
      </c>
      <c r="E1433" s="6" t="s">
        <v>2065</v>
      </c>
      <c r="F1433" s="6" t="s">
        <v>46</v>
      </c>
      <c r="G1433" s="6" t="s">
        <v>6410</v>
      </c>
      <c r="H1433" s="7">
        <v>24.02</v>
      </c>
      <c r="I1433" s="19" t="s">
        <v>2283</v>
      </c>
      <c r="J1433" s="19" t="s">
        <v>2512</v>
      </c>
      <c r="K1433" s="6" t="s">
        <v>2513</v>
      </c>
      <c r="L1433" s="6" t="s">
        <v>2514</v>
      </c>
      <c r="M1433" s="6" t="s">
        <v>2515</v>
      </c>
      <c r="N1433" s="6" t="s">
        <v>2516</v>
      </c>
      <c r="O1433" s="6" t="s">
        <v>6411</v>
      </c>
      <c r="P1433" s="6" t="s">
        <v>6412</v>
      </c>
      <c r="Q1433" s="6" t="s">
        <v>6413</v>
      </c>
      <c r="R1433" s="6" t="s">
        <v>6414</v>
      </c>
      <c r="AG1433" s="14" t="s">
        <v>55</v>
      </c>
      <c r="AH1433" s="14" t="s">
        <v>1603</v>
      </c>
      <c r="AI1433" s="14" t="s">
        <v>1603</v>
      </c>
    </row>
    <row r="1434" spans="1:37">
      <c r="A1434" s="5" t="s">
        <v>6415</v>
      </c>
      <c r="B1434" s="5" t="s">
        <v>6416</v>
      </c>
      <c r="C1434" s="6" t="s">
        <v>1463</v>
      </c>
      <c r="D1434" s="6" t="s">
        <v>1645</v>
      </c>
      <c r="E1434" s="6" t="s">
        <v>2139</v>
      </c>
      <c r="F1434" s="6" t="s">
        <v>46</v>
      </c>
      <c r="G1434" s="6" t="s">
        <v>6071</v>
      </c>
      <c r="H1434" s="7">
        <v>31.74</v>
      </c>
      <c r="I1434" s="19" t="s">
        <v>2283</v>
      </c>
      <c r="J1434" s="19" t="s">
        <v>6417</v>
      </c>
      <c r="K1434" s="5" t="s">
        <v>6418</v>
      </c>
      <c r="L1434" s="5" t="s">
        <v>6419</v>
      </c>
      <c r="M1434" s="5" t="s">
        <v>6420</v>
      </c>
      <c r="N1434" s="5" t="s">
        <v>6421</v>
      </c>
      <c r="O1434" s="5" t="s">
        <v>6422</v>
      </c>
      <c r="P1434" s="5" t="s">
        <v>6423</v>
      </c>
      <c r="Q1434" s="5" t="s">
        <v>6424</v>
      </c>
      <c r="R1434" s="5" t="s">
        <v>6425</v>
      </c>
      <c r="W1434" s="5" t="s">
        <v>6426</v>
      </c>
      <c r="X1434" s="5" t="s">
        <v>6427</v>
      </c>
      <c r="Y1434" s="5" t="s">
        <v>6428</v>
      </c>
      <c r="Z1434" s="5" t="s">
        <v>6429</v>
      </c>
      <c r="AG1434" s="14" t="s">
        <v>55</v>
      </c>
      <c r="AH1434" s="14" t="s">
        <v>1603</v>
      </c>
      <c r="AI1434" s="14" t="s">
        <v>1603</v>
      </c>
    </row>
    <row r="1435" spans="1:37">
      <c r="A1435" s="5" t="s">
        <v>6430</v>
      </c>
      <c r="B1435" s="5" t="s">
        <v>6431</v>
      </c>
      <c r="C1435" s="6" t="s">
        <v>43</v>
      </c>
      <c r="D1435" s="6" t="s">
        <v>1645</v>
      </c>
      <c r="E1435" s="6" t="s">
        <v>2139</v>
      </c>
      <c r="F1435" s="6" t="s">
        <v>46</v>
      </c>
      <c r="G1435" s="6" t="s">
        <v>6432</v>
      </c>
      <c r="H1435" s="7">
        <v>21.78</v>
      </c>
      <c r="I1435" s="19" t="s">
        <v>2283</v>
      </c>
      <c r="J1435" s="19" t="s">
        <v>2466</v>
      </c>
      <c r="K1435" s="5" t="s">
        <v>6433</v>
      </c>
      <c r="L1435" s="5" t="s">
        <v>6434</v>
      </c>
      <c r="M1435" s="5" t="s">
        <v>6435</v>
      </c>
      <c r="N1435" s="5" t="s">
        <v>6436</v>
      </c>
      <c r="O1435" s="5" t="s">
        <v>6437</v>
      </c>
      <c r="P1435" s="5" t="s">
        <v>6438</v>
      </c>
      <c r="Q1435" s="5" t="s">
        <v>6439</v>
      </c>
      <c r="R1435" s="5" t="s">
        <v>6440</v>
      </c>
      <c r="AG1435" s="14" t="s">
        <v>55</v>
      </c>
      <c r="AH1435" s="14" t="s">
        <v>1603</v>
      </c>
      <c r="AI1435" s="14" t="s">
        <v>1603</v>
      </c>
    </row>
    <row r="1436" spans="1:37">
      <c r="A1436" s="5" t="s">
        <v>6441</v>
      </c>
      <c r="B1436" s="5" t="s">
        <v>6431</v>
      </c>
      <c r="C1436" s="6" t="s">
        <v>43</v>
      </c>
      <c r="D1436" s="6" t="s">
        <v>1645</v>
      </c>
      <c r="E1436" s="6" t="s">
        <v>1386</v>
      </c>
      <c r="F1436" s="6" t="s">
        <v>46</v>
      </c>
      <c r="G1436" s="6" t="s">
        <v>2742</v>
      </c>
      <c r="H1436" s="7">
        <v>21.78</v>
      </c>
      <c r="I1436" s="19" t="s">
        <v>2283</v>
      </c>
      <c r="J1436" s="19" t="s">
        <v>2466</v>
      </c>
      <c r="K1436" s="5" t="s">
        <v>6433</v>
      </c>
      <c r="L1436" s="5" t="s">
        <v>6434</v>
      </c>
      <c r="M1436" s="5" t="s">
        <v>6435</v>
      </c>
      <c r="N1436" s="5" t="s">
        <v>6436</v>
      </c>
      <c r="O1436" s="5" t="s">
        <v>6437</v>
      </c>
      <c r="P1436" s="5" t="s">
        <v>6438</v>
      </c>
      <c r="Q1436" s="5" t="s">
        <v>6439</v>
      </c>
      <c r="R1436" s="5" t="s">
        <v>6440</v>
      </c>
      <c r="AG1436" s="14" t="s">
        <v>55</v>
      </c>
      <c r="AH1436" s="14" t="s">
        <v>1603</v>
      </c>
      <c r="AI1436" s="14" t="s">
        <v>1603</v>
      </c>
    </row>
    <row r="1437" spans="1:37">
      <c r="A1437" s="5" t="s">
        <v>6442</v>
      </c>
      <c r="B1437" s="5" t="s">
        <v>6431</v>
      </c>
      <c r="C1437" s="6" t="s">
        <v>43</v>
      </c>
      <c r="D1437" s="6" t="s">
        <v>1645</v>
      </c>
      <c r="E1437" s="6" t="s">
        <v>2015</v>
      </c>
      <c r="F1437" s="6" t="s">
        <v>46</v>
      </c>
      <c r="G1437" s="6" t="s">
        <v>6391</v>
      </c>
      <c r="H1437" s="7">
        <v>21.78</v>
      </c>
      <c r="I1437" s="19" t="s">
        <v>2283</v>
      </c>
      <c r="J1437" s="19" t="s">
        <v>2466</v>
      </c>
      <c r="K1437" s="5" t="s">
        <v>6433</v>
      </c>
      <c r="L1437" s="5" t="s">
        <v>6434</v>
      </c>
      <c r="M1437" s="5" t="s">
        <v>6435</v>
      </c>
      <c r="N1437" s="5" t="s">
        <v>6436</v>
      </c>
      <c r="O1437" s="5" t="s">
        <v>6437</v>
      </c>
      <c r="P1437" s="5" t="s">
        <v>6438</v>
      </c>
      <c r="Q1437" s="5" t="s">
        <v>6439</v>
      </c>
      <c r="R1437" s="5" t="s">
        <v>6440</v>
      </c>
      <c r="AG1437" s="14" t="s">
        <v>55</v>
      </c>
      <c r="AH1437" s="14" t="s">
        <v>1603</v>
      </c>
      <c r="AI1437" s="14" t="s">
        <v>1603</v>
      </c>
    </row>
    <row r="1438" spans="1:37">
      <c r="A1438" s="5" t="s">
        <v>6443</v>
      </c>
      <c r="B1438" s="5" t="s">
        <v>6444</v>
      </c>
      <c r="C1438" s="6" t="s">
        <v>6445</v>
      </c>
      <c r="D1438" s="6" t="s">
        <v>1645</v>
      </c>
      <c r="E1438" s="6" t="s">
        <v>1386</v>
      </c>
      <c r="F1438" s="6" t="s">
        <v>46</v>
      </c>
      <c r="G1438" s="6" t="s">
        <v>6446</v>
      </c>
      <c r="H1438" s="7">
        <v>24.42</v>
      </c>
      <c r="I1438" s="19" t="s">
        <v>2283</v>
      </c>
      <c r="J1438" s="19" t="s">
        <v>2481</v>
      </c>
      <c r="K1438" s="5" t="s">
        <v>6447</v>
      </c>
      <c r="L1438" s="5" t="s">
        <v>6448</v>
      </c>
      <c r="M1438" s="5" t="s">
        <v>6449</v>
      </c>
      <c r="N1438" s="5" t="s">
        <v>6450</v>
      </c>
      <c r="O1438" s="5" t="s">
        <v>6451</v>
      </c>
      <c r="P1438" s="5" t="s">
        <v>6452</v>
      </c>
      <c r="Q1438" s="5" t="s">
        <v>6453</v>
      </c>
      <c r="R1438" s="5" t="s">
        <v>6454</v>
      </c>
      <c r="AG1438" s="14" t="s">
        <v>55</v>
      </c>
      <c r="AH1438" s="14" t="s">
        <v>1603</v>
      </c>
      <c r="AI1438" s="14" t="s">
        <v>1603</v>
      </c>
    </row>
    <row r="1439" spans="1:37">
      <c r="A1439" s="5" t="s">
        <v>6455</v>
      </c>
      <c r="B1439" s="5" t="s">
        <v>6444</v>
      </c>
      <c r="C1439" s="6" t="s">
        <v>43</v>
      </c>
      <c r="D1439" s="6" t="s">
        <v>1645</v>
      </c>
      <c r="E1439" s="6" t="s">
        <v>2015</v>
      </c>
      <c r="F1439" s="6" t="s">
        <v>46</v>
      </c>
      <c r="G1439" s="6" t="s">
        <v>6456</v>
      </c>
      <c r="H1439" s="7">
        <v>24.42</v>
      </c>
      <c r="I1439" s="19" t="s">
        <v>2283</v>
      </c>
      <c r="J1439" s="19" t="s">
        <v>2481</v>
      </c>
      <c r="K1439" s="5" t="s">
        <v>6447</v>
      </c>
      <c r="L1439" s="5" t="s">
        <v>6448</v>
      </c>
      <c r="M1439" s="5" t="s">
        <v>6449</v>
      </c>
      <c r="N1439" s="5" t="s">
        <v>6450</v>
      </c>
      <c r="O1439" s="5" t="s">
        <v>6451</v>
      </c>
      <c r="P1439" s="5" t="s">
        <v>6452</v>
      </c>
      <c r="Q1439" s="5" t="s">
        <v>6453</v>
      </c>
      <c r="R1439" s="5" t="s">
        <v>6454</v>
      </c>
      <c r="AG1439" s="14" t="s">
        <v>55</v>
      </c>
      <c r="AH1439" s="14" t="s">
        <v>1603</v>
      </c>
      <c r="AI1439" s="14" t="s">
        <v>1603</v>
      </c>
    </row>
    <row r="1440" spans="1:37">
      <c r="A1440" s="5" t="s">
        <v>6457</v>
      </c>
      <c r="B1440" s="5" t="s">
        <v>6458</v>
      </c>
      <c r="C1440" s="6" t="s">
        <v>2281</v>
      </c>
      <c r="D1440" s="6" t="s">
        <v>239</v>
      </c>
      <c r="E1440" s="6" t="s">
        <v>1386</v>
      </c>
      <c r="F1440" s="6" t="s">
        <v>46</v>
      </c>
      <c r="G1440" s="6" t="s">
        <v>6459</v>
      </c>
      <c r="H1440" s="7">
        <v>28.86</v>
      </c>
      <c r="I1440" s="19" t="s">
        <v>2283</v>
      </c>
      <c r="J1440" s="19" t="s">
        <v>2512</v>
      </c>
      <c r="K1440" s="6" t="s">
        <v>2616</v>
      </c>
      <c r="L1440" s="6" t="s">
        <v>2617</v>
      </c>
      <c r="M1440" s="6" t="s">
        <v>2618</v>
      </c>
      <c r="N1440" s="6" t="s">
        <v>2619</v>
      </c>
      <c r="O1440" s="6" t="s">
        <v>6460</v>
      </c>
      <c r="P1440" s="6" t="s">
        <v>6461</v>
      </c>
      <c r="Q1440" s="6" t="s">
        <v>6462</v>
      </c>
      <c r="R1440" s="6" t="s">
        <v>6463</v>
      </c>
      <c r="AG1440" s="14" t="s">
        <v>55</v>
      </c>
      <c r="AH1440" s="14" t="s">
        <v>1603</v>
      </c>
      <c r="AI1440" s="14" t="s">
        <v>1603</v>
      </c>
    </row>
    <row r="1441" spans="1:35">
      <c r="A1441" s="5" t="s">
        <v>6464</v>
      </c>
      <c r="B1441" s="5" t="s">
        <v>6458</v>
      </c>
      <c r="C1441" s="6" t="s">
        <v>43</v>
      </c>
      <c r="D1441" s="6" t="s">
        <v>239</v>
      </c>
      <c r="E1441" s="6" t="s">
        <v>2065</v>
      </c>
      <c r="F1441" s="6" t="s">
        <v>46</v>
      </c>
      <c r="G1441" s="6" t="s">
        <v>6465</v>
      </c>
      <c r="H1441" s="7">
        <v>28.86</v>
      </c>
      <c r="I1441" s="19" t="s">
        <v>2283</v>
      </c>
      <c r="J1441" s="19" t="s">
        <v>2512</v>
      </c>
      <c r="K1441" s="6" t="s">
        <v>2616</v>
      </c>
      <c r="L1441" s="6" t="s">
        <v>2617</v>
      </c>
      <c r="M1441" s="6" t="s">
        <v>2618</v>
      </c>
      <c r="N1441" s="6" t="s">
        <v>2619</v>
      </c>
      <c r="O1441" s="6" t="s">
        <v>6466</v>
      </c>
      <c r="P1441" s="6" t="s">
        <v>6467</v>
      </c>
      <c r="Q1441" s="6" t="s">
        <v>6468</v>
      </c>
      <c r="R1441" s="6" t="s">
        <v>6469</v>
      </c>
      <c r="AG1441" s="14" t="s">
        <v>55</v>
      </c>
      <c r="AH1441" s="14" t="s">
        <v>1603</v>
      </c>
      <c r="AI1441" s="14" t="s">
        <v>1603</v>
      </c>
    </row>
    <row r="1442" spans="1:35">
      <c r="A1442" s="5" t="s">
        <v>6470</v>
      </c>
      <c r="B1442" s="5" t="s">
        <v>6471</v>
      </c>
      <c r="C1442" s="6" t="s">
        <v>1463</v>
      </c>
      <c r="D1442" s="6" t="s">
        <v>1645</v>
      </c>
      <c r="E1442" s="6" t="s">
        <v>2139</v>
      </c>
      <c r="F1442" s="6" t="s">
        <v>46</v>
      </c>
      <c r="G1442" s="6" t="s">
        <v>6472</v>
      </c>
      <c r="H1442" s="7">
        <v>33.549999999999997</v>
      </c>
      <c r="I1442" s="19" t="s">
        <v>2283</v>
      </c>
      <c r="J1442" s="19" t="s">
        <v>6417</v>
      </c>
      <c r="K1442" s="6" t="s">
        <v>6473</v>
      </c>
      <c r="L1442" s="6" t="s">
        <v>6474</v>
      </c>
      <c r="M1442" s="6" t="s">
        <v>6475</v>
      </c>
      <c r="N1442" s="6" t="s">
        <v>6476</v>
      </c>
      <c r="O1442" s="6" t="s">
        <v>6477</v>
      </c>
      <c r="P1442" s="6" t="s">
        <v>6478</v>
      </c>
      <c r="Q1442" s="6" t="s">
        <v>6424</v>
      </c>
      <c r="R1442" s="6" t="s">
        <v>6425</v>
      </c>
      <c r="W1442" s="6" t="s">
        <v>6426</v>
      </c>
      <c r="X1442" s="6" t="s">
        <v>6427</v>
      </c>
      <c r="Y1442" s="6" t="s">
        <v>6428</v>
      </c>
      <c r="Z1442" s="6" t="s">
        <v>6429</v>
      </c>
      <c r="AG1442" s="14" t="s">
        <v>55</v>
      </c>
      <c r="AH1442" s="14" t="s">
        <v>1603</v>
      </c>
      <c r="AI1442" s="14" t="s">
        <v>1603</v>
      </c>
    </row>
    <row r="1443" spans="1:35">
      <c r="A1443" s="5" t="s">
        <v>6479</v>
      </c>
      <c r="B1443" s="5" t="s">
        <v>6480</v>
      </c>
      <c r="C1443" s="6" t="s">
        <v>43</v>
      </c>
      <c r="D1443" s="6" t="s">
        <v>1645</v>
      </c>
      <c r="E1443" s="6" t="s">
        <v>2461</v>
      </c>
      <c r="F1443" s="6" t="s">
        <v>46</v>
      </c>
      <c r="G1443" s="6" t="s">
        <v>6481</v>
      </c>
      <c r="H1443" s="7">
        <v>33.549999999999997</v>
      </c>
      <c r="I1443" s="19" t="s">
        <v>2283</v>
      </c>
      <c r="J1443" s="19" t="s">
        <v>6417</v>
      </c>
      <c r="K1443" s="6" t="s">
        <v>6473</v>
      </c>
      <c r="L1443" s="6" t="s">
        <v>6474</v>
      </c>
      <c r="M1443" s="6" t="s">
        <v>6475</v>
      </c>
      <c r="N1443" s="6" t="s">
        <v>6476</v>
      </c>
      <c r="O1443" s="6" t="s">
        <v>6477</v>
      </c>
      <c r="P1443" s="6" t="s">
        <v>6478</v>
      </c>
      <c r="Q1443" s="6" t="s">
        <v>6424</v>
      </c>
      <c r="R1443" s="6" t="s">
        <v>6425</v>
      </c>
      <c r="W1443" s="6" t="s">
        <v>6426</v>
      </c>
      <c r="X1443" s="6" t="s">
        <v>6427</v>
      </c>
      <c r="Y1443" s="6" t="s">
        <v>6428</v>
      </c>
      <c r="Z1443" s="6" t="s">
        <v>6429</v>
      </c>
      <c r="AG1443" s="14" t="s">
        <v>55</v>
      </c>
      <c r="AH1443" s="14" t="s">
        <v>1603</v>
      </c>
      <c r="AI1443" s="14" t="s">
        <v>1603</v>
      </c>
    </row>
    <row r="1444" spans="1:35">
      <c r="A1444" s="5" t="s">
        <v>6482</v>
      </c>
      <c r="B1444" s="5" t="s">
        <v>6483</v>
      </c>
      <c r="C1444" s="6" t="s">
        <v>43</v>
      </c>
      <c r="D1444" s="6" t="s">
        <v>1390</v>
      </c>
      <c r="E1444" s="6" t="s">
        <v>1386</v>
      </c>
      <c r="F1444" s="6" t="s">
        <v>46</v>
      </c>
      <c r="G1444" s="6" t="s">
        <v>6484</v>
      </c>
      <c r="H1444" s="7">
        <v>13.18</v>
      </c>
      <c r="I1444" s="19" t="s">
        <v>1589</v>
      </c>
      <c r="J1444" s="19" t="s">
        <v>2650</v>
      </c>
      <c r="K1444" s="20" t="s">
        <v>2651</v>
      </c>
      <c r="L1444" s="20" t="s">
        <v>2652</v>
      </c>
      <c r="M1444" s="20" t="s">
        <v>2653</v>
      </c>
      <c r="N1444" s="20" t="s">
        <v>2654</v>
      </c>
      <c r="O1444" s="20" t="s">
        <v>6051</v>
      </c>
      <c r="P1444" s="20" t="s">
        <v>6485</v>
      </c>
      <c r="Q1444" s="20" t="s">
        <v>6486</v>
      </c>
      <c r="R1444" s="5" t="s">
        <v>6487</v>
      </c>
      <c r="W1444" s="20" t="s">
        <v>2010</v>
      </c>
      <c r="X1444" s="20" t="s">
        <v>2011</v>
      </c>
      <c r="Y1444" s="20" t="s">
        <v>2012</v>
      </c>
      <c r="Z1444" s="20" t="s">
        <v>2013</v>
      </c>
      <c r="AG1444" s="14" t="s">
        <v>55</v>
      </c>
      <c r="AH1444" s="14" t="s">
        <v>1603</v>
      </c>
      <c r="AI1444" s="14" t="s">
        <v>124</v>
      </c>
    </row>
    <row r="1445" spans="1:35">
      <c r="A1445" s="5" t="s">
        <v>6488</v>
      </c>
      <c r="B1445" s="5" t="s">
        <v>6489</v>
      </c>
      <c r="C1445" s="6" t="s">
        <v>43</v>
      </c>
      <c r="D1445" s="6" t="s">
        <v>1390</v>
      </c>
      <c r="E1445" s="6" t="s">
        <v>1386</v>
      </c>
      <c r="F1445" s="6" t="s">
        <v>46</v>
      </c>
      <c r="G1445" s="6" t="s">
        <v>6490</v>
      </c>
      <c r="H1445" s="7">
        <v>17.27</v>
      </c>
      <c r="I1445" s="19" t="s">
        <v>1589</v>
      </c>
      <c r="J1445" s="19" t="s">
        <v>2650</v>
      </c>
      <c r="K1445" s="20" t="s">
        <v>2662</v>
      </c>
      <c r="L1445" s="20" t="s">
        <v>2663</v>
      </c>
      <c r="M1445" s="20" t="s">
        <v>2664</v>
      </c>
      <c r="N1445" s="20" t="s">
        <v>2665</v>
      </c>
      <c r="O1445" s="20" t="s">
        <v>6491</v>
      </c>
      <c r="P1445" s="20" t="s">
        <v>6492</v>
      </c>
      <c r="Q1445" s="20" t="s">
        <v>6493</v>
      </c>
      <c r="R1445" s="5" t="s">
        <v>6494</v>
      </c>
      <c r="W1445" s="20" t="s">
        <v>2010</v>
      </c>
      <c r="X1445" s="20" t="s">
        <v>2011</v>
      </c>
      <c r="Y1445" s="20" t="s">
        <v>2012</v>
      </c>
      <c r="Z1445" s="20" t="s">
        <v>2013</v>
      </c>
      <c r="AG1445" s="14" t="s">
        <v>55</v>
      </c>
      <c r="AH1445" s="14" t="s">
        <v>1603</v>
      </c>
      <c r="AI1445" s="14" t="s">
        <v>124</v>
      </c>
    </row>
    <row r="1446" spans="1:35">
      <c r="A1446" s="5" t="s">
        <v>6495</v>
      </c>
      <c r="B1446" s="5" t="s">
        <v>6496</v>
      </c>
      <c r="C1446" s="6" t="s">
        <v>43</v>
      </c>
      <c r="D1446" s="6" t="s">
        <v>1390</v>
      </c>
      <c r="E1446" s="6" t="s">
        <v>1386</v>
      </c>
      <c r="F1446" s="6" t="s">
        <v>46</v>
      </c>
      <c r="G1446" s="6" t="s">
        <v>6497</v>
      </c>
      <c r="H1446" s="7">
        <v>16.59</v>
      </c>
      <c r="I1446" s="19" t="s">
        <v>1589</v>
      </c>
      <c r="J1446" s="19" t="s">
        <v>2650</v>
      </c>
      <c r="K1446" s="5" t="s">
        <v>2674</v>
      </c>
      <c r="L1446" s="5" t="s">
        <v>2675</v>
      </c>
      <c r="M1446" s="5" t="s">
        <v>2676</v>
      </c>
      <c r="N1446" s="5" t="s">
        <v>2677</v>
      </c>
      <c r="O1446" s="5" t="s">
        <v>6498</v>
      </c>
      <c r="P1446" s="5" t="s">
        <v>6499</v>
      </c>
      <c r="Q1446" s="5" t="s">
        <v>6500</v>
      </c>
      <c r="R1446" s="5" t="s">
        <v>6501</v>
      </c>
      <c r="AG1446" s="14" t="s">
        <v>55</v>
      </c>
      <c r="AH1446" s="14" t="s">
        <v>1603</v>
      </c>
      <c r="AI1446" s="14" t="s">
        <v>2087</v>
      </c>
    </row>
    <row r="1447" spans="1:35">
      <c r="A1447" s="5" t="s">
        <v>6502</v>
      </c>
      <c r="B1447" s="5" t="s">
        <v>6503</v>
      </c>
      <c r="C1447" s="6" t="s">
        <v>43</v>
      </c>
      <c r="D1447" s="6" t="s">
        <v>1390</v>
      </c>
      <c r="E1447" s="6" t="s">
        <v>1386</v>
      </c>
      <c r="F1447" s="6" t="s">
        <v>46</v>
      </c>
      <c r="G1447" s="6" t="s">
        <v>6504</v>
      </c>
      <c r="H1447" s="7">
        <v>20.18</v>
      </c>
      <c r="I1447" s="19" t="s">
        <v>1589</v>
      </c>
      <c r="J1447" s="19" t="s">
        <v>2650</v>
      </c>
      <c r="K1447" s="5" t="s">
        <v>2685</v>
      </c>
      <c r="L1447" s="5" t="s">
        <v>2686</v>
      </c>
      <c r="M1447" s="5" t="s">
        <v>2687</v>
      </c>
      <c r="N1447" s="5" t="s">
        <v>2688</v>
      </c>
      <c r="O1447" s="5" t="s">
        <v>6505</v>
      </c>
      <c r="P1447" s="5" t="s">
        <v>6506</v>
      </c>
      <c r="Q1447" s="5" t="s">
        <v>6507</v>
      </c>
      <c r="R1447" s="5" t="s">
        <v>6508</v>
      </c>
      <c r="AG1447" s="14" t="s">
        <v>55</v>
      </c>
      <c r="AH1447" s="14" t="s">
        <v>1603</v>
      </c>
      <c r="AI1447" s="14" t="s">
        <v>2087</v>
      </c>
    </row>
    <row r="1448" spans="1:35">
      <c r="A1448" s="5" t="s">
        <v>6509</v>
      </c>
      <c r="B1448" s="5" t="s">
        <v>6510</v>
      </c>
      <c r="C1448" s="6" t="s">
        <v>43</v>
      </c>
      <c r="D1448" s="6" t="s">
        <v>239</v>
      </c>
      <c r="E1448" s="6" t="s">
        <v>1386</v>
      </c>
      <c r="F1448" s="6" t="s">
        <v>46</v>
      </c>
      <c r="G1448" s="6" t="s">
        <v>6511</v>
      </c>
      <c r="H1448" s="7">
        <v>9.02</v>
      </c>
      <c r="I1448" s="19" t="s">
        <v>1589</v>
      </c>
      <c r="J1448" s="19" t="s">
        <v>2696</v>
      </c>
      <c r="K1448" s="5" t="s">
        <v>2697</v>
      </c>
      <c r="L1448" s="5" t="s">
        <v>2698</v>
      </c>
      <c r="M1448" s="5" t="s">
        <v>2699</v>
      </c>
      <c r="N1448" s="5" t="s">
        <v>2700</v>
      </c>
      <c r="O1448" s="5" t="s">
        <v>6512</v>
      </c>
      <c r="P1448" s="5" t="s">
        <v>6513</v>
      </c>
      <c r="Q1448" s="5" t="s">
        <v>6514</v>
      </c>
      <c r="R1448" s="5" t="s">
        <v>6515</v>
      </c>
      <c r="AG1448" s="14" t="s">
        <v>55</v>
      </c>
      <c r="AH1448" s="14" t="s">
        <v>1603</v>
      </c>
      <c r="AI1448" s="14" t="s">
        <v>1604</v>
      </c>
    </row>
    <row r="1449" spans="1:35">
      <c r="A1449" s="5" t="s">
        <v>6516</v>
      </c>
      <c r="B1449" s="5" t="s">
        <v>6517</v>
      </c>
      <c r="C1449" s="6" t="s">
        <v>43</v>
      </c>
      <c r="D1449" s="6" t="s">
        <v>239</v>
      </c>
      <c r="E1449" s="6" t="s">
        <v>1386</v>
      </c>
      <c r="F1449" s="6" t="s">
        <v>46</v>
      </c>
      <c r="G1449" s="6" t="s">
        <v>6518</v>
      </c>
      <c r="H1449" s="7">
        <v>9.4499999999999993</v>
      </c>
      <c r="I1449" s="19" t="s">
        <v>1589</v>
      </c>
      <c r="J1449" s="19" t="s">
        <v>2696</v>
      </c>
      <c r="K1449" s="5" t="s">
        <v>2733</v>
      </c>
      <c r="L1449" s="5" t="s">
        <v>2734</v>
      </c>
      <c r="M1449" s="5" t="s">
        <v>2735</v>
      </c>
      <c r="N1449" s="5" t="s">
        <v>2736</v>
      </c>
      <c r="O1449" s="5" t="s">
        <v>6519</v>
      </c>
      <c r="P1449" s="5" t="s">
        <v>6520</v>
      </c>
      <c r="Q1449" s="5" t="s">
        <v>6521</v>
      </c>
      <c r="R1449" s="5" t="s">
        <v>6522</v>
      </c>
      <c r="AG1449" s="14" t="s">
        <v>55</v>
      </c>
      <c r="AH1449" s="14" t="s">
        <v>1603</v>
      </c>
      <c r="AI1449" s="14" t="s">
        <v>1604</v>
      </c>
    </row>
    <row r="1450" spans="1:35">
      <c r="A1450" s="5" t="s">
        <v>6523</v>
      </c>
      <c r="B1450" s="5" t="s">
        <v>6517</v>
      </c>
      <c r="C1450" s="6" t="s">
        <v>6524</v>
      </c>
      <c r="D1450" s="6" t="s">
        <v>239</v>
      </c>
      <c r="E1450" s="6" t="s">
        <v>2047</v>
      </c>
      <c r="F1450" s="6" t="s">
        <v>46</v>
      </c>
      <c r="G1450" s="6" t="s">
        <v>6525</v>
      </c>
      <c r="H1450" s="7">
        <v>9.4499999999999993</v>
      </c>
      <c r="I1450" s="19" t="s">
        <v>1589</v>
      </c>
      <c r="J1450" s="19" t="s">
        <v>2696</v>
      </c>
      <c r="K1450" s="5" t="s">
        <v>2733</v>
      </c>
      <c r="L1450" s="5" t="s">
        <v>2734</v>
      </c>
      <c r="M1450" s="5" t="s">
        <v>2735</v>
      </c>
      <c r="N1450" s="5" t="s">
        <v>2736</v>
      </c>
      <c r="O1450" s="5" t="s">
        <v>6519</v>
      </c>
      <c r="P1450" s="5" t="s">
        <v>6520</v>
      </c>
      <c r="Q1450" s="5" t="s">
        <v>6521</v>
      </c>
      <c r="R1450" s="5" t="s">
        <v>6522</v>
      </c>
      <c r="AG1450" s="14" t="s">
        <v>55</v>
      </c>
      <c r="AH1450" s="14" t="s">
        <v>1603</v>
      </c>
      <c r="AI1450" s="14" t="s">
        <v>1604</v>
      </c>
    </row>
    <row r="1451" spans="1:35">
      <c r="A1451" s="5" t="s">
        <v>6526</v>
      </c>
      <c r="B1451" s="5" t="s">
        <v>6527</v>
      </c>
      <c r="C1451" s="6" t="s">
        <v>5351</v>
      </c>
      <c r="D1451" s="6" t="s">
        <v>239</v>
      </c>
      <c r="E1451" s="6" t="s">
        <v>1386</v>
      </c>
      <c r="F1451" s="6" t="s">
        <v>46</v>
      </c>
      <c r="G1451" s="6" t="s">
        <v>6528</v>
      </c>
      <c r="H1451" s="7">
        <v>11.86</v>
      </c>
      <c r="I1451" s="19" t="s">
        <v>1589</v>
      </c>
      <c r="J1451" s="19" t="s">
        <v>2696</v>
      </c>
      <c r="K1451" s="5" t="s">
        <v>2757</v>
      </c>
      <c r="L1451" s="5" t="s">
        <v>2758</v>
      </c>
      <c r="M1451" s="5" t="s">
        <v>2759</v>
      </c>
      <c r="N1451" s="5" t="s">
        <v>2760</v>
      </c>
      <c r="O1451" s="5" t="s">
        <v>6529</v>
      </c>
      <c r="P1451" s="5" t="s">
        <v>6530</v>
      </c>
      <c r="Q1451" s="5" t="s">
        <v>6531</v>
      </c>
      <c r="R1451" s="5" t="s">
        <v>6532</v>
      </c>
      <c r="AG1451" s="14" t="s">
        <v>55</v>
      </c>
      <c r="AH1451" s="14" t="s">
        <v>1603</v>
      </c>
      <c r="AI1451" s="14" t="s">
        <v>1604</v>
      </c>
    </row>
    <row r="1452" spans="1:35">
      <c r="A1452" s="5" t="s">
        <v>6533</v>
      </c>
      <c r="B1452" s="5" t="s">
        <v>6527</v>
      </c>
      <c r="C1452" s="6" t="s">
        <v>5351</v>
      </c>
      <c r="D1452" s="6" t="s">
        <v>239</v>
      </c>
      <c r="E1452" s="6" t="s">
        <v>2015</v>
      </c>
      <c r="F1452" s="6" t="s">
        <v>46</v>
      </c>
      <c r="G1452" s="6" t="s">
        <v>6534</v>
      </c>
      <c r="H1452" s="7">
        <v>11.86</v>
      </c>
      <c r="I1452" s="19" t="s">
        <v>1589</v>
      </c>
      <c r="J1452" s="19" t="s">
        <v>2696</v>
      </c>
      <c r="K1452" s="5" t="s">
        <v>2757</v>
      </c>
      <c r="L1452" s="5" t="s">
        <v>2758</v>
      </c>
      <c r="M1452" s="5" t="s">
        <v>2759</v>
      </c>
      <c r="N1452" s="5" t="s">
        <v>2760</v>
      </c>
      <c r="O1452" s="5" t="s">
        <v>6529</v>
      </c>
      <c r="P1452" s="5" t="s">
        <v>6530</v>
      </c>
      <c r="Q1452" s="5" t="s">
        <v>6531</v>
      </c>
      <c r="R1452" s="5" t="s">
        <v>6532</v>
      </c>
      <c r="AG1452" s="14" t="s">
        <v>55</v>
      </c>
      <c r="AH1452" s="14" t="s">
        <v>1603</v>
      </c>
      <c r="AI1452" s="14" t="s">
        <v>1604</v>
      </c>
    </row>
    <row r="1453" spans="1:35">
      <c r="A1453" s="5" t="s">
        <v>6535</v>
      </c>
      <c r="B1453" s="5" t="s">
        <v>6527</v>
      </c>
      <c r="C1453" s="6" t="s">
        <v>5351</v>
      </c>
      <c r="D1453" s="6" t="s">
        <v>239</v>
      </c>
      <c r="E1453" s="6" t="s">
        <v>2047</v>
      </c>
      <c r="F1453" s="6" t="s">
        <v>46</v>
      </c>
      <c r="G1453" s="6" t="s">
        <v>6536</v>
      </c>
      <c r="H1453" s="7">
        <v>11.86</v>
      </c>
      <c r="I1453" s="19" t="s">
        <v>1589</v>
      </c>
      <c r="J1453" s="19" t="s">
        <v>2696</v>
      </c>
      <c r="K1453" s="5" t="s">
        <v>2757</v>
      </c>
      <c r="L1453" s="5" t="s">
        <v>2758</v>
      </c>
      <c r="M1453" s="5" t="s">
        <v>2759</v>
      </c>
      <c r="N1453" s="5" t="s">
        <v>2760</v>
      </c>
      <c r="O1453" s="5" t="s">
        <v>6529</v>
      </c>
      <c r="P1453" s="5" t="s">
        <v>6530</v>
      </c>
      <c r="Q1453" s="5" t="s">
        <v>6531</v>
      </c>
      <c r="R1453" s="5" t="s">
        <v>6532</v>
      </c>
      <c r="AG1453" s="14" t="s">
        <v>55</v>
      </c>
      <c r="AH1453" s="14" t="s">
        <v>1603</v>
      </c>
      <c r="AI1453" s="14" t="s">
        <v>1604</v>
      </c>
    </row>
    <row r="1454" spans="1:35">
      <c r="A1454" s="5" t="s">
        <v>6537</v>
      </c>
      <c r="B1454" s="5" t="s">
        <v>6538</v>
      </c>
      <c r="C1454" s="6" t="s">
        <v>43</v>
      </c>
      <c r="D1454" s="6" t="s">
        <v>239</v>
      </c>
      <c r="E1454" s="6" t="s">
        <v>2047</v>
      </c>
      <c r="F1454" s="6" t="s">
        <v>46</v>
      </c>
      <c r="G1454" s="6" t="s">
        <v>6539</v>
      </c>
      <c r="H1454" s="7">
        <v>14.12</v>
      </c>
      <c r="I1454" s="19" t="s">
        <v>1589</v>
      </c>
      <c r="J1454" s="19" t="s">
        <v>2696</v>
      </c>
      <c r="K1454" s="5" t="s">
        <v>6540</v>
      </c>
      <c r="L1454" s="5" t="s">
        <v>6541</v>
      </c>
      <c r="M1454" s="5" t="s">
        <v>6542</v>
      </c>
      <c r="N1454" s="5" t="s">
        <v>6543</v>
      </c>
      <c r="O1454" s="5" t="s">
        <v>6544</v>
      </c>
      <c r="P1454" s="5" t="s">
        <v>6545</v>
      </c>
      <c r="Q1454" s="5" t="s">
        <v>6546</v>
      </c>
      <c r="R1454" s="5" t="s">
        <v>6547</v>
      </c>
      <c r="AG1454" s="14" t="s">
        <v>55</v>
      </c>
      <c r="AH1454" s="14" t="s">
        <v>1603</v>
      </c>
      <c r="AI1454" s="14" t="s">
        <v>1604</v>
      </c>
    </row>
    <row r="1455" spans="1:35">
      <c r="A1455" s="5" t="s">
        <v>6548</v>
      </c>
      <c r="B1455" s="5" t="s">
        <v>6549</v>
      </c>
      <c r="C1455" s="6" t="s">
        <v>43</v>
      </c>
      <c r="D1455" s="6" t="s">
        <v>239</v>
      </c>
      <c r="E1455" s="6" t="s">
        <v>2047</v>
      </c>
      <c r="F1455" s="6" t="s">
        <v>46</v>
      </c>
      <c r="G1455" s="6" t="s">
        <v>6550</v>
      </c>
      <c r="H1455" s="7">
        <v>15.34</v>
      </c>
      <c r="I1455" s="19" t="s">
        <v>1589</v>
      </c>
      <c r="J1455" s="19" t="s">
        <v>2696</v>
      </c>
      <c r="K1455" s="5" t="s">
        <v>2774</v>
      </c>
      <c r="L1455" s="5" t="s">
        <v>2775</v>
      </c>
      <c r="M1455" s="5" t="s">
        <v>2776</v>
      </c>
      <c r="N1455" s="5" t="s">
        <v>2777</v>
      </c>
      <c r="O1455" s="5" t="s">
        <v>6551</v>
      </c>
      <c r="P1455" s="5" t="s">
        <v>6552</v>
      </c>
      <c r="Q1455" s="5" t="s">
        <v>6553</v>
      </c>
      <c r="R1455" s="5" t="s">
        <v>6554</v>
      </c>
      <c r="AG1455" s="14" t="s">
        <v>55</v>
      </c>
      <c r="AH1455" s="14" t="s">
        <v>1603</v>
      </c>
      <c r="AI1455" s="14" t="s">
        <v>1604</v>
      </c>
    </row>
    <row r="1456" spans="1:35">
      <c r="A1456" s="5" t="s">
        <v>6555</v>
      </c>
      <c r="B1456" s="5" t="s">
        <v>6549</v>
      </c>
      <c r="C1456" s="6" t="s">
        <v>43</v>
      </c>
      <c r="D1456" s="6" t="s">
        <v>239</v>
      </c>
      <c r="E1456" s="6" t="s">
        <v>2065</v>
      </c>
      <c r="F1456" s="6" t="s">
        <v>46</v>
      </c>
      <c r="G1456" s="6" t="s">
        <v>6556</v>
      </c>
      <c r="H1456" s="7">
        <v>15.34</v>
      </c>
      <c r="I1456" s="19" t="s">
        <v>1589</v>
      </c>
      <c r="J1456" s="19" t="s">
        <v>2696</v>
      </c>
      <c r="K1456" s="5" t="s">
        <v>2774</v>
      </c>
      <c r="L1456" s="5" t="s">
        <v>2775</v>
      </c>
      <c r="M1456" s="5" t="s">
        <v>2776</v>
      </c>
      <c r="N1456" s="5" t="s">
        <v>2777</v>
      </c>
      <c r="O1456" s="5" t="s">
        <v>6551</v>
      </c>
      <c r="P1456" s="5" t="s">
        <v>6552</v>
      </c>
      <c r="Q1456" s="5" t="s">
        <v>6553</v>
      </c>
      <c r="R1456" s="5" t="s">
        <v>6554</v>
      </c>
      <c r="AG1456" s="14" t="s">
        <v>55</v>
      </c>
      <c r="AH1456" s="14" t="s">
        <v>1603</v>
      </c>
      <c r="AI1456" s="14" t="s">
        <v>1604</v>
      </c>
    </row>
    <row r="1457" spans="1:37">
      <c r="A1457" s="5" t="s">
        <v>6557</v>
      </c>
      <c r="B1457" s="5" t="s">
        <v>6558</v>
      </c>
      <c r="C1457" s="6" t="s">
        <v>43</v>
      </c>
      <c r="D1457" s="6" t="s">
        <v>239</v>
      </c>
      <c r="E1457" s="6" t="s">
        <v>2047</v>
      </c>
      <c r="F1457" s="6" t="s">
        <v>46</v>
      </c>
      <c r="G1457" s="6" t="s">
        <v>6559</v>
      </c>
      <c r="H1457" s="7">
        <v>15.66</v>
      </c>
      <c r="I1457" s="19" t="s">
        <v>1589</v>
      </c>
      <c r="J1457" s="19" t="s">
        <v>2696</v>
      </c>
      <c r="K1457" s="5" t="s">
        <v>2790</v>
      </c>
      <c r="L1457" s="5" t="s">
        <v>2791</v>
      </c>
      <c r="M1457" s="5" t="s">
        <v>2792</v>
      </c>
      <c r="N1457" s="5" t="s">
        <v>2793</v>
      </c>
      <c r="O1457" s="5" t="s">
        <v>6560</v>
      </c>
      <c r="P1457" s="5" t="s">
        <v>6561</v>
      </c>
      <c r="Q1457" s="5" t="s">
        <v>6562</v>
      </c>
      <c r="R1457" s="5" t="s">
        <v>6563</v>
      </c>
      <c r="AG1457" s="14" t="s">
        <v>55</v>
      </c>
      <c r="AH1457" s="14" t="s">
        <v>1603</v>
      </c>
      <c r="AI1457" s="14" t="s">
        <v>1604</v>
      </c>
    </row>
    <row r="1458" spans="1:37">
      <c r="A1458" s="5" t="s">
        <v>6564</v>
      </c>
      <c r="B1458" s="5" t="s">
        <v>6558</v>
      </c>
      <c r="C1458" s="6" t="s">
        <v>43</v>
      </c>
      <c r="D1458" s="6" t="s">
        <v>239</v>
      </c>
      <c r="E1458" s="6" t="s">
        <v>2065</v>
      </c>
      <c r="F1458" s="6" t="s">
        <v>46</v>
      </c>
      <c r="G1458" s="6" t="s">
        <v>6565</v>
      </c>
      <c r="H1458" s="7">
        <v>15.66</v>
      </c>
      <c r="I1458" s="19" t="s">
        <v>1589</v>
      </c>
      <c r="J1458" s="19" t="s">
        <v>2696</v>
      </c>
      <c r="K1458" s="5" t="s">
        <v>2790</v>
      </c>
      <c r="L1458" s="5" t="s">
        <v>2791</v>
      </c>
      <c r="M1458" s="5" t="s">
        <v>2792</v>
      </c>
      <c r="N1458" s="5" t="s">
        <v>2793</v>
      </c>
      <c r="O1458" s="5" t="s">
        <v>6560</v>
      </c>
      <c r="P1458" s="5" t="s">
        <v>6561</v>
      </c>
      <c r="Q1458" s="5" t="s">
        <v>6562</v>
      </c>
      <c r="R1458" s="5" t="s">
        <v>6563</v>
      </c>
      <c r="AG1458" s="14" t="s">
        <v>55</v>
      </c>
      <c r="AH1458" s="14" t="s">
        <v>1603</v>
      </c>
      <c r="AI1458" s="14" t="s">
        <v>1604</v>
      </c>
    </row>
    <row r="1459" spans="1:37">
      <c r="A1459" s="5" t="s">
        <v>6566</v>
      </c>
      <c r="B1459" s="5" t="s">
        <v>6567</v>
      </c>
      <c r="C1459" s="6" t="s">
        <v>43</v>
      </c>
      <c r="D1459" s="6" t="s">
        <v>239</v>
      </c>
      <c r="E1459" s="6" t="s">
        <v>2139</v>
      </c>
      <c r="F1459" s="6" t="s">
        <v>46</v>
      </c>
      <c r="G1459" s="6" t="s">
        <v>6568</v>
      </c>
      <c r="H1459" s="7">
        <v>16.149999999999999</v>
      </c>
      <c r="I1459" s="19" t="s">
        <v>1589</v>
      </c>
      <c r="J1459" s="19" t="s">
        <v>2696</v>
      </c>
      <c r="K1459" s="5" t="s">
        <v>2809</v>
      </c>
      <c r="L1459" s="5" t="s">
        <v>2810</v>
      </c>
      <c r="M1459" s="5" t="s">
        <v>2811</v>
      </c>
      <c r="N1459" s="5" t="s">
        <v>2812</v>
      </c>
      <c r="O1459" s="5" t="s">
        <v>6569</v>
      </c>
      <c r="P1459" s="5" t="s">
        <v>6570</v>
      </c>
      <c r="Q1459" s="5" t="s">
        <v>6571</v>
      </c>
      <c r="R1459" s="5" t="s">
        <v>6572</v>
      </c>
      <c r="AG1459" s="14" t="s">
        <v>55</v>
      </c>
      <c r="AH1459" s="14" t="s">
        <v>1603</v>
      </c>
      <c r="AI1459" s="14" t="s">
        <v>1604</v>
      </c>
    </row>
    <row r="1460" spans="1:37">
      <c r="A1460" s="5" t="s">
        <v>6573</v>
      </c>
      <c r="B1460" s="5" t="s">
        <v>6567</v>
      </c>
      <c r="C1460" s="6" t="s">
        <v>43</v>
      </c>
      <c r="D1460" s="6" t="s">
        <v>239</v>
      </c>
      <c r="E1460" s="6" t="s">
        <v>2047</v>
      </c>
      <c r="F1460" s="6" t="s">
        <v>46</v>
      </c>
      <c r="G1460" s="6" t="s">
        <v>5710</v>
      </c>
      <c r="H1460" s="7">
        <v>16.149999999999999</v>
      </c>
      <c r="I1460" s="19" t="s">
        <v>1589</v>
      </c>
      <c r="J1460" s="19" t="s">
        <v>2696</v>
      </c>
      <c r="K1460" s="5" t="s">
        <v>2809</v>
      </c>
      <c r="L1460" s="5" t="s">
        <v>2810</v>
      </c>
      <c r="M1460" s="5" t="s">
        <v>2811</v>
      </c>
      <c r="N1460" s="5" t="s">
        <v>2812</v>
      </c>
      <c r="O1460" s="5" t="s">
        <v>6569</v>
      </c>
      <c r="P1460" s="5" t="s">
        <v>6570</v>
      </c>
      <c r="Q1460" s="5" t="s">
        <v>6571</v>
      </c>
      <c r="R1460" s="5" t="s">
        <v>6572</v>
      </c>
      <c r="AG1460" s="14" t="s">
        <v>55</v>
      </c>
      <c r="AH1460" s="14" t="s">
        <v>1603</v>
      </c>
      <c r="AI1460" s="14" t="s">
        <v>1604</v>
      </c>
    </row>
    <row r="1461" spans="1:37">
      <c r="A1461" s="5" t="s">
        <v>6574</v>
      </c>
      <c r="B1461" s="5" t="s">
        <v>6567</v>
      </c>
      <c r="C1461" s="6" t="s">
        <v>43</v>
      </c>
      <c r="D1461" s="6" t="s">
        <v>239</v>
      </c>
      <c r="E1461" s="6" t="s">
        <v>2065</v>
      </c>
      <c r="F1461" s="6" t="s">
        <v>46</v>
      </c>
      <c r="G1461" s="6" t="s">
        <v>6575</v>
      </c>
      <c r="H1461" s="7">
        <v>16.149999999999999</v>
      </c>
      <c r="I1461" s="19" t="s">
        <v>1589</v>
      </c>
      <c r="J1461" s="19" t="s">
        <v>2696</v>
      </c>
      <c r="K1461" s="5" t="s">
        <v>2809</v>
      </c>
      <c r="L1461" s="5" t="s">
        <v>2810</v>
      </c>
      <c r="M1461" s="5" t="s">
        <v>2811</v>
      </c>
      <c r="N1461" s="5" t="s">
        <v>2812</v>
      </c>
      <c r="O1461" s="5" t="s">
        <v>6569</v>
      </c>
      <c r="P1461" s="5" t="s">
        <v>6570</v>
      </c>
      <c r="Q1461" s="5" t="s">
        <v>6571</v>
      </c>
      <c r="R1461" s="5" t="s">
        <v>6572</v>
      </c>
      <c r="AG1461" s="14" t="s">
        <v>55</v>
      </c>
      <c r="AH1461" s="14" t="s">
        <v>1603</v>
      </c>
      <c r="AI1461" s="14" t="s">
        <v>1604</v>
      </c>
    </row>
    <row r="1462" spans="1:37">
      <c r="A1462" s="6" t="s">
        <v>6576</v>
      </c>
      <c r="B1462" s="6" t="s">
        <v>6577</v>
      </c>
      <c r="C1462" s="6" t="s">
        <v>43</v>
      </c>
      <c r="D1462" s="6" t="s">
        <v>239</v>
      </c>
      <c r="E1462" s="6" t="s">
        <v>2047</v>
      </c>
      <c r="F1462" s="6" t="s">
        <v>46</v>
      </c>
      <c r="G1462" s="6" t="s">
        <v>6578</v>
      </c>
      <c r="I1462" s="6" t="s">
        <v>48</v>
      </c>
      <c r="J1462" s="6" t="s">
        <v>48</v>
      </c>
      <c r="K1462" s="6"/>
      <c r="L1462" s="6"/>
      <c r="M1462" s="6"/>
      <c r="N1462" s="6"/>
      <c r="O1462" s="6"/>
      <c r="P1462" s="6"/>
      <c r="Q1462" s="6"/>
      <c r="R1462" s="6"/>
      <c r="S1462" s="6"/>
      <c r="T1462" s="6"/>
      <c r="U1462" s="6"/>
      <c r="V1462" s="6"/>
      <c r="W1462" s="6"/>
      <c r="X1462" s="6"/>
      <c r="Y1462" s="6"/>
      <c r="Z1462" s="6"/>
      <c r="AA1462" s="6"/>
      <c r="AB1462" s="6"/>
      <c r="AC1462" s="6"/>
      <c r="AD1462" s="6"/>
      <c r="AE1462" s="6"/>
      <c r="AF1462" s="6"/>
      <c r="AG1462" s="15" t="s">
        <v>55</v>
      </c>
      <c r="AH1462" s="15"/>
      <c r="AI1462" s="15"/>
      <c r="AJ1462" s="6"/>
      <c r="AK1462" s="6"/>
    </row>
    <row r="1463" spans="1:37" s="6" customFormat="1">
      <c r="A1463" s="5" t="s">
        <v>6579</v>
      </c>
      <c r="B1463" s="5" t="s">
        <v>6580</v>
      </c>
      <c r="C1463" s="6" t="s">
        <v>43</v>
      </c>
      <c r="D1463" s="6" t="s">
        <v>239</v>
      </c>
      <c r="E1463" s="6" t="s">
        <v>1540</v>
      </c>
      <c r="F1463" s="6" t="s">
        <v>46</v>
      </c>
      <c r="G1463" s="6" t="s">
        <v>6504</v>
      </c>
      <c r="H1463" s="7">
        <v>23.26</v>
      </c>
      <c r="I1463" s="19" t="s">
        <v>1589</v>
      </c>
      <c r="J1463" s="19" t="s">
        <v>2254</v>
      </c>
      <c r="K1463" s="5" t="s">
        <v>2972</v>
      </c>
      <c r="L1463" s="5" t="s">
        <v>2973</v>
      </c>
      <c r="M1463" s="5" t="s">
        <v>2974</v>
      </c>
      <c r="N1463" s="5" t="s">
        <v>2975</v>
      </c>
      <c r="O1463" s="5" t="s">
        <v>6581</v>
      </c>
      <c r="P1463" s="5" t="s">
        <v>6582</v>
      </c>
      <c r="Q1463" s="5" t="s">
        <v>6583</v>
      </c>
      <c r="R1463" s="5" t="s">
        <v>6584</v>
      </c>
      <c r="S1463" s="5"/>
      <c r="T1463" s="5"/>
      <c r="U1463" s="5"/>
      <c r="V1463" s="5"/>
      <c r="W1463" s="5"/>
      <c r="X1463" s="5"/>
      <c r="Y1463" s="5" t="s">
        <v>2980</v>
      </c>
      <c r="Z1463" s="5"/>
      <c r="AA1463" s="5"/>
      <c r="AB1463" s="5"/>
      <c r="AC1463" s="5"/>
      <c r="AD1463" s="5"/>
      <c r="AE1463" s="5"/>
      <c r="AF1463" s="5"/>
      <c r="AG1463" s="14" t="s">
        <v>55</v>
      </c>
      <c r="AH1463" s="14" t="s">
        <v>1603</v>
      </c>
      <c r="AI1463" s="14" t="s">
        <v>2264</v>
      </c>
      <c r="AJ1463" s="5"/>
      <c r="AK1463" s="5"/>
    </row>
    <row r="1464" spans="1:37">
      <c r="A1464" s="5" t="s">
        <v>6585</v>
      </c>
      <c r="B1464" s="5" t="s">
        <v>6586</v>
      </c>
      <c r="C1464" s="6" t="s">
        <v>43</v>
      </c>
      <c r="D1464" s="6" t="s">
        <v>239</v>
      </c>
      <c r="E1464" s="6" t="s">
        <v>1540</v>
      </c>
      <c r="F1464" s="6" t="s">
        <v>46</v>
      </c>
      <c r="G1464" s="6" t="s">
        <v>6587</v>
      </c>
      <c r="H1464" s="7">
        <v>24.46</v>
      </c>
      <c r="I1464" s="19" t="s">
        <v>1589</v>
      </c>
      <c r="J1464" s="19" t="s">
        <v>2254</v>
      </c>
      <c r="K1464" s="5" t="s">
        <v>3069</v>
      </c>
      <c r="L1464" s="5" t="s">
        <v>3070</v>
      </c>
      <c r="M1464" s="5" t="s">
        <v>3071</v>
      </c>
      <c r="N1464" s="5" t="s">
        <v>3072</v>
      </c>
      <c r="O1464" s="5" t="s">
        <v>6588</v>
      </c>
      <c r="P1464" s="5" t="s">
        <v>6589</v>
      </c>
      <c r="Q1464" s="5" t="s">
        <v>6590</v>
      </c>
      <c r="R1464" s="5" t="s">
        <v>6591</v>
      </c>
      <c r="Y1464" s="5" t="s">
        <v>2980</v>
      </c>
      <c r="AG1464" s="14" t="s">
        <v>55</v>
      </c>
      <c r="AH1464" s="14" t="s">
        <v>1603</v>
      </c>
      <c r="AI1464" s="14" t="s">
        <v>2264</v>
      </c>
    </row>
    <row r="1465" spans="1:37">
      <c r="A1465" s="6" t="s">
        <v>6592</v>
      </c>
      <c r="B1465" s="6" t="s">
        <v>6593</v>
      </c>
      <c r="C1465" s="6" t="s">
        <v>43</v>
      </c>
      <c r="D1465" s="6" t="s">
        <v>239</v>
      </c>
      <c r="E1465" s="6" t="s">
        <v>1540</v>
      </c>
      <c r="F1465" s="6" t="s">
        <v>46</v>
      </c>
      <c r="G1465" s="6" t="s">
        <v>6594</v>
      </c>
      <c r="I1465" s="16" t="s">
        <v>48</v>
      </c>
      <c r="J1465" s="16" t="s">
        <v>48</v>
      </c>
      <c r="K1465" s="6"/>
      <c r="L1465" s="6"/>
      <c r="M1465" s="6"/>
      <c r="N1465" s="6"/>
      <c r="O1465" s="6"/>
      <c r="P1465" s="6"/>
      <c r="Q1465" s="6"/>
      <c r="R1465" s="6"/>
      <c r="S1465" s="6"/>
      <c r="T1465" s="6"/>
      <c r="U1465" s="6"/>
      <c r="V1465" s="6"/>
      <c r="W1465" s="6"/>
      <c r="X1465" s="6"/>
      <c r="Y1465" s="6"/>
      <c r="Z1465" s="6"/>
      <c r="AA1465" s="6"/>
      <c r="AB1465" s="6"/>
      <c r="AC1465" s="6"/>
      <c r="AD1465" s="6"/>
      <c r="AE1465" s="6"/>
      <c r="AF1465" s="6"/>
      <c r="AG1465" s="15" t="s">
        <v>55</v>
      </c>
      <c r="AH1465" s="15"/>
      <c r="AI1465" s="15"/>
      <c r="AJ1465" s="6"/>
      <c r="AK1465" s="6"/>
    </row>
    <row r="1466" spans="1:37" s="6" customFormat="1">
      <c r="A1466" s="6" t="s">
        <v>6595</v>
      </c>
      <c r="B1466" s="6" t="s">
        <v>6596</v>
      </c>
      <c r="C1466" s="6" t="s">
        <v>43</v>
      </c>
      <c r="D1466" s="6" t="s">
        <v>239</v>
      </c>
      <c r="E1466" s="6" t="s">
        <v>1540</v>
      </c>
      <c r="F1466" s="6" t="s">
        <v>46</v>
      </c>
      <c r="G1466" s="6" t="s">
        <v>6597</v>
      </c>
      <c r="H1466" s="7"/>
      <c r="I1466" s="16" t="s">
        <v>48</v>
      </c>
      <c r="J1466" s="16" t="s">
        <v>48</v>
      </c>
      <c r="AG1466" s="15" t="s">
        <v>55</v>
      </c>
      <c r="AH1466" s="15"/>
      <c r="AI1466" s="15"/>
    </row>
    <row r="1467" spans="1:37" s="6" customFormat="1">
      <c r="A1467" s="6" t="s">
        <v>6598</v>
      </c>
      <c r="B1467" s="6" t="s">
        <v>6599</v>
      </c>
      <c r="C1467" s="6" t="s">
        <v>43</v>
      </c>
      <c r="D1467" s="6" t="s">
        <v>239</v>
      </c>
      <c r="E1467" s="6" t="s">
        <v>1540</v>
      </c>
      <c r="F1467" s="6" t="s">
        <v>46</v>
      </c>
      <c r="G1467" s="6" t="s">
        <v>6600</v>
      </c>
      <c r="H1467" s="7"/>
      <c r="I1467" s="16" t="s">
        <v>48</v>
      </c>
      <c r="J1467" s="16" t="s">
        <v>48</v>
      </c>
      <c r="AG1467" s="15" t="s">
        <v>55</v>
      </c>
      <c r="AH1467" s="15"/>
      <c r="AI1467" s="15"/>
    </row>
    <row r="1468" spans="1:37" s="6" customFormat="1">
      <c r="A1468" s="6" t="s">
        <v>6601</v>
      </c>
      <c r="B1468" s="6" t="s">
        <v>6602</v>
      </c>
      <c r="C1468" s="6" t="s">
        <v>43</v>
      </c>
      <c r="D1468" s="6" t="s">
        <v>239</v>
      </c>
      <c r="E1468" s="6" t="s">
        <v>1540</v>
      </c>
      <c r="F1468" s="6" t="s">
        <v>46</v>
      </c>
      <c r="G1468" s="6" t="s">
        <v>6603</v>
      </c>
      <c r="H1468" s="7"/>
      <c r="I1468" s="16" t="s">
        <v>48</v>
      </c>
      <c r="J1468" s="16" t="s">
        <v>48</v>
      </c>
      <c r="AG1468" s="15" t="s">
        <v>55</v>
      </c>
      <c r="AH1468" s="15"/>
      <c r="AI1468" s="15"/>
    </row>
    <row r="1469" spans="1:37" s="6" customFormat="1">
      <c r="A1469" s="6" t="s">
        <v>6604</v>
      </c>
      <c r="B1469" s="6" t="s">
        <v>6605</v>
      </c>
      <c r="C1469" s="6" t="s">
        <v>43</v>
      </c>
      <c r="D1469" s="6" t="s">
        <v>239</v>
      </c>
      <c r="E1469" s="6" t="s">
        <v>1540</v>
      </c>
      <c r="F1469" s="6" t="s">
        <v>46</v>
      </c>
      <c r="G1469" s="6" t="s">
        <v>6344</v>
      </c>
      <c r="H1469" s="7"/>
      <c r="I1469" s="16" t="s">
        <v>48</v>
      </c>
      <c r="J1469" s="16" t="s">
        <v>48</v>
      </c>
      <c r="AG1469" s="15" t="s">
        <v>55</v>
      </c>
      <c r="AH1469" s="15"/>
      <c r="AI1469" s="15"/>
    </row>
    <row r="1470" spans="1:37" s="6" customFormat="1">
      <c r="A1470" s="6" t="s">
        <v>6606</v>
      </c>
      <c r="B1470" s="6" t="s">
        <v>6607</v>
      </c>
      <c r="C1470" s="6" t="s">
        <v>43</v>
      </c>
      <c r="D1470" s="6" t="s">
        <v>239</v>
      </c>
      <c r="E1470" s="6" t="s">
        <v>1540</v>
      </c>
      <c r="F1470" s="6" t="s">
        <v>46</v>
      </c>
      <c r="G1470" s="6" t="s">
        <v>6608</v>
      </c>
      <c r="H1470" s="7"/>
      <c r="I1470" s="16" t="s">
        <v>48</v>
      </c>
      <c r="J1470" s="16" t="s">
        <v>48</v>
      </c>
      <c r="AG1470" s="15" t="s">
        <v>55</v>
      </c>
      <c r="AH1470" s="15"/>
      <c r="AI1470" s="15"/>
    </row>
    <row r="1471" spans="1:37" s="6" customFormat="1">
      <c r="A1471" s="6" t="s">
        <v>6609</v>
      </c>
      <c r="B1471" s="6" t="s">
        <v>6610</v>
      </c>
      <c r="C1471" s="6" t="s">
        <v>43</v>
      </c>
      <c r="D1471" s="6" t="s">
        <v>239</v>
      </c>
      <c r="E1471" s="6" t="s">
        <v>1540</v>
      </c>
      <c r="F1471" s="6" t="s">
        <v>46</v>
      </c>
      <c r="G1471" s="6" t="s">
        <v>6611</v>
      </c>
      <c r="H1471" s="7"/>
      <c r="I1471" s="16" t="s">
        <v>48</v>
      </c>
      <c r="J1471" s="16" t="s">
        <v>48</v>
      </c>
      <c r="AG1471" s="15" t="s">
        <v>55</v>
      </c>
      <c r="AH1471" s="15"/>
      <c r="AI1471" s="15"/>
    </row>
    <row r="1472" spans="1:37" s="6" customFormat="1">
      <c r="A1472" s="6" t="s">
        <v>6612</v>
      </c>
      <c r="B1472" s="6" t="s">
        <v>6613</v>
      </c>
      <c r="C1472" s="6" t="s">
        <v>43</v>
      </c>
      <c r="D1472" s="6" t="s">
        <v>239</v>
      </c>
      <c r="E1472" s="6" t="s">
        <v>1540</v>
      </c>
      <c r="F1472" s="6" t="s">
        <v>46</v>
      </c>
      <c r="G1472" s="6" t="s">
        <v>6614</v>
      </c>
      <c r="H1472" s="7"/>
      <c r="I1472" s="6" t="s">
        <v>48</v>
      </c>
      <c r="J1472" s="6" t="s">
        <v>48</v>
      </c>
      <c r="AG1472" s="15" t="s">
        <v>55</v>
      </c>
      <c r="AH1472" s="15"/>
      <c r="AI1472" s="15"/>
    </row>
    <row r="1473" spans="1:37" s="6" customFormat="1">
      <c r="A1473" s="6" t="s">
        <v>6615</v>
      </c>
      <c r="B1473" s="6" t="s">
        <v>6616</v>
      </c>
      <c r="C1473" s="6" t="s">
        <v>43</v>
      </c>
      <c r="D1473" s="6" t="s">
        <v>239</v>
      </c>
      <c r="E1473" s="6" t="s">
        <v>240</v>
      </c>
      <c r="F1473" s="6" t="s">
        <v>46</v>
      </c>
      <c r="G1473" s="6" t="s">
        <v>5701</v>
      </c>
      <c r="H1473" s="7"/>
      <c r="I1473" s="6" t="s">
        <v>48</v>
      </c>
      <c r="J1473" s="6" t="s">
        <v>48</v>
      </c>
      <c r="AG1473" s="15" t="s">
        <v>55</v>
      </c>
      <c r="AH1473" s="15"/>
      <c r="AI1473" s="15"/>
    </row>
    <row r="1474" spans="1:37" s="6" customFormat="1">
      <c r="A1474" s="6" t="s">
        <v>6617</v>
      </c>
      <c r="B1474" s="6" t="s">
        <v>6618</v>
      </c>
      <c r="C1474" s="6" t="s">
        <v>43</v>
      </c>
      <c r="D1474" s="6" t="s">
        <v>239</v>
      </c>
      <c r="E1474" s="6" t="s">
        <v>1540</v>
      </c>
      <c r="F1474" s="6" t="s">
        <v>46</v>
      </c>
      <c r="G1474" s="6" t="s">
        <v>6619</v>
      </c>
      <c r="H1474" s="7"/>
      <c r="I1474" s="16" t="s">
        <v>48</v>
      </c>
      <c r="J1474" s="16" t="s">
        <v>48</v>
      </c>
      <c r="AG1474" s="15" t="s">
        <v>55</v>
      </c>
      <c r="AH1474" s="15"/>
      <c r="AI1474" s="15"/>
    </row>
    <row r="1475" spans="1:37" s="6" customFormat="1">
      <c r="A1475" s="6" t="s">
        <v>6620</v>
      </c>
      <c r="B1475" s="6" t="s">
        <v>6621</v>
      </c>
      <c r="C1475" s="6" t="s">
        <v>43</v>
      </c>
      <c r="D1475" s="6" t="s">
        <v>239</v>
      </c>
      <c r="E1475" s="6" t="s">
        <v>1540</v>
      </c>
      <c r="F1475" s="6" t="s">
        <v>46</v>
      </c>
      <c r="G1475" s="6" t="s">
        <v>6622</v>
      </c>
      <c r="H1475" s="7"/>
      <c r="I1475" s="16" t="s">
        <v>48</v>
      </c>
      <c r="J1475" s="16" t="s">
        <v>48</v>
      </c>
      <c r="AG1475" s="15" t="s">
        <v>55</v>
      </c>
      <c r="AH1475" s="15"/>
      <c r="AI1475" s="15"/>
    </row>
    <row r="1476" spans="1:37" s="6" customFormat="1">
      <c r="A1476" s="6" t="s">
        <v>6623</v>
      </c>
      <c r="B1476" s="6" t="s">
        <v>6624</v>
      </c>
      <c r="C1476" s="6" t="s">
        <v>43</v>
      </c>
      <c r="D1476" s="6" t="s">
        <v>239</v>
      </c>
      <c r="E1476" s="6" t="s">
        <v>1540</v>
      </c>
      <c r="F1476" s="6" t="s">
        <v>46</v>
      </c>
      <c r="G1476" s="6" t="s">
        <v>6625</v>
      </c>
      <c r="H1476" s="7"/>
      <c r="I1476" s="16" t="s">
        <v>48</v>
      </c>
      <c r="J1476" s="16" t="s">
        <v>48</v>
      </c>
      <c r="AG1476" s="15" t="s">
        <v>55</v>
      </c>
      <c r="AH1476" s="15"/>
      <c r="AI1476" s="15"/>
    </row>
    <row r="1477" spans="1:37" s="6" customFormat="1">
      <c r="A1477" s="6" t="s">
        <v>6626</v>
      </c>
      <c r="B1477" s="6" t="s">
        <v>6627</v>
      </c>
      <c r="C1477" s="6" t="s">
        <v>2281</v>
      </c>
      <c r="D1477" s="6" t="s">
        <v>1645</v>
      </c>
      <c r="E1477" s="6" t="s">
        <v>2065</v>
      </c>
      <c r="F1477" s="6" t="s">
        <v>46</v>
      </c>
      <c r="G1477" s="6" t="s">
        <v>6219</v>
      </c>
      <c r="H1477" s="7"/>
      <c r="I1477" s="16" t="s">
        <v>48</v>
      </c>
      <c r="J1477" s="16" t="s">
        <v>48</v>
      </c>
      <c r="AG1477" s="15" t="s">
        <v>55</v>
      </c>
      <c r="AH1477" s="15"/>
      <c r="AI1477" s="15"/>
    </row>
    <row r="1478" spans="1:37" s="6" customFormat="1">
      <c r="A1478" s="6" t="s">
        <v>6628</v>
      </c>
      <c r="B1478" s="6" t="s">
        <v>6629</v>
      </c>
      <c r="C1478" s="6" t="s">
        <v>2281</v>
      </c>
      <c r="D1478" s="6" t="s">
        <v>1645</v>
      </c>
      <c r="E1478" s="6" t="s">
        <v>1386</v>
      </c>
      <c r="F1478" s="6" t="s">
        <v>46</v>
      </c>
      <c r="G1478" s="6" t="s">
        <v>6630</v>
      </c>
      <c r="H1478" s="7"/>
      <c r="I1478" s="16" t="s">
        <v>48</v>
      </c>
      <c r="J1478" s="16" t="s">
        <v>48</v>
      </c>
      <c r="AG1478" s="15" t="s">
        <v>55</v>
      </c>
      <c r="AH1478" s="15"/>
      <c r="AI1478" s="15"/>
    </row>
    <row r="1479" spans="1:37" s="6" customFormat="1">
      <c r="A1479" s="6" t="s">
        <v>6631</v>
      </c>
      <c r="B1479" s="6" t="s">
        <v>6632</v>
      </c>
      <c r="C1479" s="6" t="s">
        <v>43</v>
      </c>
      <c r="D1479" s="6" t="s">
        <v>239</v>
      </c>
      <c r="E1479" s="6" t="s">
        <v>1671</v>
      </c>
      <c r="F1479" s="6" t="s">
        <v>46</v>
      </c>
      <c r="G1479" s="6" t="s">
        <v>6633</v>
      </c>
      <c r="H1479" s="7"/>
      <c r="I1479" s="19" t="s">
        <v>48</v>
      </c>
      <c r="J1479" s="19" t="s">
        <v>48</v>
      </c>
      <c r="AG1479" s="15" t="s">
        <v>55</v>
      </c>
      <c r="AH1479" s="15"/>
      <c r="AI1479" s="15"/>
    </row>
    <row r="1480" spans="1:37" s="6" customFormat="1">
      <c r="A1480" s="6" t="s">
        <v>6634</v>
      </c>
      <c r="B1480" s="6" t="s">
        <v>6635</v>
      </c>
      <c r="C1480" s="6" t="s">
        <v>43</v>
      </c>
      <c r="D1480" s="6" t="s">
        <v>239</v>
      </c>
      <c r="E1480" s="6" t="s">
        <v>1540</v>
      </c>
      <c r="F1480" s="6" t="s">
        <v>46</v>
      </c>
      <c r="G1480" s="6" t="s">
        <v>6622</v>
      </c>
      <c r="H1480" s="7"/>
      <c r="I1480" s="16" t="s">
        <v>48</v>
      </c>
      <c r="J1480" s="16" t="s">
        <v>48</v>
      </c>
      <c r="AG1480" s="15" t="s">
        <v>55</v>
      </c>
      <c r="AH1480" s="15"/>
      <c r="AI1480" s="15"/>
    </row>
    <row r="1481" spans="1:37" s="6" customFormat="1">
      <c r="A1481" s="6" t="s">
        <v>6636</v>
      </c>
      <c r="B1481" s="6" t="s">
        <v>6637</v>
      </c>
      <c r="C1481" s="6" t="s">
        <v>6638</v>
      </c>
      <c r="D1481" s="6" t="s">
        <v>1977</v>
      </c>
      <c r="E1481" s="6" t="s">
        <v>5253</v>
      </c>
      <c r="F1481" s="6" t="s">
        <v>46</v>
      </c>
      <c r="G1481" s="6" t="s">
        <v>6639</v>
      </c>
      <c r="H1481" s="7"/>
      <c r="I1481" s="19" t="s">
        <v>48</v>
      </c>
      <c r="J1481" s="19" t="s">
        <v>48</v>
      </c>
      <c r="AG1481" s="15" t="s">
        <v>55</v>
      </c>
      <c r="AH1481" s="15"/>
      <c r="AI1481" s="15"/>
    </row>
    <row r="1482" spans="1:37" s="6" customFormat="1">
      <c r="A1482" s="5" t="s">
        <v>6640</v>
      </c>
      <c r="B1482" s="5" t="s">
        <v>6641</v>
      </c>
      <c r="C1482" s="6" t="s">
        <v>6638</v>
      </c>
      <c r="D1482" s="6" t="s">
        <v>1977</v>
      </c>
      <c r="E1482" s="6" t="s">
        <v>2139</v>
      </c>
      <c r="F1482" s="6" t="s">
        <v>46</v>
      </c>
      <c r="G1482" s="6" t="s">
        <v>6642</v>
      </c>
      <c r="H1482" s="7">
        <v>14.58</v>
      </c>
      <c r="I1482" s="19" t="s">
        <v>1589</v>
      </c>
      <c r="J1482" s="19" t="s">
        <v>2001</v>
      </c>
      <c r="K1482" s="20" t="s">
        <v>2002</v>
      </c>
      <c r="L1482" s="20" t="s">
        <v>2003</v>
      </c>
      <c r="M1482" s="20" t="s">
        <v>2004</v>
      </c>
      <c r="N1482" s="20" t="s">
        <v>2005</v>
      </c>
      <c r="O1482" s="20" t="s">
        <v>6643</v>
      </c>
      <c r="P1482" s="20" t="s">
        <v>6644</v>
      </c>
      <c r="Q1482" s="20" t="s">
        <v>6645</v>
      </c>
      <c r="R1482" s="5" t="s">
        <v>6646</v>
      </c>
      <c r="S1482" s="5"/>
      <c r="T1482" s="5"/>
      <c r="U1482" s="5"/>
      <c r="V1482" s="5"/>
      <c r="W1482" s="20" t="s">
        <v>2010</v>
      </c>
      <c r="X1482" s="20" t="s">
        <v>2011</v>
      </c>
      <c r="Y1482" s="20" t="s">
        <v>2012</v>
      </c>
      <c r="Z1482" s="20" t="s">
        <v>2013</v>
      </c>
      <c r="AA1482" s="5"/>
      <c r="AB1482" s="5"/>
      <c r="AC1482" s="5"/>
      <c r="AD1482" s="5"/>
      <c r="AE1482" s="5"/>
      <c r="AF1482" s="5"/>
      <c r="AG1482" s="14" t="s">
        <v>55</v>
      </c>
      <c r="AH1482" s="14" t="s">
        <v>1603</v>
      </c>
      <c r="AI1482" s="14" t="s">
        <v>124</v>
      </c>
      <c r="AJ1482" s="5"/>
      <c r="AK1482" s="5"/>
    </row>
    <row r="1483" spans="1:37">
      <c r="A1483" s="5" t="s">
        <v>6647</v>
      </c>
      <c r="B1483" s="5" t="s">
        <v>6641</v>
      </c>
      <c r="C1483" s="6" t="s">
        <v>6638</v>
      </c>
      <c r="D1483" s="6" t="s">
        <v>1977</v>
      </c>
      <c r="E1483" s="6" t="s">
        <v>1386</v>
      </c>
      <c r="F1483" s="6" t="s">
        <v>46</v>
      </c>
      <c r="G1483" s="6" t="s">
        <v>6648</v>
      </c>
      <c r="H1483" s="7">
        <v>14.58</v>
      </c>
      <c r="I1483" s="19" t="s">
        <v>1589</v>
      </c>
      <c r="J1483" s="19" t="s">
        <v>2001</v>
      </c>
      <c r="K1483" s="20" t="s">
        <v>2002</v>
      </c>
      <c r="L1483" s="20" t="s">
        <v>2003</v>
      </c>
      <c r="M1483" s="20" t="s">
        <v>2004</v>
      </c>
      <c r="N1483" s="20" t="s">
        <v>2005</v>
      </c>
      <c r="O1483" s="20" t="s">
        <v>6643</v>
      </c>
      <c r="P1483" s="20" t="s">
        <v>6644</v>
      </c>
      <c r="Q1483" s="20" t="s">
        <v>6645</v>
      </c>
      <c r="R1483" s="5" t="s">
        <v>6646</v>
      </c>
      <c r="W1483" s="20" t="s">
        <v>2010</v>
      </c>
      <c r="X1483" s="20" t="s">
        <v>2011</v>
      </c>
      <c r="Y1483" s="20" t="s">
        <v>2012</v>
      </c>
      <c r="Z1483" s="20" t="s">
        <v>2013</v>
      </c>
      <c r="AG1483" s="14" t="s">
        <v>55</v>
      </c>
      <c r="AH1483" s="14" t="s">
        <v>1603</v>
      </c>
      <c r="AI1483" s="14" t="s">
        <v>124</v>
      </c>
    </row>
    <row r="1484" spans="1:37">
      <c r="A1484" s="5" t="s">
        <v>6649</v>
      </c>
      <c r="B1484" s="5" t="s">
        <v>6641</v>
      </c>
      <c r="C1484" s="6" t="s">
        <v>6638</v>
      </c>
      <c r="D1484" s="6" t="s">
        <v>1977</v>
      </c>
      <c r="E1484" s="6" t="s">
        <v>2015</v>
      </c>
      <c r="F1484" s="6" t="s">
        <v>46</v>
      </c>
      <c r="G1484" s="6" t="s">
        <v>6284</v>
      </c>
      <c r="H1484" s="7">
        <v>14.58</v>
      </c>
      <c r="I1484" s="19" t="s">
        <v>1589</v>
      </c>
      <c r="J1484" s="19" t="s">
        <v>2001</v>
      </c>
      <c r="K1484" s="20" t="s">
        <v>2002</v>
      </c>
      <c r="L1484" s="20" t="s">
        <v>2003</v>
      </c>
      <c r="M1484" s="20" t="s">
        <v>2004</v>
      </c>
      <c r="N1484" s="20" t="s">
        <v>2005</v>
      </c>
      <c r="O1484" s="20" t="s">
        <v>6643</v>
      </c>
      <c r="P1484" s="20" t="s">
        <v>6644</v>
      </c>
      <c r="Q1484" s="20" t="s">
        <v>6645</v>
      </c>
      <c r="R1484" s="5" t="s">
        <v>6646</v>
      </c>
      <c r="W1484" s="20" t="s">
        <v>2010</v>
      </c>
      <c r="X1484" s="20" t="s">
        <v>2011</v>
      </c>
      <c r="Y1484" s="20" t="s">
        <v>2012</v>
      </c>
      <c r="Z1484" s="20" t="s">
        <v>2013</v>
      </c>
      <c r="AG1484" s="14" t="s">
        <v>55</v>
      </c>
      <c r="AH1484" s="14" t="s">
        <v>1603</v>
      </c>
      <c r="AI1484" s="14" t="s">
        <v>124</v>
      </c>
    </row>
    <row r="1485" spans="1:37">
      <c r="A1485" s="5" t="s">
        <v>6650</v>
      </c>
      <c r="B1485" s="5" t="s">
        <v>6651</v>
      </c>
      <c r="C1485" s="6" t="s">
        <v>43</v>
      </c>
      <c r="D1485" s="6" t="s">
        <v>1977</v>
      </c>
      <c r="E1485" s="6" t="s">
        <v>1386</v>
      </c>
      <c r="F1485" s="6" t="s">
        <v>46</v>
      </c>
      <c r="G1485" s="6" t="s">
        <v>6391</v>
      </c>
      <c r="H1485" s="7">
        <v>18.37</v>
      </c>
      <c r="I1485" s="19" t="s">
        <v>1589</v>
      </c>
      <c r="J1485" s="19" t="s">
        <v>2001</v>
      </c>
      <c r="K1485" s="20" t="s">
        <v>2023</v>
      </c>
      <c r="L1485" s="20" t="s">
        <v>2024</v>
      </c>
      <c r="M1485" s="20" t="s">
        <v>2025</v>
      </c>
      <c r="N1485" s="20" t="s">
        <v>2026</v>
      </c>
      <c r="O1485" s="20" t="s">
        <v>6652</v>
      </c>
      <c r="P1485" s="20" t="s">
        <v>6653</v>
      </c>
      <c r="Q1485" s="20" t="s">
        <v>6654</v>
      </c>
      <c r="R1485" s="5" t="s">
        <v>6655</v>
      </c>
      <c r="W1485" s="20" t="s">
        <v>2010</v>
      </c>
      <c r="X1485" s="20" t="s">
        <v>2011</v>
      </c>
      <c r="Y1485" s="20" t="s">
        <v>2012</v>
      </c>
      <c r="Z1485" s="20" t="s">
        <v>2013</v>
      </c>
      <c r="AG1485" s="14" t="s">
        <v>55</v>
      </c>
      <c r="AH1485" s="14" t="s">
        <v>1603</v>
      </c>
      <c r="AI1485" s="14" t="s">
        <v>124</v>
      </c>
    </row>
    <row r="1486" spans="1:37">
      <c r="A1486" s="5" t="s">
        <v>6656</v>
      </c>
      <c r="B1486" s="5" t="s">
        <v>6651</v>
      </c>
      <c r="C1486" s="6" t="s">
        <v>43</v>
      </c>
      <c r="D1486" s="6" t="s">
        <v>1977</v>
      </c>
      <c r="E1486" s="6" t="s">
        <v>2015</v>
      </c>
      <c r="F1486" s="6" t="s">
        <v>46</v>
      </c>
      <c r="G1486" s="6" t="s">
        <v>6657</v>
      </c>
      <c r="H1486" s="7">
        <v>18.37</v>
      </c>
      <c r="I1486" s="19" t="s">
        <v>1589</v>
      </c>
      <c r="J1486" s="19" t="s">
        <v>2001</v>
      </c>
      <c r="K1486" s="20" t="s">
        <v>2023</v>
      </c>
      <c r="L1486" s="20" t="s">
        <v>2024</v>
      </c>
      <c r="M1486" s="20" t="s">
        <v>2025</v>
      </c>
      <c r="N1486" s="20" t="s">
        <v>2026</v>
      </c>
      <c r="O1486" s="20" t="s">
        <v>6652</v>
      </c>
      <c r="P1486" s="20" t="s">
        <v>6653</v>
      </c>
      <c r="Q1486" s="20" t="s">
        <v>6654</v>
      </c>
      <c r="R1486" s="5" t="s">
        <v>6655</v>
      </c>
      <c r="W1486" s="20" t="s">
        <v>2010</v>
      </c>
      <c r="X1486" s="20" t="s">
        <v>2011</v>
      </c>
      <c r="Y1486" s="20" t="s">
        <v>2012</v>
      </c>
      <c r="Z1486" s="20" t="s">
        <v>2013</v>
      </c>
      <c r="AG1486" s="14" t="s">
        <v>55</v>
      </c>
      <c r="AH1486" s="14" t="s">
        <v>1603</v>
      </c>
      <c r="AI1486" s="14" t="s">
        <v>124</v>
      </c>
    </row>
    <row r="1487" spans="1:37">
      <c r="A1487" s="5" t="s">
        <v>6658</v>
      </c>
      <c r="B1487" s="5" t="s">
        <v>6651</v>
      </c>
      <c r="C1487" s="6" t="s">
        <v>43</v>
      </c>
      <c r="D1487" s="6" t="s">
        <v>1977</v>
      </c>
      <c r="E1487" s="6" t="s">
        <v>503</v>
      </c>
      <c r="F1487" s="6" t="s">
        <v>46</v>
      </c>
      <c r="G1487" s="6" t="s">
        <v>5912</v>
      </c>
      <c r="H1487" s="7">
        <v>18.37</v>
      </c>
      <c r="I1487" s="19" t="s">
        <v>1589</v>
      </c>
      <c r="J1487" s="19" t="s">
        <v>2001</v>
      </c>
      <c r="K1487" s="20" t="s">
        <v>2023</v>
      </c>
      <c r="L1487" s="20" t="s">
        <v>2024</v>
      </c>
      <c r="M1487" s="20" t="s">
        <v>2025</v>
      </c>
      <c r="N1487" s="20" t="s">
        <v>2026</v>
      </c>
      <c r="O1487" s="20" t="s">
        <v>6652</v>
      </c>
      <c r="P1487" s="20" t="s">
        <v>6653</v>
      </c>
      <c r="Q1487" s="20" t="s">
        <v>6654</v>
      </c>
      <c r="R1487" s="5" t="s">
        <v>6655</v>
      </c>
      <c r="W1487" s="20" t="s">
        <v>2010</v>
      </c>
      <c r="X1487" s="20" t="s">
        <v>2011</v>
      </c>
      <c r="Y1487" s="20" t="s">
        <v>2012</v>
      </c>
      <c r="Z1487" s="20" t="s">
        <v>2013</v>
      </c>
      <c r="AG1487" s="14" t="s">
        <v>55</v>
      </c>
      <c r="AH1487" s="14" t="s">
        <v>1603</v>
      </c>
      <c r="AI1487" s="14" t="s">
        <v>124</v>
      </c>
    </row>
    <row r="1488" spans="1:37">
      <c r="A1488" s="5" t="s">
        <v>6659</v>
      </c>
      <c r="B1488" s="5" t="s">
        <v>6660</v>
      </c>
      <c r="C1488" s="6" t="s">
        <v>43</v>
      </c>
      <c r="D1488" s="6" t="s">
        <v>1977</v>
      </c>
      <c r="E1488" s="6" t="s">
        <v>1386</v>
      </c>
      <c r="F1488" s="6" t="s">
        <v>46</v>
      </c>
      <c r="G1488" s="6" t="s">
        <v>6661</v>
      </c>
      <c r="H1488" s="7">
        <v>19.36</v>
      </c>
      <c r="I1488" s="19" t="s">
        <v>1589</v>
      </c>
      <c r="J1488" s="19" t="s">
        <v>2001</v>
      </c>
      <c r="K1488" s="20" t="s">
        <v>2036</v>
      </c>
      <c r="L1488" s="20" t="s">
        <v>2037</v>
      </c>
      <c r="M1488" s="20" t="s">
        <v>2038</v>
      </c>
      <c r="N1488" s="20" t="s">
        <v>2039</v>
      </c>
      <c r="O1488" s="20" t="s">
        <v>6662</v>
      </c>
      <c r="P1488" s="20" t="s">
        <v>6663</v>
      </c>
      <c r="Q1488" s="20" t="s">
        <v>6664</v>
      </c>
      <c r="R1488" s="5" t="s">
        <v>6665</v>
      </c>
      <c r="W1488" s="20" t="s">
        <v>2010</v>
      </c>
      <c r="X1488" s="20" t="s">
        <v>2011</v>
      </c>
      <c r="Y1488" s="20" t="s">
        <v>2012</v>
      </c>
      <c r="Z1488" s="20" t="s">
        <v>2013</v>
      </c>
      <c r="AG1488" s="14" t="s">
        <v>55</v>
      </c>
      <c r="AH1488" s="14" t="s">
        <v>1603</v>
      </c>
      <c r="AI1488" s="14" t="s">
        <v>124</v>
      </c>
    </row>
    <row r="1489" spans="1:37">
      <c r="A1489" s="5" t="s">
        <v>6666</v>
      </c>
      <c r="B1489" s="5" t="s">
        <v>6660</v>
      </c>
      <c r="C1489" s="6" t="s">
        <v>43</v>
      </c>
      <c r="D1489" s="6" t="s">
        <v>1977</v>
      </c>
      <c r="E1489" s="6" t="s">
        <v>2015</v>
      </c>
      <c r="F1489" s="6" t="s">
        <v>46</v>
      </c>
      <c r="G1489" s="6" t="s">
        <v>6243</v>
      </c>
      <c r="H1489" s="7">
        <v>19.36</v>
      </c>
      <c r="I1489" s="19" t="s">
        <v>1589</v>
      </c>
      <c r="J1489" s="19" t="s">
        <v>2001</v>
      </c>
      <c r="K1489" s="20" t="s">
        <v>2036</v>
      </c>
      <c r="L1489" s="20" t="s">
        <v>2037</v>
      </c>
      <c r="M1489" s="20" t="s">
        <v>2038</v>
      </c>
      <c r="N1489" s="20" t="s">
        <v>2039</v>
      </c>
      <c r="O1489" s="20" t="s">
        <v>6662</v>
      </c>
      <c r="P1489" s="20" t="s">
        <v>6663</v>
      </c>
      <c r="Q1489" s="20" t="s">
        <v>6664</v>
      </c>
      <c r="R1489" s="5" t="s">
        <v>6665</v>
      </c>
      <c r="W1489" s="20" t="s">
        <v>2010</v>
      </c>
      <c r="X1489" s="20" t="s">
        <v>2011</v>
      </c>
      <c r="Y1489" s="20" t="s">
        <v>2012</v>
      </c>
      <c r="Z1489" s="20" t="s">
        <v>2013</v>
      </c>
      <c r="AG1489" s="14" t="s">
        <v>55</v>
      </c>
      <c r="AH1489" s="14" t="s">
        <v>1603</v>
      </c>
      <c r="AI1489" s="14" t="s">
        <v>124</v>
      </c>
    </row>
    <row r="1490" spans="1:37">
      <c r="A1490" s="5" t="s">
        <v>6667</v>
      </c>
      <c r="B1490" s="5" t="s">
        <v>6668</v>
      </c>
      <c r="C1490" s="6" t="s">
        <v>43</v>
      </c>
      <c r="D1490" s="6" t="s">
        <v>1977</v>
      </c>
      <c r="E1490" s="6" t="s">
        <v>1386</v>
      </c>
      <c r="F1490" s="6" t="s">
        <v>46</v>
      </c>
      <c r="G1490" s="6" t="s">
        <v>2912</v>
      </c>
      <c r="H1490" s="7">
        <v>25</v>
      </c>
      <c r="I1490" s="19" t="s">
        <v>1589</v>
      </c>
      <c r="J1490" s="19" t="s">
        <v>2001</v>
      </c>
      <c r="K1490" s="6" t="s">
        <v>2177</v>
      </c>
      <c r="L1490" s="6" t="s">
        <v>2178</v>
      </c>
      <c r="M1490" s="6" t="s">
        <v>2179</v>
      </c>
      <c r="N1490" s="6" t="s">
        <v>2180</v>
      </c>
      <c r="O1490" s="6" t="s">
        <v>6669</v>
      </c>
      <c r="P1490" s="6" t="s">
        <v>6670</v>
      </c>
      <c r="Q1490" s="6" t="s">
        <v>6671</v>
      </c>
      <c r="R1490" s="5"/>
      <c r="S1490" s="6"/>
      <c r="T1490" s="6"/>
      <c r="U1490" s="6"/>
      <c r="W1490" s="20" t="s">
        <v>2010</v>
      </c>
      <c r="X1490" s="20" t="s">
        <v>2011</v>
      </c>
      <c r="Y1490" s="20" t="s">
        <v>2012</v>
      </c>
      <c r="Z1490" s="20" t="s">
        <v>2013</v>
      </c>
      <c r="AG1490" s="14" t="s">
        <v>55</v>
      </c>
      <c r="AH1490" s="14" t="s">
        <v>1603</v>
      </c>
      <c r="AI1490" s="14" t="s">
        <v>124</v>
      </c>
    </row>
    <row r="1491" spans="1:37">
      <c r="A1491" s="5" t="s">
        <v>6672</v>
      </c>
      <c r="B1491" s="5" t="s">
        <v>6673</v>
      </c>
      <c r="C1491" s="6" t="s">
        <v>43</v>
      </c>
      <c r="D1491" s="6" t="s">
        <v>1977</v>
      </c>
      <c r="E1491" s="6" t="s">
        <v>1386</v>
      </c>
      <c r="F1491" s="6" t="s">
        <v>46</v>
      </c>
      <c r="G1491" s="6" t="s">
        <v>6674</v>
      </c>
      <c r="H1491" s="7">
        <v>33.44</v>
      </c>
      <c r="I1491" s="19" t="s">
        <v>1589</v>
      </c>
      <c r="J1491" s="19" t="s">
        <v>2001</v>
      </c>
      <c r="K1491" s="20" t="s">
        <v>2054</v>
      </c>
      <c r="L1491" s="20" t="s">
        <v>2055</v>
      </c>
      <c r="M1491" s="20" t="s">
        <v>2056</v>
      </c>
      <c r="N1491" s="20" t="s">
        <v>2057</v>
      </c>
      <c r="O1491" s="20" t="s">
        <v>6675</v>
      </c>
      <c r="P1491" s="20" t="s">
        <v>6676</v>
      </c>
      <c r="Q1491" s="20" t="s">
        <v>6677</v>
      </c>
      <c r="R1491" s="5" t="s">
        <v>6678</v>
      </c>
      <c r="W1491" s="20" t="s">
        <v>2010</v>
      </c>
      <c r="X1491" s="20" t="s">
        <v>2011</v>
      </c>
      <c r="Y1491" s="20" t="s">
        <v>2012</v>
      </c>
      <c r="Z1491" s="20" t="s">
        <v>2013</v>
      </c>
      <c r="AG1491" s="14" t="s">
        <v>55</v>
      </c>
      <c r="AH1491" s="14" t="s">
        <v>1603</v>
      </c>
      <c r="AI1491" s="14" t="s">
        <v>124</v>
      </c>
    </row>
    <row r="1492" spans="1:37">
      <c r="A1492" s="5" t="s">
        <v>6679</v>
      </c>
      <c r="B1492" s="5" t="s">
        <v>6673</v>
      </c>
      <c r="C1492" s="6" t="s">
        <v>43</v>
      </c>
      <c r="D1492" s="6" t="s">
        <v>1977</v>
      </c>
      <c r="E1492" s="6" t="s">
        <v>2015</v>
      </c>
      <c r="F1492" s="6" t="s">
        <v>46</v>
      </c>
      <c r="G1492" s="6" t="s">
        <v>6680</v>
      </c>
      <c r="H1492" s="7">
        <v>33.44</v>
      </c>
      <c r="I1492" s="19" t="s">
        <v>1589</v>
      </c>
      <c r="J1492" s="19" t="s">
        <v>2001</v>
      </c>
      <c r="K1492" s="20" t="s">
        <v>2054</v>
      </c>
      <c r="L1492" s="20" t="s">
        <v>2055</v>
      </c>
      <c r="M1492" s="20" t="s">
        <v>2056</v>
      </c>
      <c r="N1492" s="20" t="s">
        <v>2057</v>
      </c>
      <c r="O1492" s="20" t="s">
        <v>6675</v>
      </c>
      <c r="P1492" s="20" t="s">
        <v>6676</v>
      </c>
      <c r="Q1492" s="20" t="s">
        <v>6677</v>
      </c>
      <c r="R1492" s="5" t="s">
        <v>6678</v>
      </c>
      <c r="W1492" s="20" t="s">
        <v>2010</v>
      </c>
      <c r="X1492" s="20" t="s">
        <v>2011</v>
      </c>
      <c r="Y1492" s="20" t="s">
        <v>2012</v>
      </c>
      <c r="Z1492" s="20" t="s">
        <v>2013</v>
      </c>
      <c r="AG1492" s="14" t="s">
        <v>55</v>
      </c>
      <c r="AH1492" s="14" t="s">
        <v>1603</v>
      </c>
      <c r="AI1492" s="14" t="s">
        <v>124</v>
      </c>
    </row>
    <row r="1493" spans="1:37">
      <c r="A1493" s="5" t="s">
        <v>6681</v>
      </c>
      <c r="B1493" s="5" t="s">
        <v>6673</v>
      </c>
      <c r="C1493" s="6" t="s">
        <v>43</v>
      </c>
      <c r="D1493" s="6" t="s">
        <v>1977</v>
      </c>
      <c r="E1493" s="6" t="s">
        <v>503</v>
      </c>
      <c r="F1493" s="6" t="s">
        <v>46</v>
      </c>
      <c r="G1493" s="6" t="s">
        <v>6682</v>
      </c>
      <c r="H1493" s="7">
        <v>33.44</v>
      </c>
      <c r="I1493" s="19" t="s">
        <v>1589</v>
      </c>
      <c r="J1493" s="19" t="s">
        <v>2001</v>
      </c>
      <c r="K1493" s="20" t="s">
        <v>2054</v>
      </c>
      <c r="L1493" s="20" t="s">
        <v>2055</v>
      </c>
      <c r="M1493" s="20" t="s">
        <v>2056</v>
      </c>
      <c r="N1493" s="20" t="s">
        <v>2057</v>
      </c>
      <c r="O1493" s="20" t="s">
        <v>6675</v>
      </c>
      <c r="P1493" s="20" t="s">
        <v>6676</v>
      </c>
      <c r="Q1493" s="20" t="s">
        <v>6677</v>
      </c>
      <c r="R1493" s="5" t="s">
        <v>6678</v>
      </c>
      <c r="W1493" s="20" t="s">
        <v>2010</v>
      </c>
      <c r="X1493" s="20" t="s">
        <v>2011</v>
      </c>
      <c r="Y1493" s="20" t="s">
        <v>2012</v>
      </c>
      <c r="Z1493" s="20" t="s">
        <v>2013</v>
      </c>
      <c r="AG1493" s="14" t="s">
        <v>55</v>
      </c>
      <c r="AH1493" s="14" t="s">
        <v>1603</v>
      </c>
      <c r="AI1493" s="14" t="s">
        <v>124</v>
      </c>
    </row>
    <row r="1494" spans="1:37">
      <c r="A1494" s="6" t="s">
        <v>6683</v>
      </c>
      <c r="B1494" s="6" t="s">
        <v>6684</v>
      </c>
      <c r="C1494" s="6" t="s">
        <v>43</v>
      </c>
      <c r="D1494" s="6" t="s">
        <v>1977</v>
      </c>
      <c r="E1494" s="6" t="s">
        <v>2065</v>
      </c>
      <c r="F1494" s="6" t="s">
        <v>46</v>
      </c>
      <c r="G1494" s="6" t="s">
        <v>6685</v>
      </c>
      <c r="I1494" s="19" t="s">
        <v>48</v>
      </c>
      <c r="J1494" s="19" t="s">
        <v>48</v>
      </c>
      <c r="K1494" s="6"/>
      <c r="L1494" s="6"/>
      <c r="M1494" s="6"/>
      <c r="N1494" s="6"/>
      <c r="O1494" s="6"/>
      <c r="P1494" s="6"/>
      <c r="Q1494" s="6"/>
      <c r="R1494" s="6"/>
      <c r="S1494" s="6"/>
      <c r="T1494" s="6"/>
      <c r="U1494" s="6"/>
      <c r="V1494" s="6"/>
      <c r="W1494" s="6"/>
      <c r="X1494" s="6"/>
      <c r="Y1494" s="6"/>
      <c r="Z1494" s="6"/>
      <c r="AA1494" s="6"/>
      <c r="AB1494" s="6"/>
      <c r="AC1494" s="6"/>
      <c r="AD1494" s="6"/>
      <c r="AE1494" s="6"/>
      <c r="AF1494" s="6"/>
      <c r="AG1494" s="15" t="s">
        <v>55</v>
      </c>
      <c r="AH1494" s="15"/>
      <c r="AI1494" s="15"/>
      <c r="AJ1494" s="6"/>
      <c r="AK1494" s="6"/>
    </row>
    <row r="1495" spans="1:37" s="6" customFormat="1">
      <c r="A1495" s="5" t="s">
        <v>6686</v>
      </c>
      <c r="B1495" s="5" t="s">
        <v>6687</v>
      </c>
      <c r="C1495" s="6" t="s">
        <v>43</v>
      </c>
      <c r="D1495" s="6" t="s">
        <v>2069</v>
      </c>
      <c r="E1495" s="6" t="s">
        <v>2070</v>
      </c>
      <c r="F1495" s="6" t="s">
        <v>46</v>
      </c>
      <c r="G1495" s="6" t="s">
        <v>6688</v>
      </c>
      <c r="H1495" s="7">
        <v>29.79</v>
      </c>
      <c r="I1495" s="19" t="s">
        <v>1589</v>
      </c>
      <c r="J1495" s="19" t="s">
        <v>2078</v>
      </c>
      <c r="K1495" s="5" t="s">
        <v>2079</v>
      </c>
      <c r="L1495" s="5" t="s">
        <v>2080</v>
      </c>
      <c r="M1495" s="5" t="s">
        <v>2081</v>
      </c>
      <c r="N1495" s="5" t="s">
        <v>2082</v>
      </c>
      <c r="O1495" s="5" t="s">
        <v>6689</v>
      </c>
      <c r="P1495" s="5" t="s">
        <v>6275</v>
      </c>
      <c r="Q1495" s="5" t="s">
        <v>6690</v>
      </c>
      <c r="R1495" s="5"/>
      <c r="S1495" s="5"/>
      <c r="T1495" s="5"/>
      <c r="U1495" s="5"/>
      <c r="V1495" s="5"/>
      <c r="W1495" s="5"/>
      <c r="X1495" s="5"/>
      <c r="Y1495" s="5" t="s">
        <v>2086</v>
      </c>
      <c r="Z1495" s="5"/>
      <c r="AA1495" s="5"/>
      <c r="AB1495" s="5"/>
      <c r="AC1495" s="5"/>
      <c r="AD1495" s="5"/>
      <c r="AE1495" s="5"/>
      <c r="AF1495" s="5"/>
      <c r="AG1495" s="14" t="s">
        <v>55</v>
      </c>
      <c r="AH1495" s="14" t="s">
        <v>1603</v>
      </c>
      <c r="AI1495" s="14" t="s">
        <v>2087</v>
      </c>
      <c r="AJ1495" s="5"/>
      <c r="AK1495" s="5"/>
    </row>
    <row r="1496" spans="1:37">
      <c r="A1496" s="5" t="s">
        <v>6691</v>
      </c>
      <c r="B1496" s="5" t="s">
        <v>6687</v>
      </c>
      <c r="C1496" s="6" t="s">
        <v>43</v>
      </c>
      <c r="D1496" s="6" t="s">
        <v>2069</v>
      </c>
      <c r="E1496" s="6" t="s">
        <v>1540</v>
      </c>
      <c r="F1496" s="6" t="s">
        <v>46</v>
      </c>
      <c r="G1496" s="6" t="s">
        <v>6692</v>
      </c>
      <c r="H1496" s="7">
        <v>29.79</v>
      </c>
      <c r="I1496" s="19" t="s">
        <v>1589</v>
      </c>
      <c r="J1496" s="19" t="s">
        <v>2078</v>
      </c>
      <c r="K1496" s="5" t="s">
        <v>2079</v>
      </c>
      <c r="L1496" s="5" t="s">
        <v>2080</v>
      </c>
      <c r="M1496" s="5" t="s">
        <v>2081</v>
      </c>
      <c r="N1496" s="5" t="s">
        <v>2082</v>
      </c>
      <c r="O1496" s="5" t="s">
        <v>6689</v>
      </c>
      <c r="P1496" s="5" t="s">
        <v>6275</v>
      </c>
      <c r="Q1496" s="5" t="s">
        <v>6690</v>
      </c>
      <c r="R1496" s="5"/>
      <c r="Y1496" s="5" t="s">
        <v>2086</v>
      </c>
      <c r="AG1496" s="14" t="s">
        <v>55</v>
      </c>
      <c r="AH1496" s="14" t="s">
        <v>1603</v>
      </c>
      <c r="AI1496" s="14" t="s">
        <v>2087</v>
      </c>
    </row>
    <row r="1497" spans="1:37">
      <c r="A1497" s="5" t="s">
        <v>6693</v>
      </c>
      <c r="B1497" s="5" t="s">
        <v>6687</v>
      </c>
      <c r="C1497" s="6" t="s">
        <v>43</v>
      </c>
      <c r="D1497" s="6" t="s">
        <v>2069</v>
      </c>
      <c r="E1497" s="6" t="s">
        <v>2092</v>
      </c>
      <c r="F1497" s="6" t="s">
        <v>46</v>
      </c>
      <c r="G1497" s="6" t="s">
        <v>6694</v>
      </c>
      <c r="H1497" s="7">
        <v>29.79</v>
      </c>
      <c r="I1497" s="19" t="s">
        <v>1589</v>
      </c>
      <c r="J1497" s="19" t="s">
        <v>2078</v>
      </c>
      <c r="K1497" s="5" t="s">
        <v>2079</v>
      </c>
      <c r="L1497" s="5" t="s">
        <v>2080</v>
      </c>
      <c r="M1497" s="5" t="s">
        <v>2081</v>
      </c>
      <c r="N1497" s="5" t="s">
        <v>2082</v>
      </c>
      <c r="O1497" s="5" t="s">
        <v>6689</v>
      </c>
      <c r="P1497" s="5" t="s">
        <v>6275</v>
      </c>
      <c r="Q1497" s="5" t="s">
        <v>6690</v>
      </c>
      <c r="R1497" s="5"/>
      <c r="Y1497" s="5" t="s">
        <v>2086</v>
      </c>
      <c r="AG1497" s="14" t="s">
        <v>55</v>
      </c>
      <c r="AH1497" s="14" t="s">
        <v>1603</v>
      </c>
      <c r="AI1497" s="14" t="s">
        <v>2087</v>
      </c>
    </row>
    <row r="1498" spans="1:37">
      <c r="A1498" s="6" t="s">
        <v>6695</v>
      </c>
      <c r="B1498" s="6" t="s">
        <v>6696</v>
      </c>
      <c r="C1498" s="6" t="s">
        <v>43</v>
      </c>
      <c r="D1498" s="6" t="s">
        <v>2069</v>
      </c>
      <c r="E1498" s="6" t="s">
        <v>1540</v>
      </c>
      <c r="F1498" s="6" t="s">
        <v>46</v>
      </c>
      <c r="G1498" s="6" t="s">
        <v>6481</v>
      </c>
      <c r="I1498" s="16" t="s">
        <v>48</v>
      </c>
      <c r="J1498" s="16" t="s">
        <v>48</v>
      </c>
      <c r="K1498" s="6"/>
      <c r="L1498" s="6"/>
      <c r="M1498" s="6"/>
      <c r="N1498" s="6"/>
      <c r="O1498" s="6"/>
      <c r="P1498" s="6"/>
      <c r="Q1498" s="6"/>
      <c r="R1498" s="6"/>
      <c r="S1498" s="6"/>
      <c r="T1498" s="6"/>
      <c r="U1498" s="6"/>
      <c r="V1498" s="6"/>
      <c r="W1498" s="6"/>
      <c r="X1498" s="6"/>
      <c r="Y1498" s="6"/>
      <c r="Z1498" s="6"/>
      <c r="AA1498" s="6"/>
      <c r="AB1498" s="6"/>
      <c r="AC1498" s="6"/>
      <c r="AD1498" s="6"/>
      <c r="AE1498" s="6"/>
      <c r="AF1498" s="6"/>
      <c r="AG1498" s="15" t="s">
        <v>55</v>
      </c>
      <c r="AH1498" s="15"/>
      <c r="AI1498" s="15"/>
      <c r="AJ1498" s="6"/>
      <c r="AK1498" s="6"/>
    </row>
    <row r="1499" spans="1:37" s="6" customFormat="1">
      <c r="A1499" s="5" t="s">
        <v>6697</v>
      </c>
      <c r="B1499" s="5" t="s">
        <v>6698</v>
      </c>
      <c r="C1499" s="6" t="s">
        <v>43</v>
      </c>
      <c r="D1499" s="6" t="s">
        <v>2114</v>
      </c>
      <c r="E1499" s="6" t="s">
        <v>1386</v>
      </c>
      <c r="F1499" s="6" t="s">
        <v>46</v>
      </c>
      <c r="G1499" s="6" t="s">
        <v>1157</v>
      </c>
      <c r="H1499" s="7">
        <v>16.64</v>
      </c>
      <c r="I1499" s="19" t="s">
        <v>1589</v>
      </c>
      <c r="J1499" s="19" t="s">
        <v>2001</v>
      </c>
      <c r="K1499" s="5" t="s">
        <v>2116</v>
      </c>
      <c r="L1499" s="5" t="s">
        <v>2117</v>
      </c>
      <c r="M1499" s="5" t="s">
        <v>2118</v>
      </c>
      <c r="N1499" s="5" t="s">
        <v>2119</v>
      </c>
      <c r="O1499" s="5" t="s">
        <v>6699</v>
      </c>
      <c r="P1499" s="5" t="s">
        <v>6700</v>
      </c>
      <c r="Q1499" s="5" t="s">
        <v>6701</v>
      </c>
      <c r="R1499" s="5"/>
      <c r="S1499" s="5"/>
      <c r="T1499" s="5"/>
      <c r="U1499" s="5"/>
      <c r="V1499" s="5"/>
      <c r="W1499" s="5" t="s">
        <v>2123</v>
      </c>
      <c r="X1499" s="5" t="s">
        <v>2011</v>
      </c>
      <c r="Y1499" s="5" t="s">
        <v>2012</v>
      </c>
      <c r="Z1499" s="5" t="s">
        <v>2013</v>
      </c>
      <c r="AA1499" s="5"/>
      <c r="AB1499" s="5"/>
      <c r="AC1499" s="5"/>
      <c r="AD1499" s="5"/>
      <c r="AE1499" s="5"/>
      <c r="AF1499" s="5"/>
      <c r="AG1499" s="14" t="s">
        <v>55</v>
      </c>
      <c r="AH1499" s="14" t="s">
        <v>1603</v>
      </c>
      <c r="AI1499" s="14" t="s">
        <v>124</v>
      </c>
      <c r="AJ1499" s="5"/>
      <c r="AK1499" s="5"/>
    </row>
    <row r="1500" spans="1:37">
      <c r="A1500" s="5" t="s">
        <v>6702</v>
      </c>
      <c r="B1500" s="5" t="s">
        <v>6698</v>
      </c>
      <c r="C1500" s="6" t="s">
        <v>43</v>
      </c>
      <c r="D1500" s="6" t="s">
        <v>2114</v>
      </c>
      <c r="E1500" s="6" t="s">
        <v>2015</v>
      </c>
      <c r="F1500" s="6" t="s">
        <v>46</v>
      </c>
      <c r="G1500" s="6" t="s">
        <v>6703</v>
      </c>
      <c r="H1500" s="7">
        <v>16.64</v>
      </c>
      <c r="I1500" s="19" t="s">
        <v>1589</v>
      </c>
      <c r="J1500" s="19" t="s">
        <v>2001</v>
      </c>
      <c r="K1500" s="5" t="s">
        <v>2116</v>
      </c>
      <c r="L1500" s="5" t="s">
        <v>2117</v>
      </c>
      <c r="M1500" s="5" t="s">
        <v>2118</v>
      </c>
      <c r="N1500" s="5" t="s">
        <v>2119</v>
      </c>
      <c r="O1500" s="5" t="s">
        <v>6699</v>
      </c>
      <c r="P1500" s="5" t="s">
        <v>6700</v>
      </c>
      <c r="Q1500" s="5" t="s">
        <v>6701</v>
      </c>
      <c r="R1500" s="5"/>
      <c r="W1500" s="5" t="s">
        <v>2123</v>
      </c>
      <c r="X1500" s="5" t="s">
        <v>2011</v>
      </c>
      <c r="Y1500" s="5" t="s">
        <v>2012</v>
      </c>
      <c r="Z1500" s="5" t="s">
        <v>2013</v>
      </c>
      <c r="AG1500" s="14" t="s">
        <v>55</v>
      </c>
      <c r="AH1500" s="14" t="s">
        <v>1603</v>
      </c>
      <c r="AI1500" s="14" t="s">
        <v>124</v>
      </c>
    </row>
    <row r="1501" spans="1:37">
      <c r="A1501" s="6" t="s">
        <v>6704</v>
      </c>
      <c r="B1501" s="6" t="s">
        <v>6705</v>
      </c>
      <c r="C1501" s="6" t="s">
        <v>43</v>
      </c>
      <c r="D1501" s="6" t="s">
        <v>2114</v>
      </c>
      <c r="E1501" s="6" t="s">
        <v>1386</v>
      </c>
      <c r="F1501" s="6" t="s">
        <v>46</v>
      </c>
      <c r="G1501" s="6" t="s">
        <v>6706</v>
      </c>
      <c r="I1501" s="19" t="s">
        <v>48</v>
      </c>
      <c r="J1501" s="19" t="s">
        <v>48</v>
      </c>
      <c r="K1501" s="6"/>
      <c r="L1501" s="6"/>
      <c r="M1501" s="6"/>
      <c r="N1501" s="6"/>
      <c r="O1501" s="6"/>
      <c r="P1501" s="6"/>
      <c r="Q1501" s="6"/>
      <c r="R1501" s="6"/>
      <c r="S1501" s="6"/>
      <c r="T1501" s="6"/>
      <c r="U1501" s="6"/>
      <c r="V1501" s="6"/>
      <c r="W1501" s="6"/>
      <c r="X1501" s="6"/>
      <c r="Y1501" s="6"/>
      <c r="Z1501" s="6"/>
      <c r="AA1501" s="6"/>
      <c r="AB1501" s="6"/>
      <c r="AC1501" s="6"/>
      <c r="AD1501" s="6"/>
      <c r="AE1501" s="6"/>
      <c r="AF1501" s="6"/>
      <c r="AG1501" s="15" t="s">
        <v>55</v>
      </c>
      <c r="AH1501" s="15"/>
      <c r="AI1501" s="15"/>
      <c r="AJ1501" s="6"/>
      <c r="AK1501" s="6"/>
    </row>
    <row r="1502" spans="1:37" s="6" customFormat="1">
      <c r="A1502" s="5" t="s">
        <v>6707</v>
      </c>
      <c r="B1502" s="5" t="s">
        <v>6708</v>
      </c>
      <c r="C1502" s="6" t="s">
        <v>43</v>
      </c>
      <c r="D1502" s="6" t="s">
        <v>2114</v>
      </c>
      <c r="E1502" s="6" t="s">
        <v>1386</v>
      </c>
      <c r="F1502" s="6" t="s">
        <v>46</v>
      </c>
      <c r="G1502" s="6" t="s">
        <v>6709</v>
      </c>
      <c r="H1502" s="7">
        <v>21.67</v>
      </c>
      <c r="I1502" s="19" t="s">
        <v>1589</v>
      </c>
      <c r="J1502" s="19" t="s">
        <v>2001</v>
      </c>
      <c r="K1502" s="5" t="s">
        <v>2131</v>
      </c>
      <c r="L1502" s="5" t="s">
        <v>2132</v>
      </c>
      <c r="M1502" s="5" t="s">
        <v>2133</v>
      </c>
      <c r="N1502" s="5" t="s">
        <v>2134</v>
      </c>
      <c r="O1502" s="5" t="s">
        <v>6710</v>
      </c>
      <c r="P1502" s="5" t="s">
        <v>6711</v>
      </c>
      <c r="Q1502" s="5" t="s">
        <v>6712</v>
      </c>
      <c r="R1502" s="5"/>
      <c r="S1502" s="5"/>
      <c r="T1502" s="5"/>
      <c r="U1502" s="5"/>
      <c r="V1502" s="5"/>
      <c r="W1502" s="5" t="s">
        <v>2123</v>
      </c>
      <c r="X1502" s="5" t="s">
        <v>2011</v>
      </c>
      <c r="Y1502" s="5" t="s">
        <v>2012</v>
      </c>
      <c r="Z1502" s="5" t="s">
        <v>2013</v>
      </c>
      <c r="AA1502" s="5"/>
      <c r="AB1502" s="5"/>
      <c r="AC1502" s="5"/>
      <c r="AD1502" s="5"/>
      <c r="AE1502" s="5"/>
      <c r="AF1502" s="5"/>
      <c r="AG1502" s="14" t="s">
        <v>55</v>
      </c>
      <c r="AH1502" s="14" t="s">
        <v>1603</v>
      </c>
      <c r="AI1502" s="14" t="s">
        <v>124</v>
      </c>
      <c r="AJ1502" s="5"/>
      <c r="AK1502" s="5"/>
    </row>
    <row r="1503" spans="1:37">
      <c r="A1503" s="5" t="s">
        <v>6713</v>
      </c>
      <c r="B1503" s="5" t="s">
        <v>6708</v>
      </c>
      <c r="C1503" s="6" t="s">
        <v>43</v>
      </c>
      <c r="D1503" s="6" t="s">
        <v>2114</v>
      </c>
      <c r="E1503" s="6" t="s">
        <v>2015</v>
      </c>
      <c r="F1503" s="6" t="s">
        <v>46</v>
      </c>
      <c r="G1503" s="6" t="s">
        <v>6714</v>
      </c>
      <c r="H1503" s="7">
        <v>21.67</v>
      </c>
      <c r="I1503" s="19" t="s">
        <v>1589</v>
      </c>
      <c r="J1503" s="19" t="s">
        <v>2001</v>
      </c>
      <c r="K1503" s="5" t="s">
        <v>2131</v>
      </c>
      <c r="L1503" s="5" t="s">
        <v>2132</v>
      </c>
      <c r="M1503" s="5" t="s">
        <v>2133</v>
      </c>
      <c r="N1503" s="5" t="s">
        <v>2134</v>
      </c>
      <c r="O1503" s="5" t="s">
        <v>6710</v>
      </c>
      <c r="P1503" s="5" t="s">
        <v>6711</v>
      </c>
      <c r="Q1503" s="5" t="s">
        <v>6712</v>
      </c>
      <c r="R1503" s="5"/>
      <c r="W1503" s="5" t="s">
        <v>2123</v>
      </c>
      <c r="X1503" s="5" t="s">
        <v>2011</v>
      </c>
      <c r="Y1503" s="5" t="s">
        <v>2012</v>
      </c>
      <c r="Z1503" s="5" t="s">
        <v>2013</v>
      </c>
      <c r="AG1503" s="14" t="s">
        <v>55</v>
      </c>
      <c r="AH1503" s="14" t="s">
        <v>1603</v>
      </c>
      <c r="AI1503" s="14" t="s">
        <v>124</v>
      </c>
    </row>
    <row r="1504" spans="1:37">
      <c r="A1504" s="5" t="s">
        <v>6715</v>
      </c>
      <c r="B1504" s="5" t="s">
        <v>6716</v>
      </c>
      <c r="C1504" s="6" t="s">
        <v>43</v>
      </c>
      <c r="D1504" s="6" t="s">
        <v>2114</v>
      </c>
      <c r="E1504" s="6" t="s">
        <v>2139</v>
      </c>
      <c r="F1504" s="6" t="s">
        <v>46</v>
      </c>
      <c r="G1504" s="6" t="s">
        <v>6717</v>
      </c>
      <c r="H1504" s="7">
        <v>22.88</v>
      </c>
      <c r="I1504" s="19" t="s">
        <v>1589</v>
      </c>
      <c r="J1504" s="19" t="s">
        <v>2001</v>
      </c>
      <c r="K1504" s="6" t="s">
        <v>2148</v>
      </c>
      <c r="L1504" s="6" t="s">
        <v>2149</v>
      </c>
      <c r="M1504" s="6" t="s">
        <v>2150</v>
      </c>
      <c r="N1504" s="6" t="s">
        <v>2151</v>
      </c>
      <c r="O1504" s="6" t="s">
        <v>6718</v>
      </c>
      <c r="P1504" s="6" t="s">
        <v>6719</v>
      </c>
      <c r="Q1504" s="6" t="s">
        <v>6720</v>
      </c>
      <c r="R1504" s="5"/>
      <c r="W1504" s="20" t="s">
        <v>2010</v>
      </c>
      <c r="X1504" s="20" t="s">
        <v>2011</v>
      </c>
      <c r="Y1504" s="20" t="s">
        <v>2012</v>
      </c>
      <c r="Z1504" s="20" t="s">
        <v>2013</v>
      </c>
      <c r="AG1504" s="14" t="s">
        <v>55</v>
      </c>
      <c r="AH1504" s="14" t="s">
        <v>1603</v>
      </c>
      <c r="AI1504" s="14" t="s">
        <v>124</v>
      </c>
    </row>
    <row r="1505" spans="1:37">
      <c r="A1505" s="5" t="s">
        <v>6721</v>
      </c>
      <c r="B1505" s="5" t="s">
        <v>6716</v>
      </c>
      <c r="C1505" s="6" t="s">
        <v>43</v>
      </c>
      <c r="D1505" s="6" t="s">
        <v>2114</v>
      </c>
      <c r="E1505" s="6" t="s">
        <v>1386</v>
      </c>
      <c r="F1505" s="6" t="s">
        <v>46</v>
      </c>
      <c r="G1505" s="6" t="s">
        <v>6722</v>
      </c>
      <c r="H1505" s="7">
        <v>22.88</v>
      </c>
      <c r="I1505" s="19" t="s">
        <v>1589</v>
      </c>
      <c r="J1505" s="19" t="s">
        <v>2001</v>
      </c>
      <c r="K1505" s="6" t="s">
        <v>2148</v>
      </c>
      <c r="L1505" s="6" t="s">
        <v>2149</v>
      </c>
      <c r="M1505" s="6" t="s">
        <v>2150</v>
      </c>
      <c r="N1505" s="6" t="s">
        <v>2151</v>
      </c>
      <c r="O1505" s="6" t="s">
        <v>6718</v>
      </c>
      <c r="P1505" s="6" t="s">
        <v>6719</v>
      </c>
      <c r="Q1505" s="6" t="s">
        <v>6720</v>
      </c>
      <c r="R1505" s="5"/>
      <c r="W1505" s="20" t="s">
        <v>2010</v>
      </c>
      <c r="X1505" s="20" t="s">
        <v>2011</v>
      </c>
      <c r="Y1505" s="20" t="s">
        <v>2012</v>
      </c>
      <c r="Z1505" s="20" t="s">
        <v>2013</v>
      </c>
      <c r="AG1505" s="14" t="s">
        <v>55</v>
      </c>
      <c r="AH1505" s="14" t="s">
        <v>1603</v>
      </c>
      <c r="AI1505" s="14" t="s">
        <v>124</v>
      </c>
    </row>
    <row r="1506" spans="1:37">
      <c r="A1506" s="5" t="s">
        <v>6723</v>
      </c>
      <c r="B1506" s="5" t="s">
        <v>6716</v>
      </c>
      <c r="C1506" s="6" t="s">
        <v>43</v>
      </c>
      <c r="D1506" s="6" t="s">
        <v>2114</v>
      </c>
      <c r="E1506" s="6" t="s">
        <v>2015</v>
      </c>
      <c r="F1506" s="6" t="s">
        <v>46</v>
      </c>
      <c r="G1506" s="6" t="s">
        <v>6264</v>
      </c>
      <c r="H1506" s="7">
        <v>22.88</v>
      </c>
      <c r="I1506" s="19" t="s">
        <v>1589</v>
      </c>
      <c r="J1506" s="19" t="s">
        <v>2001</v>
      </c>
      <c r="K1506" s="6" t="s">
        <v>2148</v>
      </c>
      <c r="L1506" s="6" t="s">
        <v>2149</v>
      </c>
      <c r="M1506" s="6" t="s">
        <v>2150</v>
      </c>
      <c r="N1506" s="6" t="s">
        <v>2151</v>
      </c>
      <c r="O1506" s="6" t="s">
        <v>6718</v>
      </c>
      <c r="P1506" s="6" t="s">
        <v>6719</v>
      </c>
      <c r="Q1506" s="6" t="s">
        <v>6720</v>
      </c>
      <c r="R1506" s="5"/>
      <c r="W1506" s="20" t="s">
        <v>2010</v>
      </c>
      <c r="X1506" s="20" t="s">
        <v>2011</v>
      </c>
      <c r="Y1506" s="20" t="s">
        <v>2012</v>
      </c>
      <c r="Z1506" s="20" t="s">
        <v>2013</v>
      </c>
      <c r="AG1506" s="14" t="s">
        <v>55</v>
      </c>
      <c r="AH1506" s="14" t="s">
        <v>1603</v>
      </c>
      <c r="AI1506" s="14" t="s">
        <v>124</v>
      </c>
    </row>
    <row r="1507" spans="1:37">
      <c r="A1507" s="5" t="s">
        <v>6724</v>
      </c>
      <c r="B1507" s="5" t="s">
        <v>6725</v>
      </c>
      <c r="C1507" s="6" t="s">
        <v>43</v>
      </c>
      <c r="D1507" s="6" t="s">
        <v>2114</v>
      </c>
      <c r="E1507" s="6" t="s">
        <v>1386</v>
      </c>
      <c r="F1507" s="6" t="s">
        <v>46</v>
      </c>
      <c r="G1507" s="6" t="s">
        <v>6307</v>
      </c>
      <c r="H1507" s="7">
        <v>27.23</v>
      </c>
      <c r="I1507" s="19" t="s">
        <v>1589</v>
      </c>
      <c r="J1507" s="19" t="s">
        <v>2162</v>
      </c>
      <c r="K1507" s="5" t="s">
        <v>2163</v>
      </c>
      <c r="L1507" s="5" t="s">
        <v>2164</v>
      </c>
      <c r="M1507" s="5" t="s">
        <v>2165</v>
      </c>
      <c r="N1507" s="5" t="s">
        <v>2166</v>
      </c>
      <c r="O1507" s="5" t="s">
        <v>6726</v>
      </c>
      <c r="P1507" s="5" t="s">
        <v>6727</v>
      </c>
      <c r="Q1507" s="5" t="s">
        <v>6728</v>
      </c>
      <c r="R1507" s="5"/>
      <c r="W1507" s="5" t="s">
        <v>2170</v>
      </c>
      <c r="X1507" s="5" t="s">
        <v>2171</v>
      </c>
      <c r="Y1507" s="5" t="s">
        <v>2172</v>
      </c>
      <c r="Z1507" s="5" t="s">
        <v>2173</v>
      </c>
      <c r="AG1507" s="14" t="s">
        <v>55</v>
      </c>
      <c r="AH1507" s="14" t="s">
        <v>1603</v>
      </c>
      <c r="AI1507" s="14" t="s">
        <v>124</v>
      </c>
    </row>
    <row r="1508" spans="1:37">
      <c r="A1508" s="5" t="s">
        <v>6729</v>
      </c>
      <c r="B1508" s="5" t="s">
        <v>6730</v>
      </c>
      <c r="C1508" s="6" t="s">
        <v>43</v>
      </c>
      <c r="D1508" s="6" t="s">
        <v>2114</v>
      </c>
      <c r="E1508" s="6" t="s">
        <v>1386</v>
      </c>
      <c r="F1508" s="6" t="s">
        <v>46</v>
      </c>
      <c r="G1508" s="6" t="s">
        <v>6731</v>
      </c>
      <c r="H1508" s="7">
        <v>32.67</v>
      </c>
      <c r="I1508" s="19" t="s">
        <v>1589</v>
      </c>
      <c r="J1508" s="19" t="s">
        <v>2001</v>
      </c>
      <c r="K1508" s="6" t="s">
        <v>2177</v>
      </c>
      <c r="L1508" s="6" t="s">
        <v>2178</v>
      </c>
      <c r="M1508" s="6" t="s">
        <v>2179</v>
      </c>
      <c r="N1508" s="6" t="s">
        <v>2180</v>
      </c>
      <c r="O1508" s="6" t="s">
        <v>6732</v>
      </c>
      <c r="P1508" s="6" t="s">
        <v>6733</v>
      </c>
      <c r="Q1508" s="6" t="s">
        <v>6734</v>
      </c>
      <c r="R1508" s="5"/>
      <c r="S1508" s="6"/>
      <c r="T1508" s="6"/>
      <c r="U1508" s="6"/>
      <c r="W1508" s="20" t="s">
        <v>2010</v>
      </c>
      <c r="X1508" s="20" t="s">
        <v>2011</v>
      </c>
      <c r="Y1508" s="20" t="s">
        <v>2012</v>
      </c>
      <c r="Z1508" s="20" t="s">
        <v>2013</v>
      </c>
      <c r="AG1508" s="14" t="s">
        <v>55</v>
      </c>
      <c r="AH1508" s="14" t="s">
        <v>1603</v>
      </c>
      <c r="AI1508" s="14" t="s">
        <v>124</v>
      </c>
    </row>
    <row r="1509" spans="1:37">
      <c r="A1509" s="5" t="s">
        <v>6735</v>
      </c>
      <c r="B1509" s="5" t="s">
        <v>6730</v>
      </c>
      <c r="C1509" s="6" t="s">
        <v>43</v>
      </c>
      <c r="D1509" s="6" t="s">
        <v>2114</v>
      </c>
      <c r="E1509" s="6" t="s">
        <v>2461</v>
      </c>
      <c r="F1509" s="6" t="s">
        <v>46</v>
      </c>
      <c r="G1509" s="6" t="s">
        <v>6736</v>
      </c>
      <c r="H1509" s="7">
        <v>32.67</v>
      </c>
      <c r="I1509" s="19" t="s">
        <v>1589</v>
      </c>
      <c r="J1509" s="19" t="s">
        <v>2001</v>
      </c>
      <c r="K1509" s="6" t="s">
        <v>2177</v>
      </c>
      <c r="L1509" s="6" t="s">
        <v>2178</v>
      </c>
      <c r="M1509" s="6" t="s">
        <v>2179</v>
      </c>
      <c r="N1509" s="6" t="s">
        <v>2180</v>
      </c>
      <c r="O1509" s="6" t="s">
        <v>6732</v>
      </c>
      <c r="P1509" s="6" t="s">
        <v>6733</v>
      </c>
      <c r="Q1509" s="6" t="s">
        <v>6734</v>
      </c>
      <c r="R1509" s="5"/>
      <c r="S1509" s="6"/>
      <c r="T1509" s="6"/>
      <c r="U1509" s="6"/>
      <c r="W1509" s="20" t="s">
        <v>2010</v>
      </c>
      <c r="X1509" s="20" t="s">
        <v>2011</v>
      </c>
      <c r="Y1509" s="20" t="s">
        <v>2012</v>
      </c>
      <c r="Z1509" s="20" t="s">
        <v>2013</v>
      </c>
      <c r="AG1509" s="14" t="s">
        <v>55</v>
      </c>
      <c r="AH1509" s="14" t="s">
        <v>1603</v>
      </c>
      <c r="AI1509" s="14" t="s">
        <v>124</v>
      </c>
    </row>
    <row r="1510" spans="1:37">
      <c r="A1510" s="5" t="s">
        <v>6737</v>
      </c>
      <c r="B1510" s="5" t="s">
        <v>6738</v>
      </c>
      <c r="C1510" s="6" t="s">
        <v>43</v>
      </c>
      <c r="D1510" s="6" t="s">
        <v>2114</v>
      </c>
      <c r="E1510" s="6" t="s">
        <v>2015</v>
      </c>
      <c r="F1510" s="6" t="s">
        <v>46</v>
      </c>
      <c r="G1510" s="6" t="s">
        <v>4070</v>
      </c>
      <c r="H1510" s="7">
        <v>47.35</v>
      </c>
      <c r="I1510" s="19" t="s">
        <v>1589</v>
      </c>
      <c r="J1510" s="19" t="s">
        <v>2001</v>
      </c>
      <c r="K1510" s="6" t="s">
        <v>4178</v>
      </c>
      <c r="L1510" s="6" t="s">
        <v>4179</v>
      </c>
      <c r="M1510" s="6" t="s">
        <v>4180</v>
      </c>
      <c r="N1510" s="6" t="s">
        <v>4181</v>
      </c>
      <c r="O1510" s="6" t="s">
        <v>6739</v>
      </c>
      <c r="P1510" s="6" t="s">
        <v>6740</v>
      </c>
      <c r="Q1510" s="6" t="s">
        <v>6741</v>
      </c>
      <c r="R1510" s="5"/>
      <c r="AG1510" s="14" t="s">
        <v>55</v>
      </c>
      <c r="AH1510" s="14" t="s">
        <v>1603</v>
      </c>
      <c r="AI1510" s="14" t="s">
        <v>124</v>
      </c>
    </row>
    <row r="1511" spans="1:37">
      <c r="A1511" s="6" t="s">
        <v>6742</v>
      </c>
      <c r="B1511" s="6" t="s">
        <v>6743</v>
      </c>
      <c r="C1511" s="6" t="s">
        <v>43</v>
      </c>
      <c r="D1511" s="6" t="s">
        <v>239</v>
      </c>
      <c r="E1511" s="6" t="s">
        <v>1540</v>
      </c>
      <c r="F1511" s="6" t="s">
        <v>46</v>
      </c>
      <c r="G1511" s="6" t="s">
        <v>6744</v>
      </c>
      <c r="I1511" s="6" t="s">
        <v>48</v>
      </c>
      <c r="J1511" s="6" t="s">
        <v>48</v>
      </c>
      <c r="K1511" s="6"/>
      <c r="L1511" s="6"/>
      <c r="M1511" s="6"/>
      <c r="N1511" s="6"/>
      <c r="O1511" s="6"/>
      <c r="P1511" s="6"/>
      <c r="Q1511" s="6"/>
      <c r="R1511" s="6"/>
      <c r="S1511" s="6"/>
      <c r="T1511" s="6"/>
      <c r="U1511" s="6"/>
      <c r="V1511" s="6"/>
      <c r="W1511" s="6"/>
      <c r="X1511" s="6"/>
      <c r="Y1511" s="6"/>
      <c r="Z1511" s="6"/>
      <c r="AA1511" s="6"/>
      <c r="AB1511" s="6"/>
      <c r="AC1511" s="6"/>
      <c r="AD1511" s="6"/>
      <c r="AE1511" s="6"/>
      <c r="AF1511" s="6"/>
      <c r="AG1511" s="15" t="s">
        <v>55</v>
      </c>
      <c r="AH1511" s="15"/>
      <c r="AI1511" s="15"/>
      <c r="AJ1511" s="6"/>
      <c r="AK1511" s="6"/>
    </row>
    <row r="1512" spans="1:37" s="6" customFormat="1">
      <c r="A1512" s="5" t="s">
        <v>6745</v>
      </c>
      <c r="B1512" s="5" t="s">
        <v>6746</v>
      </c>
      <c r="C1512" s="6" t="s">
        <v>43</v>
      </c>
      <c r="D1512" s="6" t="s">
        <v>2189</v>
      </c>
      <c r="E1512" s="6" t="s">
        <v>1386</v>
      </c>
      <c r="F1512" s="6" t="s">
        <v>46</v>
      </c>
      <c r="G1512" s="6" t="s">
        <v>6747</v>
      </c>
      <c r="H1512" s="7">
        <v>21.32</v>
      </c>
      <c r="I1512" s="19" t="s">
        <v>1589</v>
      </c>
      <c r="J1512" s="19" t="s">
        <v>2191</v>
      </c>
      <c r="K1512" s="5" t="s">
        <v>2192</v>
      </c>
      <c r="L1512" s="5" t="s">
        <v>2193</v>
      </c>
      <c r="M1512" s="5" t="s">
        <v>2194</v>
      </c>
      <c r="N1512" s="5" t="s">
        <v>2195</v>
      </c>
      <c r="O1512" s="5" t="s">
        <v>6327</v>
      </c>
      <c r="P1512" s="5" t="s">
        <v>6748</v>
      </c>
      <c r="Q1512" s="5" t="s">
        <v>6749</v>
      </c>
      <c r="R1512" s="5"/>
      <c r="S1512" s="5"/>
      <c r="T1512" s="5"/>
      <c r="U1512" s="5"/>
      <c r="V1512" s="5"/>
      <c r="W1512" s="5"/>
      <c r="X1512" s="5"/>
      <c r="Y1512" s="5" t="s">
        <v>2086</v>
      </c>
      <c r="Z1512" s="5"/>
      <c r="AA1512" s="5"/>
      <c r="AB1512" s="5"/>
      <c r="AC1512" s="5"/>
      <c r="AD1512" s="5"/>
      <c r="AE1512" s="5"/>
      <c r="AF1512" s="5"/>
      <c r="AG1512" s="14" t="s">
        <v>55</v>
      </c>
      <c r="AH1512" s="14" t="s">
        <v>1603</v>
      </c>
      <c r="AI1512" s="14" t="s">
        <v>2087</v>
      </c>
      <c r="AJ1512" s="5"/>
      <c r="AK1512" s="5"/>
    </row>
    <row r="1513" spans="1:37">
      <c r="A1513" s="5" t="s">
        <v>6750</v>
      </c>
      <c r="B1513" s="5" t="s">
        <v>6746</v>
      </c>
      <c r="C1513" s="6" t="s">
        <v>43</v>
      </c>
      <c r="D1513" s="6" t="s">
        <v>2189</v>
      </c>
      <c r="E1513" s="6" t="s">
        <v>2015</v>
      </c>
      <c r="F1513" s="6" t="s">
        <v>46</v>
      </c>
      <c r="G1513" s="6" t="s">
        <v>6751</v>
      </c>
      <c r="H1513" s="7">
        <v>21.32</v>
      </c>
      <c r="I1513" s="19" t="s">
        <v>1589</v>
      </c>
      <c r="J1513" s="19" t="s">
        <v>2191</v>
      </c>
      <c r="K1513" s="5" t="s">
        <v>2192</v>
      </c>
      <c r="L1513" s="5" t="s">
        <v>2193</v>
      </c>
      <c r="M1513" s="5" t="s">
        <v>2194</v>
      </c>
      <c r="N1513" s="5" t="s">
        <v>2195</v>
      </c>
      <c r="O1513" s="5" t="s">
        <v>6327</v>
      </c>
      <c r="P1513" s="5" t="s">
        <v>6748</v>
      </c>
      <c r="Q1513" s="5" t="s">
        <v>6749</v>
      </c>
      <c r="R1513" s="5"/>
      <c r="Y1513" s="5" t="s">
        <v>2086</v>
      </c>
      <c r="AG1513" s="14" t="s">
        <v>55</v>
      </c>
      <c r="AH1513" s="14" t="s">
        <v>1603</v>
      </c>
      <c r="AI1513" s="14" t="s">
        <v>2087</v>
      </c>
    </row>
    <row r="1514" spans="1:37">
      <c r="A1514" s="5" t="s">
        <v>6752</v>
      </c>
      <c r="B1514" s="5" t="s">
        <v>6746</v>
      </c>
      <c r="C1514" s="6" t="s">
        <v>43</v>
      </c>
      <c r="D1514" s="6" t="s">
        <v>2189</v>
      </c>
      <c r="E1514" s="6" t="s">
        <v>2065</v>
      </c>
      <c r="F1514" s="6" t="s">
        <v>46</v>
      </c>
      <c r="G1514" s="6" t="s">
        <v>6751</v>
      </c>
      <c r="H1514" s="7">
        <v>21.32</v>
      </c>
      <c r="I1514" s="19" t="s">
        <v>1589</v>
      </c>
      <c r="J1514" s="19" t="s">
        <v>2191</v>
      </c>
      <c r="K1514" s="5" t="s">
        <v>2192</v>
      </c>
      <c r="L1514" s="5" t="s">
        <v>2193</v>
      </c>
      <c r="M1514" s="5" t="s">
        <v>2194</v>
      </c>
      <c r="N1514" s="5" t="s">
        <v>2195</v>
      </c>
      <c r="O1514" s="5" t="s">
        <v>6327</v>
      </c>
      <c r="P1514" s="5" t="s">
        <v>6748</v>
      </c>
      <c r="Q1514" s="5" t="s">
        <v>6749</v>
      </c>
      <c r="R1514" s="5"/>
      <c r="Y1514" s="5" t="s">
        <v>2086</v>
      </c>
      <c r="AG1514" s="14" t="s">
        <v>55</v>
      </c>
      <c r="AH1514" s="14" t="s">
        <v>1603</v>
      </c>
      <c r="AI1514" s="14" t="s">
        <v>2087</v>
      </c>
    </row>
    <row r="1515" spans="1:37">
      <c r="A1515" s="6" t="s">
        <v>6753</v>
      </c>
      <c r="B1515" s="6" t="s">
        <v>6754</v>
      </c>
      <c r="C1515" s="6" t="s">
        <v>43</v>
      </c>
      <c r="D1515" s="6" t="s">
        <v>2189</v>
      </c>
      <c r="E1515" s="6" t="s">
        <v>2065</v>
      </c>
      <c r="F1515" s="6" t="s">
        <v>46</v>
      </c>
      <c r="G1515" s="6" t="s">
        <v>6755</v>
      </c>
      <c r="I1515" s="6" t="s">
        <v>48</v>
      </c>
      <c r="J1515" s="6" t="s">
        <v>48</v>
      </c>
      <c r="K1515" s="6"/>
      <c r="L1515" s="6"/>
      <c r="M1515" s="6"/>
      <c r="N1515" s="6"/>
      <c r="O1515" s="6"/>
      <c r="P1515" s="6"/>
      <c r="Q1515" s="6"/>
      <c r="R1515" s="6"/>
      <c r="S1515" s="6"/>
      <c r="T1515" s="6"/>
      <c r="U1515" s="6"/>
      <c r="V1515" s="6"/>
      <c r="W1515" s="6"/>
      <c r="X1515" s="6"/>
      <c r="Y1515" s="6"/>
      <c r="Z1515" s="6"/>
      <c r="AA1515" s="6"/>
      <c r="AB1515" s="6"/>
      <c r="AC1515" s="6"/>
      <c r="AD1515" s="6"/>
      <c r="AE1515" s="6"/>
      <c r="AF1515" s="6"/>
      <c r="AG1515" s="15" t="s">
        <v>55</v>
      </c>
      <c r="AH1515" s="15"/>
      <c r="AI1515" s="15"/>
      <c r="AJ1515" s="6"/>
      <c r="AK1515" s="6"/>
    </row>
    <row r="1516" spans="1:37" s="6" customFormat="1">
      <c r="A1516" s="5" t="s">
        <v>6756</v>
      </c>
      <c r="B1516" s="5" t="s">
        <v>6757</v>
      </c>
      <c r="C1516" s="6" t="s">
        <v>43</v>
      </c>
      <c r="D1516" s="6" t="s">
        <v>2189</v>
      </c>
      <c r="E1516" s="6" t="s">
        <v>2015</v>
      </c>
      <c r="F1516" s="6" t="s">
        <v>46</v>
      </c>
      <c r="G1516" s="6" t="s">
        <v>6758</v>
      </c>
      <c r="H1516" s="7">
        <v>25.19</v>
      </c>
      <c r="I1516" s="19" t="s">
        <v>1589</v>
      </c>
      <c r="J1516" s="19" t="s">
        <v>2191</v>
      </c>
      <c r="K1516" s="5" t="s">
        <v>2218</v>
      </c>
      <c r="L1516" s="5" t="s">
        <v>2219</v>
      </c>
      <c r="M1516" s="5" t="s">
        <v>2220</v>
      </c>
      <c r="N1516" s="5" t="s">
        <v>2221</v>
      </c>
      <c r="O1516" s="5" t="s">
        <v>6759</v>
      </c>
      <c r="P1516" s="5" t="s">
        <v>6760</v>
      </c>
      <c r="Q1516" s="5" t="s">
        <v>6761</v>
      </c>
      <c r="R1516" s="5"/>
      <c r="S1516" s="5"/>
      <c r="T1516" s="5"/>
      <c r="U1516" s="5"/>
      <c r="V1516" s="5"/>
      <c r="W1516" s="5"/>
      <c r="X1516" s="5"/>
      <c r="Y1516" s="5"/>
      <c r="Z1516" s="5"/>
      <c r="AA1516" s="5"/>
      <c r="AB1516" s="5"/>
      <c r="AC1516" s="5"/>
      <c r="AD1516" s="5"/>
      <c r="AE1516" s="5"/>
      <c r="AF1516" s="5"/>
      <c r="AG1516" s="14" t="s">
        <v>55</v>
      </c>
      <c r="AH1516" s="14" t="s">
        <v>1603</v>
      </c>
      <c r="AI1516" s="14" t="s">
        <v>2087</v>
      </c>
      <c r="AJ1516" s="5"/>
      <c r="AK1516" s="5"/>
    </row>
    <row r="1517" spans="1:37">
      <c r="A1517" s="5" t="s">
        <v>6762</v>
      </c>
      <c r="B1517" s="5" t="s">
        <v>6757</v>
      </c>
      <c r="C1517" s="6" t="s">
        <v>43</v>
      </c>
      <c r="D1517" s="6" t="s">
        <v>2189</v>
      </c>
      <c r="E1517" s="6" t="s">
        <v>2070</v>
      </c>
      <c r="F1517" s="6" t="s">
        <v>46</v>
      </c>
      <c r="G1517" s="6" t="s">
        <v>6763</v>
      </c>
      <c r="H1517" s="7">
        <v>25.19</v>
      </c>
      <c r="I1517" s="19" t="s">
        <v>1589</v>
      </c>
      <c r="J1517" s="19" t="s">
        <v>2191</v>
      </c>
      <c r="K1517" s="5" t="s">
        <v>2218</v>
      </c>
      <c r="L1517" s="5" t="s">
        <v>2219</v>
      </c>
      <c r="M1517" s="5" t="s">
        <v>2220</v>
      </c>
      <c r="N1517" s="5" t="s">
        <v>2221</v>
      </c>
      <c r="O1517" s="5" t="s">
        <v>6759</v>
      </c>
      <c r="P1517" s="5" t="s">
        <v>6760</v>
      </c>
      <c r="Q1517" s="5" t="s">
        <v>6761</v>
      </c>
      <c r="R1517" s="5"/>
      <c r="AG1517" s="14" t="s">
        <v>55</v>
      </c>
      <c r="AH1517" s="14" t="s">
        <v>1603</v>
      </c>
      <c r="AI1517" s="14" t="s">
        <v>2087</v>
      </c>
    </row>
    <row r="1518" spans="1:37">
      <c r="A1518" s="5" t="s">
        <v>6764</v>
      </c>
      <c r="B1518" s="5" t="s">
        <v>6757</v>
      </c>
      <c r="C1518" s="6" t="s">
        <v>43</v>
      </c>
      <c r="D1518" s="6" t="s">
        <v>2189</v>
      </c>
      <c r="E1518" s="6" t="s">
        <v>1540</v>
      </c>
      <c r="F1518" s="6" t="s">
        <v>46</v>
      </c>
      <c r="G1518" s="6" t="s">
        <v>6765</v>
      </c>
      <c r="H1518" s="7">
        <v>25.19</v>
      </c>
      <c r="I1518" s="19" t="s">
        <v>1589</v>
      </c>
      <c r="J1518" s="19" t="s">
        <v>2191</v>
      </c>
      <c r="K1518" s="5" t="s">
        <v>2218</v>
      </c>
      <c r="L1518" s="5" t="s">
        <v>2219</v>
      </c>
      <c r="M1518" s="5" t="s">
        <v>2220</v>
      </c>
      <c r="N1518" s="5" t="s">
        <v>2221</v>
      </c>
      <c r="O1518" s="5" t="s">
        <v>6759</v>
      </c>
      <c r="P1518" s="5" t="s">
        <v>6760</v>
      </c>
      <c r="Q1518" s="5" t="s">
        <v>6761</v>
      </c>
      <c r="R1518" s="5"/>
      <c r="AG1518" s="14" t="s">
        <v>55</v>
      </c>
      <c r="AH1518" s="14" t="s">
        <v>1603</v>
      </c>
      <c r="AI1518" s="14" t="s">
        <v>2087</v>
      </c>
    </row>
    <row r="1519" spans="1:37">
      <c r="A1519" s="5" t="s">
        <v>6766</v>
      </c>
      <c r="B1519" s="5" t="s">
        <v>6757</v>
      </c>
      <c r="C1519" s="6" t="s">
        <v>43</v>
      </c>
      <c r="D1519" s="6" t="s">
        <v>2189</v>
      </c>
      <c r="E1519" s="6" t="s">
        <v>2065</v>
      </c>
      <c r="F1519" s="6" t="s">
        <v>46</v>
      </c>
      <c r="G1519" s="6" t="s">
        <v>6767</v>
      </c>
      <c r="H1519" s="7">
        <v>25.19</v>
      </c>
      <c r="I1519" s="19" t="s">
        <v>1589</v>
      </c>
      <c r="J1519" s="19" t="s">
        <v>2191</v>
      </c>
      <c r="K1519" s="5" t="s">
        <v>2218</v>
      </c>
      <c r="L1519" s="5" t="s">
        <v>2219</v>
      </c>
      <c r="M1519" s="5" t="s">
        <v>2220</v>
      </c>
      <c r="N1519" s="5" t="s">
        <v>2221</v>
      </c>
      <c r="O1519" s="5" t="s">
        <v>6759</v>
      </c>
      <c r="P1519" s="5" t="s">
        <v>6760</v>
      </c>
      <c r="Q1519" s="5" t="s">
        <v>6761</v>
      </c>
      <c r="R1519" s="5"/>
      <c r="AG1519" s="14" t="s">
        <v>55</v>
      </c>
      <c r="AH1519" s="14" t="s">
        <v>1603</v>
      </c>
      <c r="AI1519" s="14" t="s">
        <v>2087</v>
      </c>
    </row>
    <row r="1520" spans="1:37">
      <c r="A1520" s="6" t="s">
        <v>6768</v>
      </c>
      <c r="B1520" s="6" t="s">
        <v>6769</v>
      </c>
      <c r="C1520" s="6" t="s">
        <v>43</v>
      </c>
      <c r="D1520" s="6" t="s">
        <v>2189</v>
      </c>
      <c r="E1520" s="6" t="s">
        <v>2065</v>
      </c>
      <c r="F1520" s="6" t="s">
        <v>46</v>
      </c>
      <c r="G1520" s="6" t="s">
        <v>6770</v>
      </c>
      <c r="I1520" s="6" t="s">
        <v>48</v>
      </c>
      <c r="J1520" s="6" t="s">
        <v>48</v>
      </c>
      <c r="K1520" s="6"/>
      <c r="L1520" s="6"/>
      <c r="M1520" s="6"/>
      <c r="N1520" s="6"/>
      <c r="O1520" s="6"/>
      <c r="P1520" s="6"/>
      <c r="Q1520" s="6"/>
      <c r="R1520" s="6"/>
      <c r="S1520" s="6"/>
      <c r="T1520" s="6"/>
      <c r="U1520" s="6"/>
      <c r="V1520" s="6"/>
      <c r="W1520" s="6"/>
      <c r="X1520" s="6"/>
      <c r="Y1520" s="6"/>
      <c r="Z1520" s="6"/>
      <c r="AA1520" s="6"/>
      <c r="AB1520" s="6"/>
      <c r="AC1520" s="6"/>
      <c r="AD1520" s="6"/>
      <c r="AE1520" s="6"/>
      <c r="AF1520" s="6"/>
      <c r="AG1520" s="15" t="s">
        <v>55</v>
      </c>
      <c r="AH1520" s="15"/>
      <c r="AI1520" s="15"/>
      <c r="AJ1520" s="6"/>
      <c r="AK1520" s="6"/>
    </row>
    <row r="1521" spans="1:50" s="6" customFormat="1">
      <c r="A1521" s="5" t="s">
        <v>6771</v>
      </c>
      <c r="B1521" s="5" t="s">
        <v>6772</v>
      </c>
      <c r="C1521" s="6" t="s">
        <v>43</v>
      </c>
      <c r="D1521" s="6" t="s">
        <v>2189</v>
      </c>
      <c r="E1521" s="6" t="s">
        <v>2070</v>
      </c>
      <c r="F1521" s="6" t="s">
        <v>46</v>
      </c>
      <c r="G1521" s="6" t="s">
        <v>6358</v>
      </c>
      <c r="H1521" s="7">
        <v>33.36</v>
      </c>
      <c r="I1521" s="19" t="s">
        <v>1589</v>
      </c>
      <c r="J1521" s="19" t="s">
        <v>2191</v>
      </c>
      <c r="K1521" s="5" t="s">
        <v>2242</v>
      </c>
      <c r="L1521" s="5" t="s">
        <v>2243</v>
      </c>
      <c r="M1521" s="5" t="s">
        <v>2244</v>
      </c>
      <c r="N1521" s="5" t="s">
        <v>2245</v>
      </c>
      <c r="O1521" s="5" t="s">
        <v>6773</v>
      </c>
      <c r="P1521" s="5" t="s">
        <v>6774</v>
      </c>
      <c r="Q1521" s="5" t="s">
        <v>6775</v>
      </c>
      <c r="R1521" s="5"/>
      <c r="S1521" s="5"/>
      <c r="T1521" s="5"/>
      <c r="U1521" s="5"/>
      <c r="V1521" s="5"/>
      <c r="W1521" s="5"/>
      <c r="X1521" s="5"/>
      <c r="Y1521" s="5" t="s">
        <v>2086</v>
      </c>
      <c r="Z1521" s="5"/>
      <c r="AA1521" s="5"/>
      <c r="AB1521" s="5"/>
      <c r="AC1521" s="5"/>
      <c r="AD1521" s="5"/>
      <c r="AE1521" s="5"/>
      <c r="AF1521" s="5"/>
      <c r="AG1521" s="14" t="s">
        <v>55</v>
      </c>
      <c r="AH1521" s="14" t="s">
        <v>1603</v>
      </c>
      <c r="AI1521" s="14" t="s">
        <v>2087</v>
      </c>
      <c r="AJ1521" s="5"/>
      <c r="AK1521" s="5"/>
    </row>
    <row r="1522" spans="1:50">
      <c r="A1522" s="5" t="s">
        <v>6776</v>
      </c>
      <c r="B1522" s="5" t="s">
        <v>6777</v>
      </c>
      <c r="C1522" s="6" t="s">
        <v>43</v>
      </c>
      <c r="D1522" s="6" t="s">
        <v>239</v>
      </c>
      <c r="E1522" s="6" t="s">
        <v>1540</v>
      </c>
      <c r="F1522" s="6" t="s">
        <v>46</v>
      </c>
      <c r="G1522" s="6" t="s">
        <v>6778</v>
      </c>
      <c r="H1522" s="7">
        <v>30.36</v>
      </c>
      <c r="I1522" s="19" t="s">
        <v>1589</v>
      </c>
      <c r="J1522" s="19" t="s">
        <v>2254</v>
      </c>
      <c r="K1522" s="5" t="s">
        <v>2255</v>
      </c>
      <c r="L1522" s="5" t="s">
        <v>2256</v>
      </c>
      <c r="M1522" s="5" t="s">
        <v>2257</v>
      </c>
      <c r="N1522" s="5" t="s">
        <v>2258</v>
      </c>
      <c r="O1522" s="5" t="s">
        <v>6779</v>
      </c>
      <c r="P1522" s="5" t="s">
        <v>6780</v>
      </c>
      <c r="Q1522" s="5" t="s">
        <v>6781</v>
      </c>
      <c r="R1522" s="5" t="s">
        <v>6782</v>
      </c>
      <c r="Y1522" s="5" t="s">
        <v>2263</v>
      </c>
      <c r="AG1522" s="14" t="s">
        <v>55</v>
      </c>
      <c r="AH1522" s="14" t="s">
        <v>1603</v>
      </c>
      <c r="AI1522" s="14" t="s">
        <v>2264</v>
      </c>
    </row>
    <row r="1523" spans="1:50">
      <c r="A1523" s="5" t="s">
        <v>6783</v>
      </c>
      <c r="B1523" s="5" t="s">
        <v>6784</v>
      </c>
      <c r="C1523" s="6" t="s">
        <v>43</v>
      </c>
      <c r="D1523" s="6" t="s">
        <v>1645</v>
      </c>
      <c r="E1523" s="6" t="s">
        <v>1386</v>
      </c>
      <c r="F1523" s="6" t="s">
        <v>46</v>
      </c>
      <c r="G1523" s="6" t="s">
        <v>2505</v>
      </c>
      <c r="H1523" s="7">
        <v>47.52</v>
      </c>
      <c r="I1523" s="19" t="s">
        <v>2283</v>
      </c>
      <c r="J1523" s="19" t="s">
        <v>2284</v>
      </c>
      <c r="K1523" s="6" t="s">
        <v>6785</v>
      </c>
      <c r="L1523" s="6" t="s">
        <v>6786</v>
      </c>
      <c r="M1523" s="6" t="s">
        <v>6787</v>
      </c>
      <c r="N1523" s="6" t="s">
        <v>6788</v>
      </c>
      <c r="O1523" s="6" t="s">
        <v>6789</v>
      </c>
      <c r="P1523" s="6" t="s">
        <v>6790</v>
      </c>
      <c r="Q1523" s="6" t="s">
        <v>6791</v>
      </c>
      <c r="R1523" s="6" t="s">
        <v>6792</v>
      </c>
      <c r="AG1523" s="14" t="s">
        <v>55</v>
      </c>
      <c r="AH1523" s="14" t="s">
        <v>1603</v>
      </c>
      <c r="AI1523" s="14" t="s">
        <v>1603</v>
      </c>
    </row>
    <row r="1524" spans="1:50">
      <c r="A1524" s="5" t="s">
        <v>6793</v>
      </c>
      <c r="B1524" s="5" t="s">
        <v>6794</v>
      </c>
      <c r="C1524" s="6" t="s">
        <v>2281</v>
      </c>
      <c r="D1524" s="6" t="s">
        <v>1645</v>
      </c>
      <c r="E1524" s="6" t="s">
        <v>1386</v>
      </c>
      <c r="F1524" s="6" t="s">
        <v>46</v>
      </c>
      <c r="G1524" s="6" t="s">
        <v>4070</v>
      </c>
      <c r="H1524" s="7">
        <v>41.15</v>
      </c>
      <c r="I1524" s="19" t="s">
        <v>2283</v>
      </c>
      <c r="J1524" s="19" t="s">
        <v>2284</v>
      </c>
      <c r="K1524" s="6" t="s">
        <v>2366</v>
      </c>
      <c r="L1524" s="6" t="s">
        <v>2367</v>
      </c>
      <c r="M1524" s="6" t="s">
        <v>2368</v>
      </c>
      <c r="N1524" s="6" t="s">
        <v>2369</v>
      </c>
      <c r="O1524" s="6" t="s">
        <v>6795</v>
      </c>
      <c r="P1524" s="6" t="s">
        <v>6796</v>
      </c>
      <c r="Q1524" s="6" t="s">
        <v>6797</v>
      </c>
      <c r="R1524" s="6" t="s">
        <v>6798</v>
      </c>
      <c r="AG1524" s="14" t="s">
        <v>55</v>
      </c>
      <c r="AH1524" s="14" t="s">
        <v>1603</v>
      </c>
      <c r="AI1524" s="14" t="s">
        <v>1603</v>
      </c>
    </row>
    <row r="1525" spans="1:50">
      <c r="A1525" s="6" t="s">
        <v>6799</v>
      </c>
      <c r="B1525" s="6" t="s">
        <v>6800</v>
      </c>
      <c r="C1525" s="6" t="s">
        <v>6801</v>
      </c>
      <c r="D1525" s="6" t="s">
        <v>1645</v>
      </c>
      <c r="E1525" s="6" t="s">
        <v>1671</v>
      </c>
      <c r="F1525" s="6" t="s">
        <v>46</v>
      </c>
      <c r="G1525" s="6" t="s">
        <v>6802</v>
      </c>
      <c r="I1525" s="19" t="s">
        <v>48</v>
      </c>
      <c r="J1525" s="19" t="s">
        <v>48</v>
      </c>
      <c r="K1525" s="6"/>
      <c r="L1525" s="6"/>
      <c r="M1525" s="6"/>
      <c r="N1525" s="6"/>
      <c r="O1525" s="6"/>
      <c r="P1525" s="6"/>
      <c r="Q1525" s="6"/>
      <c r="R1525" s="6"/>
      <c r="S1525" s="6"/>
      <c r="T1525" s="6"/>
      <c r="U1525" s="6"/>
      <c r="V1525" s="6"/>
      <c r="W1525" s="6"/>
      <c r="X1525" s="6"/>
      <c r="Y1525" s="6"/>
      <c r="Z1525" s="6"/>
      <c r="AA1525" s="6"/>
      <c r="AB1525" s="6"/>
      <c r="AC1525" s="6"/>
      <c r="AD1525" s="6"/>
      <c r="AE1525" s="6"/>
      <c r="AF1525" s="6"/>
      <c r="AG1525" s="15" t="s">
        <v>55</v>
      </c>
      <c r="AH1525" s="15"/>
      <c r="AI1525" s="15"/>
      <c r="AJ1525" s="6"/>
      <c r="AK1525" s="6"/>
    </row>
    <row r="1526" spans="1:50" s="6" customFormat="1">
      <c r="A1526" s="5" t="s">
        <v>6803</v>
      </c>
      <c r="B1526" s="5" t="s">
        <v>6804</v>
      </c>
      <c r="C1526" s="6" t="s">
        <v>6801</v>
      </c>
      <c r="D1526" s="6" t="s">
        <v>1645</v>
      </c>
      <c r="E1526" s="6" t="s">
        <v>2319</v>
      </c>
      <c r="F1526" s="6" t="s">
        <v>46</v>
      </c>
      <c r="G1526" s="6" t="s">
        <v>6805</v>
      </c>
      <c r="H1526" s="7">
        <v>33.19</v>
      </c>
      <c r="I1526" s="19" t="s">
        <v>2283</v>
      </c>
      <c r="J1526" s="19" t="s">
        <v>2380</v>
      </c>
      <c r="K1526" s="23" t="s">
        <v>4892</v>
      </c>
      <c r="L1526" s="23" t="s">
        <v>4893</v>
      </c>
      <c r="M1526" s="23" t="s">
        <v>4894</v>
      </c>
      <c r="N1526" s="23" t="s">
        <v>4895</v>
      </c>
      <c r="O1526" s="23" t="s">
        <v>4896</v>
      </c>
      <c r="P1526" s="23" t="s">
        <v>4897</v>
      </c>
      <c r="Q1526" s="23" t="s">
        <v>4898</v>
      </c>
      <c r="R1526" s="23" t="s">
        <v>4899</v>
      </c>
      <c r="S1526" s="23"/>
      <c r="T1526" s="23"/>
      <c r="U1526" s="23"/>
      <c r="V1526" s="23"/>
      <c r="W1526" s="23"/>
      <c r="X1526" s="23"/>
      <c r="Y1526" s="23"/>
      <c r="Z1526" s="23"/>
      <c r="AA1526" s="23"/>
      <c r="AB1526" s="23"/>
      <c r="AC1526" s="23"/>
      <c r="AD1526" s="23"/>
      <c r="AE1526" s="23"/>
      <c r="AF1526" s="23"/>
      <c r="AG1526" s="14" t="s">
        <v>55</v>
      </c>
      <c r="AH1526" s="14" t="s">
        <v>1603</v>
      </c>
      <c r="AI1526" s="14" t="s">
        <v>1603</v>
      </c>
      <c r="AJ1526" s="23"/>
      <c r="AK1526" s="23"/>
    </row>
    <row r="1527" spans="1:50">
      <c r="A1527" s="5" t="s">
        <v>6806</v>
      </c>
      <c r="B1527" s="5" t="s">
        <v>6804</v>
      </c>
      <c r="C1527" s="6" t="s">
        <v>6801</v>
      </c>
      <c r="D1527" s="6" t="s">
        <v>1645</v>
      </c>
      <c r="E1527" s="6" t="s">
        <v>1386</v>
      </c>
      <c r="F1527" s="6" t="s">
        <v>46</v>
      </c>
      <c r="G1527" s="6" t="s">
        <v>6807</v>
      </c>
      <c r="H1527" s="7">
        <v>33.19</v>
      </c>
      <c r="I1527" s="19" t="s">
        <v>2283</v>
      </c>
      <c r="J1527" s="19" t="s">
        <v>2380</v>
      </c>
      <c r="K1527" s="23" t="s">
        <v>4892</v>
      </c>
      <c r="L1527" s="23" t="s">
        <v>4893</v>
      </c>
      <c r="M1527" s="23" t="s">
        <v>4894</v>
      </c>
      <c r="N1527" s="23" t="s">
        <v>4895</v>
      </c>
      <c r="O1527" s="23" t="s">
        <v>4896</v>
      </c>
      <c r="P1527" s="23" t="s">
        <v>4897</v>
      </c>
      <c r="Q1527" s="23" t="s">
        <v>4898</v>
      </c>
      <c r="R1527" s="23" t="s">
        <v>4899</v>
      </c>
      <c r="S1527" s="23"/>
      <c r="T1527" s="23"/>
      <c r="U1527" s="23"/>
      <c r="V1527" s="23"/>
      <c r="W1527" s="23"/>
      <c r="X1527" s="23"/>
      <c r="Y1527" s="23"/>
      <c r="Z1527" s="23"/>
      <c r="AA1527" s="23"/>
      <c r="AB1527" s="23"/>
      <c r="AC1527" s="23"/>
      <c r="AD1527" s="23"/>
      <c r="AE1527" s="23"/>
      <c r="AF1527" s="23"/>
      <c r="AG1527" s="14" t="s">
        <v>55</v>
      </c>
      <c r="AH1527" s="14" t="s">
        <v>1603</v>
      </c>
      <c r="AI1527" s="14" t="s">
        <v>1603</v>
      </c>
      <c r="AJ1527" s="23"/>
      <c r="AK1527" s="23"/>
      <c r="AL1527" s="23"/>
      <c r="AM1527" s="23"/>
      <c r="AN1527" s="23"/>
      <c r="AO1527" s="23"/>
      <c r="AP1527" s="23"/>
      <c r="AQ1527" s="23"/>
      <c r="AR1527" s="23"/>
      <c r="AS1527" s="23"/>
      <c r="AT1527" s="23"/>
      <c r="AU1527" s="23"/>
      <c r="AV1527" s="23"/>
      <c r="AW1527" s="23"/>
      <c r="AX1527" s="23"/>
    </row>
    <row r="1528" spans="1:50">
      <c r="A1528" s="5" t="s">
        <v>6808</v>
      </c>
      <c r="B1528" s="5" t="s">
        <v>6804</v>
      </c>
      <c r="C1528" s="6" t="s">
        <v>6801</v>
      </c>
      <c r="D1528" s="6" t="s">
        <v>1645</v>
      </c>
      <c r="E1528" s="6" t="s">
        <v>2015</v>
      </c>
      <c r="F1528" s="6" t="s">
        <v>46</v>
      </c>
      <c r="G1528" s="6" t="s">
        <v>6809</v>
      </c>
      <c r="H1528" s="7">
        <v>33.19</v>
      </c>
      <c r="I1528" s="19" t="s">
        <v>2283</v>
      </c>
      <c r="J1528" s="19" t="s">
        <v>2380</v>
      </c>
      <c r="K1528" s="23" t="s">
        <v>6810</v>
      </c>
      <c r="L1528" s="23" t="s">
        <v>6811</v>
      </c>
      <c r="M1528" s="23" t="s">
        <v>6812</v>
      </c>
      <c r="N1528" s="23" t="s">
        <v>6813</v>
      </c>
      <c r="O1528" s="23" t="s">
        <v>6814</v>
      </c>
      <c r="P1528" s="23" t="s">
        <v>6815</v>
      </c>
      <c r="Q1528" s="23" t="s">
        <v>6816</v>
      </c>
      <c r="R1528" s="23" t="s">
        <v>6817</v>
      </c>
      <c r="S1528" s="23"/>
      <c r="T1528" s="23"/>
      <c r="U1528" s="23"/>
      <c r="V1528" s="23"/>
      <c r="W1528" s="23"/>
      <c r="X1528" s="23"/>
      <c r="Y1528" s="23"/>
      <c r="Z1528" s="23"/>
      <c r="AA1528" s="23"/>
      <c r="AB1528" s="23"/>
      <c r="AC1528" s="23"/>
      <c r="AD1528" s="23"/>
      <c r="AE1528" s="23"/>
      <c r="AF1528" s="23"/>
      <c r="AG1528" s="14" t="s">
        <v>55</v>
      </c>
      <c r="AH1528" s="14" t="s">
        <v>1603</v>
      </c>
      <c r="AI1528" s="14" t="s">
        <v>1603</v>
      </c>
      <c r="AJ1528" s="23"/>
      <c r="AK1528" s="23"/>
      <c r="AL1528" s="23"/>
      <c r="AM1528" s="23"/>
      <c r="AN1528" s="23"/>
      <c r="AO1528" s="23"/>
      <c r="AP1528" s="23"/>
      <c r="AQ1528" s="23"/>
      <c r="AR1528" s="23"/>
      <c r="AS1528" s="23"/>
      <c r="AT1528" s="23"/>
      <c r="AU1528" s="23"/>
      <c r="AV1528" s="23"/>
      <c r="AW1528" s="23"/>
      <c r="AX1528" s="23"/>
    </row>
    <row r="1529" spans="1:50">
      <c r="A1529" s="6" t="s">
        <v>6818</v>
      </c>
      <c r="B1529" s="6" t="s">
        <v>6819</v>
      </c>
      <c r="C1529" s="6" t="s">
        <v>6801</v>
      </c>
      <c r="D1529" s="6" t="s">
        <v>1645</v>
      </c>
      <c r="E1529" s="6" t="s">
        <v>1653</v>
      </c>
      <c r="F1529" s="6" t="s">
        <v>46</v>
      </c>
      <c r="G1529" s="6" t="s">
        <v>6820</v>
      </c>
      <c r="I1529" s="19" t="s">
        <v>48</v>
      </c>
      <c r="J1529" s="19" t="s">
        <v>48</v>
      </c>
      <c r="K1529" s="6"/>
      <c r="L1529" s="6"/>
      <c r="M1529" s="6"/>
      <c r="N1529" s="6"/>
      <c r="O1529" s="6"/>
      <c r="P1529" s="6"/>
      <c r="Q1529" s="6"/>
      <c r="R1529" s="6"/>
      <c r="S1529" s="6"/>
      <c r="T1529" s="6"/>
      <c r="U1529" s="6"/>
      <c r="V1529" s="6"/>
      <c r="W1529" s="6"/>
      <c r="X1529" s="6"/>
      <c r="Y1529" s="6"/>
      <c r="Z1529" s="6"/>
      <c r="AA1529" s="6"/>
      <c r="AB1529" s="6"/>
      <c r="AC1529" s="6"/>
      <c r="AD1529" s="6"/>
      <c r="AE1529" s="6"/>
      <c r="AF1529" s="6"/>
      <c r="AG1529" s="15" t="s">
        <v>55</v>
      </c>
      <c r="AH1529" s="15"/>
      <c r="AI1529" s="15"/>
      <c r="AJ1529" s="6"/>
      <c r="AK1529" s="6"/>
      <c r="AL1529" s="23"/>
      <c r="AM1529" s="23"/>
      <c r="AN1529" s="23"/>
      <c r="AO1529" s="23"/>
      <c r="AP1529" s="23"/>
      <c r="AQ1529" s="23"/>
      <c r="AR1529" s="23"/>
      <c r="AS1529" s="23"/>
      <c r="AT1529" s="23"/>
      <c r="AU1529" s="23"/>
      <c r="AV1529" s="23"/>
      <c r="AW1529" s="23"/>
      <c r="AX1529" s="23"/>
    </row>
    <row r="1530" spans="1:50" s="6" customFormat="1">
      <c r="A1530" s="5" t="s">
        <v>6821</v>
      </c>
      <c r="B1530" s="5" t="s">
        <v>6822</v>
      </c>
      <c r="C1530" s="6" t="s">
        <v>6823</v>
      </c>
      <c r="D1530" s="6" t="s">
        <v>1645</v>
      </c>
      <c r="E1530" s="6" t="s">
        <v>1386</v>
      </c>
      <c r="F1530" s="6" t="s">
        <v>46</v>
      </c>
      <c r="G1530" s="6" t="s">
        <v>3799</v>
      </c>
      <c r="H1530" s="7">
        <v>38.36</v>
      </c>
      <c r="I1530" s="19" t="s">
        <v>2283</v>
      </c>
      <c r="J1530" s="19" t="s">
        <v>2380</v>
      </c>
      <c r="K1530" s="23" t="s">
        <v>6810</v>
      </c>
      <c r="L1530" s="23" t="s">
        <v>6811</v>
      </c>
      <c r="M1530" s="23" t="s">
        <v>6812</v>
      </c>
      <c r="N1530" s="23" t="s">
        <v>6813</v>
      </c>
      <c r="O1530" s="23" t="s">
        <v>6814</v>
      </c>
      <c r="P1530" s="23" t="s">
        <v>6815</v>
      </c>
      <c r="Q1530" s="23" t="s">
        <v>6816</v>
      </c>
      <c r="R1530" s="23" t="s">
        <v>6817</v>
      </c>
      <c r="S1530" s="23"/>
      <c r="T1530" s="23"/>
      <c r="U1530" s="23"/>
      <c r="V1530" s="23"/>
      <c r="W1530" s="23"/>
      <c r="X1530" s="23"/>
      <c r="Y1530" s="23"/>
      <c r="Z1530" s="23"/>
      <c r="AA1530" s="23"/>
      <c r="AB1530" s="23"/>
      <c r="AC1530" s="23"/>
      <c r="AD1530" s="23"/>
      <c r="AE1530" s="23"/>
      <c r="AF1530" s="23"/>
      <c r="AG1530" s="14" t="s">
        <v>55</v>
      </c>
      <c r="AH1530" s="14" t="s">
        <v>1603</v>
      </c>
      <c r="AI1530" s="14" t="s">
        <v>1603</v>
      </c>
      <c r="AJ1530" s="23"/>
      <c r="AK1530" s="23"/>
    </row>
    <row r="1531" spans="1:50">
      <c r="A1531" s="5" t="s">
        <v>6824</v>
      </c>
      <c r="B1531" s="5" t="s">
        <v>6822</v>
      </c>
      <c r="C1531" s="6" t="s">
        <v>6823</v>
      </c>
      <c r="D1531" s="6" t="s">
        <v>1645</v>
      </c>
      <c r="E1531" s="6" t="s">
        <v>2015</v>
      </c>
      <c r="F1531" s="6" t="s">
        <v>46</v>
      </c>
      <c r="G1531" s="6" t="s">
        <v>6825</v>
      </c>
      <c r="H1531" s="7">
        <v>38.36</v>
      </c>
      <c r="I1531" s="19" t="s">
        <v>2283</v>
      </c>
      <c r="J1531" s="19" t="s">
        <v>2380</v>
      </c>
      <c r="K1531" s="23" t="s">
        <v>6810</v>
      </c>
      <c r="L1531" s="23" t="s">
        <v>6811</v>
      </c>
      <c r="M1531" s="23" t="s">
        <v>6812</v>
      </c>
      <c r="N1531" s="23" t="s">
        <v>6813</v>
      </c>
      <c r="O1531" s="23" t="s">
        <v>6814</v>
      </c>
      <c r="P1531" s="23" t="s">
        <v>6815</v>
      </c>
      <c r="Q1531" s="23" t="s">
        <v>6816</v>
      </c>
      <c r="R1531" s="23" t="s">
        <v>6817</v>
      </c>
      <c r="S1531" s="23"/>
      <c r="T1531" s="23"/>
      <c r="U1531" s="23"/>
      <c r="V1531" s="23"/>
      <c r="W1531" s="23"/>
      <c r="X1531" s="23"/>
      <c r="Y1531" s="23"/>
      <c r="Z1531" s="23"/>
      <c r="AA1531" s="23"/>
      <c r="AB1531" s="23"/>
      <c r="AC1531" s="23"/>
      <c r="AD1531" s="23"/>
      <c r="AE1531" s="23"/>
      <c r="AF1531" s="23"/>
      <c r="AG1531" s="14" t="s">
        <v>55</v>
      </c>
      <c r="AH1531" s="14" t="s">
        <v>1603</v>
      </c>
      <c r="AI1531" s="14" t="s">
        <v>1603</v>
      </c>
      <c r="AJ1531" s="23"/>
      <c r="AK1531" s="23"/>
      <c r="AL1531" s="23"/>
      <c r="AM1531" s="23"/>
      <c r="AN1531" s="23"/>
      <c r="AO1531" s="23"/>
      <c r="AP1531" s="23"/>
      <c r="AQ1531" s="23"/>
      <c r="AR1531" s="23"/>
      <c r="AS1531" s="23"/>
      <c r="AT1531" s="23"/>
      <c r="AU1531" s="23"/>
      <c r="AV1531" s="23"/>
      <c r="AW1531" s="23"/>
      <c r="AX1531" s="23"/>
    </row>
    <row r="1532" spans="1:50">
      <c r="A1532" s="6" t="s">
        <v>6826</v>
      </c>
      <c r="B1532" s="6" t="s">
        <v>6822</v>
      </c>
      <c r="C1532" s="6" t="s">
        <v>6823</v>
      </c>
      <c r="D1532" s="6" t="s">
        <v>1645</v>
      </c>
      <c r="E1532" s="6" t="s">
        <v>1671</v>
      </c>
      <c r="F1532" s="6" t="s">
        <v>46</v>
      </c>
      <c r="G1532" s="6" t="s">
        <v>6827</v>
      </c>
      <c r="I1532" s="19" t="s">
        <v>48</v>
      </c>
      <c r="J1532" s="19" t="s">
        <v>48</v>
      </c>
      <c r="K1532" s="6"/>
      <c r="L1532" s="6"/>
      <c r="M1532" s="6"/>
      <c r="N1532" s="6"/>
      <c r="O1532" s="6"/>
      <c r="P1532" s="6"/>
      <c r="Q1532" s="6"/>
      <c r="R1532" s="6"/>
      <c r="S1532" s="6"/>
      <c r="T1532" s="6"/>
      <c r="U1532" s="6"/>
      <c r="V1532" s="6"/>
      <c r="W1532" s="6"/>
      <c r="X1532" s="6"/>
      <c r="Y1532" s="6"/>
      <c r="Z1532" s="6"/>
      <c r="AA1532" s="6"/>
      <c r="AB1532" s="6"/>
      <c r="AC1532" s="6"/>
      <c r="AD1532" s="6"/>
      <c r="AE1532" s="6"/>
      <c r="AF1532" s="6"/>
      <c r="AG1532" s="15" t="s">
        <v>55</v>
      </c>
      <c r="AH1532" s="15"/>
      <c r="AI1532" s="15"/>
      <c r="AJ1532" s="6"/>
      <c r="AK1532" s="6"/>
      <c r="AL1532" s="23"/>
      <c r="AM1532" s="23"/>
      <c r="AN1532" s="23"/>
      <c r="AO1532" s="23"/>
      <c r="AP1532" s="23"/>
      <c r="AQ1532" s="23"/>
      <c r="AR1532" s="23"/>
      <c r="AS1532" s="23"/>
      <c r="AT1532" s="23"/>
      <c r="AU1532" s="23"/>
      <c r="AV1532" s="23"/>
      <c r="AW1532" s="23"/>
      <c r="AX1532" s="23"/>
    </row>
    <row r="1533" spans="1:50" s="6" customFormat="1">
      <c r="A1533" s="6" t="s">
        <v>6828</v>
      </c>
      <c r="B1533" s="6" t="s">
        <v>6829</v>
      </c>
      <c r="C1533" s="6" t="s">
        <v>6801</v>
      </c>
      <c r="D1533" s="6" t="s">
        <v>1645</v>
      </c>
      <c r="E1533" s="6" t="s">
        <v>1653</v>
      </c>
      <c r="F1533" s="6" t="s">
        <v>46</v>
      </c>
      <c r="G1533" s="6" t="s">
        <v>6830</v>
      </c>
      <c r="H1533" s="7"/>
      <c r="I1533" s="19" t="s">
        <v>48</v>
      </c>
      <c r="J1533" s="19" t="s">
        <v>48</v>
      </c>
      <c r="AG1533" s="15" t="s">
        <v>55</v>
      </c>
      <c r="AH1533" s="15"/>
      <c r="AI1533" s="15"/>
    </row>
    <row r="1534" spans="1:50" s="6" customFormat="1">
      <c r="A1534" s="6" t="s">
        <v>6831</v>
      </c>
      <c r="B1534" s="6" t="s">
        <v>6832</v>
      </c>
      <c r="C1534" s="6" t="s">
        <v>6365</v>
      </c>
      <c r="D1534" s="6" t="s">
        <v>1645</v>
      </c>
      <c r="E1534" s="6" t="s">
        <v>2015</v>
      </c>
      <c r="F1534" s="6" t="s">
        <v>46</v>
      </c>
      <c r="G1534" s="6" t="s">
        <v>6833</v>
      </c>
      <c r="H1534" s="7"/>
      <c r="I1534" s="19" t="s">
        <v>48</v>
      </c>
      <c r="J1534" s="19" t="s">
        <v>48</v>
      </c>
      <c r="AG1534" s="15" t="s">
        <v>55</v>
      </c>
      <c r="AH1534" s="15"/>
      <c r="AI1534" s="15"/>
    </row>
    <row r="1535" spans="1:50" s="6" customFormat="1">
      <c r="A1535" s="5" t="s">
        <v>6834</v>
      </c>
      <c r="B1535" s="5" t="s">
        <v>6835</v>
      </c>
      <c r="C1535" s="6" t="s">
        <v>3962</v>
      </c>
      <c r="D1535" s="6" t="s">
        <v>1645</v>
      </c>
      <c r="E1535" s="6" t="s">
        <v>2139</v>
      </c>
      <c r="F1535" s="6" t="s">
        <v>46</v>
      </c>
      <c r="G1535" s="6" t="s">
        <v>6836</v>
      </c>
      <c r="H1535" s="7">
        <v>24.42</v>
      </c>
      <c r="I1535" s="19" t="s">
        <v>2283</v>
      </c>
      <c r="J1535" s="19" t="s">
        <v>2466</v>
      </c>
      <c r="K1535" s="5" t="s">
        <v>6837</v>
      </c>
      <c r="L1535" s="5" t="s">
        <v>6838</v>
      </c>
      <c r="M1535" s="5" t="s">
        <v>6839</v>
      </c>
      <c r="N1535" s="5" t="s">
        <v>6840</v>
      </c>
      <c r="O1535" s="5" t="s">
        <v>6841</v>
      </c>
      <c r="P1535" s="5" t="s">
        <v>6842</v>
      </c>
      <c r="Q1535" s="5" t="s">
        <v>6843</v>
      </c>
      <c r="R1535" s="5" t="s">
        <v>6844</v>
      </c>
      <c r="S1535" s="5"/>
      <c r="T1535" s="5"/>
      <c r="U1535" s="5"/>
      <c r="V1535" s="5"/>
      <c r="W1535" s="5"/>
      <c r="X1535" s="5"/>
      <c r="Y1535" s="5"/>
      <c r="Z1535" s="5"/>
      <c r="AA1535" s="5"/>
      <c r="AB1535" s="5"/>
      <c r="AC1535" s="5"/>
      <c r="AD1535" s="5"/>
      <c r="AE1535" s="5"/>
      <c r="AF1535" s="5"/>
      <c r="AG1535" s="14" t="s">
        <v>55</v>
      </c>
      <c r="AH1535" s="14" t="s">
        <v>1603</v>
      </c>
      <c r="AI1535" s="14" t="s">
        <v>1603</v>
      </c>
      <c r="AJ1535" s="5"/>
      <c r="AK1535" s="5"/>
    </row>
    <row r="1536" spans="1:50">
      <c r="A1536" s="5" t="s">
        <v>6845</v>
      </c>
      <c r="B1536" s="5" t="s">
        <v>6835</v>
      </c>
      <c r="C1536" s="6" t="s">
        <v>3962</v>
      </c>
      <c r="D1536" s="6" t="s">
        <v>1645</v>
      </c>
      <c r="E1536" s="6" t="s">
        <v>2065</v>
      </c>
      <c r="F1536" s="6" t="s">
        <v>46</v>
      </c>
      <c r="G1536" s="6" t="s">
        <v>6846</v>
      </c>
      <c r="H1536" s="7">
        <v>24.42</v>
      </c>
      <c r="I1536" s="19" t="s">
        <v>2283</v>
      </c>
      <c r="J1536" s="19" t="s">
        <v>2466</v>
      </c>
      <c r="K1536" s="5" t="s">
        <v>6837</v>
      </c>
      <c r="L1536" s="5" t="s">
        <v>6838</v>
      </c>
      <c r="M1536" s="5" t="s">
        <v>6839</v>
      </c>
      <c r="N1536" s="5" t="s">
        <v>6840</v>
      </c>
      <c r="O1536" s="5" t="s">
        <v>6841</v>
      </c>
      <c r="P1536" s="5" t="s">
        <v>6842</v>
      </c>
      <c r="Q1536" s="5" t="s">
        <v>6843</v>
      </c>
      <c r="R1536" s="5" t="s">
        <v>6844</v>
      </c>
      <c r="AG1536" s="14" t="s">
        <v>55</v>
      </c>
      <c r="AH1536" s="14" t="s">
        <v>1603</v>
      </c>
      <c r="AI1536" s="14" t="s">
        <v>1603</v>
      </c>
    </row>
    <row r="1537" spans="1:35">
      <c r="A1537" s="5" t="s">
        <v>6847</v>
      </c>
      <c r="B1537" s="5" t="s">
        <v>6848</v>
      </c>
      <c r="C1537" s="6" t="s">
        <v>3962</v>
      </c>
      <c r="D1537" s="6" t="s">
        <v>1645</v>
      </c>
      <c r="E1537" s="6" t="s">
        <v>2139</v>
      </c>
      <c r="F1537" s="6" t="s">
        <v>46</v>
      </c>
      <c r="G1537" s="6" t="s">
        <v>6836</v>
      </c>
      <c r="H1537" s="7">
        <v>24.42</v>
      </c>
      <c r="I1537" s="19" t="s">
        <v>2283</v>
      </c>
      <c r="J1537" s="19" t="s">
        <v>2466</v>
      </c>
      <c r="K1537" s="5" t="s">
        <v>6377</v>
      </c>
      <c r="L1537" s="5" t="s">
        <v>6378</v>
      </c>
      <c r="M1537" s="5" t="s">
        <v>6379</v>
      </c>
      <c r="N1537" s="5" t="s">
        <v>6380</v>
      </c>
      <c r="O1537" s="5" t="s">
        <v>6849</v>
      </c>
      <c r="P1537" s="5" t="s">
        <v>6850</v>
      </c>
      <c r="Q1537" s="5" t="s">
        <v>6851</v>
      </c>
      <c r="R1537" s="5" t="s">
        <v>6384</v>
      </c>
      <c r="AG1537" s="14" t="s">
        <v>55</v>
      </c>
      <c r="AH1537" s="14" t="s">
        <v>1603</v>
      </c>
      <c r="AI1537" s="14" t="s">
        <v>1603</v>
      </c>
    </row>
    <row r="1538" spans="1:35">
      <c r="A1538" s="5" t="s">
        <v>6852</v>
      </c>
      <c r="B1538" s="5" t="s">
        <v>6848</v>
      </c>
      <c r="C1538" s="6" t="s">
        <v>3962</v>
      </c>
      <c r="D1538" s="6" t="s">
        <v>1645</v>
      </c>
      <c r="E1538" s="6" t="s">
        <v>1386</v>
      </c>
      <c r="F1538" s="6" t="s">
        <v>46</v>
      </c>
      <c r="G1538" s="6" t="s">
        <v>6853</v>
      </c>
      <c r="H1538" s="7">
        <v>24.42</v>
      </c>
      <c r="I1538" s="19" t="s">
        <v>2283</v>
      </c>
      <c r="J1538" s="19" t="s">
        <v>2466</v>
      </c>
      <c r="K1538" s="5" t="s">
        <v>6377</v>
      </c>
      <c r="L1538" s="5" t="s">
        <v>6378</v>
      </c>
      <c r="M1538" s="5" t="s">
        <v>6379</v>
      </c>
      <c r="N1538" s="5" t="s">
        <v>6380</v>
      </c>
      <c r="O1538" s="5" t="s">
        <v>6849</v>
      </c>
      <c r="P1538" s="5" t="s">
        <v>6850</v>
      </c>
      <c r="Q1538" s="5" t="s">
        <v>6851</v>
      </c>
      <c r="R1538" s="5" t="s">
        <v>6384</v>
      </c>
      <c r="AG1538" s="14" t="s">
        <v>55</v>
      </c>
      <c r="AH1538" s="14" t="s">
        <v>1603</v>
      </c>
      <c r="AI1538" s="14" t="s">
        <v>1603</v>
      </c>
    </row>
    <row r="1539" spans="1:35">
      <c r="A1539" s="5" t="s">
        <v>6854</v>
      </c>
      <c r="B1539" s="5" t="s">
        <v>6848</v>
      </c>
      <c r="C1539" s="6" t="s">
        <v>3962</v>
      </c>
      <c r="D1539" s="6" t="s">
        <v>1645</v>
      </c>
      <c r="E1539" s="6" t="s">
        <v>2015</v>
      </c>
      <c r="F1539" s="6" t="s">
        <v>46</v>
      </c>
      <c r="G1539" s="6" t="s">
        <v>6855</v>
      </c>
      <c r="H1539" s="7">
        <v>24.42</v>
      </c>
      <c r="I1539" s="19" t="s">
        <v>2283</v>
      </c>
      <c r="J1539" s="19" t="s">
        <v>2466</v>
      </c>
      <c r="K1539" s="5" t="s">
        <v>6377</v>
      </c>
      <c r="L1539" s="5" t="s">
        <v>6378</v>
      </c>
      <c r="M1539" s="5" t="s">
        <v>6379</v>
      </c>
      <c r="N1539" s="5" t="s">
        <v>6380</v>
      </c>
      <c r="O1539" s="5" t="s">
        <v>6849</v>
      </c>
      <c r="P1539" s="5" t="s">
        <v>6850</v>
      </c>
      <c r="Q1539" s="5" t="s">
        <v>6851</v>
      </c>
      <c r="R1539" s="5" t="s">
        <v>6384</v>
      </c>
      <c r="AG1539" s="14" t="s">
        <v>55</v>
      </c>
      <c r="AH1539" s="14" t="s">
        <v>1603</v>
      </c>
      <c r="AI1539" s="14" t="s">
        <v>1603</v>
      </c>
    </row>
    <row r="1540" spans="1:35">
      <c r="A1540" s="5" t="s">
        <v>6856</v>
      </c>
      <c r="B1540" s="5" t="s">
        <v>6857</v>
      </c>
      <c r="C1540" s="6" t="s">
        <v>6858</v>
      </c>
      <c r="D1540" s="6" t="s">
        <v>1645</v>
      </c>
      <c r="E1540" s="6" t="s">
        <v>2139</v>
      </c>
      <c r="F1540" s="6" t="s">
        <v>46</v>
      </c>
      <c r="G1540" s="6" t="s">
        <v>6859</v>
      </c>
      <c r="H1540" s="7">
        <v>27.23</v>
      </c>
      <c r="I1540" s="19" t="s">
        <v>2283</v>
      </c>
      <c r="J1540" s="19" t="s">
        <v>2481</v>
      </c>
      <c r="K1540" s="5" t="s">
        <v>6392</v>
      </c>
      <c r="L1540" s="5" t="s">
        <v>6393</v>
      </c>
      <c r="M1540" s="5" t="s">
        <v>6394</v>
      </c>
      <c r="N1540" s="5" t="s">
        <v>6395</v>
      </c>
      <c r="O1540" s="5" t="s">
        <v>6860</v>
      </c>
      <c r="P1540" s="5" t="s">
        <v>6861</v>
      </c>
      <c r="Q1540" s="5" t="s">
        <v>6862</v>
      </c>
      <c r="R1540" s="5" t="s">
        <v>6863</v>
      </c>
      <c r="AG1540" s="14" t="s">
        <v>55</v>
      </c>
      <c r="AH1540" s="14" t="s">
        <v>1603</v>
      </c>
      <c r="AI1540" s="14" t="s">
        <v>1603</v>
      </c>
    </row>
    <row r="1541" spans="1:35">
      <c r="A1541" s="5" t="s">
        <v>6864</v>
      </c>
      <c r="B1541" s="5" t="s">
        <v>6857</v>
      </c>
      <c r="C1541" s="6" t="s">
        <v>6858</v>
      </c>
      <c r="D1541" s="6" t="s">
        <v>1645</v>
      </c>
      <c r="E1541" s="6" t="s">
        <v>1386</v>
      </c>
      <c r="F1541" s="6" t="s">
        <v>46</v>
      </c>
      <c r="G1541" s="6" t="s">
        <v>6865</v>
      </c>
      <c r="H1541" s="7">
        <v>27.23</v>
      </c>
      <c r="I1541" s="19" t="s">
        <v>2283</v>
      </c>
      <c r="J1541" s="19" t="s">
        <v>2481</v>
      </c>
      <c r="K1541" s="5" t="s">
        <v>6392</v>
      </c>
      <c r="L1541" s="5" t="s">
        <v>6393</v>
      </c>
      <c r="M1541" s="5" t="s">
        <v>6394</v>
      </c>
      <c r="N1541" s="5" t="s">
        <v>6395</v>
      </c>
      <c r="O1541" s="5" t="s">
        <v>6860</v>
      </c>
      <c r="P1541" s="5" t="s">
        <v>6861</v>
      </c>
      <c r="Q1541" s="5" t="s">
        <v>6862</v>
      </c>
      <c r="R1541" s="5" t="s">
        <v>6863</v>
      </c>
      <c r="AG1541" s="14" t="s">
        <v>55</v>
      </c>
      <c r="AH1541" s="14" t="s">
        <v>1603</v>
      </c>
      <c r="AI1541" s="14" t="s">
        <v>1603</v>
      </c>
    </row>
    <row r="1542" spans="1:35">
      <c r="A1542" s="5" t="s">
        <v>6866</v>
      </c>
      <c r="B1542" s="5" t="s">
        <v>6857</v>
      </c>
      <c r="C1542" s="6" t="s">
        <v>6858</v>
      </c>
      <c r="D1542" s="6" t="s">
        <v>1645</v>
      </c>
      <c r="E1542" s="6" t="s">
        <v>2015</v>
      </c>
      <c r="F1542" s="6" t="s">
        <v>46</v>
      </c>
      <c r="G1542" s="6" t="s">
        <v>6867</v>
      </c>
      <c r="H1542" s="7">
        <v>27.23</v>
      </c>
      <c r="I1542" s="19" t="s">
        <v>2283</v>
      </c>
      <c r="J1542" s="19" t="s">
        <v>2481</v>
      </c>
      <c r="K1542" s="5" t="s">
        <v>6392</v>
      </c>
      <c r="L1542" s="5" t="s">
        <v>6393</v>
      </c>
      <c r="M1542" s="5" t="s">
        <v>6394</v>
      </c>
      <c r="N1542" s="5" t="s">
        <v>6395</v>
      </c>
      <c r="O1542" s="5" t="s">
        <v>6860</v>
      </c>
      <c r="P1542" s="5" t="s">
        <v>6861</v>
      </c>
      <c r="Q1542" s="5" t="s">
        <v>6862</v>
      </c>
      <c r="R1542" s="5" t="s">
        <v>6863</v>
      </c>
      <c r="AG1542" s="14" t="s">
        <v>55</v>
      </c>
      <c r="AH1542" s="14" t="s">
        <v>1603</v>
      </c>
      <c r="AI1542" s="14" t="s">
        <v>1603</v>
      </c>
    </row>
    <row r="1543" spans="1:35">
      <c r="A1543" s="5" t="s">
        <v>6868</v>
      </c>
      <c r="B1543" s="5" t="s">
        <v>6869</v>
      </c>
      <c r="C1543" s="6" t="s">
        <v>6870</v>
      </c>
      <c r="D1543" s="6" t="s">
        <v>1645</v>
      </c>
      <c r="E1543" s="6" t="s">
        <v>1386</v>
      </c>
      <c r="F1543" s="6" t="s">
        <v>46</v>
      </c>
      <c r="G1543" s="6" t="s">
        <v>6865</v>
      </c>
      <c r="H1543" s="7">
        <v>27.23</v>
      </c>
      <c r="I1543" s="19" t="s">
        <v>2283</v>
      </c>
      <c r="J1543" s="19" t="s">
        <v>2481</v>
      </c>
      <c r="K1543" s="5" t="s">
        <v>6871</v>
      </c>
      <c r="L1543" s="5" t="s">
        <v>6872</v>
      </c>
      <c r="M1543" s="5" t="s">
        <v>6873</v>
      </c>
      <c r="N1543" s="5" t="s">
        <v>6874</v>
      </c>
      <c r="O1543" s="5" t="s">
        <v>6875</v>
      </c>
      <c r="P1543" s="5" t="s">
        <v>6876</v>
      </c>
      <c r="Q1543" s="5" t="s">
        <v>6877</v>
      </c>
      <c r="R1543" s="5" t="s">
        <v>6878</v>
      </c>
      <c r="AG1543" s="14" t="s">
        <v>55</v>
      </c>
      <c r="AH1543" s="14" t="s">
        <v>1603</v>
      </c>
      <c r="AI1543" s="14" t="s">
        <v>1603</v>
      </c>
    </row>
    <row r="1544" spans="1:35">
      <c r="A1544" s="5" t="s">
        <v>6879</v>
      </c>
      <c r="B1544" s="5" t="s">
        <v>6869</v>
      </c>
      <c r="C1544" s="6" t="s">
        <v>6870</v>
      </c>
      <c r="D1544" s="6" t="s">
        <v>1645</v>
      </c>
      <c r="E1544" s="6" t="s">
        <v>2015</v>
      </c>
      <c r="F1544" s="6" t="s">
        <v>46</v>
      </c>
      <c r="G1544" s="6" t="s">
        <v>6880</v>
      </c>
      <c r="H1544" s="7">
        <v>27.23</v>
      </c>
      <c r="I1544" s="19" t="s">
        <v>2283</v>
      </c>
      <c r="J1544" s="19" t="s">
        <v>2481</v>
      </c>
      <c r="K1544" s="5" t="s">
        <v>6871</v>
      </c>
      <c r="L1544" s="5" t="s">
        <v>6872</v>
      </c>
      <c r="M1544" s="5" t="s">
        <v>6873</v>
      </c>
      <c r="N1544" s="5" t="s">
        <v>6874</v>
      </c>
      <c r="O1544" s="5" t="s">
        <v>6875</v>
      </c>
      <c r="P1544" s="5" t="s">
        <v>6876</v>
      </c>
      <c r="Q1544" s="5" t="s">
        <v>6877</v>
      </c>
      <c r="R1544" s="5" t="s">
        <v>6878</v>
      </c>
      <c r="AG1544" s="14" t="s">
        <v>55</v>
      </c>
      <c r="AH1544" s="14" t="s">
        <v>1603</v>
      </c>
      <c r="AI1544" s="14" t="s">
        <v>1603</v>
      </c>
    </row>
    <row r="1545" spans="1:35">
      <c r="A1545" s="5" t="s">
        <v>6881</v>
      </c>
      <c r="B1545" s="5" t="s">
        <v>6869</v>
      </c>
      <c r="C1545" s="6" t="s">
        <v>6870</v>
      </c>
      <c r="D1545" s="6" t="s">
        <v>1645</v>
      </c>
      <c r="E1545" s="6" t="s">
        <v>2047</v>
      </c>
      <c r="F1545" s="6" t="s">
        <v>46</v>
      </c>
      <c r="G1545" s="6" t="s">
        <v>2749</v>
      </c>
      <c r="H1545" s="7">
        <v>27.23</v>
      </c>
      <c r="I1545" s="19" t="s">
        <v>2283</v>
      </c>
      <c r="J1545" s="19" t="s">
        <v>2481</v>
      </c>
      <c r="K1545" s="5" t="s">
        <v>6871</v>
      </c>
      <c r="L1545" s="5" t="s">
        <v>6872</v>
      </c>
      <c r="M1545" s="5" t="s">
        <v>6873</v>
      </c>
      <c r="N1545" s="5" t="s">
        <v>6874</v>
      </c>
      <c r="O1545" s="5" t="s">
        <v>6875</v>
      </c>
      <c r="P1545" s="5" t="s">
        <v>6876</v>
      </c>
      <c r="Q1545" s="5" t="s">
        <v>6877</v>
      </c>
      <c r="R1545" s="5" t="s">
        <v>6878</v>
      </c>
      <c r="AG1545" s="14" t="s">
        <v>55</v>
      </c>
      <c r="AH1545" s="14" t="s">
        <v>1603</v>
      </c>
      <c r="AI1545" s="14" t="s">
        <v>1603</v>
      </c>
    </row>
    <row r="1546" spans="1:35">
      <c r="A1546" s="5" t="s">
        <v>6882</v>
      </c>
      <c r="B1546" s="5" t="s">
        <v>6869</v>
      </c>
      <c r="C1546" s="6" t="s">
        <v>6870</v>
      </c>
      <c r="D1546" s="6" t="s">
        <v>1645</v>
      </c>
      <c r="E1546" s="6" t="s">
        <v>2461</v>
      </c>
      <c r="F1546" s="6" t="s">
        <v>46</v>
      </c>
      <c r="G1546" s="6" t="s">
        <v>6883</v>
      </c>
      <c r="H1546" s="7">
        <v>27.23</v>
      </c>
      <c r="I1546" s="19" t="s">
        <v>2283</v>
      </c>
      <c r="J1546" s="19" t="s">
        <v>2481</v>
      </c>
      <c r="K1546" s="5" t="s">
        <v>6871</v>
      </c>
      <c r="L1546" s="5" t="s">
        <v>6872</v>
      </c>
      <c r="M1546" s="5" t="s">
        <v>6873</v>
      </c>
      <c r="N1546" s="5" t="s">
        <v>6874</v>
      </c>
      <c r="O1546" s="5" t="s">
        <v>6875</v>
      </c>
      <c r="P1546" s="5" t="s">
        <v>6876</v>
      </c>
      <c r="Q1546" s="5" t="s">
        <v>6877</v>
      </c>
      <c r="R1546" s="5" t="s">
        <v>6878</v>
      </c>
      <c r="AG1546" s="14" t="s">
        <v>55</v>
      </c>
      <c r="AH1546" s="14" t="s">
        <v>1603</v>
      </c>
      <c r="AI1546" s="14" t="s">
        <v>1603</v>
      </c>
    </row>
    <row r="1547" spans="1:35">
      <c r="A1547" s="5" t="s">
        <v>6884</v>
      </c>
      <c r="B1547" s="5" t="s">
        <v>6885</v>
      </c>
      <c r="C1547" s="6" t="s">
        <v>2281</v>
      </c>
      <c r="D1547" s="6" t="s">
        <v>1645</v>
      </c>
      <c r="E1547" s="6" t="s">
        <v>1386</v>
      </c>
      <c r="F1547" s="6" t="s">
        <v>46</v>
      </c>
      <c r="G1547" s="6" t="s">
        <v>6630</v>
      </c>
      <c r="H1547" s="7">
        <v>30.03</v>
      </c>
      <c r="I1547" s="19" t="s">
        <v>2283</v>
      </c>
      <c r="J1547" s="19" t="s">
        <v>2512</v>
      </c>
      <c r="K1547" s="6" t="s">
        <v>2513</v>
      </c>
      <c r="L1547" s="6" t="s">
        <v>2514</v>
      </c>
      <c r="M1547" s="6" t="s">
        <v>2515</v>
      </c>
      <c r="N1547" s="6" t="s">
        <v>2516</v>
      </c>
      <c r="O1547" s="6" t="s">
        <v>6886</v>
      </c>
      <c r="P1547" s="6" t="s">
        <v>6887</v>
      </c>
      <c r="Q1547" s="6" t="s">
        <v>6888</v>
      </c>
      <c r="R1547" s="6" t="s">
        <v>6889</v>
      </c>
      <c r="AG1547" s="14" t="s">
        <v>55</v>
      </c>
      <c r="AH1547" s="14" t="s">
        <v>1603</v>
      </c>
      <c r="AI1547" s="14" t="s">
        <v>1603</v>
      </c>
    </row>
    <row r="1548" spans="1:35">
      <c r="A1548" s="5" t="s">
        <v>6890</v>
      </c>
      <c r="B1548" s="5" t="s">
        <v>6885</v>
      </c>
      <c r="C1548" s="6" t="s">
        <v>2281</v>
      </c>
      <c r="D1548" s="6" t="s">
        <v>1645</v>
      </c>
      <c r="E1548" s="6" t="s">
        <v>2065</v>
      </c>
      <c r="F1548" s="6" t="s">
        <v>46</v>
      </c>
      <c r="G1548" s="6" t="s">
        <v>6891</v>
      </c>
      <c r="H1548" s="7">
        <v>30.03</v>
      </c>
      <c r="I1548" s="19" t="s">
        <v>2283</v>
      </c>
      <c r="J1548" s="19" t="s">
        <v>2512</v>
      </c>
      <c r="K1548" s="6" t="s">
        <v>2513</v>
      </c>
      <c r="L1548" s="6" t="s">
        <v>2514</v>
      </c>
      <c r="M1548" s="6" t="s">
        <v>2515</v>
      </c>
      <c r="N1548" s="6" t="s">
        <v>2516</v>
      </c>
      <c r="O1548" s="6" t="s">
        <v>6886</v>
      </c>
      <c r="P1548" s="6" t="s">
        <v>6887</v>
      </c>
      <c r="Q1548" s="6" t="s">
        <v>6888</v>
      </c>
      <c r="R1548" s="6" t="s">
        <v>6889</v>
      </c>
      <c r="AG1548" s="14" t="s">
        <v>55</v>
      </c>
      <c r="AH1548" s="14" t="s">
        <v>1603</v>
      </c>
      <c r="AI1548" s="14" t="s">
        <v>1603</v>
      </c>
    </row>
    <row r="1549" spans="1:35">
      <c r="A1549" s="5" t="s">
        <v>6892</v>
      </c>
      <c r="B1549" s="5" t="s">
        <v>6885</v>
      </c>
      <c r="C1549" s="6" t="s">
        <v>2281</v>
      </c>
      <c r="D1549" s="6" t="s">
        <v>1645</v>
      </c>
      <c r="E1549" s="6" t="s">
        <v>503</v>
      </c>
      <c r="F1549" s="6" t="s">
        <v>46</v>
      </c>
      <c r="G1549" s="6" t="s">
        <v>6893</v>
      </c>
      <c r="H1549" s="7">
        <v>30.03</v>
      </c>
      <c r="I1549" s="19" t="s">
        <v>2283</v>
      </c>
      <c r="J1549" s="19" t="s">
        <v>2512</v>
      </c>
      <c r="K1549" s="6" t="s">
        <v>2513</v>
      </c>
      <c r="L1549" s="6" t="s">
        <v>2514</v>
      </c>
      <c r="M1549" s="6" t="s">
        <v>2515</v>
      </c>
      <c r="N1549" s="6" t="s">
        <v>2516</v>
      </c>
      <c r="O1549" s="6" t="s">
        <v>6886</v>
      </c>
      <c r="P1549" s="6" t="s">
        <v>6887</v>
      </c>
      <c r="Q1549" s="6" t="s">
        <v>6888</v>
      </c>
      <c r="R1549" s="6" t="s">
        <v>6889</v>
      </c>
      <c r="AG1549" s="14" t="s">
        <v>55</v>
      </c>
      <c r="AH1549" s="14" t="s">
        <v>1603</v>
      </c>
      <c r="AI1549" s="14" t="s">
        <v>1603</v>
      </c>
    </row>
    <row r="1550" spans="1:35">
      <c r="A1550" s="5" t="s">
        <v>6894</v>
      </c>
      <c r="B1550" s="5" t="s">
        <v>6895</v>
      </c>
      <c r="C1550" s="6" t="s">
        <v>1463</v>
      </c>
      <c r="D1550" s="6" t="s">
        <v>1645</v>
      </c>
      <c r="E1550" s="6" t="s">
        <v>2139</v>
      </c>
      <c r="F1550" s="6" t="s">
        <v>46</v>
      </c>
      <c r="G1550" s="6" t="s">
        <v>6896</v>
      </c>
      <c r="H1550" s="7">
        <v>33.17</v>
      </c>
      <c r="I1550" s="19" t="s">
        <v>2283</v>
      </c>
      <c r="J1550" s="19" t="s">
        <v>6417</v>
      </c>
      <c r="K1550" s="6" t="s">
        <v>6418</v>
      </c>
      <c r="L1550" s="6" t="s">
        <v>6419</v>
      </c>
      <c r="M1550" s="6" t="s">
        <v>6420</v>
      </c>
      <c r="N1550" s="6" t="s">
        <v>6421</v>
      </c>
      <c r="O1550" s="6" t="s">
        <v>6897</v>
      </c>
      <c r="P1550" s="6" t="s">
        <v>6898</v>
      </c>
      <c r="Q1550" s="6" t="s">
        <v>6899</v>
      </c>
      <c r="R1550" s="6" t="s">
        <v>6900</v>
      </c>
      <c r="W1550" s="6" t="s">
        <v>6426</v>
      </c>
      <c r="X1550" s="6" t="s">
        <v>6427</v>
      </c>
      <c r="Y1550" s="6" t="s">
        <v>6428</v>
      </c>
      <c r="Z1550" s="6" t="s">
        <v>6429</v>
      </c>
      <c r="AG1550" s="14" t="s">
        <v>55</v>
      </c>
      <c r="AH1550" s="14" t="s">
        <v>1603</v>
      </c>
      <c r="AI1550" s="14" t="s">
        <v>1603</v>
      </c>
    </row>
    <row r="1551" spans="1:35">
      <c r="A1551" s="5" t="s">
        <v>6901</v>
      </c>
      <c r="B1551" s="5" t="s">
        <v>6902</v>
      </c>
      <c r="C1551" s="6" t="s">
        <v>6903</v>
      </c>
      <c r="D1551" s="6" t="s">
        <v>1645</v>
      </c>
      <c r="E1551" s="6" t="s">
        <v>2139</v>
      </c>
      <c r="F1551" s="6" t="s">
        <v>46</v>
      </c>
      <c r="G1551" s="6" t="s">
        <v>6904</v>
      </c>
      <c r="H1551" s="7">
        <v>27.23</v>
      </c>
      <c r="I1551" s="19" t="s">
        <v>2283</v>
      </c>
      <c r="J1551" s="19" t="s">
        <v>2466</v>
      </c>
      <c r="K1551" s="5" t="s">
        <v>6905</v>
      </c>
      <c r="L1551" s="5" t="s">
        <v>6906</v>
      </c>
      <c r="M1551" s="5" t="s">
        <v>6907</v>
      </c>
      <c r="N1551" s="5" t="s">
        <v>6908</v>
      </c>
      <c r="O1551" s="5" t="s">
        <v>6909</v>
      </c>
      <c r="P1551" s="5" t="s">
        <v>6910</v>
      </c>
      <c r="Q1551" s="5" t="s">
        <v>6911</v>
      </c>
      <c r="R1551" s="5" t="s">
        <v>6912</v>
      </c>
      <c r="AG1551" s="14" t="s">
        <v>55</v>
      </c>
      <c r="AH1551" s="14" t="s">
        <v>1603</v>
      </c>
      <c r="AI1551" s="14" t="s">
        <v>1603</v>
      </c>
    </row>
    <row r="1552" spans="1:35">
      <c r="A1552" s="5" t="s">
        <v>6913</v>
      </c>
      <c r="B1552" s="5" t="s">
        <v>6902</v>
      </c>
      <c r="C1552" s="6" t="s">
        <v>3385</v>
      </c>
      <c r="D1552" s="6" t="s">
        <v>1645</v>
      </c>
      <c r="E1552" s="6" t="s">
        <v>1386</v>
      </c>
      <c r="F1552" s="6" t="s">
        <v>46</v>
      </c>
      <c r="G1552" s="6" t="s">
        <v>6914</v>
      </c>
      <c r="H1552" s="7">
        <v>27.23</v>
      </c>
      <c r="I1552" s="19" t="s">
        <v>2283</v>
      </c>
      <c r="J1552" s="19" t="s">
        <v>2466</v>
      </c>
      <c r="K1552" s="5" t="s">
        <v>6905</v>
      </c>
      <c r="L1552" s="5" t="s">
        <v>6906</v>
      </c>
      <c r="M1552" s="5" t="s">
        <v>6907</v>
      </c>
      <c r="N1552" s="5" t="s">
        <v>6908</v>
      </c>
      <c r="O1552" s="5" t="s">
        <v>6909</v>
      </c>
      <c r="P1552" s="5" t="s">
        <v>6910</v>
      </c>
      <c r="Q1552" s="5" t="s">
        <v>6911</v>
      </c>
      <c r="R1552" s="5" t="s">
        <v>6912</v>
      </c>
      <c r="AG1552" s="14" t="s">
        <v>55</v>
      </c>
      <c r="AH1552" s="14" t="s">
        <v>1603</v>
      </c>
      <c r="AI1552" s="14" t="s">
        <v>1603</v>
      </c>
    </row>
    <row r="1553" spans="1:35">
      <c r="A1553" s="5" t="s">
        <v>6915</v>
      </c>
      <c r="B1553" s="5" t="s">
        <v>6902</v>
      </c>
      <c r="C1553" s="6" t="s">
        <v>3385</v>
      </c>
      <c r="D1553" s="6" t="s">
        <v>1645</v>
      </c>
      <c r="E1553" s="6" t="s">
        <v>2015</v>
      </c>
      <c r="F1553" s="6" t="s">
        <v>46</v>
      </c>
      <c r="G1553" s="6" t="s">
        <v>6867</v>
      </c>
      <c r="H1553" s="7">
        <v>27.23</v>
      </c>
      <c r="I1553" s="19" t="s">
        <v>2283</v>
      </c>
      <c r="J1553" s="19" t="s">
        <v>2466</v>
      </c>
      <c r="K1553" s="5" t="s">
        <v>6905</v>
      </c>
      <c r="L1553" s="5" t="s">
        <v>6906</v>
      </c>
      <c r="M1553" s="5" t="s">
        <v>6907</v>
      </c>
      <c r="N1553" s="5" t="s">
        <v>6908</v>
      </c>
      <c r="O1553" s="5" t="s">
        <v>6909</v>
      </c>
      <c r="P1553" s="5" t="s">
        <v>6910</v>
      </c>
      <c r="Q1553" s="5" t="s">
        <v>6911</v>
      </c>
      <c r="R1553" s="5" t="s">
        <v>6912</v>
      </c>
      <c r="AG1553" s="14" t="s">
        <v>55</v>
      </c>
      <c r="AH1553" s="14" t="s">
        <v>1603</v>
      </c>
      <c r="AI1553" s="14" t="s">
        <v>1603</v>
      </c>
    </row>
    <row r="1554" spans="1:35">
      <c r="A1554" s="5" t="s">
        <v>6916</v>
      </c>
      <c r="B1554" s="5" t="s">
        <v>6902</v>
      </c>
      <c r="C1554" s="6" t="s">
        <v>3385</v>
      </c>
      <c r="D1554" s="6" t="s">
        <v>1645</v>
      </c>
      <c r="E1554" s="6" t="s">
        <v>1693</v>
      </c>
      <c r="F1554" s="6" t="s">
        <v>46</v>
      </c>
      <c r="G1554" s="6" t="s">
        <v>6914</v>
      </c>
      <c r="H1554" s="7">
        <v>27.23</v>
      </c>
      <c r="I1554" s="19" t="s">
        <v>2283</v>
      </c>
      <c r="J1554" s="19" t="s">
        <v>2466</v>
      </c>
      <c r="K1554" s="5" t="s">
        <v>6905</v>
      </c>
      <c r="L1554" s="5" t="s">
        <v>6906</v>
      </c>
      <c r="M1554" s="5" t="s">
        <v>6907</v>
      </c>
      <c r="N1554" s="5" t="s">
        <v>6908</v>
      </c>
      <c r="O1554" s="5" t="s">
        <v>6909</v>
      </c>
      <c r="P1554" s="5" t="s">
        <v>6910</v>
      </c>
      <c r="Q1554" s="5" t="s">
        <v>6911</v>
      </c>
      <c r="R1554" s="5" t="s">
        <v>6912</v>
      </c>
      <c r="AG1554" s="14" t="s">
        <v>55</v>
      </c>
      <c r="AH1554" s="14" t="s">
        <v>1603</v>
      </c>
      <c r="AI1554" s="14" t="s">
        <v>1603</v>
      </c>
    </row>
    <row r="1555" spans="1:35">
      <c r="A1555" s="5" t="s">
        <v>6917</v>
      </c>
      <c r="B1555" s="5" t="s">
        <v>6902</v>
      </c>
      <c r="C1555" s="6" t="s">
        <v>3385</v>
      </c>
      <c r="D1555" s="6" t="s">
        <v>1645</v>
      </c>
      <c r="E1555" s="6" t="s">
        <v>2065</v>
      </c>
      <c r="F1555" s="6" t="s">
        <v>46</v>
      </c>
      <c r="G1555" s="6" t="s">
        <v>6918</v>
      </c>
      <c r="H1555" s="7">
        <v>27.23</v>
      </c>
      <c r="I1555" s="19" t="s">
        <v>2283</v>
      </c>
      <c r="J1555" s="19" t="s">
        <v>2466</v>
      </c>
      <c r="K1555" s="5" t="s">
        <v>6905</v>
      </c>
      <c r="L1555" s="5" t="s">
        <v>6906</v>
      </c>
      <c r="M1555" s="5" t="s">
        <v>6907</v>
      </c>
      <c r="N1555" s="5" t="s">
        <v>6908</v>
      </c>
      <c r="O1555" s="5" t="s">
        <v>6909</v>
      </c>
      <c r="P1555" s="5" t="s">
        <v>6910</v>
      </c>
      <c r="Q1555" s="5" t="s">
        <v>6911</v>
      </c>
      <c r="R1555" s="5" t="s">
        <v>6912</v>
      </c>
      <c r="AG1555" s="14" t="s">
        <v>55</v>
      </c>
      <c r="AH1555" s="14" t="s">
        <v>1603</v>
      </c>
      <c r="AI1555" s="14" t="s">
        <v>1603</v>
      </c>
    </row>
    <row r="1556" spans="1:35">
      <c r="A1556" s="5" t="s">
        <v>6919</v>
      </c>
      <c r="B1556" s="5" t="s">
        <v>6920</v>
      </c>
      <c r="C1556" s="6" t="s">
        <v>43</v>
      </c>
      <c r="D1556" s="6" t="s">
        <v>1645</v>
      </c>
      <c r="E1556" s="6" t="s">
        <v>2139</v>
      </c>
      <c r="F1556" s="6" t="s">
        <v>46</v>
      </c>
      <c r="G1556" s="6" t="s">
        <v>6904</v>
      </c>
      <c r="H1556" s="7">
        <v>27.23</v>
      </c>
      <c r="I1556" s="19" t="s">
        <v>2283</v>
      </c>
      <c r="J1556" s="19" t="s">
        <v>2466</v>
      </c>
      <c r="K1556" s="5" t="s">
        <v>6433</v>
      </c>
      <c r="L1556" s="5" t="s">
        <v>6434</v>
      </c>
      <c r="M1556" s="5" t="s">
        <v>6435</v>
      </c>
      <c r="N1556" s="5" t="s">
        <v>6436</v>
      </c>
      <c r="O1556" s="5" t="s">
        <v>6921</v>
      </c>
      <c r="P1556" s="5" t="s">
        <v>6922</v>
      </c>
      <c r="Q1556" s="5" t="s">
        <v>6923</v>
      </c>
      <c r="R1556" s="5" t="s">
        <v>6924</v>
      </c>
      <c r="AG1556" s="14" t="s">
        <v>55</v>
      </c>
      <c r="AH1556" s="14" t="s">
        <v>1603</v>
      </c>
      <c r="AI1556" s="14" t="s">
        <v>1603</v>
      </c>
    </row>
    <row r="1557" spans="1:35">
      <c r="A1557" s="5" t="s">
        <v>6925</v>
      </c>
      <c r="B1557" s="5" t="s">
        <v>6920</v>
      </c>
      <c r="C1557" s="6" t="s">
        <v>43</v>
      </c>
      <c r="D1557" s="6" t="s">
        <v>1645</v>
      </c>
      <c r="E1557" s="6" t="s">
        <v>1386</v>
      </c>
      <c r="F1557" s="6" t="s">
        <v>46</v>
      </c>
      <c r="G1557" s="6" t="s">
        <v>6926</v>
      </c>
      <c r="H1557" s="7">
        <v>27.23</v>
      </c>
      <c r="I1557" s="19" t="s">
        <v>2283</v>
      </c>
      <c r="J1557" s="19" t="s">
        <v>2466</v>
      </c>
      <c r="K1557" s="5" t="s">
        <v>6433</v>
      </c>
      <c r="L1557" s="5" t="s">
        <v>6434</v>
      </c>
      <c r="M1557" s="5" t="s">
        <v>6435</v>
      </c>
      <c r="N1557" s="5" t="s">
        <v>6436</v>
      </c>
      <c r="O1557" s="5" t="s">
        <v>6921</v>
      </c>
      <c r="P1557" s="5" t="s">
        <v>6922</v>
      </c>
      <c r="Q1557" s="5" t="s">
        <v>6923</v>
      </c>
      <c r="R1557" s="5" t="s">
        <v>6924</v>
      </c>
      <c r="AG1557" s="14" t="s">
        <v>55</v>
      </c>
      <c r="AH1557" s="14" t="s">
        <v>1603</v>
      </c>
      <c r="AI1557" s="14" t="s">
        <v>1603</v>
      </c>
    </row>
    <row r="1558" spans="1:35">
      <c r="A1558" s="5" t="s">
        <v>6927</v>
      </c>
      <c r="B1558" s="5" t="s">
        <v>6920</v>
      </c>
      <c r="C1558" s="6" t="s">
        <v>43</v>
      </c>
      <c r="D1558" s="6" t="s">
        <v>1645</v>
      </c>
      <c r="E1558" s="6" t="s">
        <v>2015</v>
      </c>
      <c r="F1558" s="6" t="s">
        <v>46</v>
      </c>
      <c r="G1558" s="6" t="s">
        <v>6928</v>
      </c>
      <c r="H1558" s="7">
        <v>27.23</v>
      </c>
      <c r="I1558" s="19" t="s">
        <v>2283</v>
      </c>
      <c r="J1558" s="19" t="s">
        <v>2466</v>
      </c>
      <c r="K1558" s="5" t="s">
        <v>6433</v>
      </c>
      <c r="L1558" s="5" t="s">
        <v>6434</v>
      </c>
      <c r="M1558" s="5" t="s">
        <v>6435</v>
      </c>
      <c r="N1558" s="5" t="s">
        <v>6436</v>
      </c>
      <c r="O1558" s="5" t="s">
        <v>6921</v>
      </c>
      <c r="P1558" s="5" t="s">
        <v>6922</v>
      </c>
      <c r="Q1558" s="5" t="s">
        <v>6923</v>
      </c>
      <c r="R1558" s="5" t="s">
        <v>6924</v>
      </c>
      <c r="AG1558" s="14" t="s">
        <v>55</v>
      </c>
      <c r="AH1558" s="14" t="s">
        <v>1603</v>
      </c>
      <c r="AI1558" s="14" t="s">
        <v>1603</v>
      </c>
    </row>
    <row r="1559" spans="1:35">
      <c r="A1559" s="5" t="s">
        <v>6929</v>
      </c>
      <c r="B1559" s="5" t="s">
        <v>6930</v>
      </c>
      <c r="C1559" s="6" t="s">
        <v>6903</v>
      </c>
      <c r="D1559" s="6" t="s">
        <v>1645</v>
      </c>
      <c r="E1559" s="6" t="s">
        <v>2139</v>
      </c>
      <c r="F1559" s="6" t="s">
        <v>46</v>
      </c>
      <c r="G1559" s="6" t="s">
        <v>6904</v>
      </c>
      <c r="H1559" s="7">
        <v>27.23</v>
      </c>
      <c r="I1559" s="19" t="s">
        <v>2283</v>
      </c>
      <c r="J1559" s="19" t="s">
        <v>2466</v>
      </c>
      <c r="K1559" s="5" t="s">
        <v>6931</v>
      </c>
      <c r="L1559" s="5" t="s">
        <v>6932</v>
      </c>
      <c r="M1559" s="5" t="s">
        <v>6933</v>
      </c>
      <c r="N1559" s="5" t="s">
        <v>6934</v>
      </c>
      <c r="O1559" s="5" t="s">
        <v>6935</v>
      </c>
      <c r="P1559" s="5" t="s">
        <v>6936</v>
      </c>
      <c r="Q1559" s="5" t="s">
        <v>6937</v>
      </c>
      <c r="R1559" s="5" t="s">
        <v>6938</v>
      </c>
      <c r="AG1559" s="14" t="s">
        <v>55</v>
      </c>
      <c r="AH1559" s="14" t="s">
        <v>1603</v>
      </c>
      <c r="AI1559" s="14" t="s">
        <v>1603</v>
      </c>
    </row>
    <row r="1560" spans="1:35">
      <c r="A1560" s="5" t="s">
        <v>6939</v>
      </c>
      <c r="B1560" s="5" t="s">
        <v>6940</v>
      </c>
      <c r="C1560" s="6" t="s">
        <v>43</v>
      </c>
      <c r="D1560" s="6" t="s">
        <v>1645</v>
      </c>
      <c r="E1560" s="6" t="s">
        <v>2047</v>
      </c>
      <c r="F1560" s="6" t="s">
        <v>46</v>
      </c>
      <c r="G1560" s="6" t="s">
        <v>6941</v>
      </c>
      <c r="H1560" s="7">
        <v>25.99</v>
      </c>
      <c r="I1560" s="19" t="s">
        <v>2283</v>
      </c>
      <c r="J1560" s="19" t="s">
        <v>2512</v>
      </c>
      <c r="K1560" s="5" t="s">
        <v>6942</v>
      </c>
      <c r="L1560" s="5" t="s">
        <v>6943</v>
      </c>
      <c r="M1560" s="5" t="s">
        <v>6944</v>
      </c>
      <c r="N1560" s="5" t="s">
        <v>6945</v>
      </c>
      <c r="O1560" s="5" t="s">
        <v>6946</v>
      </c>
      <c r="P1560" s="5" t="s">
        <v>6947</v>
      </c>
      <c r="Q1560" s="5" t="s">
        <v>6948</v>
      </c>
      <c r="R1560" s="5" t="s">
        <v>6949</v>
      </c>
      <c r="AG1560" s="14" t="s">
        <v>55</v>
      </c>
      <c r="AH1560" s="14" t="s">
        <v>1603</v>
      </c>
      <c r="AI1560" s="14" t="s">
        <v>1603</v>
      </c>
    </row>
    <row r="1561" spans="1:35">
      <c r="A1561" s="5" t="s">
        <v>6950</v>
      </c>
      <c r="B1561" s="5" t="s">
        <v>6951</v>
      </c>
      <c r="C1561" s="6" t="s">
        <v>1333</v>
      </c>
      <c r="D1561" s="6" t="s">
        <v>1645</v>
      </c>
      <c r="E1561" s="6" t="s">
        <v>2319</v>
      </c>
      <c r="F1561" s="6" t="s">
        <v>46</v>
      </c>
      <c r="G1561" s="6" t="s">
        <v>6952</v>
      </c>
      <c r="H1561" s="7">
        <v>30.53</v>
      </c>
      <c r="I1561" s="19" t="s">
        <v>2283</v>
      </c>
      <c r="J1561" s="19" t="s">
        <v>2481</v>
      </c>
      <c r="K1561" s="5" t="s">
        <v>6447</v>
      </c>
      <c r="L1561" s="5" t="s">
        <v>6448</v>
      </c>
      <c r="M1561" s="5" t="s">
        <v>6449</v>
      </c>
      <c r="N1561" s="5" t="s">
        <v>6450</v>
      </c>
      <c r="O1561" s="5" t="s">
        <v>6953</v>
      </c>
      <c r="P1561" s="5" t="s">
        <v>6954</v>
      </c>
      <c r="Q1561" s="5" t="s">
        <v>6955</v>
      </c>
      <c r="R1561" s="5" t="s">
        <v>6956</v>
      </c>
      <c r="AG1561" s="14" t="s">
        <v>55</v>
      </c>
      <c r="AH1561" s="14" t="s">
        <v>1603</v>
      </c>
      <c r="AI1561" s="14" t="s">
        <v>1603</v>
      </c>
    </row>
    <row r="1562" spans="1:35">
      <c r="A1562" s="5" t="s">
        <v>6957</v>
      </c>
      <c r="B1562" s="5" t="s">
        <v>6951</v>
      </c>
      <c r="C1562" s="6" t="s">
        <v>1333</v>
      </c>
      <c r="D1562" s="6" t="s">
        <v>1645</v>
      </c>
      <c r="E1562" s="6" t="s">
        <v>1386</v>
      </c>
      <c r="F1562" s="6" t="s">
        <v>46</v>
      </c>
      <c r="G1562" s="6" t="s">
        <v>6958</v>
      </c>
      <c r="H1562" s="7">
        <v>30.53</v>
      </c>
      <c r="I1562" s="19" t="s">
        <v>2283</v>
      </c>
      <c r="J1562" s="19" t="s">
        <v>2481</v>
      </c>
      <c r="K1562" s="5" t="s">
        <v>6447</v>
      </c>
      <c r="L1562" s="5" t="s">
        <v>6448</v>
      </c>
      <c r="M1562" s="5" t="s">
        <v>6449</v>
      </c>
      <c r="N1562" s="5" t="s">
        <v>6450</v>
      </c>
      <c r="O1562" s="5" t="s">
        <v>6953</v>
      </c>
      <c r="P1562" s="5" t="s">
        <v>6954</v>
      </c>
      <c r="Q1562" s="5" t="s">
        <v>6955</v>
      </c>
      <c r="R1562" s="5" t="s">
        <v>6956</v>
      </c>
      <c r="AG1562" s="14" t="s">
        <v>55</v>
      </c>
      <c r="AH1562" s="14" t="s">
        <v>1603</v>
      </c>
      <c r="AI1562" s="14" t="s">
        <v>1603</v>
      </c>
    </row>
    <row r="1563" spans="1:35">
      <c r="A1563" s="5" t="s">
        <v>6959</v>
      </c>
      <c r="B1563" s="5" t="s">
        <v>6951</v>
      </c>
      <c r="C1563" s="6" t="s">
        <v>1333</v>
      </c>
      <c r="D1563" s="6" t="s">
        <v>1645</v>
      </c>
      <c r="E1563" s="6" t="s">
        <v>2139</v>
      </c>
      <c r="F1563" s="6" t="s">
        <v>46</v>
      </c>
      <c r="G1563" s="6" t="s">
        <v>6960</v>
      </c>
      <c r="H1563" s="7">
        <v>30.53</v>
      </c>
      <c r="I1563" s="19" t="s">
        <v>2283</v>
      </c>
      <c r="J1563" s="19" t="s">
        <v>2481</v>
      </c>
      <c r="K1563" s="5" t="s">
        <v>6447</v>
      </c>
      <c r="L1563" s="5" t="s">
        <v>6448</v>
      </c>
      <c r="M1563" s="5" t="s">
        <v>6449</v>
      </c>
      <c r="N1563" s="5" t="s">
        <v>6450</v>
      </c>
      <c r="O1563" s="5" t="s">
        <v>6953</v>
      </c>
      <c r="P1563" s="5" t="s">
        <v>6954</v>
      </c>
      <c r="Q1563" s="5" t="s">
        <v>6955</v>
      </c>
      <c r="R1563" s="5" t="s">
        <v>6956</v>
      </c>
      <c r="AG1563" s="14" t="s">
        <v>55</v>
      </c>
      <c r="AH1563" s="14" t="s">
        <v>1603</v>
      </c>
      <c r="AI1563" s="14" t="s">
        <v>1603</v>
      </c>
    </row>
    <row r="1564" spans="1:35">
      <c r="A1564" s="5" t="s">
        <v>6961</v>
      </c>
      <c r="B1564" s="5" t="s">
        <v>6951</v>
      </c>
      <c r="C1564" s="6" t="s">
        <v>1333</v>
      </c>
      <c r="D1564" s="6" t="s">
        <v>1645</v>
      </c>
      <c r="E1564" s="6" t="s">
        <v>2015</v>
      </c>
      <c r="F1564" s="6" t="s">
        <v>46</v>
      </c>
      <c r="G1564" s="6" t="s">
        <v>6962</v>
      </c>
      <c r="H1564" s="7">
        <v>30.53</v>
      </c>
      <c r="I1564" s="19" t="s">
        <v>2283</v>
      </c>
      <c r="J1564" s="19" t="s">
        <v>2481</v>
      </c>
      <c r="K1564" s="5" t="s">
        <v>6447</v>
      </c>
      <c r="L1564" s="5" t="s">
        <v>6448</v>
      </c>
      <c r="M1564" s="5" t="s">
        <v>6449</v>
      </c>
      <c r="N1564" s="5" t="s">
        <v>6450</v>
      </c>
      <c r="O1564" s="5" t="s">
        <v>6953</v>
      </c>
      <c r="P1564" s="5" t="s">
        <v>6954</v>
      </c>
      <c r="Q1564" s="5" t="s">
        <v>6955</v>
      </c>
      <c r="R1564" s="5" t="s">
        <v>6956</v>
      </c>
      <c r="AG1564" s="14" t="s">
        <v>55</v>
      </c>
      <c r="AH1564" s="14" t="s">
        <v>1603</v>
      </c>
      <c r="AI1564" s="14" t="s">
        <v>1603</v>
      </c>
    </row>
    <row r="1565" spans="1:35">
      <c r="A1565" s="5" t="s">
        <v>6963</v>
      </c>
      <c r="B1565" s="5" t="s">
        <v>6964</v>
      </c>
      <c r="C1565" s="6" t="s">
        <v>6965</v>
      </c>
      <c r="D1565" s="6" t="s">
        <v>1645</v>
      </c>
      <c r="E1565" s="6" t="s">
        <v>2319</v>
      </c>
      <c r="F1565" s="6" t="s">
        <v>46</v>
      </c>
      <c r="G1565" s="6" t="s">
        <v>6952</v>
      </c>
      <c r="H1565" s="7">
        <v>30.53</v>
      </c>
      <c r="I1565" s="19" t="s">
        <v>2283</v>
      </c>
      <c r="J1565" s="19" t="s">
        <v>2481</v>
      </c>
      <c r="K1565" s="5" t="s">
        <v>6966</v>
      </c>
      <c r="L1565" s="5" t="s">
        <v>6967</v>
      </c>
      <c r="M1565" s="5" t="s">
        <v>6968</v>
      </c>
      <c r="N1565" s="5" t="s">
        <v>6969</v>
      </c>
      <c r="O1565" s="5" t="s">
        <v>6970</v>
      </c>
      <c r="P1565" s="5" t="s">
        <v>6971</v>
      </c>
      <c r="Q1565" s="5" t="s">
        <v>6972</v>
      </c>
      <c r="R1565" s="5" t="s">
        <v>6973</v>
      </c>
      <c r="AG1565" s="14" t="s">
        <v>55</v>
      </c>
      <c r="AH1565" s="14" t="s">
        <v>1603</v>
      </c>
      <c r="AI1565" s="14" t="s">
        <v>1603</v>
      </c>
    </row>
    <row r="1566" spans="1:35">
      <c r="A1566" s="5" t="s">
        <v>6974</v>
      </c>
      <c r="B1566" s="5" t="s">
        <v>6964</v>
      </c>
      <c r="C1566" s="6" t="s">
        <v>6965</v>
      </c>
      <c r="D1566" s="6" t="s">
        <v>1645</v>
      </c>
      <c r="E1566" s="6" t="s">
        <v>1386</v>
      </c>
      <c r="F1566" s="6" t="s">
        <v>46</v>
      </c>
      <c r="G1566" s="6" t="s">
        <v>6958</v>
      </c>
      <c r="H1566" s="7">
        <v>30.53</v>
      </c>
      <c r="I1566" s="19" t="s">
        <v>2283</v>
      </c>
      <c r="J1566" s="19" t="s">
        <v>2481</v>
      </c>
      <c r="K1566" s="5" t="s">
        <v>6966</v>
      </c>
      <c r="L1566" s="5" t="s">
        <v>6967</v>
      </c>
      <c r="M1566" s="5" t="s">
        <v>6968</v>
      </c>
      <c r="N1566" s="5" t="s">
        <v>6969</v>
      </c>
      <c r="O1566" s="5" t="s">
        <v>6970</v>
      </c>
      <c r="P1566" s="5" t="s">
        <v>6971</v>
      </c>
      <c r="Q1566" s="5" t="s">
        <v>6972</v>
      </c>
      <c r="R1566" s="5" t="s">
        <v>6973</v>
      </c>
      <c r="AG1566" s="14" t="s">
        <v>55</v>
      </c>
      <c r="AH1566" s="14" t="s">
        <v>1603</v>
      </c>
      <c r="AI1566" s="14" t="s">
        <v>1603</v>
      </c>
    </row>
    <row r="1567" spans="1:35">
      <c r="A1567" s="5" t="s">
        <v>6975</v>
      </c>
      <c r="B1567" s="5" t="s">
        <v>6964</v>
      </c>
      <c r="C1567" s="6" t="s">
        <v>1333</v>
      </c>
      <c r="D1567" s="6" t="s">
        <v>1645</v>
      </c>
      <c r="E1567" s="6" t="s">
        <v>2015</v>
      </c>
      <c r="F1567" s="6" t="s">
        <v>46</v>
      </c>
      <c r="G1567" s="6" t="s">
        <v>6976</v>
      </c>
      <c r="H1567" s="7">
        <v>30.53</v>
      </c>
      <c r="I1567" s="19" t="s">
        <v>2283</v>
      </c>
      <c r="J1567" s="19" t="s">
        <v>2481</v>
      </c>
      <c r="K1567" s="5" t="s">
        <v>6966</v>
      </c>
      <c r="L1567" s="5" t="s">
        <v>6967</v>
      </c>
      <c r="M1567" s="5" t="s">
        <v>6968</v>
      </c>
      <c r="N1567" s="5" t="s">
        <v>6969</v>
      </c>
      <c r="O1567" s="5" t="s">
        <v>6970</v>
      </c>
      <c r="P1567" s="5" t="s">
        <v>6971</v>
      </c>
      <c r="Q1567" s="5" t="s">
        <v>6972</v>
      </c>
      <c r="R1567" s="5" t="s">
        <v>6973</v>
      </c>
      <c r="AG1567" s="14" t="s">
        <v>55</v>
      </c>
      <c r="AH1567" s="14" t="s">
        <v>1603</v>
      </c>
      <c r="AI1567" s="14" t="s">
        <v>1603</v>
      </c>
    </row>
    <row r="1568" spans="1:35">
      <c r="A1568" s="5" t="s">
        <v>6977</v>
      </c>
      <c r="B1568" s="5" t="s">
        <v>6964</v>
      </c>
      <c r="C1568" s="6" t="s">
        <v>1333</v>
      </c>
      <c r="D1568" s="6" t="s">
        <v>1645</v>
      </c>
      <c r="E1568" s="6" t="s">
        <v>2047</v>
      </c>
      <c r="F1568" s="6" t="s">
        <v>46</v>
      </c>
      <c r="G1568" s="6" t="s">
        <v>6358</v>
      </c>
      <c r="H1568" s="7">
        <v>30.53</v>
      </c>
      <c r="I1568" s="19" t="s">
        <v>2283</v>
      </c>
      <c r="J1568" s="19" t="s">
        <v>2481</v>
      </c>
      <c r="K1568" s="5" t="s">
        <v>6966</v>
      </c>
      <c r="L1568" s="5" t="s">
        <v>6967</v>
      </c>
      <c r="M1568" s="5" t="s">
        <v>6968</v>
      </c>
      <c r="N1568" s="5" t="s">
        <v>6969</v>
      </c>
      <c r="O1568" s="5" t="s">
        <v>6970</v>
      </c>
      <c r="P1568" s="5" t="s">
        <v>6971</v>
      </c>
      <c r="Q1568" s="5" t="s">
        <v>6972</v>
      </c>
      <c r="R1568" s="5" t="s">
        <v>6973</v>
      </c>
      <c r="AG1568" s="14" t="s">
        <v>55</v>
      </c>
      <c r="AH1568" s="14" t="s">
        <v>1603</v>
      </c>
      <c r="AI1568" s="14" t="s">
        <v>1603</v>
      </c>
    </row>
    <row r="1569" spans="1:37">
      <c r="A1569" s="5" t="s">
        <v>6978</v>
      </c>
      <c r="B1569" s="5" t="s">
        <v>6979</v>
      </c>
      <c r="C1569" s="6" t="s">
        <v>2281</v>
      </c>
      <c r="D1569" s="6" t="s">
        <v>1645</v>
      </c>
      <c r="E1569" s="6" t="s">
        <v>1386</v>
      </c>
      <c r="F1569" s="6" t="s">
        <v>46</v>
      </c>
      <c r="G1569" s="6" t="s">
        <v>6980</v>
      </c>
      <c r="H1569" s="7">
        <v>36.08</v>
      </c>
      <c r="I1569" s="19" t="s">
        <v>2283</v>
      </c>
      <c r="J1569" s="19" t="s">
        <v>2512</v>
      </c>
      <c r="K1569" s="6" t="s">
        <v>2616</v>
      </c>
      <c r="L1569" s="6" t="s">
        <v>2617</v>
      </c>
      <c r="M1569" s="6" t="s">
        <v>2618</v>
      </c>
      <c r="N1569" s="6" t="s">
        <v>2619</v>
      </c>
      <c r="O1569" s="6" t="s">
        <v>6981</v>
      </c>
      <c r="P1569" s="6" t="s">
        <v>6982</v>
      </c>
      <c r="Q1569" s="6" t="s">
        <v>6983</v>
      </c>
      <c r="R1569" s="6" t="s">
        <v>6984</v>
      </c>
      <c r="AG1569" s="14" t="s">
        <v>55</v>
      </c>
      <c r="AH1569" s="14" t="s">
        <v>1603</v>
      </c>
      <c r="AI1569" s="14" t="s">
        <v>1603</v>
      </c>
    </row>
    <row r="1570" spans="1:37">
      <c r="A1570" s="5" t="s">
        <v>6985</v>
      </c>
      <c r="B1570" s="5" t="s">
        <v>6979</v>
      </c>
      <c r="C1570" s="6" t="s">
        <v>2281</v>
      </c>
      <c r="D1570" s="6" t="s">
        <v>1645</v>
      </c>
      <c r="E1570" s="6" t="s">
        <v>2065</v>
      </c>
      <c r="F1570" s="6" t="s">
        <v>46</v>
      </c>
      <c r="G1570" s="6" t="s">
        <v>3276</v>
      </c>
      <c r="H1570" s="7">
        <v>36.08</v>
      </c>
      <c r="I1570" s="19" t="s">
        <v>2283</v>
      </c>
      <c r="J1570" s="19" t="s">
        <v>2512</v>
      </c>
      <c r="K1570" s="6" t="s">
        <v>2616</v>
      </c>
      <c r="L1570" s="6" t="s">
        <v>2617</v>
      </c>
      <c r="M1570" s="6" t="s">
        <v>2618</v>
      </c>
      <c r="N1570" s="6" t="s">
        <v>2619</v>
      </c>
      <c r="O1570" s="6" t="s">
        <v>6986</v>
      </c>
      <c r="P1570" s="6" t="s">
        <v>6987</v>
      </c>
      <c r="Q1570" s="6" t="s">
        <v>6988</v>
      </c>
      <c r="R1570" s="6" t="s">
        <v>6989</v>
      </c>
      <c r="AG1570" s="14" t="s">
        <v>55</v>
      </c>
      <c r="AH1570" s="14" t="s">
        <v>1603</v>
      </c>
      <c r="AI1570" s="14" t="s">
        <v>1603</v>
      </c>
    </row>
    <row r="1571" spans="1:37">
      <c r="A1571" s="5" t="s">
        <v>6990</v>
      </c>
      <c r="B1571" s="5" t="s">
        <v>6991</v>
      </c>
      <c r="C1571" s="6" t="s">
        <v>43</v>
      </c>
      <c r="D1571" s="6" t="s">
        <v>1645</v>
      </c>
      <c r="E1571" s="6" t="s">
        <v>2015</v>
      </c>
      <c r="F1571" s="6" t="s">
        <v>46</v>
      </c>
      <c r="G1571" s="6" t="s">
        <v>6992</v>
      </c>
      <c r="H1571" s="7">
        <v>37.29</v>
      </c>
      <c r="I1571" s="19" t="s">
        <v>2283</v>
      </c>
      <c r="J1571" s="19" t="s">
        <v>2636</v>
      </c>
      <c r="K1571" s="5" t="s">
        <v>6993</v>
      </c>
      <c r="L1571" s="5" t="s">
        <v>6994</v>
      </c>
      <c r="M1571" s="5" t="s">
        <v>6995</v>
      </c>
      <c r="N1571" s="5" t="s">
        <v>6996</v>
      </c>
      <c r="O1571" s="5" t="s">
        <v>6997</v>
      </c>
      <c r="P1571" s="5" t="s">
        <v>6998</v>
      </c>
      <c r="Q1571" s="5" t="s">
        <v>6999</v>
      </c>
      <c r="R1571" s="5" t="s">
        <v>7000</v>
      </c>
      <c r="AG1571" s="14" t="s">
        <v>55</v>
      </c>
      <c r="AH1571" s="14" t="s">
        <v>1603</v>
      </c>
      <c r="AI1571" s="14" t="s">
        <v>1603</v>
      </c>
    </row>
    <row r="1572" spans="1:37">
      <c r="A1572" s="5" t="s">
        <v>7001</v>
      </c>
      <c r="B1572" s="5" t="s">
        <v>7002</v>
      </c>
      <c r="C1572" s="6" t="s">
        <v>43</v>
      </c>
      <c r="D1572" s="6" t="s">
        <v>1390</v>
      </c>
      <c r="E1572" s="6" t="s">
        <v>1386</v>
      </c>
      <c r="F1572" s="6" t="s">
        <v>46</v>
      </c>
      <c r="G1572" s="6" t="s">
        <v>7003</v>
      </c>
      <c r="H1572" s="7">
        <v>16.48</v>
      </c>
      <c r="I1572" s="19" t="s">
        <v>1589</v>
      </c>
      <c r="J1572" s="19" t="s">
        <v>2650</v>
      </c>
      <c r="K1572" s="20" t="s">
        <v>2651</v>
      </c>
      <c r="L1572" s="20" t="s">
        <v>2652</v>
      </c>
      <c r="M1572" s="20" t="s">
        <v>2653</v>
      </c>
      <c r="N1572" s="20" t="s">
        <v>2654</v>
      </c>
      <c r="O1572" s="20" t="s">
        <v>7004</v>
      </c>
      <c r="P1572" s="20" t="s">
        <v>7005</v>
      </c>
      <c r="Q1572" s="20" t="s">
        <v>7006</v>
      </c>
      <c r="R1572" s="5" t="s">
        <v>7007</v>
      </c>
      <c r="W1572" s="20" t="s">
        <v>2010</v>
      </c>
      <c r="X1572" s="20" t="s">
        <v>2011</v>
      </c>
      <c r="Y1572" s="20" t="s">
        <v>2012</v>
      </c>
      <c r="Z1572" s="20" t="s">
        <v>2013</v>
      </c>
      <c r="AG1572" s="14" t="s">
        <v>55</v>
      </c>
      <c r="AH1572" s="14" t="s">
        <v>1603</v>
      </c>
      <c r="AI1572" s="14" t="s">
        <v>124</v>
      </c>
    </row>
    <row r="1573" spans="1:37">
      <c r="A1573" s="5" t="s">
        <v>7008</v>
      </c>
      <c r="B1573" s="5" t="s">
        <v>7009</v>
      </c>
      <c r="C1573" s="6" t="s">
        <v>43</v>
      </c>
      <c r="D1573" s="6" t="s">
        <v>1390</v>
      </c>
      <c r="E1573" s="6" t="s">
        <v>1386</v>
      </c>
      <c r="F1573" s="6" t="s">
        <v>46</v>
      </c>
      <c r="G1573" s="6" t="s">
        <v>7010</v>
      </c>
      <c r="H1573" s="7">
        <v>21.59</v>
      </c>
      <c r="I1573" s="19" t="s">
        <v>1589</v>
      </c>
      <c r="J1573" s="19" t="s">
        <v>2650</v>
      </c>
      <c r="K1573" s="20" t="s">
        <v>2662</v>
      </c>
      <c r="L1573" s="20" t="s">
        <v>2663</v>
      </c>
      <c r="M1573" s="20" t="s">
        <v>2664</v>
      </c>
      <c r="N1573" s="20" t="s">
        <v>2665</v>
      </c>
      <c r="O1573" s="20" t="s">
        <v>7011</v>
      </c>
      <c r="P1573" s="20" t="s">
        <v>7012</v>
      </c>
      <c r="Q1573" s="20" t="s">
        <v>7013</v>
      </c>
      <c r="R1573" s="5" t="s">
        <v>7014</v>
      </c>
      <c r="W1573" s="20" t="s">
        <v>2010</v>
      </c>
      <c r="X1573" s="20" t="s">
        <v>2011</v>
      </c>
      <c r="Y1573" s="20" t="s">
        <v>2012</v>
      </c>
      <c r="Z1573" s="20" t="s">
        <v>2013</v>
      </c>
      <c r="AG1573" s="14" t="s">
        <v>55</v>
      </c>
      <c r="AH1573" s="14" t="s">
        <v>1603</v>
      </c>
      <c r="AI1573" s="14" t="s">
        <v>124</v>
      </c>
    </row>
    <row r="1574" spans="1:37">
      <c r="A1574" s="5" t="s">
        <v>7015</v>
      </c>
      <c r="B1574" s="5" t="s">
        <v>7016</v>
      </c>
      <c r="C1574" s="6" t="s">
        <v>43</v>
      </c>
      <c r="D1574" s="6" t="s">
        <v>1390</v>
      </c>
      <c r="E1574" s="6" t="s">
        <v>1386</v>
      </c>
      <c r="F1574" s="6" t="s">
        <v>46</v>
      </c>
      <c r="G1574" s="6" t="s">
        <v>5163</v>
      </c>
      <c r="H1574" s="7">
        <v>20.74</v>
      </c>
      <c r="I1574" s="19" t="s">
        <v>1589</v>
      </c>
      <c r="J1574" s="19" t="s">
        <v>2650</v>
      </c>
      <c r="K1574" s="5" t="s">
        <v>2674</v>
      </c>
      <c r="L1574" s="5" t="s">
        <v>2675</v>
      </c>
      <c r="M1574" s="5" t="s">
        <v>2676</v>
      </c>
      <c r="N1574" s="5" t="s">
        <v>2677</v>
      </c>
      <c r="O1574" s="5" t="s">
        <v>7017</v>
      </c>
      <c r="P1574" s="5" t="s">
        <v>7018</v>
      </c>
      <c r="Q1574" s="5" t="s">
        <v>7019</v>
      </c>
      <c r="R1574" s="5" t="s">
        <v>7020</v>
      </c>
      <c r="AG1574" s="14" t="s">
        <v>55</v>
      </c>
      <c r="AH1574" s="14" t="s">
        <v>1603</v>
      </c>
      <c r="AI1574" s="14" t="s">
        <v>2087</v>
      </c>
    </row>
    <row r="1575" spans="1:37">
      <c r="A1575" s="5" t="s">
        <v>7021</v>
      </c>
      <c r="B1575" s="5" t="s">
        <v>7022</v>
      </c>
      <c r="C1575" s="6" t="s">
        <v>43</v>
      </c>
      <c r="D1575" s="6" t="s">
        <v>1390</v>
      </c>
      <c r="E1575" s="6" t="s">
        <v>1386</v>
      </c>
      <c r="F1575" s="6" t="s">
        <v>46</v>
      </c>
      <c r="G1575" s="6" t="s">
        <v>7023</v>
      </c>
      <c r="H1575" s="7">
        <v>25.22</v>
      </c>
      <c r="I1575" s="19" t="s">
        <v>1589</v>
      </c>
      <c r="J1575" s="19" t="s">
        <v>2650</v>
      </c>
      <c r="K1575" s="5" t="s">
        <v>2685</v>
      </c>
      <c r="L1575" s="5" t="s">
        <v>2686</v>
      </c>
      <c r="M1575" s="5" t="s">
        <v>2687</v>
      </c>
      <c r="N1575" s="5" t="s">
        <v>2688</v>
      </c>
      <c r="O1575" s="5" t="s">
        <v>7024</v>
      </c>
      <c r="P1575" s="5" t="s">
        <v>7025</v>
      </c>
      <c r="Q1575" s="5" t="s">
        <v>7026</v>
      </c>
      <c r="R1575" s="5" t="s">
        <v>7027</v>
      </c>
      <c r="AG1575" s="14" t="s">
        <v>55</v>
      </c>
      <c r="AH1575" s="14" t="s">
        <v>1603</v>
      </c>
      <c r="AI1575" s="14" t="s">
        <v>2087</v>
      </c>
    </row>
    <row r="1576" spans="1:37">
      <c r="A1576" s="5" t="s">
        <v>7028</v>
      </c>
      <c r="B1576" s="5" t="s">
        <v>7029</v>
      </c>
      <c r="C1576" s="6" t="s">
        <v>43</v>
      </c>
      <c r="D1576" s="6" t="s">
        <v>239</v>
      </c>
      <c r="E1576" s="6" t="s">
        <v>1386</v>
      </c>
      <c r="F1576" s="6" t="s">
        <v>46</v>
      </c>
      <c r="G1576" s="6" t="s">
        <v>7030</v>
      </c>
      <c r="H1576" s="7">
        <v>11.28</v>
      </c>
      <c r="I1576" s="19" t="s">
        <v>1589</v>
      </c>
      <c r="J1576" s="19" t="s">
        <v>2696</v>
      </c>
      <c r="K1576" s="5" t="s">
        <v>2697</v>
      </c>
      <c r="L1576" s="5" t="s">
        <v>2698</v>
      </c>
      <c r="M1576" s="5" t="s">
        <v>2699</v>
      </c>
      <c r="N1576" s="5" t="s">
        <v>2700</v>
      </c>
      <c r="O1576" s="5" t="s">
        <v>7031</v>
      </c>
      <c r="P1576" s="5" t="s">
        <v>7032</v>
      </c>
      <c r="Q1576" s="5" t="s">
        <v>7033</v>
      </c>
      <c r="R1576" s="5" t="s">
        <v>7034</v>
      </c>
      <c r="AG1576" s="14" t="s">
        <v>55</v>
      </c>
      <c r="AH1576" s="14" t="s">
        <v>1603</v>
      </c>
      <c r="AI1576" s="14" t="s">
        <v>1604</v>
      </c>
    </row>
    <row r="1577" spans="1:37">
      <c r="A1577" s="6" t="s">
        <v>7035</v>
      </c>
      <c r="B1577" s="6" t="s">
        <v>7036</v>
      </c>
      <c r="C1577" s="6" t="s">
        <v>4478</v>
      </c>
      <c r="D1577" s="6" t="s">
        <v>239</v>
      </c>
      <c r="E1577" s="6" t="s">
        <v>2047</v>
      </c>
      <c r="F1577" s="6" t="s">
        <v>46</v>
      </c>
      <c r="G1577" s="6" t="s">
        <v>2125</v>
      </c>
      <c r="I1577" s="19" t="s">
        <v>48</v>
      </c>
      <c r="J1577" s="19" t="s">
        <v>48</v>
      </c>
      <c r="K1577" s="6"/>
      <c r="L1577" s="6"/>
      <c r="M1577" s="6"/>
      <c r="N1577" s="6"/>
      <c r="O1577" s="6"/>
      <c r="P1577" s="6"/>
      <c r="Q1577" s="6"/>
      <c r="R1577" s="6"/>
      <c r="S1577" s="6"/>
      <c r="T1577" s="6"/>
      <c r="U1577" s="6"/>
      <c r="V1577" s="6"/>
      <c r="W1577" s="6"/>
      <c r="X1577" s="6"/>
      <c r="Y1577" s="6"/>
      <c r="Z1577" s="6"/>
      <c r="AA1577" s="6"/>
      <c r="AB1577" s="6"/>
      <c r="AC1577" s="6"/>
      <c r="AD1577" s="6"/>
      <c r="AE1577" s="6"/>
      <c r="AF1577" s="6"/>
      <c r="AG1577" s="15" t="s">
        <v>55</v>
      </c>
      <c r="AH1577" s="15"/>
      <c r="AI1577" s="15"/>
      <c r="AJ1577" s="6"/>
      <c r="AK1577" s="6"/>
    </row>
    <row r="1578" spans="1:37" s="6" customFormat="1">
      <c r="A1578" s="5" t="s">
        <v>7037</v>
      </c>
      <c r="B1578" s="5" t="s">
        <v>7038</v>
      </c>
      <c r="C1578" s="6" t="s">
        <v>43</v>
      </c>
      <c r="D1578" s="6" t="s">
        <v>239</v>
      </c>
      <c r="E1578" s="6" t="s">
        <v>1386</v>
      </c>
      <c r="F1578" s="6" t="s">
        <v>46</v>
      </c>
      <c r="G1578" s="6" t="s">
        <v>7039</v>
      </c>
      <c r="H1578" s="7">
        <v>12.85</v>
      </c>
      <c r="I1578" s="19" t="s">
        <v>1589</v>
      </c>
      <c r="J1578" s="19" t="s">
        <v>2696</v>
      </c>
      <c r="K1578" s="5" t="s">
        <v>2733</v>
      </c>
      <c r="L1578" s="5" t="s">
        <v>2734</v>
      </c>
      <c r="M1578" s="5" t="s">
        <v>2735</v>
      </c>
      <c r="N1578" s="5" t="s">
        <v>2736</v>
      </c>
      <c r="O1578" s="5" t="s">
        <v>7040</v>
      </c>
      <c r="P1578" s="5" t="s">
        <v>7041</v>
      </c>
      <c r="Q1578" s="5" t="s">
        <v>7042</v>
      </c>
      <c r="R1578" s="5" t="s">
        <v>7043</v>
      </c>
      <c r="S1578" s="5"/>
      <c r="T1578" s="5"/>
      <c r="U1578" s="5"/>
      <c r="V1578" s="5"/>
      <c r="W1578" s="5"/>
      <c r="X1578" s="5"/>
      <c r="Y1578" s="5"/>
      <c r="Z1578" s="5"/>
      <c r="AA1578" s="5"/>
      <c r="AB1578" s="5"/>
      <c r="AC1578" s="5"/>
      <c r="AD1578" s="5"/>
      <c r="AE1578" s="5"/>
      <c r="AF1578" s="5"/>
      <c r="AG1578" s="14" t="s">
        <v>55</v>
      </c>
      <c r="AH1578" s="14" t="s">
        <v>1603</v>
      </c>
      <c r="AI1578" s="14" t="s">
        <v>1604</v>
      </c>
      <c r="AJ1578" s="5"/>
      <c r="AK1578" s="5"/>
    </row>
    <row r="1579" spans="1:37">
      <c r="A1579" s="5" t="s">
        <v>7044</v>
      </c>
      <c r="B1579" s="5" t="s">
        <v>7038</v>
      </c>
      <c r="C1579" s="6" t="s">
        <v>43</v>
      </c>
      <c r="D1579" s="6" t="s">
        <v>239</v>
      </c>
      <c r="E1579" s="6" t="s">
        <v>2047</v>
      </c>
      <c r="F1579" s="6" t="s">
        <v>46</v>
      </c>
      <c r="G1579" s="6" t="s">
        <v>6064</v>
      </c>
      <c r="H1579" s="7">
        <v>12.85</v>
      </c>
      <c r="I1579" s="19" t="s">
        <v>1589</v>
      </c>
      <c r="J1579" s="19" t="s">
        <v>2696</v>
      </c>
      <c r="K1579" s="5" t="s">
        <v>2733</v>
      </c>
      <c r="L1579" s="5" t="s">
        <v>2734</v>
      </c>
      <c r="M1579" s="5" t="s">
        <v>2735</v>
      </c>
      <c r="N1579" s="5" t="s">
        <v>2736</v>
      </c>
      <c r="O1579" s="5" t="s">
        <v>7040</v>
      </c>
      <c r="P1579" s="5" t="s">
        <v>7041</v>
      </c>
      <c r="Q1579" s="5" t="s">
        <v>7042</v>
      </c>
      <c r="R1579" s="5" t="s">
        <v>7043</v>
      </c>
      <c r="AG1579" s="14" t="s">
        <v>55</v>
      </c>
      <c r="AH1579" s="14" t="s">
        <v>1603</v>
      </c>
      <c r="AI1579" s="14" t="s">
        <v>1604</v>
      </c>
    </row>
    <row r="1580" spans="1:37">
      <c r="A1580" s="6" t="s">
        <v>7045</v>
      </c>
      <c r="B1580" s="6" t="s">
        <v>7046</v>
      </c>
      <c r="C1580" s="6" t="s">
        <v>43</v>
      </c>
      <c r="D1580" s="6" t="s">
        <v>239</v>
      </c>
      <c r="E1580" s="6" t="s">
        <v>2065</v>
      </c>
      <c r="F1580" s="6" t="s">
        <v>46</v>
      </c>
      <c r="G1580" s="6" t="s">
        <v>7047</v>
      </c>
      <c r="I1580" s="19" t="s">
        <v>48</v>
      </c>
      <c r="J1580" s="19" t="s">
        <v>48</v>
      </c>
      <c r="K1580" s="6"/>
      <c r="L1580" s="6"/>
      <c r="M1580" s="6"/>
      <c r="N1580" s="6"/>
      <c r="O1580" s="6"/>
      <c r="P1580" s="6"/>
      <c r="Q1580" s="6"/>
      <c r="R1580" s="6"/>
      <c r="S1580" s="6"/>
      <c r="T1580" s="6"/>
      <c r="U1580" s="6"/>
      <c r="V1580" s="6"/>
      <c r="W1580" s="6"/>
      <c r="X1580" s="6"/>
      <c r="Y1580" s="6"/>
      <c r="Z1580" s="6"/>
      <c r="AA1580" s="6"/>
      <c r="AB1580" s="6"/>
      <c r="AC1580" s="6"/>
      <c r="AD1580" s="6"/>
      <c r="AE1580" s="6"/>
      <c r="AF1580" s="6"/>
      <c r="AG1580" s="15" t="s">
        <v>55</v>
      </c>
      <c r="AH1580" s="15"/>
      <c r="AI1580" s="15"/>
      <c r="AJ1580" s="6"/>
      <c r="AK1580" s="6"/>
    </row>
    <row r="1581" spans="1:37" s="6" customFormat="1">
      <c r="A1581" s="6" t="s">
        <v>7048</v>
      </c>
      <c r="B1581" s="6" t="s">
        <v>7049</v>
      </c>
      <c r="C1581" s="6" t="s">
        <v>43</v>
      </c>
      <c r="D1581" s="6" t="s">
        <v>239</v>
      </c>
      <c r="E1581" s="6" t="s">
        <v>2065</v>
      </c>
      <c r="F1581" s="6" t="s">
        <v>46</v>
      </c>
      <c r="G1581" s="6" t="s">
        <v>6539</v>
      </c>
      <c r="H1581" s="7"/>
      <c r="I1581" s="19" t="s">
        <v>48</v>
      </c>
      <c r="J1581" s="19" t="s">
        <v>48</v>
      </c>
      <c r="AG1581" s="15" t="s">
        <v>55</v>
      </c>
      <c r="AH1581" s="15"/>
      <c r="AI1581" s="15"/>
    </row>
    <row r="1582" spans="1:37" s="6" customFormat="1">
      <c r="A1582" s="6" t="s">
        <v>7050</v>
      </c>
      <c r="B1582" s="6" t="s">
        <v>7051</v>
      </c>
      <c r="C1582" s="6" t="s">
        <v>43</v>
      </c>
      <c r="D1582" s="6" t="s">
        <v>1390</v>
      </c>
      <c r="E1582" s="6" t="s">
        <v>1671</v>
      </c>
      <c r="F1582" s="6" t="s">
        <v>46</v>
      </c>
      <c r="G1582" s="6" t="s">
        <v>7052</v>
      </c>
      <c r="H1582" s="7"/>
      <c r="I1582" s="19" t="s">
        <v>48</v>
      </c>
      <c r="J1582" s="19" t="s">
        <v>48</v>
      </c>
      <c r="AG1582" s="15" t="s">
        <v>55</v>
      </c>
      <c r="AH1582" s="15"/>
      <c r="AI1582" s="15"/>
    </row>
    <row r="1583" spans="1:37" s="6" customFormat="1">
      <c r="A1583" s="5" t="s">
        <v>7053</v>
      </c>
      <c r="B1583" s="5" t="s">
        <v>7054</v>
      </c>
      <c r="C1583" s="6" t="s">
        <v>7055</v>
      </c>
      <c r="D1583" s="6" t="s">
        <v>239</v>
      </c>
      <c r="E1583" s="6" t="s">
        <v>1386</v>
      </c>
      <c r="F1583" s="6" t="s">
        <v>46</v>
      </c>
      <c r="G1583" s="6" t="s">
        <v>7056</v>
      </c>
      <c r="H1583" s="7">
        <v>14.86</v>
      </c>
      <c r="I1583" s="19" t="s">
        <v>1589</v>
      </c>
      <c r="J1583" s="19" t="s">
        <v>2696</v>
      </c>
      <c r="K1583" s="5" t="s">
        <v>2757</v>
      </c>
      <c r="L1583" s="5" t="s">
        <v>2758</v>
      </c>
      <c r="M1583" s="5" t="s">
        <v>2759</v>
      </c>
      <c r="N1583" s="5" t="s">
        <v>2760</v>
      </c>
      <c r="O1583" s="5" t="s">
        <v>7057</v>
      </c>
      <c r="P1583" s="5" t="s">
        <v>7058</v>
      </c>
      <c r="Q1583" s="5" t="s">
        <v>7059</v>
      </c>
      <c r="R1583" s="5" t="s">
        <v>7060</v>
      </c>
      <c r="S1583" s="5"/>
      <c r="T1583" s="5"/>
      <c r="U1583" s="5"/>
      <c r="V1583" s="5"/>
      <c r="W1583" s="5"/>
      <c r="X1583" s="5"/>
      <c r="Y1583" s="5"/>
      <c r="Z1583" s="5"/>
      <c r="AA1583" s="5"/>
      <c r="AB1583" s="5"/>
      <c r="AC1583" s="5"/>
      <c r="AD1583" s="5"/>
      <c r="AE1583" s="5"/>
      <c r="AF1583" s="5"/>
      <c r="AG1583" s="14" t="s">
        <v>55</v>
      </c>
      <c r="AH1583" s="14" t="s">
        <v>1603</v>
      </c>
      <c r="AI1583" s="14" t="s">
        <v>1604</v>
      </c>
      <c r="AJ1583" s="5"/>
      <c r="AK1583" s="5"/>
    </row>
    <row r="1584" spans="1:37">
      <c r="A1584" s="5" t="s">
        <v>7061</v>
      </c>
      <c r="B1584" s="5" t="s">
        <v>7054</v>
      </c>
      <c r="C1584" s="6" t="s">
        <v>7055</v>
      </c>
      <c r="D1584" s="6" t="s">
        <v>239</v>
      </c>
      <c r="E1584" s="6" t="s">
        <v>2047</v>
      </c>
      <c r="F1584" s="6" t="s">
        <v>46</v>
      </c>
      <c r="G1584" s="6" t="s">
        <v>5934</v>
      </c>
      <c r="H1584" s="7">
        <v>14.86</v>
      </c>
      <c r="I1584" s="19" t="s">
        <v>1589</v>
      </c>
      <c r="J1584" s="19" t="s">
        <v>2696</v>
      </c>
      <c r="K1584" s="5" t="s">
        <v>2757</v>
      </c>
      <c r="L1584" s="5" t="s">
        <v>2758</v>
      </c>
      <c r="M1584" s="5" t="s">
        <v>2759</v>
      </c>
      <c r="N1584" s="5" t="s">
        <v>2760</v>
      </c>
      <c r="O1584" s="5" t="s">
        <v>7057</v>
      </c>
      <c r="P1584" s="5" t="s">
        <v>7058</v>
      </c>
      <c r="Q1584" s="5" t="s">
        <v>7059</v>
      </c>
      <c r="R1584" s="5" t="s">
        <v>7060</v>
      </c>
      <c r="AG1584" s="14" t="s">
        <v>55</v>
      </c>
      <c r="AH1584" s="14" t="s">
        <v>1603</v>
      </c>
      <c r="AI1584" s="14" t="s">
        <v>1604</v>
      </c>
    </row>
    <row r="1585" spans="1:37">
      <c r="A1585" s="5" t="s">
        <v>7062</v>
      </c>
      <c r="B1585" s="5" t="s">
        <v>7054</v>
      </c>
      <c r="C1585" s="6" t="s">
        <v>7055</v>
      </c>
      <c r="D1585" s="6" t="s">
        <v>239</v>
      </c>
      <c r="E1585" s="6" t="s">
        <v>2065</v>
      </c>
      <c r="F1585" s="6" t="s">
        <v>46</v>
      </c>
      <c r="G1585" s="6" t="s">
        <v>7063</v>
      </c>
      <c r="H1585" s="7">
        <v>14.86</v>
      </c>
      <c r="I1585" s="19" t="s">
        <v>1589</v>
      </c>
      <c r="J1585" s="19" t="s">
        <v>2696</v>
      </c>
      <c r="K1585" s="5" t="s">
        <v>2757</v>
      </c>
      <c r="L1585" s="5" t="s">
        <v>2758</v>
      </c>
      <c r="M1585" s="5" t="s">
        <v>2759</v>
      </c>
      <c r="N1585" s="5" t="s">
        <v>2760</v>
      </c>
      <c r="O1585" s="5" t="s">
        <v>7057</v>
      </c>
      <c r="P1585" s="5" t="s">
        <v>7058</v>
      </c>
      <c r="Q1585" s="5" t="s">
        <v>7059</v>
      </c>
      <c r="R1585" s="5" t="s">
        <v>7060</v>
      </c>
      <c r="AG1585" s="14" t="s">
        <v>55</v>
      </c>
      <c r="AH1585" s="14" t="s">
        <v>1603</v>
      </c>
      <c r="AI1585" s="14" t="s">
        <v>1604</v>
      </c>
    </row>
    <row r="1586" spans="1:37">
      <c r="A1586" s="5" t="s">
        <v>7064</v>
      </c>
      <c r="B1586" s="5" t="s">
        <v>7065</v>
      </c>
      <c r="C1586" s="6" t="s">
        <v>43</v>
      </c>
      <c r="D1586" s="6" t="s">
        <v>239</v>
      </c>
      <c r="E1586" s="6" t="s">
        <v>2047</v>
      </c>
      <c r="F1586" s="6" t="s">
        <v>46</v>
      </c>
      <c r="G1586" s="6" t="s">
        <v>7066</v>
      </c>
      <c r="H1586" s="7">
        <v>17.66</v>
      </c>
      <c r="I1586" s="19" t="s">
        <v>1589</v>
      </c>
      <c r="J1586" s="19" t="s">
        <v>2696</v>
      </c>
      <c r="K1586" s="5" t="s">
        <v>6540</v>
      </c>
      <c r="L1586" s="5" t="s">
        <v>6541</v>
      </c>
      <c r="M1586" s="5" t="s">
        <v>6542</v>
      </c>
      <c r="N1586" s="5" t="s">
        <v>6543</v>
      </c>
      <c r="O1586" s="5" t="s">
        <v>7067</v>
      </c>
      <c r="P1586" s="5" t="s">
        <v>7068</v>
      </c>
      <c r="Q1586" s="5" t="s">
        <v>7069</v>
      </c>
      <c r="R1586" s="5" t="s">
        <v>7070</v>
      </c>
      <c r="AG1586" s="14" t="s">
        <v>55</v>
      </c>
      <c r="AH1586" s="14" t="s">
        <v>1603</v>
      </c>
      <c r="AI1586" s="14" t="s">
        <v>1604</v>
      </c>
    </row>
    <row r="1587" spans="1:37">
      <c r="A1587" s="5" t="s">
        <v>7071</v>
      </c>
      <c r="B1587" s="5" t="s">
        <v>7072</v>
      </c>
      <c r="C1587" s="6" t="s">
        <v>43</v>
      </c>
      <c r="D1587" s="6" t="s">
        <v>239</v>
      </c>
      <c r="E1587" s="6" t="s">
        <v>2015</v>
      </c>
      <c r="F1587" s="6" t="s">
        <v>46</v>
      </c>
      <c r="G1587" s="6" t="s">
        <v>7073</v>
      </c>
      <c r="H1587" s="7">
        <v>19.170000000000002</v>
      </c>
      <c r="I1587" s="19" t="s">
        <v>1589</v>
      </c>
      <c r="J1587" s="19" t="s">
        <v>2696</v>
      </c>
      <c r="K1587" s="5" t="s">
        <v>2774</v>
      </c>
      <c r="L1587" s="5" t="s">
        <v>2775</v>
      </c>
      <c r="M1587" s="5" t="s">
        <v>2776</v>
      </c>
      <c r="N1587" s="5" t="s">
        <v>2777</v>
      </c>
      <c r="O1587" s="5" t="s">
        <v>7074</v>
      </c>
      <c r="P1587" s="5" t="s">
        <v>7075</v>
      </c>
      <c r="Q1587" s="5" t="s">
        <v>7076</v>
      </c>
      <c r="R1587" s="5" t="s">
        <v>7077</v>
      </c>
      <c r="AG1587" s="14" t="s">
        <v>55</v>
      </c>
      <c r="AH1587" s="14" t="s">
        <v>1603</v>
      </c>
      <c r="AI1587" s="14" t="s">
        <v>1604</v>
      </c>
    </row>
    <row r="1588" spans="1:37">
      <c r="A1588" s="5" t="s">
        <v>7078</v>
      </c>
      <c r="B1588" s="5" t="s">
        <v>7072</v>
      </c>
      <c r="C1588" s="6" t="s">
        <v>43</v>
      </c>
      <c r="D1588" s="6" t="s">
        <v>239</v>
      </c>
      <c r="E1588" s="6" t="s">
        <v>2047</v>
      </c>
      <c r="F1588" s="6" t="s">
        <v>46</v>
      </c>
      <c r="G1588" s="6" t="s">
        <v>7079</v>
      </c>
      <c r="H1588" s="7">
        <v>19.170000000000002</v>
      </c>
      <c r="I1588" s="19" t="s">
        <v>1589</v>
      </c>
      <c r="J1588" s="19" t="s">
        <v>2696</v>
      </c>
      <c r="K1588" s="5" t="s">
        <v>2774</v>
      </c>
      <c r="L1588" s="5" t="s">
        <v>2775</v>
      </c>
      <c r="M1588" s="5" t="s">
        <v>2776</v>
      </c>
      <c r="N1588" s="5" t="s">
        <v>2777</v>
      </c>
      <c r="O1588" s="5" t="s">
        <v>7074</v>
      </c>
      <c r="P1588" s="5" t="s">
        <v>7075</v>
      </c>
      <c r="Q1588" s="5" t="s">
        <v>7076</v>
      </c>
      <c r="R1588" s="5" t="s">
        <v>7077</v>
      </c>
      <c r="AG1588" s="14" t="s">
        <v>55</v>
      </c>
      <c r="AH1588" s="14" t="s">
        <v>1603</v>
      </c>
      <c r="AI1588" s="14" t="s">
        <v>1604</v>
      </c>
    </row>
    <row r="1589" spans="1:37">
      <c r="A1589" s="5" t="s">
        <v>7080</v>
      </c>
      <c r="B1589" s="5" t="s">
        <v>7072</v>
      </c>
      <c r="C1589" s="6" t="s">
        <v>43</v>
      </c>
      <c r="D1589" s="6" t="s">
        <v>239</v>
      </c>
      <c r="E1589" s="6" t="s">
        <v>2065</v>
      </c>
      <c r="F1589" s="6" t="s">
        <v>46</v>
      </c>
      <c r="G1589" s="6" t="s">
        <v>7081</v>
      </c>
      <c r="H1589" s="7">
        <v>19.170000000000002</v>
      </c>
      <c r="I1589" s="19" t="s">
        <v>1589</v>
      </c>
      <c r="J1589" s="19" t="s">
        <v>2696</v>
      </c>
      <c r="K1589" s="5" t="s">
        <v>2774</v>
      </c>
      <c r="L1589" s="5" t="s">
        <v>2775</v>
      </c>
      <c r="M1589" s="5" t="s">
        <v>2776</v>
      </c>
      <c r="N1589" s="5" t="s">
        <v>2777</v>
      </c>
      <c r="O1589" s="5" t="s">
        <v>7074</v>
      </c>
      <c r="P1589" s="5" t="s">
        <v>7075</v>
      </c>
      <c r="Q1589" s="5" t="s">
        <v>7076</v>
      </c>
      <c r="R1589" s="5" t="s">
        <v>7077</v>
      </c>
      <c r="AG1589" s="14" t="s">
        <v>55</v>
      </c>
      <c r="AH1589" s="14" t="s">
        <v>1603</v>
      </c>
      <c r="AI1589" s="14" t="s">
        <v>1604</v>
      </c>
    </row>
    <row r="1590" spans="1:37">
      <c r="A1590" s="6" t="s">
        <v>7082</v>
      </c>
      <c r="B1590" s="6" t="s">
        <v>7083</v>
      </c>
      <c r="C1590" s="6" t="s">
        <v>7084</v>
      </c>
      <c r="D1590" s="6" t="s">
        <v>239</v>
      </c>
      <c r="E1590" s="6" t="s">
        <v>2047</v>
      </c>
      <c r="F1590" s="6" t="s">
        <v>46</v>
      </c>
      <c r="G1590" s="6" t="s">
        <v>7085</v>
      </c>
      <c r="I1590" s="6" t="s">
        <v>48</v>
      </c>
      <c r="J1590" s="6" t="s">
        <v>48</v>
      </c>
      <c r="K1590" s="6"/>
      <c r="L1590" s="6"/>
      <c r="M1590" s="6"/>
      <c r="N1590" s="6"/>
      <c r="O1590" s="6"/>
      <c r="P1590" s="6"/>
      <c r="Q1590" s="6"/>
      <c r="R1590" s="6"/>
      <c r="S1590" s="6"/>
      <c r="T1590" s="6"/>
      <c r="U1590" s="6"/>
      <c r="V1590" s="6"/>
      <c r="W1590" s="6"/>
      <c r="X1590" s="6"/>
      <c r="Y1590" s="6"/>
      <c r="Z1590" s="6"/>
      <c r="AA1590" s="6"/>
      <c r="AB1590" s="6"/>
      <c r="AC1590" s="6"/>
      <c r="AD1590" s="6"/>
      <c r="AE1590" s="6"/>
      <c r="AF1590" s="6"/>
      <c r="AG1590" s="15" t="s">
        <v>55</v>
      </c>
      <c r="AH1590" s="15"/>
      <c r="AI1590" s="15"/>
      <c r="AJ1590" s="6"/>
      <c r="AK1590" s="6"/>
    </row>
    <row r="1591" spans="1:37" s="6" customFormat="1">
      <c r="A1591" s="6" t="s">
        <v>7086</v>
      </c>
      <c r="B1591" s="6" t="s">
        <v>7087</v>
      </c>
      <c r="C1591" s="6" t="s">
        <v>43</v>
      </c>
      <c r="D1591" s="6" t="s">
        <v>239</v>
      </c>
      <c r="E1591" s="6" t="s">
        <v>2047</v>
      </c>
      <c r="F1591" s="6" t="s">
        <v>46</v>
      </c>
      <c r="G1591" s="6" t="s">
        <v>7088</v>
      </c>
      <c r="H1591" s="7"/>
      <c r="I1591" s="6" t="s">
        <v>48</v>
      </c>
      <c r="J1591" s="6" t="s">
        <v>48</v>
      </c>
      <c r="AG1591" s="15" t="s">
        <v>55</v>
      </c>
      <c r="AH1591" s="15"/>
      <c r="AI1591" s="15"/>
    </row>
    <row r="1592" spans="1:37" s="6" customFormat="1">
      <c r="A1592" s="6" t="s">
        <v>7089</v>
      </c>
      <c r="B1592" s="6" t="s">
        <v>7090</v>
      </c>
      <c r="C1592" s="6" t="s">
        <v>43</v>
      </c>
      <c r="D1592" s="6" t="s">
        <v>239</v>
      </c>
      <c r="E1592" s="6" t="s">
        <v>2047</v>
      </c>
      <c r="F1592" s="6" t="s">
        <v>46</v>
      </c>
      <c r="G1592" s="6" t="s">
        <v>6127</v>
      </c>
      <c r="H1592" s="7"/>
      <c r="I1592" s="19" t="s">
        <v>48</v>
      </c>
      <c r="J1592" s="19" t="s">
        <v>48</v>
      </c>
      <c r="AG1592" s="15" t="s">
        <v>55</v>
      </c>
      <c r="AH1592" s="15"/>
      <c r="AI1592" s="15"/>
    </row>
    <row r="1593" spans="1:37" s="6" customFormat="1">
      <c r="A1593" s="5" t="s">
        <v>7091</v>
      </c>
      <c r="B1593" s="5" t="s">
        <v>7092</v>
      </c>
      <c r="C1593" s="6" t="s">
        <v>43</v>
      </c>
      <c r="D1593" s="6" t="s">
        <v>239</v>
      </c>
      <c r="E1593" s="6" t="s">
        <v>2047</v>
      </c>
      <c r="F1593" s="6" t="s">
        <v>46</v>
      </c>
      <c r="G1593" s="6" t="s">
        <v>7093</v>
      </c>
      <c r="H1593" s="7">
        <v>19.579999999999998</v>
      </c>
      <c r="I1593" s="19" t="s">
        <v>1589</v>
      </c>
      <c r="J1593" s="19" t="s">
        <v>2696</v>
      </c>
      <c r="K1593" s="5" t="s">
        <v>2790</v>
      </c>
      <c r="L1593" s="5" t="s">
        <v>2791</v>
      </c>
      <c r="M1593" s="5" t="s">
        <v>2792</v>
      </c>
      <c r="N1593" s="5" t="s">
        <v>2793</v>
      </c>
      <c r="O1593" s="5" t="s">
        <v>7094</v>
      </c>
      <c r="P1593" s="5" t="s">
        <v>7095</v>
      </c>
      <c r="Q1593" s="5" t="s">
        <v>7096</v>
      </c>
      <c r="R1593" s="5" t="s">
        <v>7097</v>
      </c>
      <c r="S1593" s="5"/>
      <c r="T1593" s="5"/>
      <c r="U1593" s="5"/>
      <c r="V1593" s="5"/>
      <c r="W1593" s="5"/>
      <c r="X1593" s="5"/>
      <c r="Y1593" s="5"/>
      <c r="Z1593" s="5"/>
      <c r="AA1593" s="5"/>
      <c r="AB1593" s="5"/>
      <c r="AC1593" s="5"/>
      <c r="AD1593" s="5"/>
      <c r="AE1593" s="5"/>
      <c r="AF1593" s="5"/>
      <c r="AG1593" s="14" t="s">
        <v>55</v>
      </c>
      <c r="AH1593" s="14" t="s">
        <v>1603</v>
      </c>
      <c r="AI1593" s="14" t="s">
        <v>1604</v>
      </c>
      <c r="AJ1593" s="5"/>
      <c r="AK1593" s="5"/>
    </row>
    <row r="1594" spans="1:37">
      <c r="A1594" s="5" t="s">
        <v>7098</v>
      </c>
      <c r="B1594" s="5" t="s">
        <v>7099</v>
      </c>
      <c r="C1594" s="6" t="s">
        <v>43</v>
      </c>
      <c r="D1594" s="6" t="s">
        <v>239</v>
      </c>
      <c r="E1594" s="6" t="s">
        <v>1386</v>
      </c>
      <c r="F1594" s="6" t="s">
        <v>46</v>
      </c>
      <c r="G1594" s="6" t="s">
        <v>7100</v>
      </c>
      <c r="H1594" s="7">
        <v>19.579999999999998</v>
      </c>
      <c r="I1594" s="19" t="s">
        <v>1589</v>
      </c>
      <c r="J1594" s="19" t="s">
        <v>2696</v>
      </c>
      <c r="K1594" s="5" t="s">
        <v>2790</v>
      </c>
      <c r="L1594" s="5" t="s">
        <v>2791</v>
      </c>
      <c r="M1594" s="5" t="s">
        <v>2792</v>
      </c>
      <c r="N1594" s="5" t="s">
        <v>2793</v>
      </c>
      <c r="O1594" s="5" t="s">
        <v>7094</v>
      </c>
      <c r="P1594" s="5" t="s">
        <v>7095</v>
      </c>
      <c r="Q1594" s="5" t="s">
        <v>7096</v>
      </c>
      <c r="R1594" s="5" t="s">
        <v>7097</v>
      </c>
      <c r="AG1594" s="14" t="s">
        <v>55</v>
      </c>
      <c r="AH1594" s="14" t="s">
        <v>1603</v>
      </c>
      <c r="AI1594" s="14" t="s">
        <v>1604</v>
      </c>
    </row>
    <row r="1595" spans="1:37">
      <c r="A1595" s="5" t="s">
        <v>7101</v>
      </c>
      <c r="B1595" s="5" t="s">
        <v>7099</v>
      </c>
      <c r="C1595" s="6" t="s">
        <v>43</v>
      </c>
      <c r="D1595" s="6" t="s">
        <v>239</v>
      </c>
      <c r="E1595" s="6" t="s">
        <v>2047</v>
      </c>
      <c r="F1595" s="6" t="s">
        <v>46</v>
      </c>
      <c r="G1595" s="6" t="s">
        <v>7102</v>
      </c>
      <c r="H1595" s="7">
        <v>19.579999999999998</v>
      </c>
      <c r="I1595" s="19" t="s">
        <v>1589</v>
      </c>
      <c r="J1595" s="19" t="s">
        <v>2696</v>
      </c>
      <c r="K1595" s="5" t="s">
        <v>2790</v>
      </c>
      <c r="L1595" s="5" t="s">
        <v>2791</v>
      </c>
      <c r="M1595" s="5" t="s">
        <v>2792</v>
      </c>
      <c r="N1595" s="5" t="s">
        <v>2793</v>
      </c>
      <c r="O1595" s="5" t="s">
        <v>7094</v>
      </c>
      <c r="P1595" s="5" t="s">
        <v>7095</v>
      </c>
      <c r="Q1595" s="5" t="s">
        <v>7096</v>
      </c>
      <c r="R1595" s="5" t="s">
        <v>7097</v>
      </c>
      <c r="AG1595" s="14" t="s">
        <v>55</v>
      </c>
      <c r="AH1595" s="14" t="s">
        <v>1603</v>
      </c>
      <c r="AI1595" s="14" t="s">
        <v>1604</v>
      </c>
    </row>
    <row r="1596" spans="1:37">
      <c r="A1596" s="6" t="s">
        <v>7103</v>
      </c>
      <c r="B1596" s="6" t="s">
        <v>7104</v>
      </c>
      <c r="C1596" s="6" t="s">
        <v>43</v>
      </c>
      <c r="D1596" s="6" t="s">
        <v>239</v>
      </c>
      <c r="E1596" s="6" t="s">
        <v>2065</v>
      </c>
      <c r="F1596" s="6" t="s">
        <v>46</v>
      </c>
      <c r="G1596" s="6" t="s">
        <v>7105</v>
      </c>
      <c r="I1596" s="6" t="s">
        <v>48</v>
      </c>
      <c r="J1596" s="6" t="s">
        <v>48</v>
      </c>
      <c r="K1596" s="6"/>
      <c r="L1596" s="6"/>
      <c r="M1596" s="6"/>
      <c r="N1596" s="6"/>
      <c r="O1596" s="6"/>
      <c r="P1596" s="6"/>
      <c r="Q1596" s="6"/>
      <c r="R1596" s="6"/>
      <c r="S1596" s="6"/>
      <c r="T1596" s="6"/>
      <c r="U1596" s="6"/>
      <c r="V1596" s="6"/>
      <c r="W1596" s="6"/>
      <c r="X1596" s="6"/>
      <c r="Y1596" s="6"/>
      <c r="Z1596" s="6"/>
      <c r="AA1596" s="6"/>
      <c r="AB1596" s="6"/>
      <c r="AC1596" s="6"/>
      <c r="AD1596" s="6"/>
      <c r="AE1596" s="6"/>
      <c r="AF1596" s="6"/>
      <c r="AG1596" s="15" t="s">
        <v>55</v>
      </c>
      <c r="AH1596" s="15"/>
      <c r="AI1596" s="15"/>
      <c r="AJ1596" s="6"/>
      <c r="AK1596" s="6"/>
    </row>
    <row r="1597" spans="1:37" s="6" customFormat="1">
      <c r="A1597" s="6" t="s">
        <v>7106</v>
      </c>
      <c r="B1597" s="6" t="s">
        <v>7107</v>
      </c>
      <c r="C1597" s="6" t="s">
        <v>43</v>
      </c>
      <c r="D1597" s="6" t="s">
        <v>239</v>
      </c>
      <c r="E1597" s="6" t="s">
        <v>2065</v>
      </c>
      <c r="F1597" s="6" t="s">
        <v>46</v>
      </c>
      <c r="G1597" s="6" t="s">
        <v>7108</v>
      </c>
      <c r="H1597" s="7"/>
      <c r="I1597" s="19" t="s">
        <v>48</v>
      </c>
      <c r="J1597" s="19" t="s">
        <v>48</v>
      </c>
      <c r="AG1597" s="15" t="s">
        <v>55</v>
      </c>
      <c r="AH1597" s="15"/>
      <c r="AI1597" s="15"/>
    </row>
    <row r="1598" spans="1:37" s="6" customFormat="1">
      <c r="A1598" s="6" t="s">
        <v>7109</v>
      </c>
      <c r="B1598" s="6" t="s">
        <v>7110</v>
      </c>
      <c r="C1598" s="6" t="s">
        <v>7084</v>
      </c>
      <c r="D1598" s="6" t="s">
        <v>239</v>
      </c>
      <c r="E1598" s="6" t="s">
        <v>2065</v>
      </c>
      <c r="F1598" s="6" t="s">
        <v>46</v>
      </c>
      <c r="G1598" s="6" t="s">
        <v>6490</v>
      </c>
      <c r="H1598" s="7"/>
      <c r="I1598" s="19" t="s">
        <v>48</v>
      </c>
      <c r="J1598" s="19" t="s">
        <v>48</v>
      </c>
      <c r="AG1598" s="15" t="s">
        <v>55</v>
      </c>
      <c r="AH1598" s="15"/>
      <c r="AI1598" s="15"/>
    </row>
    <row r="1599" spans="1:37" s="6" customFormat="1">
      <c r="A1599" s="5" t="s">
        <v>7111</v>
      </c>
      <c r="B1599" s="5" t="s">
        <v>7112</v>
      </c>
      <c r="C1599" s="6" t="s">
        <v>7084</v>
      </c>
      <c r="D1599" s="6" t="s">
        <v>239</v>
      </c>
      <c r="E1599" s="6" t="s">
        <v>1587</v>
      </c>
      <c r="F1599" s="6" t="s">
        <v>46</v>
      </c>
      <c r="G1599" s="6" t="s">
        <v>7113</v>
      </c>
      <c r="H1599" s="7">
        <v>20.190000000000001</v>
      </c>
      <c r="I1599" s="19" t="s">
        <v>1589</v>
      </c>
      <c r="J1599" s="19" t="s">
        <v>2696</v>
      </c>
      <c r="K1599" s="5" t="s">
        <v>2809</v>
      </c>
      <c r="L1599" s="5" t="s">
        <v>2810</v>
      </c>
      <c r="M1599" s="5" t="s">
        <v>2811</v>
      </c>
      <c r="N1599" s="5" t="s">
        <v>2812</v>
      </c>
      <c r="O1599" s="5" t="s">
        <v>7114</v>
      </c>
      <c r="P1599" s="5" t="s">
        <v>7115</v>
      </c>
      <c r="Q1599" s="5" t="s">
        <v>7116</v>
      </c>
      <c r="R1599" s="5" t="s">
        <v>7117</v>
      </c>
      <c r="S1599" s="5"/>
      <c r="T1599" s="5"/>
      <c r="U1599" s="5"/>
      <c r="V1599" s="5"/>
      <c r="W1599" s="5"/>
      <c r="X1599" s="5"/>
      <c r="Y1599" s="5"/>
      <c r="Z1599" s="5"/>
      <c r="AA1599" s="5"/>
      <c r="AB1599" s="5"/>
      <c r="AC1599" s="5"/>
      <c r="AD1599" s="5"/>
      <c r="AE1599" s="5"/>
      <c r="AF1599" s="5"/>
      <c r="AG1599" s="14" t="s">
        <v>55</v>
      </c>
      <c r="AH1599" s="14" t="s">
        <v>1603</v>
      </c>
      <c r="AI1599" s="14" t="s">
        <v>1604</v>
      </c>
      <c r="AJ1599" s="5"/>
      <c r="AK1599" s="5"/>
    </row>
    <row r="1600" spans="1:37">
      <c r="A1600" s="6" t="s">
        <v>7118</v>
      </c>
      <c r="B1600" s="6" t="s">
        <v>7119</v>
      </c>
      <c r="C1600" s="6" t="s">
        <v>43</v>
      </c>
      <c r="D1600" s="6" t="s">
        <v>239</v>
      </c>
      <c r="E1600" s="6" t="s">
        <v>2047</v>
      </c>
      <c r="F1600" s="6" t="s">
        <v>46</v>
      </c>
      <c r="G1600" s="6" t="s">
        <v>7120</v>
      </c>
      <c r="I1600" s="19" t="s">
        <v>48</v>
      </c>
      <c r="J1600" s="19" t="s">
        <v>48</v>
      </c>
      <c r="K1600" s="6"/>
      <c r="L1600" s="6"/>
      <c r="M1600" s="6"/>
      <c r="N1600" s="6"/>
      <c r="O1600" s="6"/>
      <c r="P1600" s="6"/>
      <c r="Q1600" s="6"/>
      <c r="R1600" s="6"/>
      <c r="S1600" s="6"/>
      <c r="T1600" s="6"/>
      <c r="U1600" s="6"/>
      <c r="V1600" s="6"/>
      <c r="W1600" s="6"/>
      <c r="X1600" s="6"/>
      <c r="Y1600" s="6"/>
      <c r="Z1600" s="6"/>
      <c r="AA1600" s="6"/>
      <c r="AB1600" s="6"/>
      <c r="AC1600" s="6"/>
      <c r="AD1600" s="6"/>
      <c r="AE1600" s="6"/>
      <c r="AF1600" s="6"/>
      <c r="AG1600" s="15" t="s">
        <v>55</v>
      </c>
      <c r="AH1600" s="15"/>
      <c r="AI1600" s="15"/>
      <c r="AJ1600" s="6"/>
      <c r="AK1600" s="6"/>
    </row>
    <row r="1601" spans="1:37" s="6" customFormat="1">
      <c r="A1601" s="6" t="s">
        <v>7121</v>
      </c>
      <c r="B1601" s="6" t="s">
        <v>7119</v>
      </c>
      <c r="C1601" s="6" t="s">
        <v>43</v>
      </c>
      <c r="D1601" s="6" t="s">
        <v>239</v>
      </c>
      <c r="E1601" s="6" t="s">
        <v>2065</v>
      </c>
      <c r="F1601" s="6" t="s">
        <v>46</v>
      </c>
      <c r="G1601" s="6" t="s">
        <v>7122</v>
      </c>
      <c r="H1601" s="7"/>
      <c r="I1601" s="19" t="s">
        <v>48</v>
      </c>
      <c r="J1601" s="19" t="s">
        <v>48</v>
      </c>
      <c r="AG1601" s="15" t="s">
        <v>55</v>
      </c>
      <c r="AH1601" s="15"/>
      <c r="AI1601" s="15"/>
    </row>
    <row r="1602" spans="1:37" s="6" customFormat="1">
      <c r="A1602" s="6" t="s">
        <v>7123</v>
      </c>
      <c r="B1602" s="6" t="s">
        <v>7124</v>
      </c>
      <c r="C1602" s="6" t="s">
        <v>43</v>
      </c>
      <c r="D1602" s="6" t="s">
        <v>239</v>
      </c>
      <c r="E1602" s="6" t="s">
        <v>1671</v>
      </c>
      <c r="F1602" s="6" t="s">
        <v>46</v>
      </c>
      <c r="G1602" s="6" t="s">
        <v>7125</v>
      </c>
      <c r="H1602" s="7"/>
      <c r="I1602" s="19" t="s">
        <v>48</v>
      </c>
      <c r="J1602" s="19" t="s">
        <v>48</v>
      </c>
      <c r="AG1602" s="15" t="s">
        <v>55</v>
      </c>
      <c r="AH1602" s="15"/>
      <c r="AI1602" s="15"/>
    </row>
    <row r="1603" spans="1:37" s="6" customFormat="1">
      <c r="A1603" s="5" t="s">
        <v>7126</v>
      </c>
      <c r="B1603" s="5" t="s">
        <v>7112</v>
      </c>
      <c r="C1603" s="6" t="s">
        <v>7084</v>
      </c>
      <c r="D1603" s="6" t="s">
        <v>239</v>
      </c>
      <c r="E1603" s="6" t="s">
        <v>2139</v>
      </c>
      <c r="F1603" s="6" t="s">
        <v>46</v>
      </c>
      <c r="G1603" s="6" t="s">
        <v>7127</v>
      </c>
      <c r="H1603" s="7">
        <v>20.190000000000001</v>
      </c>
      <c r="I1603" s="19" t="s">
        <v>1589</v>
      </c>
      <c r="J1603" s="19" t="s">
        <v>2696</v>
      </c>
      <c r="K1603" s="5" t="s">
        <v>2809</v>
      </c>
      <c r="L1603" s="5" t="s">
        <v>2810</v>
      </c>
      <c r="M1603" s="5" t="s">
        <v>2811</v>
      </c>
      <c r="N1603" s="5" t="s">
        <v>2812</v>
      </c>
      <c r="O1603" s="5" t="s">
        <v>7114</v>
      </c>
      <c r="P1603" s="5" t="s">
        <v>7115</v>
      </c>
      <c r="Q1603" s="5" t="s">
        <v>7116</v>
      </c>
      <c r="R1603" s="5" t="s">
        <v>7117</v>
      </c>
      <c r="S1603" s="5"/>
      <c r="T1603" s="5"/>
      <c r="U1603" s="5"/>
      <c r="V1603" s="5"/>
      <c r="W1603" s="5"/>
      <c r="X1603" s="5"/>
      <c r="Y1603" s="5"/>
      <c r="Z1603" s="5"/>
      <c r="AA1603" s="5"/>
      <c r="AB1603" s="5"/>
      <c r="AC1603" s="5"/>
      <c r="AD1603" s="5"/>
      <c r="AE1603" s="5"/>
      <c r="AF1603" s="5"/>
      <c r="AG1603" s="14" t="s">
        <v>55</v>
      </c>
      <c r="AH1603" s="14" t="s">
        <v>1603</v>
      </c>
      <c r="AI1603" s="14" t="s">
        <v>1604</v>
      </c>
      <c r="AJ1603" s="5"/>
      <c r="AK1603" s="5"/>
    </row>
    <row r="1604" spans="1:37">
      <c r="A1604" s="5" t="s">
        <v>7128</v>
      </c>
      <c r="B1604" s="5" t="s">
        <v>7112</v>
      </c>
      <c r="C1604" s="6" t="s">
        <v>43</v>
      </c>
      <c r="D1604" s="6" t="s">
        <v>239</v>
      </c>
      <c r="E1604" s="6" t="s">
        <v>1386</v>
      </c>
      <c r="F1604" s="6" t="s">
        <v>46</v>
      </c>
      <c r="G1604" s="6" t="s">
        <v>6619</v>
      </c>
      <c r="H1604" s="7">
        <v>20.190000000000001</v>
      </c>
      <c r="I1604" s="19" t="s">
        <v>1589</v>
      </c>
      <c r="J1604" s="19" t="s">
        <v>2696</v>
      </c>
      <c r="K1604" s="5" t="s">
        <v>2809</v>
      </c>
      <c r="L1604" s="5" t="s">
        <v>2810</v>
      </c>
      <c r="M1604" s="5" t="s">
        <v>2811</v>
      </c>
      <c r="N1604" s="5" t="s">
        <v>2812</v>
      </c>
      <c r="O1604" s="5" t="s">
        <v>7114</v>
      </c>
      <c r="P1604" s="5" t="s">
        <v>7115</v>
      </c>
      <c r="Q1604" s="5" t="s">
        <v>7116</v>
      </c>
      <c r="R1604" s="5" t="s">
        <v>7117</v>
      </c>
      <c r="AG1604" s="14" t="s">
        <v>55</v>
      </c>
      <c r="AH1604" s="14" t="s">
        <v>1603</v>
      </c>
      <c r="AI1604" s="14" t="s">
        <v>1604</v>
      </c>
    </row>
    <row r="1605" spans="1:37">
      <c r="A1605" s="5" t="s">
        <v>7129</v>
      </c>
      <c r="B1605" s="5" t="s">
        <v>7112</v>
      </c>
      <c r="C1605" s="6" t="s">
        <v>2831</v>
      </c>
      <c r="D1605" s="6" t="s">
        <v>239</v>
      </c>
      <c r="E1605" s="6" t="s">
        <v>2015</v>
      </c>
      <c r="F1605" s="6" t="s">
        <v>46</v>
      </c>
      <c r="G1605" s="6" t="s">
        <v>7130</v>
      </c>
      <c r="H1605" s="7">
        <v>20.190000000000001</v>
      </c>
      <c r="I1605" s="19" t="s">
        <v>1589</v>
      </c>
      <c r="J1605" s="19" t="s">
        <v>2696</v>
      </c>
      <c r="K1605" s="5" t="s">
        <v>2809</v>
      </c>
      <c r="L1605" s="5" t="s">
        <v>2810</v>
      </c>
      <c r="M1605" s="5" t="s">
        <v>2811</v>
      </c>
      <c r="N1605" s="5" t="s">
        <v>2812</v>
      </c>
      <c r="O1605" s="5" t="s">
        <v>7114</v>
      </c>
      <c r="P1605" s="5" t="s">
        <v>7115</v>
      </c>
      <c r="Q1605" s="5" t="s">
        <v>7116</v>
      </c>
      <c r="R1605" s="5" t="s">
        <v>7117</v>
      </c>
      <c r="AG1605" s="14" t="s">
        <v>55</v>
      </c>
      <c r="AH1605" s="14" t="s">
        <v>1603</v>
      </c>
      <c r="AI1605" s="14" t="s">
        <v>1604</v>
      </c>
    </row>
    <row r="1606" spans="1:37">
      <c r="A1606" s="5" t="s">
        <v>7131</v>
      </c>
      <c r="B1606" s="5" t="s">
        <v>7112</v>
      </c>
      <c r="C1606" s="6" t="s">
        <v>7084</v>
      </c>
      <c r="D1606" s="6" t="s">
        <v>239</v>
      </c>
      <c r="E1606" s="6" t="s">
        <v>2047</v>
      </c>
      <c r="F1606" s="6" t="s">
        <v>46</v>
      </c>
      <c r="G1606" s="6" t="s">
        <v>7132</v>
      </c>
      <c r="H1606" s="7">
        <v>20.190000000000001</v>
      </c>
      <c r="I1606" s="19" t="s">
        <v>1589</v>
      </c>
      <c r="J1606" s="19" t="s">
        <v>2696</v>
      </c>
      <c r="K1606" s="5" t="s">
        <v>2809</v>
      </c>
      <c r="L1606" s="5" t="s">
        <v>2810</v>
      </c>
      <c r="M1606" s="5" t="s">
        <v>2811</v>
      </c>
      <c r="N1606" s="5" t="s">
        <v>2812</v>
      </c>
      <c r="O1606" s="5" t="s">
        <v>7114</v>
      </c>
      <c r="P1606" s="5" t="s">
        <v>7115</v>
      </c>
      <c r="Q1606" s="5" t="s">
        <v>7116</v>
      </c>
      <c r="R1606" s="5" t="s">
        <v>7117</v>
      </c>
      <c r="AG1606" s="14" t="s">
        <v>55</v>
      </c>
      <c r="AH1606" s="14" t="s">
        <v>1603</v>
      </c>
      <c r="AI1606" s="14" t="s">
        <v>1604</v>
      </c>
    </row>
    <row r="1607" spans="1:37">
      <c r="A1607" s="5" t="s">
        <v>7133</v>
      </c>
      <c r="B1607" s="5" t="s">
        <v>7112</v>
      </c>
      <c r="C1607" s="6" t="s">
        <v>7084</v>
      </c>
      <c r="D1607" s="6" t="s">
        <v>239</v>
      </c>
      <c r="E1607" s="6" t="s">
        <v>2070</v>
      </c>
      <c r="F1607" s="6" t="s">
        <v>46</v>
      </c>
      <c r="G1607" s="6" t="s">
        <v>7134</v>
      </c>
      <c r="H1607" s="7">
        <v>20.190000000000001</v>
      </c>
      <c r="I1607" s="19" t="s">
        <v>1589</v>
      </c>
      <c r="J1607" s="19" t="s">
        <v>2696</v>
      </c>
      <c r="K1607" s="5" t="s">
        <v>2809</v>
      </c>
      <c r="L1607" s="5" t="s">
        <v>2810</v>
      </c>
      <c r="M1607" s="5" t="s">
        <v>2811</v>
      </c>
      <c r="N1607" s="5" t="s">
        <v>2812</v>
      </c>
      <c r="O1607" s="5" t="s">
        <v>7114</v>
      </c>
      <c r="P1607" s="5" t="s">
        <v>7115</v>
      </c>
      <c r="Q1607" s="5" t="s">
        <v>7116</v>
      </c>
      <c r="R1607" s="5" t="s">
        <v>7117</v>
      </c>
      <c r="AG1607" s="14" t="s">
        <v>55</v>
      </c>
      <c r="AH1607" s="14" t="s">
        <v>1603</v>
      </c>
      <c r="AI1607" s="14" t="s">
        <v>1604</v>
      </c>
    </row>
    <row r="1608" spans="1:37">
      <c r="A1608" s="5" t="s">
        <v>7135</v>
      </c>
      <c r="B1608" s="5" t="s">
        <v>7112</v>
      </c>
      <c r="C1608" s="6" t="s">
        <v>2831</v>
      </c>
      <c r="D1608" s="6" t="s">
        <v>239</v>
      </c>
      <c r="E1608" s="6" t="s">
        <v>2839</v>
      </c>
      <c r="F1608" s="6" t="s">
        <v>46</v>
      </c>
      <c r="G1608" s="6" t="s">
        <v>7136</v>
      </c>
      <c r="H1608" s="7">
        <v>20.190000000000001</v>
      </c>
      <c r="I1608" s="19" t="s">
        <v>1589</v>
      </c>
      <c r="J1608" s="19" t="s">
        <v>2696</v>
      </c>
      <c r="K1608" s="5" t="s">
        <v>2809</v>
      </c>
      <c r="L1608" s="5" t="s">
        <v>2810</v>
      </c>
      <c r="M1608" s="5" t="s">
        <v>2811</v>
      </c>
      <c r="N1608" s="5" t="s">
        <v>2812</v>
      </c>
      <c r="O1608" s="5" t="s">
        <v>7114</v>
      </c>
      <c r="P1608" s="5" t="s">
        <v>7115</v>
      </c>
      <c r="Q1608" s="5" t="s">
        <v>7116</v>
      </c>
      <c r="R1608" s="5" t="s">
        <v>7117</v>
      </c>
      <c r="AG1608" s="14" t="s">
        <v>55</v>
      </c>
      <c r="AH1608" s="14" t="s">
        <v>1603</v>
      </c>
      <c r="AI1608" s="14" t="s">
        <v>1604</v>
      </c>
    </row>
    <row r="1609" spans="1:37">
      <c r="A1609" s="5" t="s">
        <v>7137</v>
      </c>
      <c r="B1609" s="5" t="s">
        <v>7112</v>
      </c>
      <c r="C1609" s="6" t="s">
        <v>43</v>
      </c>
      <c r="D1609" s="6" t="s">
        <v>239</v>
      </c>
      <c r="E1609" s="6" t="s">
        <v>1693</v>
      </c>
      <c r="F1609" s="6" t="s">
        <v>46</v>
      </c>
      <c r="G1609" s="6" t="s">
        <v>6204</v>
      </c>
      <c r="H1609" s="7">
        <v>20.190000000000001</v>
      </c>
      <c r="I1609" s="19" t="s">
        <v>1589</v>
      </c>
      <c r="J1609" s="19" t="s">
        <v>2696</v>
      </c>
      <c r="K1609" s="5" t="s">
        <v>2809</v>
      </c>
      <c r="L1609" s="5" t="s">
        <v>2810</v>
      </c>
      <c r="M1609" s="5" t="s">
        <v>2811</v>
      </c>
      <c r="N1609" s="5" t="s">
        <v>2812</v>
      </c>
      <c r="O1609" s="5" t="s">
        <v>7114</v>
      </c>
      <c r="P1609" s="5" t="s">
        <v>7115</v>
      </c>
      <c r="Q1609" s="5" t="s">
        <v>7116</v>
      </c>
      <c r="R1609" s="5" t="s">
        <v>7117</v>
      </c>
      <c r="AG1609" s="14" t="s">
        <v>55</v>
      </c>
      <c r="AH1609" s="14" t="s">
        <v>1603</v>
      </c>
      <c r="AI1609" s="14" t="s">
        <v>1604</v>
      </c>
    </row>
    <row r="1610" spans="1:37">
      <c r="A1610" s="5" t="s">
        <v>7138</v>
      </c>
      <c r="B1610" s="5" t="s">
        <v>7112</v>
      </c>
      <c r="C1610" s="6" t="s">
        <v>43</v>
      </c>
      <c r="D1610" s="6" t="s">
        <v>239</v>
      </c>
      <c r="E1610" s="6" t="s">
        <v>1540</v>
      </c>
      <c r="F1610" s="6" t="s">
        <v>46</v>
      </c>
      <c r="G1610" s="6" t="s">
        <v>7139</v>
      </c>
      <c r="H1610" s="7">
        <v>20.190000000000001</v>
      </c>
      <c r="I1610" s="19" t="s">
        <v>1589</v>
      </c>
      <c r="J1610" s="19" t="s">
        <v>2696</v>
      </c>
      <c r="K1610" s="5" t="s">
        <v>2809</v>
      </c>
      <c r="L1610" s="5" t="s">
        <v>2810</v>
      </c>
      <c r="M1610" s="5" t="s">
        <v>2811</v>
      </c>
      <c r="N1610" s="5" t="s">
        <v>2812</v>
      </c>
      <c r="O1610" s="5" t="s">
        <v>7114</v>
      </c>
      <c r="P1610" s="5" t="s">
        <v>7115</v>
      </c>
      <c r="Q1610" s="5" t="s">
        <v>7116</v>
      </c>
      <c r="R1610" s="5" t="s">
        <v>7117</v>
      </c>
      <c r="AG1610" s="14" t="s">
        <v>55</v>
      </c>
      <c r="AH1610" s="14" t="s">
        <v>1603</v>
      </c>
      <c r="AI1610" s="14" t="s">
        <v>1604</v>
      </c>
    </row>
    <row r="1611" spans="1:37">
      <c r="A1611" s="5" t="s">
        <v>7140</v>
      </c>
      <c r="B1611" s="5" t="s">
        <v>7112</v>
      </c>
      <c r="C1611" s="6" t="s">
        <v>7084</v>
      </c>
      <c r="D1611" s="6" t="s">
        <v>239</v>
      </c>
      <c r="E1611" s="6" t="s">
        <v>2065</v>
      </c>
      <c r="F1611" s="6" t="s">
        <v>46</v>
      </c>
      <c r="G1611" s="6" t="s">
        <v>7141</v>
      </c>
      <c r="H1611" s="7">
        <v>20.190000000000001</v>
      </c>
      <c r="I1611" s="19" t="s">
        <v>1589</v>
      </c>
      <c r="J1611" s="19" t="s">
        <v>2696</v>
      </c>
      <c r="K1611" s="5" t="s">
        <v>2809</v>
      </c>
      <c r="L1611" s="5" t="s">
        <v>2810</v>
      </c>
      <c r="M1611" s="5" t="s">
        <v>2811</v>
      </c>
      <c r="N1611" s="5" t="s">
        <v>2812</v>
      </c>
      <c r="O1611" s="5" t="s">
        <v>7114</v>
      </c>
      <c r="P1611" s="5" t="s">
        <v>7115</v>
      </c>
      <c r="Q1611" s="5" t="s">
        <v>7116</v>
      </c>
      <c r="R1611" s="5" t="s">
        <v>7117</v>
      </c>
      <c r="AG1611" s="14" t="s">
        <v>55</v>
      </c>
      <c r="AH1611" s="14" t="s">
        <v>1603</v>
      </c>
      <c r="AI1611" s="14" t="s">
        <v>1604</v>
      </c>
    </row>
    <row r="1612" spans="1:37">
      <c r="A1612" s="5" t="s">
        <v>7142</v>
      </c>
      <c r="B1612" s="5" t="s">
        <v>7112</v>
      </c>
      <c r="C1612" s="6" t="s">
        <v>7084</v>
      </c>
      <c r="D1612" s="6" t="s">
        <v>239</v>
      </c>
      <c r="E1612" s="6" t="s">
        <v>4069</v>
      </c>
      <c r="F1612" s="6" t="s">
        <v>46</v>
      </c>
      <c r="G1612" s="6" t="s">
        <v>7143</v>
      </c>
      <c r="H1612" s="7">
        <v>20.190000000000001</v>
      </c>
      <c r="I1612" s="19" t="s">
        <v>1589</v>
      </c>
      <c r="J1612" s="19" t="s">
        <v>2696</v>
      </c>
      <c r="K1612" s="5" t="s">
        <v>2809</v>
      </c>
      <c r="L1612" s="5" t="s">
        <v>2810</v>
      </c>
      <c r="M1612" s="5" t="s">
        <v>2811</v>
      </c>
      <c r="N1612" s="5" t="s">
        <v>2812</v>
      </c>
      <c r="O1612" s="5" t="s">
        <v>7114</v>
      </c>
      <c r="P1612" s="5" t="s">
        <v>7115</v>
      </c>
      <c r="Q1612" s="5" t="s">
        <v>7116</v>
      </c>
      <c r="R1612" s="5" t="s">
        <v>7117</v>
      </c>
      <c r="AG1612" s="14" t="s">
        <v>55</v>
      </c>
      <c r="AH1612" s="14" t="s">
        <v>1603</v>
      </c>
      <c r="AI1612" s="14" t="s">
        <v>1604</v>
      </c>
    </row>
    <row r="1613" spans="1:37">
      <c r="A1613" s="5" t="s">
        <v>7144</v>
      </c>
      <c r="B1613" s="5" t="s">
        <v>7145</v>
      </c>
      <c r="C1613" s="6" t="s">
        <v>43</v>
      </c>
      <c r="D1613" s="6" t="s">
        <v>239</v>
      </c>
      <c r="E1613" s="6" t="s">
        <v>2139</v>
      </c>
      <c r="F1613" s="6" t="s">
        <v>46</v>
      </c>
      <c r="G1613" s="6" t="s">
        <v>7146</v>
      </c>
      <c r="H1613" s="7">
        <v>24.97</v>
      </c>
      <c r="I1613" s="19" t="s">
        <v>1589</v>
      </c>
      <c r="J1613" s="19" t="s">
        <v>2696</v>
      </c>
      <c r="K1613" s="5" t="s">
        <v>2857</v>
      </c>
      <c r="L1613" s="5" t="s">
        <v>2858</v>
      </c>
      <c r="M1613" s="5" t="s">
        <v>2859</v>
      </c>
      <c r="N1613" s="5" t="s">
        <v>2860</v>
      </c>
      <c r="O1613" s="5" t="s">
        <v>7147</v>
      </c>
      <c r="P1613" s="5" t="s">
        <v>7148</v>
      </c>
      <c r="Q1613" s="5" t="s">
        <v>7149</v>
      </c>
      <c r="R1613" s="5" t="s">
        <v>7150</v>
      </c>
      <c r="AG1613" s="14" t="s">
        <v>55</v>
      </c>
      <c r="AH1613" s="14" t="s">
        <v>1603</v>
      </c>
      <c r="AI1613" s="14" t="s">
        <v>1604</v>
      </c>
    </row>
    <row r="1614" spans="1:37">
      <c r="A1614" s="5" t="s">
        <v>7151</v>
      </c>
      <c r="B1614" s="5" t="s">
        <v>7145</v>
      </c>
      <c r="C1614" s="6" t="s">
        <v>43</v>
      </c>
      <c r="D1614" s="6" t="s">
        <v>239</v>
      </c>
      <c r="E1614" s="6" t="s">
        <v>1386</v>
      </c>
      <c r="F1614" s="6" t="s">
        <v>46</v>
      </c>
      <c r="G1614" s="6" t="s">
        <v>6706</v>
      </c>
      <c r="H1614" s="7">
        <v>24.97</v>
      </c>
      <c r="I1614" s="19" t="s">
        <v>1589</v>
      </c>
      <c r="J1614" s="19" t="s">
        <v>2696</v>
      </c>
      <c r="K1614" s="5" t="s">
        <v>2857</v>
      </c>
      <c r="L1614" s="5" t="s">
        <v>2858</v>
      </c>
      <c r="M1614" s="5" t="s">
        <v>2859</v>
      </c>
      <c r="N1614" s="5" t="s">
        <v>2860</v>
      </c>
      <c r="O1614" s="5" t="s">
        <v>7147</v>
      </c>
      <c r="P1614" s="5" t="s">
        <v>7148</v>
      </c>
      <c r="Q1614" s="5" t="s">
        <v>7149</v>
      </c>
      <c r="R1614" s="5" t="s">
        <v>7150</v>
      </c>
      <c r="AG1614" s="14" t="s">
        <v>55</v>
      </c>
      <c r="AH1614" s="14" t="s">
        <v>1603</v>
      </c>
      <c r="AI1614" s="14" t="s">
        <v>1604</v>
      </c>
    </row>
    <row r="1615" spans="1:37">
      <c r="A1615" s="5" t="s">
        <v>7152</v>
      </c>
      <c r="B1615" s="5" t="s">
        <v>7153</v>
      </c>
      <c r="C1615" s="6" t="s">
        <v>43</v>
      </c>
      <c r="D1615" s="6" t="s">
        <v>239</v>
      </c>
      <c r="E1615" s="6" t="s">
        <v>2015</v>
      </c>
      <c r="F1615" s="6" t="s">
        <v>46</v>
      </c>
      <c r="G1615" s="6" t="s">
        <v>7154</v>
      </c>
      <c r="H1615" s="7">
        <v>24.97</v>
      </c>
      <c r="I1615" s="19" t="s">
        <v>1589</v>
      </c>
      <c r="J1615" s="19" t="s">
        <v>2696</v>
      </c>
      <c r="K1615" s="5" t="s">
        <v>2857</v>
      </c>
      <c r="L1615" s="5" t="s">
        <v>2858</v>
      </c>
      <c r="M1615" s="5" t="s">
        <v>2859</v>
      </c>
      <c r="N1615" s="5" t="s">
        <v>2860</v>
      </c>
      <c r="O1615" s="5" t="s">
        <v>7147</v>
      </c>
      <c r="P1615" s="5" t="s">
        <v>7148</v>
      </c>
      <c r="Q1615" s="5" t="s">
        <v>7149</v>
      </c>
      <c r="R1615" s="5" t="s">
        <v>7150</v>
      </c>
      <c r="AG1615" s="14" t="s">
        <v>55</v>
      </c>
      <c r="AH1615" s="14" t="s">
        <v>1603</v>
      </c>
      <c r="AI1615" s="14" t="s">
        <v>1604</v>
      </c>
    </row>
    <row r="1616" spans="1:37">
      <c r="A1616" s="5" t="s">
        <v>7155</v>
      </c>
      <c r="B1616" s="5" t="s">
        <v>7145</v>
      </c>
      <c r="C1616" s="6" t="s">
        <v>43</v>
      </c>
      <c r="D1616" s="6" t="s">
        <v>239</v>
      </c>
      <c r="E1616" s="6" t="s">
        <v>2047</v>
      </c>
      <c r="F1616" s="6" t="s">
        <v>46</v>
      </c>
      <c r="G1616" s="6" t="s">
        <v>7156</v>
      </c>
      <c r="H1616" s="7">
        <v>24.97</v>
      </c>
      <c r="I1616" s="19" t="s">
        <v>1589</v>
      </c>
      <c r="J1616" s="19" t="s">
        <v>2696</v>
      </c>
      <c r="K1616" s="5" t="s">
        <v>2857</v>
      </c>
      <c r="L1616" s="5" t="s">
        <v>2858</v>
      </c>
      <c r="M1616" s="5" t="s">
        <v>2859</v>
      </c>
      <c r="N1616" s="5" t="s">
        <v>2860</v>
      </c>
      <c r="O1616" s="5" t="s">
        <v>7147</v>
      </c>
      <c r="P1616" s="5" t="s">
        <v>7148</v>
      </c>
      <c r="Q1616" s="5" t="s">
        <v>7149</v>
      </c>
      <c r="R1616" s="5" t="s">
        <v>7150</v>
      </c>
      <c r="AG1616" s="14" t="s">
        <v>55</v>
      </c>
      <c r="AH1616" s="14" t="s">
        <v>1603</v>
      </c>
      <c r="AI1616" s="14" t="s">
        <v>1604</v>
      </c>
    </row>
    <row r="1617" spans="1:37">
      <c r="A1617" s="5" t="s">
        <v>7157</v>
      </c>
      <c r="B1617" s="5" t="s">
        <v>7153</v>
      </c>
      <c r="C1617" s="6" t="s">
        <v>43</v>
      </c>
      <c r="D1617" s="6" t="s">
        <v>239</v>
      </c>
      <c r="E1617" s="6" t="s">
        <v>2065</v>
      </c>
      <c r="F1617" s="6" t="s">
        <v>46</v>
      </c>
      <c r="G1617" s="6" t="s">
        <v>7158</v>
      </c>
      <c r="H1617" s="7">
        <v>24.97</v>
      </c>
      <c r="I1617" s="19" t="s">
        <v>1589</v>
      </c>
      <c r="J1617" s="19" t="s">
        <v>2696</v>
      </c>
      <c r="K1617" s="5" t="s">
        <v>2857</v>
      </c>
      <c r="L1617" s="5" t="s">
        <v>2858</v>
      </c>
      <c r="M1617" s="5" t="s">
        <v>2859</v>
      </c>
      <c r="N1617" s="5" t="s">
        <v>2860</v>
      </c>
      <c r="O1617" s="5" t="s">
        <v>7147</v>
      </c>
      <c r="P1617" s="5" t="s">
        <v>7148</v>
      </c>
      <c r="Q1617" s="5" t="s">
        <v>7149</v>
      </c>
      <c r="R1617" s="5" t="s">
        <v>7150</v>
      </c>
      <c r="AG1617" s="14" t="s">
        <v>55</v>
      </c>
      <c r="AH1617" s="14" t="s">
        <v>1603</v>
      </c>
      <c r="AI1617" s="14" t="s">
        <v>1604</v>
      </c>
    </row>
    <row r="1618" spans="1:37">
      <c r="A1618" s="6" t="s">
        <v>7159</v>
      </c>
      <c r="B1618" s="6" t="s">
        <v>7160</v>
      </c>
      <c r="C1618" s="6" t="s">
        <v>43</v>
      </c>
      <c r="D1618" s="6" t="s">
        <v>239</v>
      </c>
      <c r="E1618" s="6" t="s">
        <v>2047</v>
      </c>
      <c r="F1618" s="6" t="s">
        <v>46</v>
      </c>
      <c r="G1618" s="6" t="s">
        <v>7136</v>
      </c>
      <c r="I1618" s="6" t="s">
        <v>48</v>
      </c>
      <c r="J1618" s="6" t="s">
        <v>48</v>
      </c>
      <c r="K1618" s="6"/>
      <c r="L1618" s="6"/>
      <c r="M1618" s="6"/>
      <c r="N1618" s="6"/>
      <c r="O1618" s="6"/>
      <c r="P1618" s="6"/>
      <c r="Q1618" s="6"/>
      <c r="R1618" s="6"/>
      <c r="S1618" s="6"/>
      <c r="T1618" s="6"/>
      <c r="U1618" s="6"/>
      <c r="V1618" s="6"/>
      <c r="W1618" s="6"/>
      <c r="X1618" s="6"/>
      <c r="Y1618" s="6"/>
      <c r="Z1618" s="6"/>
      <c r="AA1618" s="6"/>
      <c r="AB1618" s="6"/>
      <c r="AC1618" s="6"/>
      <c r="AD1618" s="6"/>
      <c r="AE1618" s="6"/>
      <c r="AF1618" s="6"/>
      <c r="AG1618" s="15" t="s">
        <v>55</v>
      </c>
      <c r="AH1618" s="15"/>
      <c r="AI1618" s="15"/>
      <c r="AJ1618" s="6"/>
      <c r="AK1618" s="6"/>
    </row>
    <row r="1619" spans="1:37" s="6" customFormat="1">
      <c r="A1619" s="6" t="s">
        <v>7161</v>
      </c>
      <c r="B1619" s="6" t="s">
        <v>7160</v>
      </c>
      <c r="C1619" s="6" t="s">
        <v>43</v>
      </c>
      <c r="D1619" s="6" t="s">
        <v>239</v>
      </c>
      <c r="E1619" s="6" t="s">
        <v>2065</v>
      </c>
      <c r="F1619" s="6" t="s">
        <v>46</v>
      </c>
      <c r="G1619" s="6" t="s">
        <v>7162</v>
      </c>
      <c r="H1619" s="7"/>
      <c r="I1619" s="6" t="s">
        <v>48</v>
      </c>
      <c r="J1619" s="6" t="s">
        <v>48</v>
      </c>
      <c r="AG1619" s="15" t="s">
        <v>55</v>
      </c>
      <c r="AH1619" s="15"/>
      <c r="AI1619" s="15"/>
    </row>
    <row r="1620" spans="1:37" s="6" customFormat="1">
      <c r="A1620" s="6" t="s">
        <v>7163</v>
      </c>
      <c r="B1620" s="6" t="s">
        <v>7164</v>
      </c>
      <c r="C1620" s="6" t="s">
        <v>43</v>
      </c>
      <c r="D1620" s="6" t="s">
        <v>239</v>
      </c>
      <c r="E1620" s="6" t="s">
        <v>2047</v>
      </c>
      <c r="F1620" s="6" t="s">
        <v>46</v>
      </c>
      <c r="G1620" s="6" t="s">
        <v>7165</v>
      </c>
      <c r="H1620" s="7"/>
      <c r="I1620" s="6" t="s">
        <v>48</v>
      </c>
      <c r="J1620" s="6" t="s">
        <v>48</v>
      </c>
      <c r="AG1620" s="15" t="s">
        <v>55</v>
      </c>
      <c r="AH1620" s="15"/>
      <c r="AI1620" s="15"/>
    </row>
    <row r="1621" spans="1:37" s="6" customFormat="1">
      <c r="A1621" s="5" t="s">
        <v>7166</v>
      </c>
      <c r="B1621" s="5" t="s">
        <v>7167</v>
      </c>
      <c r="C1621" s="6" t="s">
        <v>43</v>
      </c>
      <c r="D1621" s="6" t="s">
        <v>239</v>
      </c>
      <c r="E1621" s="6" t="s">
        <v>2139</v>
      </c>
      <c r="F1621" s="6" t="s">
        <v>46</v>
      </c>
      <c r="G1621" s="6" t="s">
        <v>7168</v>
      </c>
      <c r="H1621" s="7">
        <v>25.3</v>
      </c>
      <c r="I1621" s="19" t="s">
        <v>1589</v>
      </c>
      <c r="J1621" s="19" t="s">
        <v>2696</v>
      </c>
      <c r="K1621" s="5" t="s">
        <v>2923</v>
      </c>
      <c r="L1621" s="5" t="s">
        <v>2924</v>
      </c>
      <c r="M1621" s="5" t="s">
        <v>2925</v>
      </c>
      <c r="N1621" s="5" t="s">
        <v>2926</v>
      </c>
      <c r="O1621" s="5" t="s">
        <v>7169</v>
      </c>
      <c r="P1621" s="5" t="s">
        <v>7170</v>
      </c>
      <c r="Q1621" s="5" t="s">
        <v>7171</v>
      </c>
      <c r="R1621" s="5" t="s">
        <v>7172</v>
      </c>
      <c r="S1621" s="5"/>
      <c r="T1621" s="5"/>
      <c r="U1621" s="5"/>
      <c r="V1621" s="5"/>
      <c r="W1621" s="5"/>
      <c r="X1621" s="5"/>
      <c r="Y1621" s="5"/>
      <c r="Z1621" s="5"/>
      <c r="AA1621" s="5"/>
      <c r="AB1621" s="5"/>
      <c r="AC1621" s="5"/>
      <c r="AD1621" s="5"/>
      <c r="AE1621" s="5"/>
      <c r="AF1621" s="5"/>
      <c r="AG1621" s="14" t="s">
        <v>55</v>
      </c>
      <c r="AH1621" s="14" t="s">
        <v>1603</v>
      </c>
      <c r="AI1621" s="14" t="s">
        <v>1604</v>
      </c>
      <c r="AJ1621" s="5"/>
      <c r="AK1621" s="5"/>
    </row>
    <row r="1622" spans="1:37">
      <c r="A1622" s="5" t="s">
        <v>7173</v>
      </c>
      <c r="B1622" s="5" t="s">
        <v>7167</v>
      </c>
      <c r="C1622" s="6" t="s">
        <v>43</v>
      </c>
      <c r="D1622" s="6" t="s">
        <v>239</v>
      </c>
      <c r="E1622" s="6" t="s">
        <v>2047</v>
      </c>
      <c r="F1622" s="6" t="s">
        <v>46</v>
      </c>
      <c r="G1622" s="6" t="s">
        <v>7174</v>
      </c>
      <c r="H1622" s="7">
        <v>25.3</v>
      </c>
      <c r="I1622" s="19" t="s">
        <v>1589</v>
      </c>
      <c r="J1622" s="19" t="s">
        <v>2696</v>
      </c>
      <c r="K1622" s="5" t="s">
        <v>2923</v>
      </c>
      <c r="L1622" s="5" t="s">
        <v>2924</v>
      </c>
      <c r="M1622" s="5" t="s">
        <v>2925</v>
      </c>
      <c r="N1622" s="5" t="s">
        <v>2926</v>
      </c>
      <c r="O1622" s="5" t="s">
        <v>7169</v>
      </c>
      <c r="P1622" s="5" t="s">
        <v>7170</v>
      </c>
      <c r="Q1622" s="5" t="s">
        <v>7171</v>
      </c>
      <c r="R1622" s="5" t="s">
        <v>7172</v>
      </c>
      <c r="AG1622" s="14" t="s">
        <v>55</v>
      </c>
      <c r="AH1622" s="14" t="s">
        <v>1603</v>
      </c>
      <c r="AI1622" s="14" t="s">
        <v>1604</v>
      </c>
    </row>
    <row r="1623" spans="1:37">
      <c r="A1623" s="5" t="s">
        <v>7175</v>
      </c>
      <c r="B1623" s="5" t="s">
        <v>7167</v>
      </c>
      <c r="C1623" s="6" t="s">
        <v>43</v>
      </c>
      <c r="D1623" s="6" t="s">
        <v>239</v>
      </c>
      <c r="E1623" s="6" t="s">
        <v>2065</v>
      </c>
      <c r="F1623" s="6" t="s">
        <v>46</v>
      </c>
      <c r="G1623" s="6" t="s">
        <v>7176</v>
      </c>
      <c r="H1623" s="7">
        <v>25.3</v>
      </c>
      <c r="I1623" s="19" t="s">
        <v>1589</v>
      </c>
      <c r="J1623" s="19" t="s">
        <v>2696</v>
      </c>
      <c r="K1623" s="5" t="s">
        <v>2923</v>
      </c>
      <c r="L1623" s="5" t="s">
        <v>2924</v>
      </c>
      <c r="M1623" s="5" t="s">
        <v>2925</v>
      </c>
      <c r="N1623" s="5" t="s">
        <v>2926</v>
      </c>
      <c r="O1623" s="5" t="s">
        <v>7169</v>
      </c>
      <c r="P1623" s="5" t="s">
        <v>7170</v>
      </c>
      <c r="Q1623" s="5" t="s">
        <v>7171</v>
      </c>
      <c r="R1623" s="5" t="s">
        <v>7172</v>
      </c>
      <c r="AG1623" s="14" t="s">
        <v>55</v>
      </c>
      <c r="AH1623" s="14" t="s">
        <v>1603</v>
      </c>
      <c r="AI1623" s="14" t="s">
        <v>1604</v>
      </c>
    </row>
    <row r="1624" spans="1:37">
      <c r="A1624" s="6" t="s">
        <v>7177</v>
      </c>
      <c r="B1624" s="6" t="s">
        <v>7178</v>
      </c>
      <c r="C1624" s="6" t="s">
        <v>43</v>
      </c>
      <c r="D1624" s="6" t="s">
        <v>239</v>
      </c>
      <c r="E1624" s="6" t="s">
        <v>2047</v>
      </c>
      <c r="F1624" s="6" t="s">
        <v>46</v>
      </c>
      <c r="G1624" s="6" t="s">
        <v>7179</v>
      </c>
      <c r="I1624" s="16" t="s">
        <v>48</v>
      </c>
      <c r="J1624" s="16" t="s">
        <v>48</v>
      </c>
      <c r="K1624" s="6"/>
      <c r="L1624" s="6"/>
      <c r="M1624" s="6"/>
      <c r="N1624" s="6"/>
      <c r="O1624" s="6"/>
      <c r="P1624" s="6"/>
      <c r="Q1624" s="6"/>
      <c r="R1624" s="6"/>
      <c r="S1624" s="6"/>
      <c r="T1624" s="6"/>
      <c r="U1624" s="6"/>
      <c r="V1624" s="6"/>
      <c r="W1624" s="6"/>
      <c r="X1624" s="6"/>
      <c r="Y1624" s="6"/>
      <c r="Z1624" s="6"/>
      <c r="AA1624" s="6"/>
      <c r="AB1624" s="6"/>
      <c r="AC1624" s="6"/>
      <c r="AD1624" s="6"/>
      <c r="AE1624" s="6"/>
      <c r="AF1624" s="6"/>
      <c r="AG1624" s="15" t="s">
        <v>55</v>
      </c>
      <c r="AH1624" s="15"/>
      <c r="AI1624" s="15"/>
      <c r="AJ1624" s="6"/>
      <c r="AK1624" s="6"/>
    </row>
    <row r="1625" spans="1:37" s="6" customFormat="1">
      <c r="A1625" s="5" t="s">
        <v>7180</v>
      </c>
      <c r="B1625" s="5" t="s">
        <v>7181</v>
      </c>
      <c r="C1625" s="6" t="s">
        <v>43</v>
      </c>
      <c r="D1625" s="6" t="s">
        <v>239</v>
      </c>
      <c r="E1625" s="6" t="s">
        <v>2047</v>
      </c>
      <c r="F1625" s="6" t="s">
        <v>46</v>
      </c>
      <c r="G1625" s="6" t="s">
        <v>7182</v>
      </c>
      <c r="H1625" s="7">
        <v>26.73</v>
      </c>
      <c r="I1625" s="19" t="s">
        <v>1589</v>
      </c>
      <c r="J1625" s="19" t="s">
        <v>2696</v>
      </c>
      <c r="K1625" s="5" t="s">
        <v>2935</v>
      </c>
      <c r="L1625" s="5" t="s">
        <v>2936</v>
      </c>
      <c r="M1625" s="5" t="s">
        <v>2937</v>
      </c>
      <c r="N1625" s="5" t="s">
        <v>2938</v>
      </c>
      <c r="O1625" s="5" t="s">
        <v>7183</v>
      </c>
      <c r="P1625" s="5" t="s">
        <v>7184</v>
      </c>
      <c r="Q1625" s="5" t="s">
        <v>7185</v>
      </c>
      <c r="R1625" s="5" t="s">
        <v>7186</v>
      </c>
      <c r="S1625" s="5"/>
      <c r="T1625" s="5"/>
      <c r="U1625" s="5"/>
      <c r="V1625" s="5"/>
      <c r="W1625" s="5"/>
      <c r="X1625" s="5"/>
      <c r="Y1625" s="5"/>
      <c r="Z1625" s="5"/>
      <c r="AA1625" s="5"/>
      <c r="AB1625" s="5"/>
      <c r="AC1625" s="5"/>
      <c r="AD1625" s="5"/>
      <c r="AE1625" s="5"/>
      <c r="AF1625" s="5"/>
      <c r="AG1625" s="14" t="s">
        <v>55</v>
      </c>
      <c r="AH1625" s="14" t="s">
        <v>1603</v>
      </c>
      <c r="AI1625" s="14" t="s">
        <v>1604</v>
      </c>
      <c r="AJ1625" s="5"/>
      <c r="AK1625" s="5"/>
    </row>
    <row r="1626" spans="1:37">
      <c r="A1626" s="5" t="s">
        <v>7187</v>
      </c>
      <c r="B1626" s="5" t="s">
        <v>7181</v>
      </c>
      <c r="C1626" s="6" t="s">
        <v>43</v>
      </c>
      <c r="D1626" s="6" t="s">
        <v>239</v>
      </c>
      <c r="E1626" s="6" t="s">
        <v>1540</v>
      </c>
      <c r="F1626" s="6" t="s">
        <v>46</v>
      </c>
      <c r="G1626" s="6" t="s">
        <v>7188</v>
      </c>
      <c r="H1626" s="7">
        <v>26.73</v>
      </c>
      <c r="I1626" s="19" t="s">
        <v>1589</v>
      </c>
      <c r="J1626" s="19" t="s">
        <v>2696</v>
      </c>
      <c r="K1626" s="5" t="s">
        <v>2935</v>
      </c>
      <c r="L1626" s="5" t="s">
        <v>2936</v>
      </c>
      <c r="M1626" s="5" t="s">
        <v>2937</v>
      </c>
      <c r="N1626" s="5" t="s">
        <v>2938</v>
      </c>
      <c r="O1626" s="5" t="s">
        <v>7183</v>
      </c>
      <c r="P1626" s="5" t="s">
        <v>7184</v>
      </c>
      <c r="Q1626" s="5" t="s">
        <v>7185</v>
      </c>
      <c r="R1626" s="5" t="s">
        <v>7186</v>
      </c>
      <c r="AG1626" s="14" t="s">
        <v>55</v>
      </c>
      <c r="AH1626" s="14" t="s">
        <v>1603</v>
      </c>
      <c r="AI1626" s="14" t="s">
        <v>1604</v>
      </c>
    </row>
    <row r="1627" spans="1:37">
      <c r="A1627" s="6" t="s">
        <v>7189</v>
      </c>
      <c r="B1627" s="6" t="s">
        <v>7190</v>
      </c>
      <c r="C1627" s="6" t="s">
        <v>2951</v>
      </c>
      <c r="D1627" s="6" t="s">
        <v>239</v>
      </c>
      <c r="E1627" s="6" t="s">
        <v>2047</v>
      </c>
      <c r="F1627" s="6" t="s">
        <v>46</v>
      </c>
      <c r="G1627" s="6" t="s">
        <v>7085</v>
      </c>
      <c r="I1627" s="16" t="s">
        <v>48</v>
      </c>
      <c r="J1627" s="16" t="s">
        <v>48</v>
      </c>
      <c r="K1627" s="6"/>
      <c r="L1627" s="6"/>
      <c r="M1627" s="6"/>
      <c r="N1627" s="6"/>
      <c r="O1627" s="6"/>
      <c r="P1627" s="6"/>
      <c r="Q1627" s="6"/>
      <c r="R1627" s="6"/>
      <c r="S1627" s="6"/>
      <c r="T1627" s="6"/>
      <c r="U1627" s="6"/>
      <c r="V1627" s="6"/>
      <c r="W1627" s="6"/>
      <c r="X1627" s="6"/>
      <c r="Y1627" s="6"/>
      <c r="Z1627" s="6"/>
      <c r="AA1627" s="6"/>
      <c r="AB1627" s="6"/>
      <c r="AC1627" s="6"/>
      <c r="AD1627" s="6"/>
      <c r="AE1627" s="6"/>
      <c r="AF1627" s="6"/>
      <c r="AG1627" s="15" t="s">
        <v>55</v>
      </c>
      <c r="AH1627" s="15"/>
      <c r="AI1627" s="15"/>
      <c r="AJ1627" s="6"/>
      <c r="AK1627" s="6"/>
    </row>
    <row r="1628" spans="1:37" s="6" customFormat="1">
      <c r="A1628" s="6" t="s">
        <v>7191</v>
      </c>
      <c r="B1628" s="6" t="s">
        <v>7190</v>
      </c>
      <c r="C1628" s="6" t="s">
        <v>2951</v>
      </c>
      <c r="D1628" s="6" t="s">
        <v>239</v>
      </c>
      <c r="E1628" s="6" t="s">
        <v>2065</v>
      </c>
      <c r="F1628" s="6" t="s">
        <v>46</v>
      </c>
      <c r="G1628" s="6" t="s">
        <v>7192</v>
      </c>
      <c r="H1628" s="7"/>
      <c r="I1628" s="16" t="s">
        <v>48</v>
      </c>
      <c r="J1628" s="16" t="s">
        <v>48</v>
      </c>
      <c r="AG1628" s="15" t="s">
        <v>55</v>
      </c>
      <c r="AH1628" s="15"/>
      <c r="AI1628" s="15"/>
    </row>
    <row r="1629" spans="1:37" s="6" customFormat="1">
      <c r="A1629" s="5" t="s">
        <v>7193</v>
      </c>
      <c r="B1629" s="5" t="s">
        <v>7194</v>
      </c>
      <c r="C1629" s="6" t="s">
        <v>7195</v>
      </c>
      <c r="D1629" s="6" t="s">
        <v>239</v>
      </c>
      <c r="E1629" s="6" t="s">
        <v>2047</v>
      </c>
      <c r="F1629" s="6" t="s">
        <v>46</v>
      </c>
      <c r="G1629" s="6" t="s">
        <v>6391</v>
      </c>
      <c r="H1629" s="7"/>
      <c r="I1629" s="19" t="s">
        <v>1589</v>
      </c>
      <c r="J1629" s="19" t="s">
        <v>2696</v>
      </c>
      <c r="K1629" s="5" t="s">
        <v>5074</v>
      </c>
      <c r="L1629" s="5" t="s">
        <v>5075</v>
      </c>
      <c r="M1629" s="5" t="s">
        <v>5076</v>
      </c>
      <c r="N1629" s="5" t="s">
        <v>5077</v>
      </c>
      <c r="O1629" s="5" t="s">
        <v>7196</v>
      </c>
      <c r="P1629" s="5" t="s">
        <v>7197</v>
      </c>
      <c r="Q1629" s="5" t="s">
        <v>7198</v>
      </c>
      <c r="R1629" s="5" t="s">
        <v>7199</v>
      </c>
      <c r="S1629" s="5"/>
      <c r="T1629" s="5"/>
      <c r="U1629" s="5"/>
      <c r="V1629" s="5"/>
      <c r="W1629" s="5"/>
      <c r="X1629" s="5"/>
      <c r="Y1629" s="5"/>
      <c r="Z1629" s="5"/>
      <c r="AA1629" s="5"/>
      <c r="AB1629" s="5"/>
      <c r="AC1629" s="5"/>
      <c r="AD1629" s="5"/>
      <c r="AE1629" s="5"/>
      <c r="AF1629" s="5"/>
      <c r="AG1629" s="14" t="s">
        <v>55</v>
      </c>
      <c r="AH1629" s="14" t="s">
        <v>1603</v>
      </c>
      <c r="AI1629" s="14" t="s">
        <v>1604</v>
      </c>
      <c r="AJ1629" s="5"/>
      <c r="AK1629" s="5"/>
    </row>
    <row r="1630" spans="1:37">
      <c r="A1630" s="5" t="s">
        <v>7200</v>
      </c>
      <c r="B1630" s="5" t="s">
        <v>7201</v>
      </c>
      <c r="C1630" s="6" t="s">
        <v>43</v>
      </c>
      <c r="D1630" s="6" t="s">
        <v>239</v>
      </c>
      <c r="E1630" s="6" t="s">
        <v>1540</v>
      </c>
      <c r="F1630" s="6" t="s">
        <v>46</v>
      </c>
      <c r="G1630" s="6" t="s">
        <v>7202</v>
      </c>
      <c r="H1630" s="7">
        <v>29.07</v>
      </c>
      <c r="I1630" s="19" t="s">
        <v>1589</v>
      </c>
      <c r="J1630" s="19" t="s">
        <v>2254</v>
      </c>
      <c r="K1630" s="5" t="s">
        <v>2972</v>
      </c>
      <c r="L1630" s="5" t="s">
        <v>2973</v>
      </c>
      <c r="M1630" s="5" t="s">
        <v>2974</v>
      </c>
      <c r="N1630" s="5" t="s">
        <v>2975</v>
      </c>
      <c r="O1630" s="5" t="s">
        <v>7203</v>
      </c>
      <c r="P1630" s="5" t="s">
        <v>7204</v>
      </c>
      <c r="Q1630" s="5" t="s">
        <v>7205</v>
      </c>
      <c r="R1630" s="5" t="s">
        <v>7206</v>
      </c>
      <c r="Y1630" s="5" t="s">
        <v>2980</v>
      </c>
      <c r="AG1630" s="14" t="s">
        <v>55</v>
      </c>
      <c r="AH1630" s="14" t="s">
        <v>1603</v>
      </c>
      <c r="AI1630" s="14" t="s">
        <v>2264</v>
      </c>
    </row>
    <row r="1631" spans="1:37">
      <c r="A1631" s="6" t="s">
        <v>7207</v>
      </c>
      <c r="B1631" s="6" t="s">
        <v>7208</v>
      </c>
      <c r="C1631" s="6" t="s">
        <v>43</v>
      </c>
      <c r="D1631" s="6" t="s">
        <v>239</v>
      </c>
      <c r="E1631" s="6" t="s">
        <v>2065</v>
      </c>
      <c r="F1631" s="6" t="s">
        <v>46</v>
      </c>
      <c r="G1631" s="6" t="s">
        <v>7165</v>
      </c>
      <c r="I1631" s="16" t="s">
        <v>48</v>
      </c>
      <c r="J1631" s="16" t="s">
        <v>48</v>
      </c>
      <c r="K1631" s="6"/>
      <c r="L1631" s="6"/>
      <c r="M1631" s="6"/>
      <c r="N1631" s="6"/>
      <c r="O1631" s="6"/>
      <c r="P1631" s="6"/>
      <c r="Q1631" s="6"/>
      <c r="R1631" s="6"/>
      <c r="S1631" s="6"/>
      <c r="T1631" s="6"/>
      <c r="U1631" s="6"/>
      <c r="V1631" s="6"/>
      <c r="W1631" s="6"/>
      <c r="X1631" s="6"/>
      <c r="Y1631" s="6"/>
      <c r="Z1631" s="6"/>
      <c r="AA1631" s="6"/>
      <c r="AB1631" s="6"/>
      <c r="AC1631" s="6"/>
      <c r="AD1631" s="6"/>
      <c r="AE1631" s="6"/>
      <c r="AF1631" s="6"/>
      <c r="AG1631" s="15" t="s">
        <v>55</v>
      </c>
      <c r="AH1631" s="15"/>
      <c r="AI1631" s="15"/>
      <c r="AJ1631" s="6"/>
      <c r="AK1631" s="6"/>
    </row>
    <row r="1632" spans="1:37" s="6" customFormat="1">
      <c r="A1632" s="6" t="s">
        <v>7209</v>
      </c>
      <c r="B1632" s="6" t="s">
        <v>7210</v>
      </c>
      <c r="C1632" s="6" t="s">
        <v>43</v>
      </c>
      <c r="D1632" s="6" t="s">
        <v>239</v>
      </c>
      <c r="E1632" s="6" t="s">
        <v>2047</v>
      </c>
      <c r="F1632" s="6" t="s">
        <v>46</v>
      </c>
      <c r="G1632" s="6" t="s">
        <v>7211</v>
      </c>
      <c r="H1632" s="7"/>
      <c r="I1632" s="16" t="s">
        <v>48</v>
      </c>
      <c r="J1632" s="16" t="s">
        <v>48</v>
      </c>
      <c r="AG1632" s="15" t="s">
        <v>55</v>
      </c>
      <c r="AH1632" s="15"/>
      <c r="AI1632" s="15"/>
    </row>
    <row r="1633" spans="1:37" s="6" customFormat="1">
      <c r="A1633" s="6" t="s">
        <v>7212</v>
      </c>
      <c r="B1633" s="6" t="s">
        <v>7213</v>
      </c>
      <c r="C1633" s="6" t="s">
        <v>2951</v>
      </c>
      <c r="D1633" s="6" t="s">
        <v>239</v>
      </c>
      <c r="E1633" s="6" t="s">
        <v>2047</v>
      </c>
      <c r="F1633" s="6" t="s">
        <v>46</v>
      </c>
      <c r="G1633" s="6" t="s">
        <v>7214</v>
      </c>
      <c r="H1633" s="7"/>
      <c r="I1633" s="6" t="s">
        <v>48</v>
      </c>
      <c r="J1633" s="6" t="s">
        <v>48</v>
      </c>
      <c r="AG1633" s="15" t="s">
        <v>55</v>
      </c>
      <c r="AH1633" s="15"/>
      <c r="AI1633" s="15"/>
    </row>
    <row r="1634" spans="1:37" s="6" customFormat="1">
      <c r="A1634" s="6" t="s">
        <v>7215</v>
      </c>
      <c r="B1634" s="6" t="s">
        <v>7216</v>
      </c>
      <c r="C1634" s="6" t="s">
        <v>43</v>
      </c>
      <c r="D1634" s="6" t="s">
        <v>239</v>
      </c>
      <c r="E1634" s="6" t="s">
        <v>1540</v>
      </c>
      <c r="F1634" s="6" t="s">
        <v>46</v>
      </c>
      <c r="G1634" s="6" t="s">
        <v>7217</v>
      </c>
      <c r="H1634" s="7"/>
      <c r="I1634" s="16" t="s">
        <v>48</v>
      </c>
      <c r="J1634" s="16" t="s">
        <v>48</v>
      </c>
      <c r="AG1634" s="15" t="s">
        <v>55</v>
      </c>
      <c r="AH1634" s="15"/>
      <c r="AI1634" s="15"/>
    </row>
    <row r="1635" spans="1:37" s="6" customFormat="1">
      <c r="A1635" s="6" t="s">
        <v>7218</v>
      </c>
      <c r="B1635" s="6" t="s">
        <v>7219</v>
      </c>
      <c r="C1635" s="6" t="s">
        <v>43</v>
      </c>
      <c r="D1635" s="6" t="s">
        <v>239</v>
      </c>
      <c r="E1635" s="6" t="s">
        <v>1540</v>
      </c>
      <c r="F1635" s="6" t="s">
        <v>46</v>
      </c>
      <c r="G1635" s="6" t="s">
        <v>1957</v>
      </c>
      <c r="H1635" s="7"/>
      <c r="I1635" s="16" t="s">
        <v>48</v>
      </c>
      <c r="J1635" s="16" t="s">
        <v>48</v>
      </c>
      <c r="AG1635" s="15" t="s">
        <v>55</v>
      </c>
      <c r="AH1635" s="15"/>
      <c r="AI1635" s="15"/>
    </row>
    <row r="1636" spans="1:37" s="6" customFormat="1">
      <c r="A1636" s="6" t="s">
        <v>7220</v>
      </c>
      <c r="B1636" s="6" t="s">
        <v>7221</v>
      </c>
      <c r="C1636" s="6" t="s">
        <v>2281</v>
      </c>
      <c r="D1636" s="6" t="s">
        <v>1645</v>
      </c>
      <c r="E1636" s="6" t="s">
        <v>1386</v>
      </c>
      <c r="F1636" s="6" t="s">
        <v>46</v>
      </c>
      <c r="G1636" s="6" t="s">
        <v>7222</v>
      </c>
      <c r="H1636" s="7"/>
      <c r="I1636" s="16" t="s">
        <v>48</v>
      </c>
      <c r="J1636" s="16" t="s">
        <v>48</v>
      </c>
      <c r="AG1636" s="15" t="s">
        <v>55</v>
      </c>
      <c r="AH1636" s="15"/>
      <c r="AI1636" s="15"/>
    </row>
    <row r="1637" spans="1:37" s="6" customFormat="1">
      <c r="A1637" s="6" t="s">
        <v>7223</v>
      </c>
      <c r="B1637" s="6" t="s">
        <v>7224</v>
      </c>
      <c r="C1637" s="6" t="s">
        <v>5925</v>
      </c>
      <c r="D1637" s="6" t="s">
        <v>1390</v>
      </c>
      <c r="E1637" s="6" t="s">
        <v>1386</v>
      </c>
      <c r="F1637" s="6" t="s">
        <v>46</v>
      </c>
      <c r="G1637" s="6" t="s">
        <v>7225</v>
      </c>
      <c r="H1637" s="7"/>
      <c r="I1637" s="19" t="s">
        <v>48</v>
      </c>
      <c r="J1637" s="19" t="s">
        <v>48</v>
      </c>
      <c r="AG1637" s="15" t="s">
        <v>55</v>
      </c>
      <c r="AH1637" s="15"/>
      <c r="AI1637" s="15"/>
    </row>
    <row r="1638" spans="1:37" s="6" customFormat="1">
      <c r="A1638" s="6" t="s">
        <v>7226</v>
      </c>
      <c r="B1638" s="6" t="s">
        <v>7227</v>
      </c>
      <c r="C1638" s="6" t="s">
        <v>43</v>
      </c>
      <c r="D1638" s="6" t="s">
        <v>2114</v>
      </c>
      <c r="E1638" s="6" t="s">
        <v>2129</v>
      </c>
      <c r="F1638" s="6" t="s">
        <v>46</v>
      </c>
      <c r="G1638" s="6" t="s">
        <v>6758</v>
      </c>
      <c r="H1638" s="7"/>
      <c r="I1638" s="16" t="s">
        <v>48</v>
      </c>
      <c r="J1638" s="16" t="s">
        <v>48</v>
      </c>
      <c r="AG1638" s="15" t="s">
        <v>55</v>
      </c>
      <c r="AH1638" s="15"/>
      <c r="AI1638" s="15"/>
    </row>
    <row r="1639" spans="1:37" s="6" customFormat="1">
      <c r="A1639" s="5" t="s">
        <v>7228</v>
      </c>
      <c r="B1639" s="5" t="s">
        <v>7229</v>
      </c>
      <c r="C1639" s="6" t="s">
        <v>43</v>
      </c>
      <c r="D1639" s="6" t="s">
        <v>2114</v>
      </c>
      <c r="E1639" s="6" t="s">
        <v>1386</v>
      </c>
      <c r="F1639" s="6" t="s">
        <v>46</v>
      </c>
      <c r="G1639" s="6" t="s">
        <v>7230</v>
      </c>
      <c r="H1639" s="7">
        <v>29.95</v>
      </c>
      <c r="I1639" s="19" t="s">
        <v>1589</v>
      </c>
      <c r="J1639" s="19" t="s">
        <v>2162</v>
      </c>
      <c r="K1639" s="5" t="s">
        <v>2163</v>
      </c>
      <c r="L1639" s="5" t="s">
        <v>2164</v>
      </c>
      <c r="M1639" s="5" t="s">
        <v>2165</v>
      </c>
      <c r="N1639" s="5" t="s">
        <v>2166</v>
      </c>
      <c r="O1639" s="5" t="s">
        <v>7231</v>
      </c>
      <c r="P1639" s="5" t="s">
        <v>7232</v>
      </c>
      <c r="Q1639" s="5" t="s">
        <v>7233</v>
      </c>
      <c r="R1639" s="5"/>
      <c r="S1639" s="5"/>
      <c r="T1639" s="5"/>
      <c r="U1639" s="5"/>
      <c r="V1639" s="5"/>
      <c r="W1639" s="5" t="s">
        <v>2170</v>
      </c>
      <c r="X1639" s="5" t="s">
        <v>2171</v>
      </c>
      <c r="Y1639" s="5" t="s">
        <v>2172</v>
      </c>
      <c r="Z1639" s="5" t="s">
        <v>2173</v>
      </c>
      <c r="AA1639" s="5"/>
      <c r="AB1639" s="5"/>
      <c r="AC1639" s="5"/>
      <c r="AD1639" s="5"/>
      <c r="AE1639" s="5"/>
      <c r="AF1639" s="5"/>
      <c r="AG1639" s="14" t="s">
        <v>55</v>
      </c>
      <c r="AH1639" s="14" t="s">
        <v>1603</v>
      </c>
      <c r="AI1639" s="14" t="s">
        <v>124</v>
      </c>
      <c r="AJ1639" s="5"/>
      <c r="AK1639" s="5"/>
    </row>
    <row r="1640" spans="1:37">
      <c r="A1640" s="6" t="s">
        <v>7234</v>
      </c>
      <c r="B1640" s="6" t="s">
        <v>7235</v>
      </c>
      <c r="C1640" s="6" t="s">
        <v>43</v>
      </c>
      <c r="D1640" s="6" t="s">
        <v>239</v>
      </c>
      <c r="E1640" s="6" t="s">
        <v>1540</v>
      </c>
      <c r="F1640" s="6" t="s">
        <v>46</v>
      </c>
      <c r="G1640" s="6" t="s">
        <v>7236</v>
      </c>
      <c r="I1640" s="16" t="s">
        <v>48</v>
      </c>
      <c r="J1640" s="16" t="s">
        <v>48</v>
      </c>
      <c r="K1640" s="6"/>
      <c r="L1640" s="6"/>
      <c r="M1640" s="6"/>
      <c r="N1640" s="6"/>
      <c r="O1640" s="6"/>
      <c r="P1640" s="6"/>
      <c r="Q1640" s="6"/>
      <c r="R1640" s="6"/>
      <c r="S1640" s="6"/>
      <c r="T1640" s="6"/>
      <c r="U1640" s="6"/>
      <c r="V1640" s="6"/>
      <c r="W1640" s="6"/>
      <c r="X1640" s="6"/>
      <c r="Y1640" s="6"/>
      <c r="Z1640" s="6"/>
      <c r="AA1640" s="6"/>
      <c r="AB1640" s="6"/>
      <c r="AC1640" s="6"/>
      <c r="AD1640" s="6"/>
      <c r="AE1640" s="6"/>
      <c r="AF1640" s="6"/>
      <c r="AG1640" s="15" t="s">
        <v>55</v>
      </c>
      <c r="AH1640" s="15"/>
      <c r="AI1640" s="15"/>
      <c r="AJ1640" s="6"/>
      <c r="AK1640" s="6"/>
    </row>
    <row r="1641" spans="1:37" s="6" customFormat="1">
      <c r="A1641" s="6" t="s">
        <v>7237</v>
      </c>
      <c r="B1641" s="6" t="s">
        <v>7238</v>
      </c>
      <c r="C1641" s="6" t="s">
        <v>43</v>
      </c>
      <c r="D1641" s="6" t="s">
        <v>239</v>
      </c>
      <c r="E1641" s="6" t="s">
        <v>1540</v>
      </c>
      <c r="F1641" s="6" t="s">
        <v>46</v>
      </c>
      <c r="G1641" s="6" t="s">
        <v>7239</v>
      </c>
      <c r="H1641" s="7"/>
      <c r="I1641" s="16" t="s">
        <v>48</v>
      </c>
      <c r="J1641" s="16" t="s">
        <v>48</v>
      </c>
      <c r="AG1641" s="15" t="s">
        <v>55</v>
      </c>
      <c r="AH1641" s="15"/>
      <c r="AI1641" s="15"/>
    </row>
    <row r="1642" spans="1:37" s="6" customFormat="1">
      <c r="A1642" s="6" t="s">
        <v>7240</v>
      </c>
      <c r="B1642" s="6" t="s">
        <v>7241</v>
      </c>
      <c r="C1642" s="6" t="s">
        <v>2281</v>
      </c>
      <c r="D1642" s="6" t="s">
        <v>1645</v>
      </c>
      <c r="E1642" s="6" t="s">
        <v>1386</v>
      </c>
      <c r="F1642" s="6" t="s">
        <v>46</v>
      </c>
      <c r="G1642" s="6" t="s">
        <v>4070</v>
      </c>
      <c r="H1642" s="7"/>
      <c r="I1642" s="16" t="s">
        <v>48</v>
      </c>
      <c r="J1642" s="16" t="s">
        <v>48</v>
      </c>
      <c r="AG1642" s="15" t="s">
        <v>55</v>
      </c>
      <c r="AH1642" s="15"/>
      <c r="AI1642" s="15"/>
    </row>
    <row r="1643" spans="1:37" s="6" customFormat="1">
      <c r="A1643" s="6" t="s">
        <v>7242</v>
      </c>
      <c r="B1643" s="6" t="s">
        <v>7243</v>
      </c>
      <c r="C1643" s="6" t="s">
        <v>2281</v>
      </c>
      <c r="D1643" s="6" t="s">
        <v>1645</v>
      </c>
      <c r="E1643" s="6" t="s">
        <v>2065</v>
      </c>
      <c r="F1643" s="6" t="s">
        <v>46</v>
      </c>
      <c r="G1643" s="6" t="s">
        <v>7244</v>
      </c>
      <c r="H1643" s="7"/>
      <c r="I1643" s="16" t="s">
        <v>48</v>
      </c>
      <c r="J1643" s="16" t="s">
        <v>48</v>
      </c>
      <c r="AG1643" s="15" t="s">
        <v>55</v>
      </c>
      <c r="AH1643" s="15"/>
      <c r="AI1643" s="15"/>
    </row>
    <row r="1644" spans="1:37" s="6" customFormat="1">
      <c r="A1644" s="6" t="s">
        <v>7245</v>
      </c>
      <c r="B1644" s="6" t="s">
        <v>7246</v>
      </c>
      <c r="C1644" s="6" t="s">
        <v>43</v>
      </c>
      <c r="D1644" s="6" t="s">
        <v>239</v>
      </c>
      <c r="E1644" s="6" t="s">
        <v>1540</v>
      </c>
      <c r="F1644" s="6" t="s">
        <v>46</v>
      </c>
      <c r="G1644" s="6" t="s">
        <v>7247</v>
      </c>
      <c r="H1644" s="7"/>
      <c r="I1644" s="6" t="s">
        <v>48</v>
      </c>
      <c r="J1644" s="6" t="s">
        <v>48</v>
      </c>
      <c r="AG1644" s="15" t="s">
        <v>55</v>
      </c>
      <c r="AH1644" s="15"/>
      <c r="AI1644" s="15"/>
    </row>
    <row r="1645" spans="1:37" s="6" customFormat="1">
      <c r="A1645" s="5" t="s">
        <v>7248</v>
      </c>
      <c r="B1645" s="5" t="s">
        <v>7249</v>
      </c>
      <c r="C1645" s="6" t="s">
        <v>43</v>
      </c>
      <c r="D1645" s="6" t="s">
        <v>239</v>
      </c>
      <c r="E1645" s="6" t="s">
        <v>1386</v>
      </c>
      <c r="F1645" s="6" t="s">
        <v>46</v>
      </c>
      <c r="G1645" s="6" t="s">
        <v>7250</v>
      </c>
      <c r="H1645" s="7">
        <v>16.309999999999999</v>
      </c>
      <c r="I1645" s="19" t="s">
        <v>1589</v>
      </c>
      <c r="J1645" s="19" t="s">
        <v>2696</v>
      </c>
      <c r="K1645" s="5" t="s">
        <v>2757</v>
      </c>
      <c r="L1645" s="5" t="s">
        <v>2758</v>
      </c>
      <c r="M1645" s="5" t="s">
        <v>2759</v>
      </c>
      <c r="N1645" s="5" t="s">
        <v>2760</v>
      </c>
      <c r="O1645" s="5" t="s">
        <v>7251</v>
      </c>
      <c r="P1645" s="5" t="s">
        <v>7252</v>
      </c>
      <c r="Q1645" s="5" t="s">
        <v>7253</v>
      </c>
      <c r="R1645" s="5" t="s">
        <v>7254</v>
      </c>
      <c r="S1645" s="5"/>
      <c r="T1645" s="5"/>
      <c r="U1645" s="5"/>
      <c r="V1645" s="5"/>
      <c r="W1645" s="5"/>
      <c r="X1645" s="5"/>
      <c r="Y1645" s="5"/>
      <c r="Z1645" s="5"/>
      <c r="AA1645" s="5"/>
      <c r="AB1645" s="5"/>
      <c r="AC1645" s="5"/>
      <c r="AD1645" s="5"/>
      <c r="AE1645" s="5"/>
      <c r="AF1645" s="5"/>
      <c r="AG1645" s="14" t="s">
        <v>55</v>
      </c>
      <c r="AH1645" s="14" t="s">
        <v>1603</v>
      </c>
      <c r="AI1645" s="14" t="s">
        <v>1604</v>
      </c>
      <c r="AJ1645" s="5"/>
      <c r="AK1645" s="5"/>
    </row>
    <row r="1646" spans="1:37">
      <c r="A1646" s="6" t="s">
        <v>7255</v>
      </c>
      <c r="B1646" s="6" t="s">
        <v>7256</v>
      </c>
      <c r="C1646" s="6" t="s">
        <v>43</v>
      </c>
      <c r="D1646" s="6" t="s">
        <v>239</v>
      </c>
      <c r="E1646" s="6" t="s">
        <v>1540</v>
      </c>
      <c r="F1646" s="6" t="s">
        <v>46</v>
      </c>
      <c r="G1646" s="6" t="s">
        <v>6853</v>
      </c>
      <c r="I1646" s="16" t="s">
        <v>48</v>
      </c>
      <c r="J1646" s="16" t="s">
        <v>48</v>
      </c>
      <c r="K1646" s="6"/>
      <c r="L1646" s="6"/>
      <c r="M1646" s="6"/>
      <c r="N1646" s="6"/>
      <c r="O1646" s="6"/>
      <c r="P1646" s="6"/>
      <c r="Q1646" s="6"/>
      <c r="R1646" s="6"/>
      <c r="S1646" s="6"/>
      <c r="T1646" s="6"/>
      <c r="U1646" s="6"/>
      <c r="V1646" s="6"/>
      <c r="W1646" s="6"/>
      <c r="X1646" s="6"/>
      <c r="Y1646" s="6"/>
      <c r="Z1646" s="6"/>
      <c r="AA1646" s="6"/>
      <c r="AB1646" s="6"/>
      <c r="AC1646" s="6"/>
      <c r="AD1646" s="6"/>
      <c r="AE1646" s="6"/>
      <c r="AF1646" s="6"/>
      <c r="AG1646" s="15" t="s">
        <v>55</v>
      </c>
      <c r="AH1646" s="15"/>
      <c r="AI1646" s="15"/>
      <c r="AJ1646" s="6"/>
      <c r="AK1646" s="6"/>
    </row>
    <row r="1647" spans="1:37" s="6" customFormat="1">
      <c r="A1647" s="6" t="s">
        <v>7257</v>
      </c>
      <c r="B1647" s="6" t="s">
        <v>7258</v>
      </c>
      <c r="C1647" s="6" t="s">
        <v>43</v>
      </c>
      <c r="D1647" s="6" t="s">
        <v>239</v>
      </c>
      <c r="E1647" s="6" t="s">
        <v>1540</v>
      </c>
      <c r="F1647" s="6" t="s">
        <v>46</v>
      </c>
      <c r="G1647" s="6" t="s">
        <v>7259</v>
      </c>
      <c r="H1647" s="7"/>
      <c r="I1647" s="16" t="s">
        <v>48</v>
      </c>
      <c r="J1647" s="16" t="s">
        <v>48</v>
      </c>
      <c r="AG1647" s="15" t="s">
        <v>55</v>
      </c>
      <c r="AH1647" s="15"/>
      <c r="AI1647" s="15"/>
    </row>
    <row r="1648" spans="1:37" s="6" customFormat="1">
      <c r="A1648" s="6" t="s">
        <v>7260</v>
      </c>
      <c r="B1648" s="6" t="s">
        <v>7261</v>
      </c>
      <c r="C1648" s="6" t="s">
        <v>43</v>
      </c>
      <c r="D1648" s="6" t="s">
        <v>239</v>
      </c>
      <c r="E1648" s="6" t="s">
        <v>1540</v>
      </c>
      <c r="F1648" s="6" t="s">
        <v>46</v>
      </c>
      <c r="G1648" s="6" t="s">
        <v>7262</v>
      </c>
      <c r="H1648" s="7"/>
      <c r="I1648" s="16" t="s">
        <v>48</v>
      </c>
      <c r="J1648" s="16" t="s">
        <v>48</v>
      </c>
      <c r="AG1648" s="15" t="s">
        <v>55</v>
      </c>
      <c r="AH1648" s="15"/>
      <c r="AI1648" s="15"/>
    </row>
    <row r="1649" spans="1:37" s="6" customFormat="1">
      <c r="A1649" s="6" t="s">
        <v>7263</v>
      </c>
      <c r="B1649" s="6" t="s">
        <v>7264</v>
      </c>
      <c r="C1649" s="6" t="s">
        <v>43</v>
      </c>
      <c r="D1649" s="6" t="s">
        <v>239</v>
      </c>
      <c r="E1649" s="6" t="s">
        <v>1540</v>
      </c>
      <c r="F1649" s="6" t="s">
        <v>46</v>
      </c>
      <c r="G1649" s="6" t="s">
        <v>7265</v>
      </c>
      <c r="H1649" s="7"/>
      <c r="I1649" s="16" t="s">
        <v>48</v>
      </c>
      <c r="J1649" s="16" t="s">
        <v>48</v>
      </c>
      <c r="AG1649" s="15" t="s">
        <v>55</v>
      </c>
      <c r="AH1649" s="15"/>
      <c r="AI1649" s="15"/>
    </row>
    <row r="1650" spans="1:37" s="6" customFormat="1">
      <c r="A1650" s="6" t="s">
        <v>7266</v>
      </c>
      <c r="B1650" s="6" t="s">
        <v>7267</v>
      </c>
      <c r="C1650" s="6" t="s">
        <v>43</v>
      </c>
      <c r="D1650" s="6" t="s">
        <v>239</v>
      </c>
      <c r="E1650" s="6" t="s">
        <v>1540</v>
      </c>
      <c r="F1650" s="6" t="s">
        <v>46</v>
      </c>
      <c r="G1650" s="6" t="s">
        <v>3068</v>
      </c>
      <c r="H1650" s="7"/>
      <c r="I1650" s="16" t="s">
        <v>48</v>
      </c>
      <c r="J1650" s="16" t="s">
        <v>48</v>
      </c>
      <c r="AG1650" s="15" t="s">
        <v>55</v>
      </c>
      <c r="AH1650" s="15"/>
      <c r="AI1650" s="15"/>
    </row>
    <row r="1651" spans="1:37" s="6" customFormat="1">
      <c r="A1651" s="6" t="s">
        <v>7268</v>
      </c>
      <c r="B1651" s="6" t="s">
        <v>7269</v>
      </c>
      <c r="C1651" s="6" t="s">
        <v>43</v>
      </c>
      <c r="D1651" s="6" t="s">
        <v>239</v>
      </c>
      <c r="E1651" s="6" t="s">
        <v>1540</v>
      </c>
      <c r="F1651" s="6" t="s">
        <v>46</v>
      </c>
      <c r="G1651" s="6" t="s">
        <v>7270</v>
      </c>
      <c r="H1651" s="7"/>
      <c r="I1651" s="16" t="s">
        <v>48</v>
      </c>
      <c r="J1651" s="16" t="s">
        <v>48</v>
      </c>
      <c r="AG1651" s="15" t="s">
        <v>55</v>
      </c>
      <c r="AH1651" s="15"/>
      <c r="AI1651" s="15"/>
    </row>
    <row r="1652" spans="1:37" s="6" customFormat="1">
      <c r="A1652" s="5" t="s">
        <v>7271</v>
      </c>
      <c r="B1652" s="5" t="s">
        <v>7272</v>
      </c>
      <c r="C1652" s="6" t="s">
        <v>7273</v>
      </c>
      <c r="D1652" s="6" t="s">
        <v>1977</v>
      </c>
      <c r="E1652" s="6" t="s">
        <v>1386</v>
      </c>
      <c r="F1652" s="6" t="s">
        <v>46</v>
      </c>
      <c r="G1652" s="6" t="s">
        <v>7274</v>
      </c>
      <c r="H1652" s="7">
        <v>17.489999999999998</v>
      </c>
      <c r="I1652" s="19" t="s">
        <v>1589</v>
      </c>
      <c r="J1652" s="19" t="s">
        <v>2001</v>
      </c>
      <c r="K1652" s="20" t="s">
        <v>2002</v>
      </c>
      <c r="L1652" s="20" t="s">
        <v>2003</v>
      </c>
      <c r="M1652" s="20" t="s">
        <v>2004</v>
      </c>
      <c r="N1652" s="20" t="s">
        <v>2005</v>
      </c>
      <c r="O1652" s="20" t="s">
        <v>7275</v>
      </c>
      <c r="P1652" s="20" t="s">
        <v>7276</v>
      </c>
      <c r="Q1652" s="20" t="s">
        <v>7277</v>
      </c>
      <c r="R1652" s="5" t="s">
        <v>7278</v>
      </c>
      <c r="S1652" s="5"/>
      <c r="T1652" s="5"/>
      <c r="U1652" s="5"/>
      <c r="V1652" s="5"/>
      <c r="W1652" s="20" t="s">
        <v>2010</v>
      </c>
      <c r="X1652" s="20" t="s">
        <v>2011</v>
      </c>
      <c r="Y1652" s="20" t="s">
        <v>2012</v>
      </c>
      <c r="Z1652" s="20" t="s">
        <v>2013</v>
      </c>
      <c r="AA1652" s="5"/>
      <c r="AB1652" s="5"/>
      <c r="AC1652" s="5"/>
      <c r="AD1652" s="5"/>
      <c r="AE1652" s="5"/>
      <c r="AF1652" s="5"/>
      <c r="AG1652" s="14" t="s">
        <v>55</v>
      </c>
      <c r="AH1652" s="14" t="s">
        <v>1603</v>
      </c>
      <c r="AI1652" s="14" t="s">
        <v>124</v>
      </c>
      <c r="AJ1652" s="5"/>
      <c r="AK1652" s="5"/>
    </row>
    <row r="1653" spans="1:37">
      <c r="A1653" s="5" t="s">
        <v>7279</v>
      </c>
      <c r="B1653" s="5" t="s">
        <v>7272</v>
      </c>
      <c r="C1653" s="6" t="s">
        <v>7273</v>
      </c>
      <c r="D1653" s="6" t="s">
        <v>1977</v>
      </c>
      <c r="E1653" s="6" t="s">
        <v>2015</v>
      </c>
      <c r="F1653" s="6" t="s">
        <v>46</v>
      </c>
      <c r="G1653" s="6" t="s">
        <v>1074</v>
      </c>
      <c r="H1653" s="7">
        <v>17.489999999999998</v>
      </c>
      <c r="I1653" s="19" t="s">
        <v>1589</v>
      </c>
      <c r="J1653" s="19" t="s">
        <v>2001</v>
      </c>
      <c r="K1653" s="20" t="s">
        <v>2002</v>
      </c>
      <c r="L1653" s="20" t="s">
        <v>2003</v>
      </c>
      <c r="M1653" s="20" t="s">
        <v>2004</v>
      </c>
      <c r="N1653" s="20" t="s">
        <v>2005</v>
      </c>
      <c r="O1653" s="20" t="s">
        <v>7275</v>
      </c>
      <c r="P1653" s="20" t="s">
        <v>7276</v>
      </c>
      <c r="Q1653" s="20" t="s">
        <v>7277</v>
      </c>
      <c r="R1653" s="5" t="s">
        <v>7278</v>
      </c>
      <c r="W1653" s="20" t="s">
        <v>2010</v>
      </c>
      <c r="X1653" s="20" t="s">
        <v>2011</v>
      </c>
      <c r="Y1653" s="20" t="s">
        <v>2012</v>
      </c>
      <c r="Z1653" s="20" t="s">
        <v>2013</v>
      </c>
      <c r="AG1653" s="14" t="s">
        <v>55</v>
      </c>
      <c r="AH1653" s="14" t="s">
        <v>1603</v>
      </c>
      <c r="AI1653" s="14" t="s">
        <v>124</v>
      </c>
    </row>
    <row r="1654" spans="1:37">
      <c r="A1654" s="5" t="s">
        <v>7280</v>
      </c>
      <c r="B1654" s="5" t="s">
        <v>7272</v>
      </c>
      <c r="C1654" s="6" t="s">
        <v>7273</v>
      </c>
      <c r="D1654" s="6" t="s">
        <v>1977</v>
      </c>
      <c r="E1654" s="6" t="s">
        <v>503</v>
      </c>
      <c r="F1654" s="6" t="s">
        <v>46</v>
      </c>
      <c r="G1654" s="6" t="s">
        <v>7281</v>
      </c>
      <c r="H1654" s="7">
        <v>17.489999999999998</v>
      </c>
      <c r="I1654" s="19" t="s">
        <v>1589</v>
      </c>
      <c r="J1654" s="19" t="s">
        <v>2001</v>
      </c>
      <c r="K1654" s="20" t="s">
        <v>2002</v>
      </c>
      <c r="L1654" s="20" t="s">
        <v>2003</v>
      </c>
      <c r="M1654" s="20" t="s">
        <v>2004</v>
      </c>
      <c r="N1654" s="20" t="s">
        <v>2005</v>
      </c>
      <c r="O1654" s="20" t="s">
        <v>7275</v>
      </c>
      <c r="P1654" s="20" t="s">
        <v>7276</v>
      </c>
      <c r="Q1654" s="20" t="s">
        <v>7277</v>
      </c>
      <c r="R1654" s="5" t="s">
        <v>7278</v>
      </c>
      <c r="W1654" s="20" t="s">
        <v>2010</v>
      </c>
      <c r="X1654" s="20" t="s">
        <v>2011</v>
      </c>
      <c r="Y1654" s="20" t="s">
        <v>2012</v>
      </c>
      <c r="Z1654" s="20" t="s">
        <v>2013</v>
      </c>
      <c r="AG1654" s="14" t="s">
        <v>55</v>
      </c>
      <c r="AH1654" s="14" t="s">
        <v>1603</v>
      </c>
      <c r="AI1654" s="14" t="s">
        <v>124</v>
      </c>
    </row>
    <row r="1655" spans="1:37">
      <c r="A1655" s="5" t="s">
        <v>7282</v>
      </c>
      <c r="B1655" s="5" t="s">
        <v>7283</v>
      </c>
      <c r="C1655" s="6" t="s">
        <v>43</v>
      </c>
      <c r="D1655" s="6" t="s">
        <v>1977</v>
      </c>
      <c r="E1655" s="6" t="s">
        <v>1386</v>
      </c>
      <c r="F1655" s="6" t="s">
        <v>46</v>
      </c>
      <c r="G1655" s="6" t="s">
        <v>7284</v>
      </c>
      <c r="H1655" s="7">
        <v>22.04</v>
      </c>
      <c r="I1655" s="19" t="s">
        <v>1589</v>
      </c>
      <c r="J1655" s="19" t="s">
        <v>2001</v>
      </c>
      <c r="K1655" s="20" t="s">
        <v>2023</v>
      </c>
      <c r="L1655" s="20" t="s">
        <v>2024</v>
      </c>
      <c r="M1655" s="20" t="s">
        <v>2025</v>
      </c>
      <c r="N1655" s="20" t="s">
        <v>2026</v>
      </c>
      <c r="O1655" s="20" t="s">
        <v>7285</v>
      </c>
      <c r="P1655" s="20" t="s">
        <v>7286</v>
      </c>
      <c r="Q1655" s="20" t="s">
        <v>7287</v>
      </c>
      <c r="R1655" s="5" t="s">
        <v>7288</v>
      </c>
      <c r="W1655" s="20" t="s">
        <v>2010</v>
      </c>
      <c r="X1655" s="20" t="s">
        <v>2011</v>
      </c>
      <c r="Y1655" s="20" t="s">
        <v>2012</v>
      </c>
      <c r="Z1655" s="20" t="s">
        <v>2013</v>
      </c>
      <c r="AG1655" s="14" t="s">
        <v>55</v>
      </c>
      <c r="AH1655" s="14" t="s">
        <v>1603</v>
      </c>
      <c r="AI1655" s="14" t="s">
        <v>124</v>
      </c>
    </row>
    <row r="1656" spans="1:37">
      <c r="A1656" s="5" t="s">
        <v>7289</v>
      </c>
      <c r="B1656" s="5" t="s">
        <v>7283</v>
      </c>
      <c r="C1656" s="6" t="s">
        <v>43</v>
      </c>
      <c r="D1656" s="6" t="s">
        <v>1977</v>
      </c>
      <c r="E1656" s="6" t="s">
        <v>2015</v>
      </c>
      <c r="F1656" s="6" t="s">
        <v>46</v>
      </c>
      <c r="G1656" s="6" t="s">
        <v>7290</v>
      </c>
      <c r="H1656" s="7">
        <v>22.04</v>
      </c>
      <c r="I1656" s="19" t="s">
        <v>1589</v>
      </c>
      <c r="J1656" s="19" t="s">
        <v>2001</v>
      </c>
      <c r="K1656" s="20" t="s">
        <v>2023</v>
      </c>
      <c r="L1656" s="20" t="s">
        <v>2024</v>
      </c>
      <c r="M1656" s="20" t="s">
        <v>2025</v>
      </c>
      <c r="N1656" s="20" t="s">
        <v>2026</v>
      </c>
      <c r="O1656" s="20" t="s">
        <v>7285</v>
      </c>
      <c r="P1656" s="20" t="s">
        <v>7286</v>
      </c>
      <c r="Q1656" s="20" t="s">
        <v>7287</v>
      </c>
      <c r="R1656" s="5" t="s">
        <v>7288</v>
      </c>
      <c r="W1656" s="20" t="s">
        <v>2010</v>
      </c>
      <c r="X1656" s="20" t="s">
        <v>2011</v>
      </c>
      <c r="Y1656" s="20" t="s">
        <v>2012</v>
      </c>
      <c r="Z1656" s="20" t="s">
        <v>2013</v>
      </c>
      <c r="AG1656" s="14" t="s">
        <v>55</v>
      </c>
      <c r="AH1656" s="14" t="s">
        <v>1603</v>
      </c>
      <c r="AI1656" s="14" t="s">
        <v>124</v>
      </c>
    </row>
    <row r="1657" spans="1:37">
      <c r="A1657" s="5" t="s">
        <v>7291</v>
      </c>
      <c r="B1657" s="5" t="s">
        <v>7292</v>
      </c>
      <c r="C1657" s="6" t="s">
        <v>43</v>
      </c>
      <c r="D1657" s="6" t="s">
        <v>1977</v>
      </c>
      <c r="E1657" s="6" t="s">
        <v>1386</v>
      </c>
      <c r="F1657" s="6" t="s">
        <v>46</v>
      </c>
      <c r="G1657" s="6" t="s">
        <v>7293</v>
      </c>
      <c r="H1657" s="7">
        <v>23.23</v>
      </c>
      <c r="I1657" s="19" t="s">
        <v>1589</v>
      </c>
      <c r="J1657" s="19" t="s">
        <v>2001</v>
      </c>
      <c r="K1657" s="20" t="s">
        <v>2036</v>
      </c>
      <c r="L1657" s="20" t="s">
        <v>2037</v>
      </c>
      <c r="M1657" s="20" t="s">
        <v>2038</v>
      </c>
      <c r="N1657" s="20" t="s">
        <v>2039</v>
      </c>
      <c r="O1657" s="20" t="s">
        <v>7294</v>
      </c>
      <c r="P1657" s="20" t="s">
        <v>7295</v>
      </c>
      <c r="Q1657" s="20" t="s">
        <v>7296</v>
      </c>
      <c r="R1657" s="5" t="s">
        <v>7297</v>
      </c>
      <c r="W1657" s="20" t="s">
        <v>2010</v>
      </c>
      <c r="X1657" s="20" t="s">
        <v>2011</v>
      </c>
      <c r="Y1657" s="20" t="s">
        <v>2012</v>
      </c>
      <c r="Z1657" s="20" t="s">
        <v>2013</v>
      </c>
      <c r="AG1657" s="14" t="s">
        <v>55</v>
      </c>
      <c r="AH1657" s="14" t="s">
        <v>1603</v>
      </c>
      <c r="AI1657" s="14" t="s">
        <v>124</v>
      </c>
    </row>
    <row r="1658" spans="1:37">
      <c r="A1658" s="5" t="s">
        <v>7298</v>
      </c>
      <c r="B1658" s="5" t="s">
        <v>7292</v>
      </c>
      <c r="C1658" s="6" t="s">
        <v>43</v>
      </c>
      <c r="D1658" s="6" t="s">
        <v>1977</v>
      </c>
      <c r="E1658" s="6" t="s">
        <v>2015</v>
      </c>
      <c r="F1658" s="6" t="s">
        <v>46</v>
      </c>
      <c r="G1658" s="6" t="s">
        <v>7299</v>
      </c>
      <c r="H1658" s="7">
        <v>23.23</v>
      </c>
      <c r="I1658" s="19" t="s">
        <v>1589</v>
      </c>
      <c r="J1658" s="19" t="s">
        <v>2001</v>
      </c>
      <c r="K1658" s="20" t="s">
        <v>2036</v>
      </c>
      <c r="L1658" s="20" t="s">
        <v>2037</v>
      </c>
      <c r="M1658" s="20" t="s">
        <v>2038</v>
      </c>
      <c r="N1658" s="20" t="s">
        <v>2039</v>
      </c>
      <c r="O1658" s="20" t="s">
        <v>7294</v>
      </c>
      <c r="P1658" s="20" t="s">
        <v>7295</v>
      </c>
      <c r="Q1658" s="20" t="s">
        <v>7296</v>
      </c>
      <c r="R1658" s="5" t="s">
        <v>7297</v>
      </c>
      <c r="W1658" s="20" t="s">
        <v>2010</v>
      </c>
      <c r="X1658" s="20" t="s">
        <v>2011</v>
      </c>
      <c r="Y1658" s="20" t="s">
        <v>2012</v>
      </c>
      <c r="Z1658" s="20" t="s">
        <v>2013</v>
      </c>
      <c r="AG1658" s="14" t="s">
        <v>55</v>
      </c>
      <c r="AH1658" s="14" t="s">
        <v>1603</v>
      </c>
      <c r="AI1658" s="14" t="s">
        <v>124</v>
      </c>
    </row>
    <row r="1659" spans="1:37">
      <c r="A1659" s="5" t="s">
        <v>7300</v>
      </c>
      <c r="B1659" s="5" t="s">
        <v>7301</v>
      </c>
      <c r="C1659" s="6" t="s">
        <v>43</v>
      </c>
      <c r="D1659" s="6" t="s">
        <v>1977</v>
      </c>
      <c r="E1659" s="6" t="s">
        <v>1386</v>
      </c>
      <c r="F1659" s="6" t="s">
        <v>46</v>
      </c>
      <c r="G1659" s="6" t="s">
        <v>7302</v>
      </c>
      <c r="H1659" s="7">
        <v>30</v>
      </c>
      <c r="I1659" s="19" t="s">
        <v>1589</v>
      </c>
      <c r="J1659" s="19" t="s">
        <v>2001</v>
      </c>
      <c r="K1659" s="6" t="s">
        <v>2177</v>
      </c>
      <c r="L1659" s="6" t="s">
        <v>2178</v>
      </c>
      <c r="M1659" s="6" t="s">
        <v>2179</v>
      </c>
      <c r="N1659" s="6" t="s">
        <v>2180</v>
      </c>
      <c r="O1659" s="6" t="s">
        <v>7303</v>
      </c>
      <c r="P1659" s="6" t="s">
        <v>7304</v>
      </c>
      <c r="Q1659" s="6" t="s">
        <v>7305</v>
      </c>
      <c r="R1659" s="5"/>
      <c r="S1659" s="6"/>
      <c r="T1659" s="6"/>
      <c r="U1659" s="6"/>
      <c r="W1659" s="20" t="s">
        <v>2010</v>
      </c>
      <c r="X1659" s="20" t="s">
        <v>2011</v>
      </c>
      <c r="Y1659" s="20" t="s">
        <v>2012</v>
      </c>
      <c r="Z1659" s="20" t="s">
        <v>2013</v>
      </c>
      <c r="AG1659" s="14" t="s">
        <v>55</v>
      </c>
      <c r="AH1659" s="14" t="s">
        <v>1603</v>
      </c>
      <c r="AI1659" s="14" t="s">
        <v>124</v>
      </c>
    </row>
    <row r="1660" spans="1:37">
      <c r="A1660" s="5" t="s">
        <v>7306</v>
      </c>
      <c r="B1660" s="5" t="s">
        <v>7307</v>
      </c>
      <c r="C1660" s="6" t="s">
        <v>43</v>
      </c>
      <c r="D1660" s="6" t="s">
        <v>1977</v>
      </c>
      <c r="E1660" s="6" t="s">
        <v>1386</v>
      </c>
      <c r="F1660" s="6" t="s">
        <v>46</v>
      </c>
      <c r="G1660" s="6" t="s">
        <v>7308</v>
      </c>
      <c r="H1660" s="7">
        <v>40.130000000000003</v>
      </c>
      <c r="I1660" s="19" t="s">
        <v>1589</v>
      </c>
      <c r="J1660" s="19" t="s">
        <v>2001</v>
      </c>
      <c r="K1660" s="20" t="s">
        <v>2054</v>
      </c>
      <c r="L1660" s="20" t="s">
        <v>2055</v>
      </c>
      <c r="M1660" s="20" t="s">
        <v>2056</v>
      </c>
      <c r="N1660" s="20" t="s">
        <v>2057</v>
      </c>
      <c r="O1660" s="20" t="s">
        <v>7309</v>
      </c>
      <c r="P1660" s="20" t="s">
        <v>7310</v>
      </c>
      <c r="Q1660" s="20" t="s">
        <v>7311</v>
      </c>
      <c r="R1660" s="5" t="s">
        <v>7312</v>
      </c>
      <c r="W1660" s="20" t="s">
        <v>2010</v>
      </c>
      <c r="X1660" s="20" t="s">
        <v>2011</v>
      </c>
      <c r="Y1660" s="20" t="s">
        <v>2012</v>
      </c>
      <c r="Z1660" s="20" t="s">
        <v>2013</v>
      </c>
      <c r="AG1660" s="14" t="s">
        <v>55</v>
      </c>
      <c r="AH1660" s="14" t="s">
        <v>1603</v>
      </c>
      <c r="AI1660" s="14" t="s">
        <v>124</v>
      </c>
    </row>
    <row r="1661" spans="1:37">
      <c r="A1661" s="5" t="s">
        <v>7313</v>
      </c>
      <c r="B1661" s="5" t="s">
        <v>7307</v>
      </c>
      <c r="C1661" s="6" t="s">
        <v>43</v>
      </c>
      <c r="D1661" s="6" t="s">
        <v>1977</v>
      </c>
      <c r="E1661" s="6" t="s">
        <v>2015</v>
      </c>
      <c r="F1661" s="6" t="s">
        <v>46</v>
      </c>
      <c r="G1661" s="6" t="s">
        <v>7314</v>
      </c>
      <c r="H1661" s="7">
        <v>40.130000000000003</v>
      </c>
      <c r="I1661" s="19" t="s">
        <v>1589</v>
      </c>
      <c r="J1661" s="19" t="s">
        <v>2001</v>
      </c>
      <c r="K1661" s="20" t="s">
        <v>2054</v>
      </c>
      <c r="L1661" s="20" t="s">
        <v>2055</v>
      </c>
      <c r="M1661" s="20" t="s">
        <v>2056</v>
      </c>
      <c r="N1661" s="20" t="s">
        <v>2057</v>
      </c>
      <c r="O1661" s="20" t="s">
        <v>7309</v>
      </c>
      <c r="P1661" s="20" t="s">
        <v>7310</v>
      </c>
      <c r="Q1661" s="20" t="s">
        <v>7311</v>
      </c>
      <c r="R1661" s="5" t="s">
        <v>7312</v>
      </c>
      <c r="W1661" s="20" t="s">
        <v>2010</v>
      </c>
      <c r="X1661" s="20" t="s">
        <v>2011</v>
      </c>
      <c r="Y1661" s="20" t="s">
        <v>2012</v>
      </c>
      <c r="Z1661" s="20" t="s">
        <v>2013</v>
      </c>
      <c r="AG1661" s="14" t="s">
        <v>55</v>
      </c>
      <c r="AH1661" s="14" t="s">
        <v>1603</v>
      </c>
      <c r="AI1661" s="14" t="s">
        <v>124</v>
      </c>
    </row>
    <row r="1662" spans="1:37">
      <c r="A1662" s="5" t="s">
        <v>7315</v>
      </c>
      <c r="B1662" s="5" t="s">
        <v>7316</v>
      </c>
      <c r="C1662" s="6" t="s">
        <v>43</v>
      </c>
      <c r="D1662" s="6" t="s">
        <v>2069</v>
      </c>
      <c r="E1662" s="6" t="s">
        <v>2070</v>
      </c>
      <c r="F1662" s="6" t="s">
        <v>46</v>
      </c>
      <c r="G1662" s="6" t="s">
        <v>7317</v>
      </c>
      <c r="H1662" s="7">
        <v>35.74</v>
      </c>
      <c r="I1662" s="19" t="s">
        <v>1589</v>
      </c>
      <c r="J1662" s="19" t="s">
        <v>2078</v>
      </c>
      <c r="K1662" s="5" t="s">
        <v>2079</v>
      </c>
      <c r="L1662" s="5" t="s">
        <v>2080</v>
      </c>
      <c r="M1662" s="5" t="s">
        <v>2081</v>
      </c>
      <c r="N1662" s="5" t="s">
        <v>2082</v>
      </c>
      <c r="O1662" s="5" t="s">
        <v>7318</v>
      </c>
      <c r="P1662" s="5" t="s">
        <v>7319</v>
      </c>
      <c r="Q1662" s="5" t="s">
        <v>7320</v>
      </c>
      <c r="R1662" s="5"/>
      <c r="Y1662" s="5" t="s">
        <v>2086</v>
      </c>
      <c r="AG1662" s="14" t="s">
        <v>55</v>
      </c>
      <c r="AH1662" s="14" t="s">
        <v>1603</v>
      </c>
      <c r="AI1662" s="14" t="s">
        <v>2087</v>
      </c>
    </row>
    <row r="1663" spans="1:37">
      <c r="A1663" s="5" t="s">
        <v>7321</v>
      </c>
      <c r="B1663" s="5" t="s">
        <v>7316</v>
      </c>
      <c r="C1663" s="6" t="s">
        <v>43</v>
      </c>
      <c r="D1663" s="6" t="s">
        <v>2069</v>
      </c>
      <c r="E1663" s="6" t="s">
        <v>1540</v>
      </c>
      <c r="F1663" s="6" t="s">
        <v>46</v>
      </c>
      <c r="G1663" s="6" t="s">
        <v>7322</v>
      </c>
      <c r="H1663" s="7">
        <v>35.74</v>
      </c>
      <c r="I1663" s="19" t="s">
        <v>1589</v>
      </c>
      <c r="J1663" s="19" t="s">
        <v>2078</v>
      </c>
      <c r="K1663" s="5" t="s">
        <v>2079</v>
      </c>
      <c r="L1663" s="5" t="s">
        <v>2080</v>
      </c>
      <c r="M1663" s="5" t="s">
        <v>2081</v>
      </c>
      <c r="N1663" s="5" t="s">
        <v>2082</v>
      </c>
      <c r="O1663" s="5" t="s">
        <v>7323</v>
      </c>
      <c r="P1663" s="5" t="s">
        <v>7319</v>
      </c>
      <c r="Q1663" s="5" t="s">
        <v>7320</v>
      </c>
      <c r="R1663" s="5"/>
      <c r="Y1663" s="5" t="s">
        <v>2086</v>
      </c>
      <c r="AG1663" s="14" t="s">
        <v>55</v>
      </c>
      <c r="AH1663" s="14" t="s">
        <v>1603</v>
      </c>
      <c r="AI1663" s="14" t="s">
        <v>2087</v>
      </c>
    </row>
    <row r="1664" spans="1:37">
      <c r="A1664" s="5" t="s">
        <v>7324</v>
      </c>
      <c r="B1664" s="5" t="s">
        <v>7316</v>
      </c>
      <c r="C1664" s="6" t="s">
        <v>43</v>
      </c>
      <c r="D1664" s="6" t="s">
        <v>2069</v>
      </c>
      <c r="E1664" s="6" t="s">
        <v>2092</v>
      </c>
      <c r="F1664" s="6" t="s">
        <v>46</v>
      </c>
      <c r="G1664" s="6" t="s">
        <v>2749</v>
      </c>
      <c r="H1664" s="7">
        <v>35.74</v>
      </c>
      <c r="I1664" s="19" t="s">
        <v>1589</v>
      </c>
      <c r="J1664" s="19" t="s">
        <v>2078</v>
      </c>
      <c r="K1664" s="5" t="s">
        <v>2079</v>
      </c>
      <c r="L1664" s="5" t="s">
        <v>2080</v>
      </c>
      <c r="M1664" s="5" t="s">
        <v>2081</v>
      </c>
      <c r="N1664" s="5" t="s">
        <v>2082</v>
      </c>
      <c r="O1664" s="5" t="s">
        <v>7323</v>
      </c>
      <c r="P1664" s="5" t="s">
        <v>7319</v>
      </c>
      <c r="Q1664" s="5" t="s">
        <v>7320</v>
      </c>
      <c r="R1664" s="5"/>
      <c r="Y1664" s="5" t="s">
        <v>2086</v>
      </c>
      <c r="AG1664" s="14" t="s">
        <v>55</v>
      </c>
      <c r="AH1664" s="14" t="s">
        <v>1603</v>
      </c>
      <c r="AI1664" s="14" t="s">
        <v>2087</v>
      </c>
    </row>
    <row r="1665" spans="1:35">
      <c r="A1665" s="5" t="s">
        <v>7325</v>
      </c>
      <c r="B1665" s="5" t="s">
        <v>7326</v>
      </c>
      <c r="C1665" s="6" t="s">
        <v>43</v>
      </c>
      <c r="D1665" s="6" t="s">
        <v>2114</v>
      </c>
      <c r="E1665" s="6" t="s">
        <v>1386</v>
      </c>
      <c r="F1665" s="6" t="s">
        <v>46</v>
      </c>
      <c r="G1665" s="6" t="s">
        <v>7327</v>
      </c>
      <c r="H1665" s="7">
        <v>19.97</v>
      </c>
      <c r="I1665" s="19" t="s">
        <v>1589</v>
      </c>
      <c r="J1665" s="19" t="s">
        <v>2001</v>
      </c>
      <c r="K1665" s="5" t="s">
        <v>2116</v>
      </c>
      <c r="L1665" s="5" t="s">
        <v>2117</v>
      </c>
      <c r="M1665" s="5" t="s">
        <v>2118</v>
      </c>
      <c r="N1665" s="5" t="s">
        <v>2119</v>
      </c>
      <c r="O1665" s="5" t="s">
        <v>7328</v>
      </c>
      <c r="P1665" s="5" t="s">
        <v>7329</v>
      </c>
      <c r="Q1665" s="5" t="s">
        <v>7330</v>
      </c>
      <c r="R1665" s="5"/>
      <c r="W1665" s="5" t="s">
        <v>2123</v>
      </c>
      <c r="X1665" s="5" t="s">
        <v>2011</v>
      </c>
      <c r="Y1665" s="5" t="s">
        <v>2012</v>
      </c>
      <c r="Z1665" s="5" t="s">
        <v>2013</v>
      </c>
      <c r="AG1665" s="14" t="s">
        <v>55</v>
      </c>
      <c r="AH1665" s="14" t="s">
        <v>1603</v>
      </c>
      <c r="AI1665" s="14" t="s">
        <v>124</v>
      </c>
    </row>
    <row r="1666" spans="1:35">
      <c r="A1666" s="5" t="s">
        <v>7331</v>
      </c>
      <c r="B1666" s="5" t="s">
        <v>7326</v>
      </c>
      <c r="C1666" s="6" t="s">
        <v>5663</v>
      </c>
      <c r="D1666" s="6" t="s">
        <v>2114</v>
      </c>
      <c r="E1666" s="6" t="s">
        <v>2015</v>
      </c>
      <c r="F1666" s="6" t="s">
        <v>46</v>
      </c>
      <c r="G1666" s="6" t="s">
        <v>7332</v>
      </c>
      <c r="H1666" s="7">
        <v>19.97</v>
      </c>
      <c r="I1666" s="19" t="s">
        <v>1589</v>
      </c>
      <c r="J1666" s="19" t="s">
        <v>2001</v>
      </c>
      <c r="K1666" s="5" t="s">
        <v>2116</v>
      </c>
      <c r="L1666" s="5" t="s">
        <v>2117</v>
      </c>
      <c r="M1666" s="5" t="s">
        <v>2118</v>
      </c>
      <c r="N1666" s="5" t="s">
        <v>2119</v>
      </c>
      <c r="O1666" s="5" t="s">
        <v>7328</v>
      </c>
      <c r="P1666" s="5" t="s">
        <v>7329</v>
      </c>
      <c r="Q1666" s="5" t="s">
        <v>7330</v>
      </c>
      <c r="R1666" s="5"/>
      <c r="W1666" s="5" t="s">
        <v>2123</v>
      </c>
      <c r="X1666" s="5" t="s">
        <v>2011</v>
      </c>
      <c r="Y1666" s="5" t="s">
        <v>2012</v>
      </c>
      <c r="Z1666" s="5" t="s">
        <v>2013</v>
      </c>
      <c r="AG1666" s="14" t="s">
        <v>55</v>
      </c>
      <c r="AH1666" s="14" t="s">
        <v>1603</v>
      </c>
      <c r="AI1666" s="14" t="s">
        <v>124</v>
      </c>
    </row>
    <row r="1667" spans="1:35">
      <c r="A1667" s="5" t="s">
        <v>7333</v>
      </c>
      <c r="B1667" s="5" t="s">
        <v>7334</v>
      </c>
      <c r="C1667" s="6" t="s">
        <v>43</v>
      </c>
      <c r="D1667" s="6" t="s">
        <v>2114</v>
      </c>
      <c r="E1667" s="6" t="s">
        <v>2129</v>
      </c>
      <c r="F1667" s="6" t="s">
        <v>46</v>
      </c>
      <c r="G1667" s="6" t="s">
        <v>7335</v>
      </c>
      <c r="H1667" s="7">
        <v>26</v>
      </c>
      <c r="I1667" s="19" t="s">
        <v>1589</v>
      </c>
      <c r="J1667" s="19" t="s">
        <v>2001</v>
      </c>
      <c r="K1667" s="5" t="s">
        <v>2131</v>
      </c>
      <c r="L1667" s="5" t="s">
        <v>2132</v>
      </c>
      <c r="M1667" s="5" t="s">
        <v>2133</v>
      </c>
      <c r="N1667" s="5" t="s">
        <v>2134</v>
      </c>
      <c r="O1667" s="5" t="s">
        <v>7336</v>
      </c>
      <c r="P1667" s="5" t="s">
        <v>7337</v>
      </c>
      <c r="Q1667" s="5" t="s">
        <v>7338</v>
      </c>
      <c r="R1667" s="5"/>
      <c r="W1667" s="5" t="s">
        <v>2123</v>
      </c>
      <c r="X1667" s="5" t="s">
        <v>2011</v>
      </c>
      <c r="Y1667" s="5" t="s">
        <v>2012</v>
      </c>
      <c r="Z1667" s="5" t="s">
        <v>2013</v>
      </c>
      <c r="AG1667" s="14" t="s">
        <v>55</v>
      </c>
      <c r="AH1667" s="14" t="s">
        <v>1603</v>
      </c>
      <c r="AI1667" s="14" t="s">
        <v>124</v>
      </c>
    </row>
    <row r="1668" spans="1:35">
      <c r="A1668" s="5" t="s">
        <v>7339</v>
      </c>
      <c r="B1668" s="5" t="s">
        <v>7334</v>
      </c>
      <c r="C1668" s="6" t="s">
        <v>43</v>
      </c>
      <c r="D1668" s="6" t="s">
        <v>2114</v>
      </c>
      <c r="E1668" s="6" t="s">
        <v>1386</v>
      </c>
      <c r="F1668" s="6" t="s">
        <v>46</v>
      </c>
      <c r="G1668" s="6" t="s">
        <v>7340</v>
      </c>
      <c r="H1668" s="7">
        <v>26</v>
      </c>
      <c r="I1668" s="19" t="s">
        <v>1589</v>
      </c>
      <c r="J1668" s="19" t="s">
        <v>2001</v>
      </c>
      <c r="K1668" s="5" t="s">
        <v>2131</v>
      </c>
      <c r="L1668" s="5" t="s">
        <v>2132</v>
      </c>
      <c r="M1668" s="5" t="s">
        <v>2133</v>
      </c>
      <c r="N1668" s="5" t="s">
        <v>2134</v>
      </c>
      <c r="O1668" s="5" t="s">
        <v>7336</v>
      </c>
      <c r="P1668" s="5" t="s">
        <v>7337</v>
      </c>
      <c r="Q1668" s="5" t="s">
        <v>7338</v>
      </c>
      <c r="R1668" s="5"/>
      <c r="W1668" s="5" t="s">
        <v>2123</v>
      </c>
      <c r="X1668" s="5" t="s">
        <v>2011</v>
      </c>
      <c r="Y1668" s="5" t="s">
        <v>2012</v>
      </c>
      <c r="Z1668" s="5" t="s">
        <v>2013</v>
      </c>
      <c r="AG1668" s="14" t="s">
        <v>55</v>
      </c>
      <c r="AH1668" s="14" t="s">
        <v>1603</v>
      </c>
      <c r="AI1668" s="14" t="s">
        <v>124</v>
      </c>
    </row>
    <row r="1669" spans="1:35">
      <c r="A1669" s="5" t="s">
        <v>7341</v>
      </c>
      <c r="B1669" s="5" t="s">
        <v>7334</v>
      </c>
      <c r="C1669" s="6" t="s">
        <v>43</v>
      </c>
      <c r="D1669" s="6" t="s">
        <v>2114</v>
      </c>
      <c r="E1669" s="6" t="s">
        <v>2015</v>
      </c>
      <c r="F1669" s="6" t="s">
        <v>46</v>
      </c>
      <c r="G1669" s="6" t="s">
        <v>7342</v>
      </c>
      <c r="H1669" s="7">
        <v>26</v>
      </c>
      <c r="I1669" s="19" t="s">
        <v>1589</v>
      </c>
      <c r="J1669" s="19" t="s">
        <v>2001</v>
      </c>
      <c r="K1669" s="5" t="s">
        <v>2131</v>
      </c>
      <c r="L1669" s="5" t="s">
        <v>2132</v>
      </c>
      <c r="M1669" s="5" t="s">
        <v>2133</v>
      </c>
      <c r="N1669" s="5" t="s">
        <v>2134</v>
      </c>
      <c r="O1669" s="5" t="s">
        <v>7336</v>
      </c>
      <c r="P1669" s="5" t="s">
        <v>7337</v>
      </c>
      <c r="Q1669" s="5" t="s">
        <v>7338</v>
      </c>
      <c r="R1669" s="5"/>
      <c r="W1669" s="5" t="s">
        <v>2123</v>
      </c>
      <c r="X1669" s="5" t="s">
        <v>2011</v>
      </c>
      <c r="Y1669" s="5" t="s">
        <v>2012</v>
      </c>
      <c r="Z1669" s="5" t="s">
        <v>2013</v>
      </c>
      <c r="AG1669" s="14" t="s">
        <v>55</v>
      </c>
      <c r="AH1669" s="14" t="s">
        <v>1603</v>
      </c>
      <c r="AI1669" s="14" t="s">
        <v>124</v>
      </c>
    </row>
    <row r="1670" spans="1:35">
      <c r="A1670" s="5" t="s">
        <v>7343</v>
      </c>
      <c r="B1670" s="5" t="s">
        <v>7334</v>
      </c>
      <c r="C1670" s="6" t="s">
        <v>43</v>
      </c>
      <c r="D1670" s="6" t="s">
        <v>2114</v>
      </c>
      <c r="E1670" s="6" t="s">
        <v>503</v>
      </c>
      <c r="F1670" s="6" t="s">
        <v>46</v>
      </c>
      <c r="G1670" s="6" t="s">
        <v>7344</v>
      </c>
      <c r="H1670" s="7">
        <v>26</v>
      </c>
      <c r="I1670" s="19" t="s">
        <v>1589</v>
      </c>
      <c r="J1670" s="19" t="s">
        <v>2001</v>
      </c>
      <c r="K1670" s="5" t="s">
        <v>2131</v>
      </c>
      <c r="L1670" s="5" t="s">
        <v>2132</v>
      </c>
      <c r="M1670" s="5" t="s">
        <v>2133</v>
      </c>
      <c r="N1670" s="5" t="s">
        <v>2134</v>
      </c>
      <c r="O1670" s="5" t="s">
        <v>7336</v>
      </c>
      <c r="P1670" s="5" t="s">
        <v>7337</v>
      </c>
      <c r="Q1670" s="5" t="s">
        <v>7338</v>
      </c>
      <c r="R1670" s="5"/>
      <c r="W1670" s="5" t="s">
        <v>2123</v>
      </c>
      <c r="X1670" s="5" t="s">
        <v>2011</v>
      </c>
      <c r="Y1670" s="5" t="s">
        <v>2012</v>
      </c>
      <c r="Z1670" s="5" t="s">
        <v>2013</v>
      </c>
      <c r="AG1670" s="14" t="s">
        <v>55</v>
      </c>
      <c r="AH1670" s="14" t="s">
        <v>1603</v>
      </c>
      <c r="AI1670" s="14" t="s">
        <v>124</v>
      </c>
    </row>
    <row r="1671" spans="1:35">
      <c r="A1671" s="5" t="s">
        <v>7345</v>
      </c>
      <c r="B1671" s="5" t="s">
        <v>7346</v>
      </c>
      <c r="C1671" s="6" t="s">
        <v>7347</v>
      </c>
      <c r="D1671" s="6" t="s">
        <v>2114</v>
      </c>
      <c r="E1671" s="6" t="s">
        <v>1386</v>
      </c>
      <c r="F1671" s="6" t="s">
        <v>46</v>
      </c>
      <c r="G1671" s="6" t="s">
        <v>6914</v>
      </c>
      <c r="H1671" s="7">
        <v>27.46</v>
      </c>
      <c r="I1671" s="19" t="s">
        <v>1589</v>
      </c>
      <c r="J1671" s="19" t="s">
        <v>2001</v>
      </c>
      <c r="K1671" s="6" t="s">
        <v>2148</v>
      </c>
      <c r="L1671" s="6" t="s">
        <v>2149</v>
      </c>
      <c r="M1671" s="6" t="s">
        <v>2150</v>
      </c>
      <c r="N1671" s="6" t="s">
        <v>2151</v>
      </c>
      <c r="O1671" s="6" t="s">
        <v>7348</v>
      </c>
      <c r="P1671" s="6" t="s">
        <v>7349</v>
      </c>
      <c r="Q1671" s="6" t="s">
        <v>7350</v>
      </c>
      <c r="R1671" s="5"/>
      <c r="W1671" s="20" t="s">
        <v>2010</v>
      </c>
      <c r="X1671" s="20" t="s">
        <v>2011</v>
      </c>
      <c r="Y1671" s="20" t="s">
        <v>2012</v>
      </c>
      <c r="Z1671" s="20" t="s">
        <v>2013</v>
      </c>
      <c r="AG1671" s="14" t="s">
        <v>55</v>
      </c>
      <c r="AH1671" s="14" t="s">
        <v>1603</v>
      </c>
      <c r="AI1671" s="14" t="s">
        <v>124</v>
      </c>
    </row>
    <row r="1672" spans="1:35">
      <c r="A1672" s="5" t="s">
        <v>7351</v>
      </c>
      <c r="B1672" s="5" t="s">
        <v>7346</v>
      </c>
      <c r="C1672" s="6" t="s">
        <v>43</v>
      </c>
      <c r="D1672" s="6" t="s">
        <v>239</v>
      </c>
      <c r="E1672" s="6" t="s">
        <v>2015</v>
      </c>
      <c r="F1672" s="6" t="s">
        <v>46</v>
      </c>
      <c r="G1672" s="6" t="s">
        <v>7352</v>
      </c>
      <c r="H1672" s="7">
        <v>27.46</v>
      </c>
      <c r="I1672" s="19" t="s">
        <v>1589</v>
      </c>
      <c r="J1672" s="19" t="s">
        <v>2001</v>
      </c>
      <c r="K1672" s="6" t="s">
        <v>2148</v>
      </c>
      <c r="L1672" s="6" t="s">
        <v>2149</v>
      </c>
      <c r="M1672" s="6" t="s">
        <v>2150</v>
      </c>
      <c r="N1672" s="6" t="s">
        <v>2151</v>
      </c>
      <c r="O1672" s="6" t="s">
        <v>7348</v>
      </c>
      <c r="P1672" s="6" t="s">
        <v>7349</v>
      </c>
      <c r="Q1672" s="6" t="s">
        <v>7350</v>
      </c>
      <c r="R1672" s="5"/>
      <c r="W1672" s="20" t="s">
        <v>2010</v>
      </c>
      <c r="X1672" s="20" t="s">
        <v>2011</v>
      </c>
      <c r="Y1672" s="20" t="s">
        <v>2012</v>
      </c>
      <c r="Z1672" s="20" t="s">
        <v>2013</v>
      </c>
      <c r="AG1672" s="14" t="s">
        <v>55</v>
      </c>
      <c r="AH1672" s="14" t="s">
        <v>1603</v>
      </c>
      <c r="AI1672" s="14" t="s">
        <v>124</v>
      </c>
    </row>
    <row r="1673" spans="1:35">
      <c r="A1673" s="5" t="s">
        <v>7353</v>
      </c>
      <c r="B1673" s="5" t="s">
        <v>7354</v>
      </c>
      <c r="C1673" s="6" t="s">
        <v>43</v>
      </c>
      <c r="D1673" s="6" t="s">
        <v>2114</v>
      </c>
      <c r="E1673" s="6" t="s">
        <v>1386</v>
      </c>
      <c r="F1673" s="6" t="s">
        <v>46</v>
      </c>
      <c r="G1673" s="6" t="s">
        <v>6307</v>
      </c>
      <c r="H1673" s="26">
        <v>32.67</v>
      </c>
      <c r="I1673" s="19" t="s">
        <v>1589</v>
      </c>
      <c r="J1673" s="19" t="s">
        <v>2162</v>
      </c>
      <c r="K1673" s="5" t="s">
        <v>2163</v>
      </c>
      <c r="L1673" s="5" t="s">
        <v>2164</v>
      </c>
      <c r="M1673" s="5" t="s">
        <v>2165</v>
      </c>
      <c r="N1673" s="5" t="s">
        <v>2166</v>
      </c>
      <c r="O1673" s="5" t="s">
        <v>7355</v>
      </c>
      <c r="P1673" s="5" t="s">
        <v>7356</v>
      </c>
      <c r="Q1673" s="5" t="s">
        <v>7357</v>
      </c>
      <c r="R1673" s="5"/>
      <c r="W1673" s="5" t="s">
        <v>2170</v>
      </c>
      <c r="X1673" s="5" t="s">
        <v>2171</v>
      </c>
      <c r="Y1673" s="5" t="s">
        <v>2172</v>
      </c>
      <c r="Z1673" s="5" t="s">
        <v>2173</v>
      </c>
      <c r="AG1673" s="14" t="s">
        <v>55</v>
      </c>
      <c r="AH1673" s="14" t="s">
        <v>1603</v>
      </c>
      <c r="AI1673" s="14" t="s">
        <v>124</v>
      </c>
    </row>
    <row r="1674" spans="1:35">
      <c r="A1674" s="5" t="s">
        <v>7358</v>
      </c>
      <c r="B1674" s="5" t="s">
        <v>7359</v>
      </c>
      <c r="C1674" s="6" t="s">
        <v>43</v>
      </c>
      <c r="D1674" s="6" t="s">
        <v>2114</v>
      </c>
      <c r="E1674" s="6" t="s">
        <v>1386</v>
      </c>
      <c r="F1674" s="6" t="s">
        <v>46</v>
      </c>
      <c r="G1674" s="6" t="s">
        <v>7360</v>
      </c>
      <c r="H1674" s="7">
        <v>39.200000000000003</v>
      </c>
      <c r="I1674" s="19" t="s">
        <v>1589</v>
      </c>
      <c r="J1674" s="19" t="s">
        <v>2001</v>
      </c>
      <c r="K1674" s="6" t="s">
        <v>2177</v>
      </c>
      <c r="L1674" s="6" t="s">
        <v>2178</v>
      </c>
      <c r="M1674" s="6" t="s">
        <v>2179</v>
      </c>
      <c r="N1674" s="6" t="s">
        <v>2180</v>
      </c>
      <c r="O1674" s="6" t="s">
        <v>7361</v>
      </c>
      <c r="P1674" s="6" t="s">
        <v>7362</v>
      </c>
      <c r="Q1674" s="6" t="s">
        <v>7363</v>
      </c>
      <c r="R1674" s="5"/>
      <c r="S1674" s="6"/>
      <c r="T1674" s="6"/>
      <c r="U1674" s="6"/>
      <c r="W1674" s="20" t="s">
        <v>2010</v>
      </c>
      <c r="X1674" s="20" t="s">
        <v>2011</v>
      </c>
      <c r="Y1674" s="20" t="s">
        <v>2012</v>
      </c>
      <c r="Z1674" s="20" t="s">
        <v>2013</v>
      </c>
      <c r="AG1674" s="14" t="s">
        <v>55</v>
      </c>
      <c r="AH1674" s="14" t="s">
        <v>1603</v>
      </c>
      <c r="AI1674" s="14" t="s">
        <v>124</v>
      </c>
    </row>
    <row r="1675" spans="1:35">
      <c r="A1675" s="5" t="s">
        <v>7364</v>
      </c>
      <c r="B1675" s="5" t="s">
        <v>7365</v>
      </c>
      <c r="C1675" s="6" t="s">
        <v>43</v>
      </c>
      <c r="D1675" s="6" t="s">
        <v>2114</v>
      </c>
      <c r="E1675" s="6" t="s">
        <v>2015</v>
      </c>
      <c r="F1675" s="6" t="s">
        <v>46</v>
      </c>
      <c r="G1675" s="6" t="s">
        <v>2954</v>
      </c>
      <c r="H1675" s="7">
        <v>56.82</v>
      </c>
      <c r="I1675" s="19" t="s">
        <v>1589</v>
      </c>
      <c r="J1675" s="19" t="s">
        <v>2001</v>
      </c>
      <c r="K1675" s="6" t="s">
        <v>4178</v>
      </c>
      <c r="L1675" s="6" t="s">
        <v>4179</v>
      </c>
      <c r="M1675" s="6" t="s">
        <v>4180</v>
      </c>
      <c r="N1675" s="6" t="s">
        <v>4181</v>
      </c>
      <c r="O1675" s="6" t="s">
        <v>7366</v>
      </c>
      <c r="P1675" s="6" t="s">
        <v>7367</v>
      </c>
      <c r="Q1675" s="6" t="s">
        <v>7368</v>
      </c>
      <c r="R1675" s="5"/>
      <c r="AG1675" s="14" t="s">
        <v>55</v>
      </c>
      <c r="AH1675" s="14" t="s">
        <v>1603</v>
      </c>
      <c r="AI1675" s="14" t="s">
        <v>124</v>
      </c>
    </row>
    <row r="1676" spans="1:35">
      <c r="A1676" s="5" t="s">
        <v>7369</v>
      </c>
      <c r="B1676" s="5" t="s">
        <v>7370</v>
      </c>
      <c r="C1676" s="6" t="s">
        <v>43</v>
      </c>
      <c r="D1676" s="6" t="s">
        <v>2189</v>
      </c>
      <c r="E1676" s="6" t="s">
        <v>1386</v>
      </c>
      <c r="F1676" s="6" t="s">
        <v>46</v>
      </c>
      <c r="G1676" s="6" t="s">
        <v>7371</v>
      </c>
      <c r="H1676" s="7">
        <v>25.58</v>
      </c>
      <c r="I1676" s="19" t="s">
        <v>1589</v>
      </c>
      <c r="J1676" s="19" t="s">
        <v>2191</v>
      </c>
      <c r="K1676" s="5" t="s">
        <v>2192</v>
      </c>
      <c r="L1676" s="5" t="s">
        <v>2193</v>
      </c>
      <c r="M1676" s="5" t="s">
        <v>2194</v>
      </c>
      <c r="N1676" s="5" t="s">
        <v>2195</v>
      </c>
      <c r="O1676" s="5" t="s">
        <v>7372</v>
      </c>
      <c r="P1676" s="5" t="s">
        <v>7373</v>
      </c>
      <c r="Q1676" s="5" t="s">
        <v>7374</v>
      </c>
      <c r="R1676" s="5"/>
      <c r="Y1676" s="5" t="s">
        <v>2086</v>
      </c>
      <c r="AG1676" s="14" t="s">
        <v>55</v>
      </c>
      <c r="AH1676" s="14" t="s">
        <v>1603</v>
      </c>
      <c r="AI1676" s="14" t="s">
        <v>2087</v>
      </c>
    </row>
    <row r="1677" spans="1:35">
      <c r="A1677" s="5" t="s">
        <v>7375</v>
      </c>
      <c r="B1677" s="5" t="s">
        <v>7370</v>
      </c>
      <c r="C1677" s="6" t="s">
        <v>43</v>
      </c>
      <c r="D1677" s="6" t="s">
        <v>2189</v>
      </c>
      <c r="E1677" s="6" t="s">
        <v>2015</v>
      </c>
      <c r="F1677" s="6" t="s">
        <v>46</v>
      </c>
      <c r="G1677" s="6" t="s">
        <v>7376</v>
      </c>
      <c r="H1677" s="7">
        <v>25.58</v>
      </c>
      <c r="I1677" s="19" t="s">
        <v>1589</v>
      </c>
      <c r="J1677" s="19" t="s">
        <v>2191</v>
      </c>
      <c r="K1677" s="5" t="s">
        <v>2192</v>
      </c>
      <c r="L1677" s="5" t="s">
        <v>2193</v>
      </c>
      <c r="M1677" s="5" t="s">
        <v>2194</v>
      </c>
      <c r="N1677" s="5" t="s">
        <v>2195</v>
      </c>
      <c r="O1677" s="5" t="s">
        <v>7372</v>
      </c>
      <c r="P1677" s="5" t="s">
        <v>7373</v>
      </c>
      <c r="Q1677" s="5" t="s">
        <v>7374</v>
      </c>
      <c r="R1677" s="5"/>
      <c r="Y1677" s="5" t="s">
        <v>2086</v>
      </c>
      <c r="AG1677" s="14" t="s">
        <v>55</v>
      </c>
      <c r="AH1677" s="14" t="s">
        <v>1603</v>
      </c>
      <c r="AI1677" s="14" t="s">
        <v>2087</v>
      </c>
    </row>
    <row r="1678" spans="1:35">
      <c r="A1678" s="5" t="s">
        <v>7377</v>
      </c>
      <c r="B1678" s="5" t="s">
        <v>7378</v>
      </c>
      <c r="C1678" s="6" t="s">
        <v>43</v>
      </c>
      <c r="D1678" s="6" t="s">
        <v>2189</v>
      </c>
      <c r="E1678" s="6" t="s">
        <v>2015</v>
      </c>
      <c r="F1678" s="6" t="s">
        <v>46</v>
      </c>
      <c r="G1678" s="6" t="s">
        <v>7379</v>
      </c>
      <c r="H1678" s="7">
        <v>30.23</v>
      </c>
      <c r="I1678" s="19" t="s">
        <v>1589</v>
      </c>
      <c r="J1678" s="19" t="s">
        <v>2191</v>
      </c>
      <c r="K1678" s="5" t="s">
        <v>2218</v>
      </c>
      <c r="L1678" s="5" t="s">
        <v>2219</v>
      </c>
      <c r="M1678" s="5" t="s">
        <v>2220</v>
      </c>
      <c r="N1678" s="5" t="s">
        <v>2221</v>
      </c>
      <c r="O1678" s="5" t="s">
        <v>7380</v>
      </c>
      <c r="P1678" s="5" t="s">
        <v>7381</v>
      </c>
      <c r="Q1678" s="5" t="s">
        <v>7382</v>
      </c>
      <c r="R1678" s="5"/>
      <c r="AG1678" s="14" t="s">
        <v>55</v>
      </c>
      <c r="AH1678" s="14" t="s">
        <v>1603</v>
      </c>
      <c r="AI1678" s="14" t="s">
        <v>2087</v>
      </c>
    </row>
    <row r="1679" spans="1:35">
      <c r="A1679" s="5" t="s">
        <v>7383</v>
      </c>
      <c r="B1679" s="5" t="s">
        <v>7378</v>
      </c>
      <c r="C1679" s="6" t="s">
        <v>43</v>
      </c>
      <c r="D1679" s="6" t="s">
        <v>2189</v>
      </c>
      <c r="E1679" s="6" t="s">
        <v>2070</v>
      </c>
      <c r="F1679" s="6" t="s">
        <v>46</v>
      </c>
      <c r="G1679" s="6" t="s">
        <v>7384</v>
      </c>
      <c r="H1679" s="7">
        <v>30.23</v>
      </c>
      <c r="I1679" s="19" t="s">
        <v>1589</v>
      </c>
      <c r="J1679" s="19" t="s">
        <v>2191</v>
      </c>
      <c r="K1679" s="5" t="s">
        <v>2218</v>
      </c>
      <c r="L1679" s="5" t="s">
        <v>2219</v>
      </c>
      <c r="M1679" s="5" t="s">
        <v>2220</v>
      </c>
      <c r="N1679" s="5" t="s">
        <v>2221</v>
      </c>
      <c r="O1679" s="5" t="s">
        <v>7380</v>
      </c>
      <c r="P1679" s="5" t="s">
        <v>7381</v>
      </c>
      <c r="Q1679" s="5" t="s">
        <v>7382</v>
      </c>
      <c r="R1679" s="5"/>
      <c r="AG1679" s="14" t="s">
        <v>55</v>
      </c>
      <c r="AH1679" s="14" t="s">
        <v>1603</v>
      </c>
      <c r="AI1679" s="14" t="s">
        <v>2087</v>
      </c>
    </row>
    <row r="1680" spans="1:35">
      <c r="A1680" s="5" t="s">
        <v>7385</v>
      </c>
      <c r="B1680" s="5" t="s">
        <v>7386</v>
      </c>
      <c r="C1680" s="6" t="s">
        <v>43</v>
      </c>
      <c r="D1680" s="6" t="s">
        <v>2189</v>
      </c>
      <c r="E1680" s="6" t="s">
        <v>2070</v>
      </c>
      <c r="F1680" s="6" t="s">
        <v>46</v>
      </c>
      <c r="G1680" s="6" t="s">
        <v>7387</v>
      </c>
      <c r="H1680" s="7">
        <v>40.03</v>
      </c>
      <c r="I1680" s="19" t="s">
        <v>1589</v>
      </c>
      <c r="J1680" s="19" t="s">
        <v>2191</v>
      </c>
      <c r="K1680" s="5" t="s">
        <v>2242</v>
      </c>
      <c r="L1680" s="5" t="s">
        <v>2243</v>
      </c>
      <c r="M1680" s="5" t="s">
        <v>2244</v>
      </c>
      <c r="N1680" s="5" t="s">
        <v>2245</v>
      </c>
      <c r="O1680" s="5" t="s">
        <v>7388</v>
      </c>
      <c r="P1680" s="5" t="s">
        <v>7389</v>
      </c>
      <c r="Q1680" s="5" t="s">
        <v>7390</v>
      </c>
      <c r="R1680" s="5"/>
      <c r="Y1680" s="5" t="s">
        <v>2086</v>
      </c>
      <c r="AG1680" s="14" t="s">
        <v>55</v>
      </c>
      <c r="AH1680" s="14" t="s">
        <v>1603</v>
      </c>
      <c r="AI1680" s="14" t="s">
        <v>2087</v>
      </c>
    </row>
    <row r="1681" spans="1:50">
      <c r="A1681" s="5" t="s">
        <v>7391</v>
      </c>
      <c r="B1681" s="5" t="s">
        <v>7392</v>
      </c>
      <c r="C1681" s="6" t="s">
        <v>43</v>
      </c>
      <c r="D1681" s="6" t="s">
        <v>239</v>
      </c>
      <c r="E1681" s="6" t="s">
        <v>1540</v>
      </c>
      <c r="F1681" s="6" t="s">
        <v>46</v>
      </c>
      <c r="G1681" s="6" t="s">
        <v>7393</v>
      </c>
      <c r="H1681" s="7">
        <v>36.43</v>
      </c>
      <c r="I1681" s="19" t="s">
        <v>1589</v>
      </c>
      <c r="J1681" s="19" t="s">
        <v>2254</v>
      </c>
      <c r="K1681" s="5" t="s">
        <v>2255</v>
      </c>
      <c r="L1681" s="5" t="s">
        <v>2256</v>
      </c>
      <c r="M1681" s="5" t="s">
        <v>2257</v>
      </c>
      <c r="N1681" s="5" t="s">
        <v>2258</v>
      </c>
      <c r="O1681" s="5" t="s">
        <v>7394</v>
      </c>
      <c r="P1681" s="5" t="s">
        <v>7395</v>
      </c>
      <c r="Q1681" s="5" t="s">
        <v>7396</v>
      </c>
      <c r="R1681" s="5" t="s">
        <v>7397</v>
      </c>
      <c r="Y1681" s="5" t="s">
        <v>2263</v>
      </c>
      <c r="AG1681" s="14" t="s">
        <v>55</v>
      </c>
      <c r="AH1681" s="14" t="s">
        <v>1603</v>
      </c>
      <c r="AI1681" s="14" t="s">
        <v>2264</v>
      </c>
    </row>
    <row r="1682" spans="1:50">
      <c r="A1682" s="5" t="s">
        <v>7398</v>
      </c>
      <c r="B1682" s="5" t="s">
        <v>7399</v>
      </c>
      <c r="C1682" s="6" t="s">
        <v>43</v>
      </c>
      <c r="D1682" s="6" t="s">
        <v>239</v>
      </c>
      <c r="E1682" s="6" t="s">
        <v>1540</v>
      </c>
      <c r="F1682" s="6" t="s">
        <v>46</v>
      </c>
      <c r="G1682" s="6" t="s">
        <v>7400</v>
      </c>
      <c r="H1682" s="7">
        <v>38.03</v>
      </c>
      <c r="I1682" s="19" t="s">
        <v>1589</v>
      </c>
      <c r="J1682" s="19" t="s">
        <v>2254</v>
      </c>
      <c r="K1682" s="5" t="s">
        <v>2271</v>
      </c>
      <c r="L1682" s="5" t="s">
        <v>2272</v>
      </c>
      <c r="M1682" s="5" t="s">
        <v>2273</v>
      </c>
      <c r="N1682" s="5" t="s">
        <v>2274</v>
      </c>
      <c r="O1682" s="5" t="s">
        <v>7401</v>
      </c>
      <c r="P1682" s="5" t="s">
        <v>7402</v>
      </c>
      <c r="Q1682" s="5" t="s">
        <v>7403</v>
      </c>
      <c r="R1682" s="5" t="s">
        <v>7404</v>
      </c>
      <c r="Y1682" s="5" t="s">
        <v>2263</v>
      </c>
      <c r="AG1682" s="14" t="s">
        <v>55</v>
      </c>
      <c r="AH1682" s="14" t="s">
        <v>1603</v>
      </c>
      <c r="AI1682" s="14" t="s">
        <v>2264</v>
      </c>
    </row>
    <row r="1683" spans="1:50">
      <c r="A1683" s="5" t="s">
        <v>7405</v>
      </c>
      <c r="B1683" s="5" t="s">
        <v>7406</v>
      </c>
      <c r="C1683" s="6" t="s">
        <v>2281</v>
      </c>
      <c r="D1683" s="6" t="s">
        <v>1645</v>
      </c>
      <c r="E1683" s="6" t="s">
        <v>1386</v>
      </c>
      <c r="F1683" s="6" t="s">
        <v>46</v>
      </c>
      <c r="G1683" s="6" t="s">
        <v>7407</v>
      </c>
      <c r="H1683" s="7">
        <v>41.48</v>
      </c>
      <c r="I1683" s="19" t="s">
        <v>2283</v>
      </c>
      <c r="J1683" s="19" t="s">
        <v>2284</v>
      </c>
      <c r="K1683" s="6" t="s">
        <v>2285</v>
      </c>
      <c r="L1683" s="6" t="s">
        <v>2286</v>
      </c>
      <c r="M1683" s="6" t="s">
        <v>2287</v>
      </c>
      <c r="N1683" s="6" t="s">
        <v>2288</v>
      </c>
      <c r="O1683" s="6" t="s">
        <v>7408</v>
      </c>
      <c r="P1683" s="6" t="s">
        <v>7409</v>
      </c>
      <c r="Q1683" s="6" t="s">
        <v>7410</v>
      </c>
      <c r="R1683" s="6" t="s">
        <v>7411</v>
      </c>
      <c r="AG1683" s="14" t="s">
        <v>55</v>
      </c>
      <c r="AH1683" s="14" t="s">
        <v>1603</v>
      </c>
      <c r="AI1683" s="14" t="s">
        <v>1603</v>
      </c>
    </row>
    <row r="1684" spans="1:50">
      <c r="A1684" s="5" t="s">
        <v>7412</v>
      </c>
      <c r="B1684" s="5" t="s">
        <v>7413</v>
      </c>
      <c r="C1684" s="6" t="s">
        <v>6965</v>
      </c>
      <c r="D1684" s="6" t="s">
        <v>1645</v>
      </c>
      <c r="E1684" s="6" t="s">
        <v>1386</v>
      </c>
      <c r="F1684" s="6" t="s">
        <v>46</v>
      </c>
      <c r="G1684" s="6" t="s">
        <v>7414</v>
      </c>
      <c r="H1684" s="7">
        <v>57.04</v>
      </c>
      <c r="I1684" s="19" t="s">
        <v>2283</v>
      </c>
      <c r="J1684" s="19" t="s">
        <v>2284</v>
      </c>
      <c r="K1684" s="6" t="s">
        <v>6785</v>
      </c>
      <c r="L1684" s="6" t="s">
        <v>6786</v>
      </c>
      <c r="M1684" s="6" t="s">
        <v>6787</v>
      </c>
      <c r="N1684" s="6" t="s">
        <v>6788</v>
      </c>
      <c r="O1684" s="6" t="s">
        <v>7415</v>
      </c>
      <c r="P1684" s="6" t="s">
        <v>7416</v>
      </c>
      <c r="Q1684" s="6" t="s">
        <v>7417</v>
      </c>
      <c r="R1684" s="6" t="s">
        <v>7418</v>
      </c>
      <c r="AG1684" s="14" t="s">
        <v>55</v>
      </c>
      <c r="AH1684" s="14" t="s">
        <v>1603</v>
      </c>
      <c r="AI1684" s="14" t="s">
        <v>1603</v>
      </c>
    </row>
    <row r="1685" spans="1:50">
      <c r="A1685" s="5" t="s">
        <v>7419</v>
      </c>
      <c r="B1685" s="5" t="s">
        <v>7420</v>
      </c>
      <c r="C1685" s="6" t="s">
        <v>2281</v>
      </c>
      <c r="D1685" s="6" t="s">
        <v>1645</v>
      </c>
      <c r="E1685" s="6" t="s">
        <v>1386</v>
      </c>
      <c r="F1685" s="6" t="s">
        <v>46</v>
      </c>
      <c r="G1685" s="6" t="s">
        <v>7421</v>
      </c>
      <c r="H1685" s="7">
        <v>49.33</v>
      </c>
      <c r="I1685" s="19" t="s">
        <v>2283</v>
      </c>
      <c r="J1685" s="19" t="s">
        <v>2284</v>
      </c>
      <c r="K1685" s="6" t="s">
        <v>2366</v>
      </c>
      <c r="L1685" s="6" t="s">
        <v>2367</v>
      </c>
      <c r="M1685" s="6" t="s">
        <v>2368</v>
      </c>
      <c r="N1685" s="6" t="s">
        <v>2369</v>
      </c>
      <c r="O1685" s="6" t="s">
        <v>7422</v>
      </c>
      <c r="P1685" s="6" t="s">
        <v>7423</v>
      </c>
      <c r="Q1685" s="6" t="s">
        <v>7424</v>
      </c>
      <c r="R1685" s="6" t="s">
        <v>7425</v>
      </c>
      <c r="AG1685" s="14" t="s">
        <v>55</v>
      </c>
      <c r="AH1685" s="14" t="s">
        <v>1603</v>
      </c>
      <c r="AI1685" s="14" t="s">
        <v>1603</v>
      </c>
    </row>
    <row r="1686" spans="1:50">
      <c r="A1686" s="5" t="s">
        <v>7426</v>
      </c>
      <c r="B1686" s="5" t="s">
        <v>7420</v>
      </c>
      <c r="C1686" s="6" t="s">
        <v>2281</v>
      </c>
      <c r="D1686" s="6" t="s">
        <v>1645</v>
      </c>
      <c r="E1686" s="6" t="s">
        <v>2065</v>
      </c>
      <c r="F1686" s="6" t="s">
        <v>46</v>
      </c>
      <c r="G1686" s="6" t="s">
        <v>7427</v>
      </c>
      <c r="H1686" s="7">
        <v>49.33</v>
      </c>
      <c r="I1686" s="19" t="s">
        <v>2283</v>
      </c>
      <c r="J1686" s="19" t="s">
        <v>2284</v>
      </c>
      <c r="K1686" s="6" t="s">
        <v>2366</v>
      </c>
      <c r="L1686" s="6" t="s">
        <v>2367</v>
      </c>
      <c r="M1686" s="6" t="s">
        <v>2368</v>
      </c>
      <c r="N1686" s="6" t="s">
        <v>2369</v>
      </c>
      <c r="O1686" s="6" t="s">
        <v>7422</v>
      </c>
      <c r="P1686" s="6" t="s">
        <v>7423</v>
      </c>
      <c r="Q1686" s="6" t="s">
        <v>7424</v>
      </c>
      <c r="R1686" s="6" t="s">
        <v>7425</v>
      </c>
      <c r="AG1686" s="14" t="s">
        <v>55</v>
      </c>
      <c r="AH1686" s="14" t="s">
        <v>1603</v>
      </c>
      <c r="AI1686" s="14" t="s">
        <v>1603</v>
      </c>
    </row>
    <row r="1687" spans="1:50">
      <c r="A1687" s="5" t="s">
        <v>7428</v>
      </c>
      <c r="B1687" s="5" t="s">
        <v>7429</v>
      </c>
      <c r="C1687" s="6" t="s">
        <v>7430</v>
      </c>
      <c r="D1687" s="6" t="s">
        <v>1645</v>
      </c>
      <c r="E1687" s="6" t="s">
        <v>1386</v>
      </c>
      <c r="F1687" s="6" t="s">
        <v>46</v>
      </c>
      <c r="G1687" s="6" t="s">
        <v>7431</v>
      </c>
      <c r="H1687" s="7">
        <v>62.3</v>
      </c>
      <c r="I1687" s="19" t="s">
        <v>2283</v>
      </c>
      <c r="J1687" s="19" t="s">
        <v>2380</v>
      </c>
      <c r="K1687" s="23" t="s">
        <v>7432</v>
      </c>
      <c r="L1687" s="23" t="s">
        <v>7433</v>
      </c>
      <c r="M1687" s="23" t="s">
        <v>7434</v>
      </c>
      <c r="N1687" s="23" t="s">
        <v>7435</v>
      </c>
      <c r="O1687" s="23" t="s">
        <v>7436</v>
      </c>
      <c r="P1687" s="23" t="s">
        <v>7437</v>
      </c>
      <c r="Q1687" s="23" t="s">
        <v>7438</v>
      </c>
      <c r="R1687" s="23" t="s">
        <v>7439</v>
      </c>
      <c r="S1687" s="23"/>
      <c r="T1687" s="23"/>
      <c r="U1687" s="23"/>
      <c r="V1687" s="23"/>
      <c r="W1687" s="23"/>
      <c r="X1687" s="23"/>
      <c r="Y1687" s="23"/>
      <c r="Z1687" s="23"/>
      <c r="AA1687" s="23"/>
      <c r="AB1687" s="23"/>
      <c r="AC1687" s="23"/>
      <c r="AD1687" s="23"/>
      <c r="AE1687" s="23"/>
      <c r="AF1687" s="23"/>
      <c r="AG1687" s="14" t="s">
        <v>55</v>
      </c>
      <c r="AH1687" s="14" t="s">
        <v>1603</v>
      </c>
      <c r="AI1687" s="14" t="s">
        <v>1603</v>
      </c>
      <c r="AJ1687" s="23"/>
      <c r="AK1687" s="23"/>
    </row>
    <row r="1688" spans="1:50">
      <c r="A1688" s="5" t="s">
        <v>7440</v>
      </c>
      <c r="B1688" s="5" t="s">
        <v>7441</v>
      </c>
      <c r="C1688" s="6" t="s">
        <v>7442</v>
      </c>
      <c r="D1688" s="6" t="s">
        <v>1645</v>
      </c>
      <c r="E1688" s="6" t="s">
        <v>1386</v>
      </c>
      <c r="F1688" s="6" t="s">
        <v>46</v>
      </c>
      <c r="G1688" s="6" t="s">
        <v>6858</v>
      </c>
      <c r="H1688" s="7">
        <v>39.83</v>
      </c>
      <c r="I1688" s="19" t="s">
        <v>2283</v>
      </c>
      <c r="J1688" s="19" t="s">
        <v>2380</v>
      </c>
      <c r="K1688" s="23" t="s">
        <v>4892</v>
      </c>
      <c r="L1688" s="23" t="s">
        <v>4893</v>
      </c>
      <c r="M1688" s="23" t="s">
        <v>4894</v>
      </c>
      <c r="N1688" s="23" t="s">
        <v>4895</v>
      </c>
      <c r="O1688" s="23" t="s">
        <v>7443</v>
      </c>
      <c r="P1688" s="23" t="s">
        <v>7444</v>
      </c>
      <c r="Q1688" s="23" t="s">
        <v>7445</v>
      </c>
      <c r="R1688" s="23" t="s">
        <v>7446</v>
      </c>
      <c r="S1688" s="23"/>
      <c r="T1688" s="23"/>
      <c r="U1688" s="23"/>
      <c r="V1688" s="23"/>
      <c r="W1688" s="23"/>
      <c r="X1688" s="23"/>
      <c r="Y1688" s="23"/>
      <c r="Z1688" s="23"/>
      <c r="AA1688" s="23"/>
      <c r="AB1688" s="23"/>
      <c r="AC1688" s="23"/>
      <c r="AD1688" s="23"/>
      <c r="AE1688" s="23"/>
      <c r="AF1688" s="23"/>
      <c r="AG1688" s="14" t="s">
        <v>55</v>
      </c>
      <c r="AH1688" s="14" t="s">
        <v>1603</v>
      </c>
      <c r="AI1688" s="14" t="s">
        <v>1603</v>
      </c>
      <c r="AJ1688" s="23"/>
      <c r="AK1688" s="23"/>
      <c r="AL1688" s="23"/>
      <c r="AM1688" s="23"/>
      <c r="AN1688" s="23"/>
      <c r="AO1688" s="23"/>
      <c r="AP1688" s="23"/>
      <c r="AQ1688" s="23"/>
      <c r="AR1688" s="23"/>
      <c r="AS1688" s="23"/>
      <c r="AT1688" s="23"/>
      <c r="AU1688" s="23"/>
      <c r="AV1688" s="23"/>
      <c r="AW1688" s="23"/>
      <c r="AX1688" s="23"/>
    </row>
    <row r="1689" spans="1:50">
      <c r="A1689" s="5" t="s">
        <v>7447</v>
      </c>
      <c r="B1689" s="5" t="s">
        <v>7441</v>
      </c>
      <c r="C1689" s="6" t="s">
        <v>7442</v>
      </c>
      <c r="D1689" s="6" t="s">
        <v>1645</v>
      </c>
      <c r="E1689" s="6" t="s">
        <v>2015</v>
      </c>
      <c r="F1689" s="6" t="s">
        <v>46</v>
      </c>
      <c r="G1689" s="6" t="s">
        <v>7448</v>
      </c>
      <c r="H1689" s="7">
        <v>39.83</v>
      </c>
      <c r="I1689" s="19" t="s">
        <v>2283</v>
      </c>
      <c r="J1689" s="19" t="s">
        <v>2380</v>
      </c>
      <c r="K1689" s="23" t="s">
        <v>4892</v>
      </c>
      <c r="L1689" s="23" t="s">
        <v>4893</v>
      </c>
      <c r="M1689" s="23" t="s">
        <v>4894</v>
      </c>
      <c r="N1689" s="23" t="s">
        <v>4895</v>
      </c>
      <c r="O1689" s="23" t="s">
        <v>7443</v>
      </c>
      <c r="P1689" s="23" t="s">
        <v>7444</v>
      </c>
      <c r="Q1689" s="23" t="s">
        <v>7445</v>
      </c>
      <c r="R1689" s="23" t="s">
        <v>7446</v>
      </c>
      <c r="S1689" s="23"/>
      <c r="T1689" s="23"/>
      <c r="U1689" s="23"/>
      <c r="V1689" s="23"/>
      <c r="W1689" s="23"/>
      <c r="X1689" s="23"/>
      <c r="Y1689" s="23"/>
      <c r="Z1689" s="23"/>
      <c r="AA1689" s="23"/>
      <c r="AB1689" s="23"/>
      <c r="AC1689" s="23"/>
      <c r="AD1689" s="23"/>
      <c r="AE1689" s="23"/>
      <c r="AF1689" s="23"/>
      <c r="AG1689" s="14" t="s">
        <v>55</v>
      </c>
      <c r="AH1689" s="14" t="s">
        <v>1603</v>
      </c>
      <c r="AI1689" s="14" t="s">
        <v>1603</v>
      </c>
      <c r="AJ1689" s="23"/>
      <c r="AK1689" s="23"/>
      <c r="AL1689" s="23"/>
      <c r="AM1689" s="23"/>
      <c r="AN1689" s="23"/>
      <c r="AO1689" s="23"/>
      <c r="AP1689" s="23"/>
      <c r="AQ1689" s="23"/>
      <c r="AR1689" s="23"/>
      <c r="AS1689" s="23"/>
      <c r="AT1689" s="23"/>
      <c r="AU1689" s="23"/>
      <c r="AV1689" s="23"/>
      <c r="AW1689" s="23"/>
      <c r="AX1689" s="23"/>
    </row>
    <row r="1690" spans="1:50">
      <c r="A1690" s="5" t="s">
        <v>7449</v>
      </c>
      <c r="B1690" s="5" t="s">
        <v>7450</v>
      </c>
      <c r="C1690" s="6" t="s">
        <v>1371</v>
      </c>
      <c r="D1690" s="6" t="s">
        <v>1645</v>
      </c>
      <c r="E1690" s="6" t="s">
        <v>1386</v>
      </c>
      <c r="F1690" s="6" t="s">
        <v>46</v>
      </c>
      <c r="G1690" s="6" t="s">
        <v>7451</v>
      </c>
      <c r="H1690" s="7">
        <v>39.83</v>
      </c>
      <c r="I1690" s="19" t="s">
        <v>2283</v>
      </c>
      <c r="J1690" s="19" t="s">
        <v>2380</v>
      </c>
      <c r="K1690" s="23" t="s">
        <v>7452</v>
      </c>
      <c r="L1690" s="23" t="s">
        <v>7453</v>
      </c>
      <c r="M1690" s="23" t="s">
        <v>7454</v>
      </c>
      <c r="N1690" s="23" t="s">
        <v>7455</v>
      </c>
      <c r="O1690" s="23" t="s">
        <v>7456</v>
      </c>
      <c r="P1690" s="23" t="s">
        <v>7457</v>
      </c>
      <c r="Q1690" s="23" t="s">
        <v>7458</v>
      </c>
      <c r="R1690" s="23" t="s">
        <v>7459</v>
      </c>
      <c r="S1690" s="23"/>
      <c r="T1690" s="23"/>
      <c r="U1690" s="23"/>
      <c r="V1690" s="23"/>
      <c r="W1690" s="23"/>
      <c r="X1690" s="23"/>
      <c r="Y1690" s="23"/>
      <c r="Z1690" s="23"/>
      <c r="AA1690" s="23"/>
      <c r="AB1690" s="23"/>
      <c r="AC1690" s="23"/>
      <c r="AD1690" s="23"/>
      <c r="AE1690" s="23"/>
      <c r="AF1690" s="23"/>
      <c r="AG1690" s="14" t="s">
        <v>55</v>
      </c>
      <c r="AH1690" s="14" t="s">
        <v>1603</v>
      </c>
      <c r="AI1690" s="14" t="s">
        <v>1603</v>
      </c>
      <c r="AJ1690" s="23"/>
      <c r="AK1690" s="23"/>
      <c r="AL1690" s="23"/>
      <c r="AM1690" s="23"/>
      <c r="AN1690" s="23"/>
      <c r="AO1690" s="23"/>
      <c r="AP1690" s="23"/>
      <c r="AQ1690" s="23"/>
      <c r="AR1690" s="23"/>
      <c r="AS1690" s="23"/>
      <c r="AT1690" s="23"/>
      <c r="AU1690" s="23"/>
      <c r="AV1690" s="23"/>
      <c r="AW1690" s="23"/>
      <c r="AX1690" s="23"/>
    </row>
    <row r="1691" spans="1:50">
      <c r="A1691" s="5" t="s">
        <v>7460</v>
      </c>
      <c r="B1691" s="5" t="s">
        <v>7461</v>
      </c>
      <c r="C1691" s="6" t="s">
        <v>43</v>
      </c>
      <c r="D1691" s="6" t="s">
        <v>1645</v>
      </c>
      <c r="E1691" s="6" t="s">
        <v>1386</v>
      </c>
      <c r="F1691" s="6" t="s">
        <v>46</v>
      </c>
      <c r="G1691" s="6" t="s">
        <v>7462</v>
      </c>
      <c r="H1691" s="7">
        <v>62.3</v>
      </c>
      <c r="I1691" s="19" t="s">
        <v>2283</v>
      </c>
      <c r="J1691" s="19" t="s">
        <v>2380</v>
      </c>
      <c r="K1691" s="23" t="s">
        <v>7463</v>
      </c>
      <c r="L1691" s="23" t="s">
        <v>7464</v>
      </c>
      <c r="M1691" s="23" t="s">
        <v>7465</v>
      </c>
      <c r="N1691" s="23" t="s">
        <v>7466</v>
      </c>
      <c r="O1691" s="23" t="s">
        <v>7467</v>
      </c>
      <c r="P1691" s="23" t="s">
        <v>7468</v>
      </c>
      <c r="Q1691" s="23" t="s">
        <v>7469</v>
      </c>
      <c r="R1691" s="23" t="s">
        <v>7470</v>
      </c>
      <c r="S1691" s="23"/>
      <c r="T1691" s="23"/>
      <c r="U1691" s="23"/>
      <c r="V1691" s="23"/>
      <c r="W1691" s="23"/>
      <c r="X1691" s="23"/>
      <c r="Y1691" s="23"/>
      <c r="Z1691" s="23"/>
      <c r="AA1691" s="23"/>
      <c r="AB1691" s="23"/>
      <c r="AC1691" s="23"/>
      <c r="AD1691" s="23"/>
      <c r="AE1691" s="23"/>
      <c r="AF1691" s="23"/>
      <c r="AG1691" s="14" t="s">
        <v>55</v>
      </c>
      <c r="AH1691" s="14" t="s">
        <v>1603</v>
      </c>
      <c r="AI1691" s="14" t="s">
        <v>1603</v>
      </c>
      <c r="AJ1691" s="23"/>
      <c r="AK1691" s="23"/>
      <c r="AL1691" s="23"/>
      <c r="AM1691" s="23"/>
      <c r="AN1691" s="23"/>
      <c r="AO1691" s="23"/>
      <c r="AP1691" s="23"/>
      <c r="AQ1691" s="23"/>
      <c r="AR1691" s="23"/>
      <c r="AS1691" s="23"/>
      <c r="AT1691" s="23"/>
      <c r="AU1691" s="23"/>
      <c r="AV1691" s="23"/>
      <c r="AW1691" s="23"/>
      <c r="AX1691" s="23"/>
    </row>
    <row r="1692" spans="1:50">
      <c r="A1692" s="5" t="s">
        <v>7471</v>
      </c>
      <c r="B1692" s="5" t="s">
        <v>7472</v>
      </c>
      <c r="C1692" s="6" t="s">
        <v>4333</v>
      </c>
      <c r="D1692" s="6" t="s">
        <v>1645</v>
      </c>
      <c r="E1692" s="6" t="s">
        <v>2319</v>
      </c>
      <c r="F1692" s="6" t="s">
        <v>46</v>
      </c>
      <c r="G1692" s="6" t="s">
        <v>7473</v>
      </c>
      <c r="H1692" s="7">
        <v>46.04</v>
      </c>
      <c r="I1692" s="19" t="s">
        <v>2283</v>
      </c>
      <c r="J1692" s="19" t="s">
        <v>2380</v>
      </c>
      <c r="K1692" s="23" t="s">
        <v>6810</v>
      </c>
      <c r="L1692" s="23" t="s">
        <v>6811</v>
      </c>
      <c r="M1692" s="23" t="s">
        <v>6812</v>
      </c>
      <c r="N1692" s="23" t="s">
        <v>6813</v>
      </c>
      <c r="O1692" s="23" t="s">
        <v>7474</v>
      </c>
      <c r="P1692" s="23" t="s">
        <v>7475</v>
      </c>
      <c r="Q1692" s="23" t="s">
        <v>7476</v>
      </c>
      <c r="R1692" s="23" t="s">
        <v>7477</v>
      </c>
      <c r="S1692" s="23"/>
      <c r="T1692" s="23"/>
      <c r="U1692" s="23"/>
      <c r="V1692" s="23"/>
      <c r="W1692" s="23"/>
      <c r="X1692" s="23"/>
      <c r="Y1692" s="23"/>
      <c r="Z1692" s="23"/>
      <c r="AA1692" s="23"/>
      <c r="AB1692" s="23"/>
      <c r="AC1692" s="23"/>
      <c r="AD1692" s="23"/>
      <c r="AE1692" s="23"/>
      <c r="AF1692" s="23"/>
      <c r="AG1692" s="14" t="s">
        <v>55</v>
      </c>
      <c r="AH1692" s="14" t="s">
        <v>1603</v>
      </c>
      <c r="AI1692" s="14" t="s">
        <v>1603</v>
      </c>
      <c r="AJ1692" s="23"/>
      <c r="AK1692" s="23"/>
      <c r="AL1692" s="23"/>
      <c r="AM1692" s="23"/>
      <c r="AN1692" s="23"/>
      <c r="AO1692" s="23"/>
      <c r="AP1692" s="23"/>
      <c r="AQ1692" s="23"/>
      <c r="AR1692" s="23"/>
      <c r="AS1692" s="23"/>
      <c r="AT1692" s="23"/>
      <c r="AU1692" s="23"/>
      <c r="AV1692" s="23"/>
      <c r="AW1692" s="23"/>
      <c r="AX1692" s="23"/>
    </row>
    <row r="1693" spans="1:50">
      <c r="A1693" s="5" t="s">
        <v>7478</v>
      </c>
      <c r="B1693" s="5" t="s">
        <v>7472</v>
      </c>
      <c r="C1693" s="6" t="s">
        <v>4333</v>
      </c>
      <c r="D1693" s="6" t="s">
        <v>1645</v>
      </c>
      <c r="E1693" s="6" t="s">
        <v>1386</v>
      </c>
      <c r="F1693" s="6" t="s">
        <v>46</v>
      </c>
      <c r="G1693" s="6" t="s">
        <v>3900</v>
      </c>
      <c r="H1693" s="7">
        <v>46.04</v>
      </c>
      <c r="I1693" s="19" t="s">
        <v>2283</v>
      </c>
      <c r="J1693" s="19" t="s">
        <v>2380</v>
      </c>
      <c r="K1693" s="23" t="s">
        <v>6810</v>
      </c>
      <c r="L1693" s="23" t="s">
        <v>6811</v>
      </c>
      <c r="M1693" s="23" t="s">
        <v>6812</v>
      </c>
      <c r="N1693" s="23" t="s">
        <v>6813</v>
      </c>
      <c r="O1693" s="23" t="s">
        <v>7474</v>
      </c>
      <c r="P1693" s="23" t="s">
        <v>7475</v>
      </c>
      <c r="Q1693" s="23" t="s">
        <v>7476</v>
      </c>
      <c r="R1693" s="23" t="s">
        <v>7477</v>
      </c>
      <c r="S1693" s="23"/>
      <c r="T1693" s="23"/>
      <c r="U1693" s="23"/>
      <c r="V1693" s="23"/>
      <c r="W1693" s="23"/>
      <c r="X1693" s="23"/>
      <c r="Y1693" s="23"/>
      <c r="Z1693" s="23"/>
      <c r="AA1693" s="23"/>
      <c r="AB1693" s="23"/>
      <c r="AC1693" s="23"/>
      <c r="AD1693" s="23"/>
      <c r="AE1693" s="23"/>
      <c r="AF1693" s="23"/>
      <c r="AG1693" s="14" t="s">
        <v>55</v>
      </c>
      <c r="AH1693" s="14" t="s">
        <v>1603</v>
      </c>
      <c r="AI1693" s="14" t="s">
        <v>1603</v>
      </c>
      <c r="AJ1693" s="23"/>
      <c r="AK1693" s="23"/>
      <c r="AL1693" s="23"/>
      <c r="AM1693" s="23"/>
      <c r="AN1693" s="23"/>
      <c r="AO1693" s="23"/>
      <c r="AP1693" s="23"/>
      <c r="AQ1693" s="23"/>
      <c r="AR1693" s="23"/>
      <c r="AS1693" s="23"/>
      <c r="AT1693" s="23"/>
      <c r="AU1693" s="23"/>
      <c r="AV1693" s="23"/>
      <c r="AW1693" s="23"/>
      <c r="AX1693" s="23"/>
    </row>
    <row r="1694" spans="1:50">
      <c r="A1694" s="5" t="s">
        <v>7479</v>
      </c>
      <c r="B1694" s="5" t="s">
        <v>7472</v>
      </c>
      <c r="C1694" s="6" t="s">
        <v>4333</v>
      </c>
      <c r="D1694" s="6" t="s">
        <v>1645</v>
      </c>
      <c r="E1694" s="6" t="s">
        <v>2015</v>
      </c>
      <c r="F1694" s="6" t="s">
        <v>46</v>
      </c>
      <c r="G1694" s="6" t="s">
        <v>7480</v>
      </c>
      <c r="H1694" s="7">
        <v>46.04</v>
      </c>
      <c r="I1694" s="19" t="s">
        <v>2283</v>
      </c>
      <c r="J1694" s="19" t="s">
        <v>2380</v>
      </c>
      <c r="K1694" s="23" t="s">
        <v>6810</v>
      </c>
      <c r="L1694" s="23" t="s">
        <v>6811</v>
      </c>
      <c r="M1694" s="23" t="s">
        <v>6812</v>
      </c>
      <c r="N1694" s="23" t="s">
        <v>6813</v>
      </c>
      <c r="O1694" s="23" t="s">
        <v>7474</v>
      </c>
      <c r="P1694" s="23" t="s">
        <v>7475</v>
      </c>
      <c r="Q1694" s="23" t="s">
        <v>7476</v>
      </c>
      <c r="R1694" s="23" t="s">
        <v>7477</v>
      </c>
      <c r="S1694" s="23"/>
      <c r="T1694" s="23"/>
      <c r="U1694" s="23"/>
      <c r="V1694" s="23"/>
      <c r="W1694" s="23"/>
      <c r="X1694" s="23"/>
      <c r="Y1694" s="23"/>
      <c r="Z1694" s="23"/>
      <c r="AA1694" s="23"/>
      <c r="AB1694" s="23"/>
      <c r="AC1694" s="23"/>
      <c r="AD1694" s="23"/>
      <c r="AE1694" s="23"/>
      <c r="AF1694" s="23"/>
      <c r="AG1694" s="14" t="s">
        <v>55</v>
      </c>
      <c r="AH1694" s="14" t="s">
        <v>1603</v>
      </c>
      <c r="AI1694" s="14" t="s">
        <v>1603</v>
      </c>
      <c r="AJ1694" s="23"/>
      <c r="AK1694" s="23"/>
      <c r="AL1694" s="23"/>
      <c r="AM1694" s="23"/>
      <c r="AN1694" s="23"/>
      <c r="AO1694" s="23"/>
      <c r="AP1694" s="23"/>
      <c r="AQ1694" s="23"/>
      <c r="AR1694" s="23"/>
      <c r="AS1694" s="23"/>
      <c r="AT1694" s="23"/>
      <c r="AU1694" s="23"/>
      <c r="AV1694" s="23"/>
      <c r="AW1694" s="23"/>
      <c r="AX1694" s="23"/>
    </row>
    <row r="1695" spans="1:50">
      <c r="A1695" s="5" t="s">
        <v>7481</v>
      </c>
      <c r="B1695" s="5" t="s">
        <v>7482</v>
      </c>
      <c r="C1695" s="6" t="s">
        <v>4333</v>
      </c>
      <c r="D1695" s="6" t="s">
        <v>1645</v>
      </c>
      <c r="E1695" s="6" t="s">
        <v>1386</v>
      </c>
      <c r="F1695" s="6" t="s">
        <v>46</v>
      </c>
      <c r="G1695" s="6" t="s">
        <v>7483</v>
      </c>
      <c r="H1695" s="7">
        <v>46.04</v>
      </c>
      <c r="I1695" s="19" t="s">
        <v>2283</v>
      </c>
      <c r="J1695" s="19" t="s">
        <v>2380</v>
      </c>
      <c r="K1695" s="23" t="s">
        <v>7484</v>
      </c>
      <c r="L1695" s="23" t="s">
        <v>7485</v>
      </c>
      <c r="M1695" s="23" t="s">
        <v>7486</v>
      </c>
      <c r="N1695" s="23" t="s">
        <v>7487</v>
      </c>
      <c r="O1695" s="23" t="s">
        <v>7488</v>
      </c>
      <c r="P1695" s="23" t="s">
        <v>7489</v>
      </c>
      <c r="Q1695" s="23" t="s">
        <v>7490</v>
      </c>
      <c r="R1695" s="23" t="s">
        <v>7491</v>
      </c>
      <c r="S1695" s="23"/>
      <c r="T1695" s="23"/>
      <c r="U1695" s="23"/>
      <c r="V1695" s="23"/>
      <c r="W1695" s="23"/>
      <c r="X1695" s="23"/>
      <c r="Y1695" s="23"/>
      <c r="Z1695" s="23"/>
      <c r="AA1695" s="23"/>
      <c r="AB1695" s="23"/>
      <c r="AC1695" s="23"/>
      <c r="AD1695" s="23"/>
      <c r="AE1695" s="23"/>
      <c r="AF1695" s="23"/>
      <c r="AG1695" s="14" t="s">
        <v>55</v>
      </c>
      <c r="AH1695" s="14" t="s">
        <v>1603</v>
      </c>
      <c r="AI1695" s="14" t="s">
        <v>1603</v>
      </c>
      <c r="AJ1695" s="23"/>
      <c r="AK1695" s="23"/>
      <c r="AL1695" s="23"/>
      <c r="AM1695" s="23"/>
      <c r="AN1695" s="23"/>
      <c r="AO1695" s="23"/>
      <c r="AP1695" s="23"/>
      <c r="AQ1695" s="23"/>
      <c r="AR1695" s="23"/>
      <c r="AS1695" s="23"/>
      <c r="AT1695" s="23"/>
      <c r="AU1695" s="23"/>
      <c r="AV1695" s="23"/>
      <c r="AW1695" s="23"/>
      <c r="AX1695" s="23"/>
    </row>
    <row r="1696" spans="1:50">
      <c r="A1696" s="5" t="s">
        <v>7492</v>
      </c>
      <c r="B1696" s="5" t="s">
        <v>7493</v>
      </c>
      <c r="C1696" s="6" t="s">
        <v>43</v>
      </c>
      <c r="D1696" s="6" t="s">
        <v>1645</v>
      </c>
      <c r="E1696" s="6" t="s">
        <v>2139</v>
      </c>
      <c r="F1696" s="6" t="s">
        <v>46</v>
      </c>
      <c r="G1696" s="6" t="s">
        <v>2825</v>
      </c>
      <c r="H1696" s="7">
        <v>29.3</v>
      </c>
      <c r="I1696" s="19" t="s">
        <v>2283</v>
      </c>
      <c r="J1696" s="19" t="s">
        <v>2466</v>
      </c>
      <c r="K1696" s="5" t="s">
        <v>6837</v>
      </c>
      <c r="L1696" s="5" t="s">
        <v>6838</v>
      </c>
      <c r="M1696" s="5" t="s">
        <v>6839</v>
      </c>
      <c r="N1696" s="5" t="s">
        <v>6840</v>
      </c>
      <c r="O1696" s="5" t="s">
        <v>7494</v>
      </c>
      <c r="P1696" s="5" t="s">
        <v>7495</v>
      </c>
      <c r="Q1696" s="5" t="s">
        <v>7496</v>
      </c>
      <c r="R1696" s="5" t="s">
        <v>7497</v>
      </c>
      <c r="AG1696" s="14" t="s">
        <v>55</v>
      </c>
      <c r="AH1696" s="14" t="s">
        <v>1603</v>
      </c>
      <c r="AI1696" s="14" t="s">
        <v>1603</v>
      </c>
      <c r="AL1696" s="23"/>
      <c r="AM1696" s="23"/>
      <c r="AN1696" s="23"/>
      <c r="AO1696" s="23"/>
      <c r="AP1696" s="23"/>
      <c r="AQ1696" s="23"/>
      <c r="AR1696" s="23"/>
      <c r="AS1696" s="23"/>
      <c r="AT1696" s="23"/>
      <c r="AU1696" s="23"/>
      <c r="AV1696" s="23"/>
      <c r="AW1696" s="23"/>
      <c r="AX1696" s="23"/>
    </row>
    <row r="1697" spans="1:35">
      <c r="A1697" s="5" t="s">
        <v>7498</v>
      </c>
      <c r="B1697" s="5" t="s">
        <v>7493</v>
      </c>
      <c r="C1697" s="6" t="s">
        <v>7499</v>
      </c>
      <c r="D1697" s="6" t="s">
        <v>1645</v>
      </c>
      <c r="E1697" s="6" t="s">
        <v>1386</v>
      </c>
      <c r="F1697" s="6" t="s">
        <v>46</v>
      </c>
      <c r="G1697" s="6" t="s">
        <v>7500</v>
      </c>
      <c r="H1697" s="7">
        <v>29.3</v>
      </c>
      <c r="I1697" s="19" t="s">
        <v>2283</v>
      </c>
      <c r="J1697" s="19" t="s">
        <v>2466</v>
      </c>
      <c r="K1697" s="5" t="s">
        <v>6837</v>
      </c>
      <c r="L1697" s="5" t="s">
        <v>6838</v>
      </c>
      <c r="M1697" s="5" t="s">
        <v>6839</v>
      </c>
      <c r="N1697" s="5" t="s">
        <v>6840</v>
      </c>
      <c r="O1697" s="5" t="s">
        <v>7494</v>
      </c>
      <c r="P1697" s="5" t="s">
        <v>7495</v>
      </c>
      <c r="Q1697" s="5" t="s">
        <v>7496</v>
      </c>
      <c r="R1697" s="5" t="s">
        <v>7497</v>
      </c>
      <c r="AG1697" s="14" t="s">
        <v>55</v>
      </c>
      <c r="AH1697" s="14" t="s">
        <v>1603</v>
      </c>
      <c r="AI1697" s="14" t="s">
        <v>1603</v>
      </c>
    </row>
    <row r="1698" spans="1:35">
      <c r="A1698" s="5" t="s">
        <v>7501</v>
      </c>
      <c r="B1698" s="5" t="s">
        <v>7493</v>
      </c>
      <c r="C1698" s="6" t="s">
        <v>43</v>
      </c>
      <c r="D1698" s="6" t="s">
        <v>1645</v>
      </c>
      <c r="E1698" s="6" t="s">
        <v>2015</v>
      </c>
      <c r="F1698" s="6" t="s">
        <v>46</v>
      </c>
      <c r="G1698" s="6" t="s">
        <v>7502</v>
      </c>
      <c r="H1698" s="7">
        <v>29.3</v>
      </c>
      <c r="I1698" s="19" t="s">
        <v>2283</v>
      </c>
      <c r="J1698" s="19" t="s">
        <v>2466</v>
      </c>
      <c r="K1698" s="5" t="s">
        <v>6837</v>
      </c>
      <c r="L1698" s="5" t="s">
        <v>6838</v>
      </c>
      <c r="M1698" s="5" t="s">
        <v>6839</v>
      </c>
      <c r="N1698" s="5" t="s">
        <v>6840</v>
      </c>
      <c r="O1698" s="5" t="s">
        <v>7494</v>
      </c>
      <c r="P1698" s="5" t="s">
        <v>7495</v>
      </c>
      <c r="Q1698" s="5" t="s">
        <v>7496</v>
      </c>
      <c r="R1698" s="5" t="s">
        <v>7497</v>
      </c>
      <c r="AG1698" s="14" t="s">
        <v>55</v>
      </c>
      <c r="AH1698" s="14" t="s">
        <v>1603</v>
      </c>
      <c r="AI1698" s="14" t="s">
        <v>1603</v>
      </c>
    </row>
    <row r="1699" spans="1:35">
      <c r="A1699" s="5" t="s">
        <v>7503</v>
      </c>
      <c r="B1699" s="5" t="s">
        <v>7493</v>
      </c>
      <c r="C1699" s="6" t="s">
        <v>43</v>
      </c>
      <c r="D1699" s="6" t="s">
        <v>1645</v>
      </c>
      <c r="E1699" s="6" t="s">
        <v>2065</v>
      </c>
      <c r="F1699" s="6" t="s">
        <v>46</v>
      </c>
      <c r="G1699" s="6" t="s">
        <v>7504</v>
      </c>
      <c r="H1699" s="7">
        <v>29.3</v>
      </c>
      <c r="I1699" s="19" t="s">
        <v>2283</v>
      </c>
      <c r="J1699" s="19" t="s">
        <v>2466</v>
      </c>
      <c r="K1699" s="5" t="s">
        <v>6837</v>
      </c>
      <c r="L1699" s="5" t="s">
        <v>6838</v>
      </c>
      <c r="M1699" s="5" t="s">
        <v>6839</v>
      </c>
      <c r="N1699" s="5" t="s">
        <v>6840</v>
      </c>
      <c r="O1699" s="5" t="s">
        <v>7494</v>
      </c>
      <c r="P1699" s="5" t="s">
        <v>7495</v>
      </c>
      <c r="Q1699" s="5" t="s">
        <v>7496</v>
      </c>
      <c r="R1699" s="5" t="s">
        <v>7497</v>
      </c>
      <c r="AG1699" s="14" t="s">
        <v>55</v>
      </c>
      <c r="AH1699" s="14" t="s">
        <v>1603</v>
      </c>
      <c r="AI1699" s="14" t="s">
        <v>1603</v>
      </c>
    </row>
    <row r="1700" spans="1:35">
      <c r="A1700" s="5" t="s">
        <v>7505</v>
      </c>
      <c r="B1700" s="5" t="s">
        <v>7506</v>
      </c>
      <c r="C1700" s="6" t="s">
        <v>1333</v>
      </c>
      <c r="D1700" s="6" t="s">
        <v>1645</v>
      </c>
      <c r="E1700" s="6" t="s">
        <v>2139</v>
      </c>
      <c r="F1700" s="6" t="s">
        <v>46</v>
      </c>
      <c r="G1700" s="6" t="s">
        <v>7507</v>
      </c>
      <c r="H1700" s="7">
        <v>29.3</v>
      </c>
      <c r="I1700" s="19" t="s">
        <v>2283</v>
      </c>
      <c r="J1700" s="19" t="s">
        <v>2466</v>
      </c>
      <c r="K1700" s="5" t="s">
        <v>7508</v>
      </c>
      <c r="L1700" s="5" t="s">
        <v>7509</v>
      </c>
      <c r="M1700" s="5" t="s">
        <v>7510</v>
      </c>
      <c r="N1700" s="5" t="s">
        <v>7511</v>
      </c>
      <c r="O1700" s="5" t="s">
        <v>7512</v>
      </c>
      <c r="P1700" s="5" t="s">
        <v>7513</v>
      </c>
      <c r="Q1700" s="5" t="s">
        <v>7514</v>
      </c>
      <c r="R1700" s="5" t="s">
        <v>7515</v>
      </c>
      <c r="AG1700" s="14" t="s">
        <v>55</v>
      </c>
      <c r="AH1700" s="14" t="s">
        <v>1603</v>
      </c>
      <c r="AI1700" s="14" t="s">
        <v>1603</v>
      </c>
    </row>
    <row r="1701" spans="1:35">
      <c r="A1701" s="5" t="s">
        <v>7516</v>
      </c>
      <c r="B1701" s="5" t="s">
        <v>7506</v>
      </c>
      <c r="C1701" s="6" t="s">
        <v>43</v>
      </c>
      <c r="D1701" s="6" t="s">
        <v>1645</v>
      </c>
      <c r="E1701" s="6" t="s">
        <v>1386</v>
      </c>
      <c r="F1701" s="6" t="s">
        <v>46</v>
      </c>
      <c r="G1701" s="6" t="s">
        <v>3251</v>
      </c>
      <c r="H1701" s="7">
        <v>29.3</v>
      </c>
      <c r="I1701" s="19" t="s">
        <v>2283</v>
      </c>
      <c r="J1701" s="19" t="s">
        <v>2466</v>
      </c>
      <c r="K1701" s="5" t="s">
        <v>7508</v>
      </c>
      <c r="L1701" s="5" t="s">
        <v>7509</v>
      </c>
      <c r="M1701" s="5" t="s">
        <v>7510</v>
      </c>
      <c r="N1701" s="5" t="s">
        <v>7511</v>
      </c>
      <c r="O1701" s="5" t="s">
        <v>7512</v>
      </c>
      <c r="P1701" s="5" t="s">
        <v>7513</v>
      </c>
      <c r="Q1701" s="5" t="s">
        <v>7514</v>
      </c>
      <c r="R1701" s="5" t="s">
        <v>7515</v>
      </c>
      <c r="AG1701" s="14" t="s">
        <v>55</v>
      </c>
      <c r="AH1701" s="14" t="s">
        <v>1603</v>
      </c>
      <c r="AI1701" s="14" t="s">
        <v>1603</v>
      </c>
    </row>
    <row r="1702" spans="1:35">
      <c r="A1702" s="5" t="s">
        <v>7517</v>
      </c>
      <c r="B1702" s="5" t="s">
        <v>7506</v>
      </c>
      <c r="C1702" s="6" t="s">
        <v>43</v>
      </c>
      <c r="D1702" s="6" t="s">
        <v>1645</v>
      </c>
      <c r="E1702" s="6" t="s">
        <v>2015</v>
      </c>
      <c r="F1702" s="6" t="s">
        <v>46</v>
      </c>
      <c r="G1702" s="6" t="s">
        <v>7518</v>
      </c>
      <c r="H1702" s="7">
        <v>29.3</v>
      </c>
      <c r="I1702" s="19" t="s">
        <v>2283</v>
      </c>
      <c r="J1702" s="19" t="s">
        <v>2466</v>
      </c>
      <c r="K1702" s="5" t="s">
        <v>7508</v>
      </c>
      <c r="L1702" s="5" t="s">
        <v>7509</v>
      </c>
      <c r="M1702" s="5" t="s">
        <v>7510</v>
      </c>
      <c r="N1702" s="5" t="s">
        <v>7511</v>
      </c>
      <c r="O1702" s="5" t="s">
        <v>7512</v>
      </c>
      <c r="P1702" s="5" t="s">
        <v>7513</v>
      </c>
      <c r="Q1702" s="5" t="s">
        <v>7514</v>
      </c>
      <c r="R1702" s="5" t="s">
        <v>7515</v>
      </c>
      <c r="AG1702" s="14" t="s">
        <v>55</v>
      </c>
      <c r="AH1702" s="14" t="s">
        <v>1603</v>
      </c>
      <c r="AI1702" s="14" t="s">
        <v>1603</v>
      </c>
    </row>
    <row r="1703" spans="1:35">
      <c r="A1703" s="5" t="s">
        <v>7519</v>
      </c>
      <c r="B1703" s="5" t="s">
        <v>7520</v>
      </c>
      <c r="C1703" s="6" t="s">
        <v>4757</v>
      </c>
      <c r="D1703" s="6" t="s">
        <v>1645</v>
      </c>
      <c r="E1703" s="6" t="s">
        <v>1386</v>
      </c>
      <c r="F1703" s="6" t="s">
        <v>46</v>
      </c>
      <c r="G1703" s="6" t="s">
        <v>7521</v>
      </c>
      <c r="H1703" s="7">
        <v>32.67</v>
      </c>
      <c r="I1703" s="19" t="s">
        <v>2283</v>
      </c>
      <c r="J1703" s="19" t="s">
        <v>2481</v>
      </c>
      <c r="K1703" s="5" t="s">
        <v>6871</v>
      </c>
      <c r="L1703" s="5" t="s">
        <v>6872</v>
      </c>
      <c r="M1703" s="5" t="s">
        <v>6873</v>
      </c>
      <c r="N1703" s="5" t="s">
        <v>6874</v>
      </c>
      <c r="O1703" s="5" t="s">
        <v>7522</v>
      </c>
      <c r="P1703" s="5" t="s">
        <v>7523</v>
      </c>
      <c r="Q1703" s="5" t="s">
        <v>7524</v>
      </c>
      <c r="R1703" s="5" t="s">
        <v>7525</v>
      </c>
      <c r="AG1703" s="14" t="s">
        <v>55</v>
      </c>
      <c r="AH1703" s="14" t="s">
        <v>1603</v>
      </c>
      <c r="AI1703" s="14" t="s">
        <v>1603</v>
      </c>
    </row>
    <row r="1704" spans="1:35">
      <c r="A1704" s="5" t="s">
        <v>7526</v>
      </c>
      <c r="B1704" s="5" t="s">
        <v>7520</v>
      </c>
      <c r="C1704" s="6" t="s">
        <v>4757</v>
      </c>
      <c r="D1704" s="6" t="s">
        <v>1645</v>
      </c>
      <c r="E1704" s="6" t="s">
        <v>2015</v>
      </c>
      <c r="F1704" s="6" t="s">
        <v>46</v>
      </c>
      <c r="G1704" s="6" t="s">
        <v>7527</v>
      </c>
      <c r="H1704" s="7">
        <v>32.67</v>
      </c>
      <c r="I1704" s="19" t="s">
        <v>2283</v>
      </c>
      <c r="J1704" s="19" t="s">
        <v>2481</v>
      </c>
      <c r="K1704" s="5" t="s">
        <v>6871</v>
      </c>
      <c r="L1704" s="5" t="s">
        <v>6872</v>
      </c>
      <c r="M1704" s="5" t="s">
        <v>6873</v>
      </c>
      <c r="N1704" s="5" t="s">
        <v>6874</v>
      </c>
      <c r="O1704" s="5" t="s">
        <v>7522</v>
      </c>
      <c r="P1704" s="5" t="s">
        <v>7523</v>
      </c>
      <c r="Q1704" s="5" t="s">
        <v>7524</v>
      </c>
      <c r="R1704" s="5" t="s">
        <v>7525</v>
      </c>
      <c r="AG1704" s="14" t="s">
        <v>55</v>
      </c>
      <c r="AH1704" s="14" t="s">
        <v>1603</v>
      </c>
      <c r="AI1704" s="14" t="s">
        <v>1603</v>
      </c>
    </row>
    <row r="1705" spans="1:35">
      <c r="A1705" s="5" t="s">
        <v>7528</v>
      </c>
      <c r="B1705" s="5" t="s">
        <v>7520</v>
      </c>
      <c r="C1705" s="6" t="s">
        <v>4757</v>
      </c>
      <c r="D1705" s="6" t="s">
        <v>1645</v>
      </c>
      <c r="E1705" s="6" t="s">
        <v>2047</v>
      </c>
      <c r="F1705" s="6" t="s">
        <v>46</v>
      </c>
      <c r="G1705" s="6" t="s">
        <v>7529</v>
      </c>
      <c r="H1705" s="7">
        <v>32.67</v>
      </c>
      <c r="I1705" s="19" t="s">
        <v>2283</v>
      </c>
      <c r="J1705" s="19" t="s">
        <v>2481</v>
      </c>
      <c r="K1705" s="5" t="s">
        <v>6871</v>
      </c>
      <c r="L1705" s="5" t="s">
        <v>6872</v>
      </c>
      <c r="M1705" s="5" t="s">
        <v>6873</v>
      </c>
      <c r="N1705" s="5" t="s">
        <v>6874</v>
      </c>
      <c r="O1705" s="5" t="s">
        <v>7522</v>
      </c>
      <c r="P1705" s="5" t="s">
        <v>7523</v>
      </c>
      <c r="Q1705" s="5" t="s">
        <v>7524</v>
      </c>
      <c r="R1705" s="5" t="s">
        <v>7525</v>
      </c>
      <c r="AG1705" s="14" t="s">
        <v>55</v>
      </c>
      <c r="AH1705" s="14" t="s">
        <v>1603</v>
      </c>
      <c r="AI1705" s="14" t="s">
        <v>1603</v>
      </c>
    </row>
    <row r="1706" spans="1:35">
      <c r="A1706" s="5" t="s">
        <v>7530</v>
      </c>
      <c r="B1706" s="5" t="s">
        <v>7531</v>
      </c>
      <c r="C1706" s="6" t="s">
        <v>2281</v>
      </c>
      <c r="D1706" s="6" t="s">
        <v>1645</v>
      </c>
      <c r="E1706" s="6" t="s">
        <v>1386</v>
      </c>
      <c r="F1706" s="6" t="s">
        <v>46</v>
      </c>
      <c r="G1706" s="6" t="s">
        <v>7532</v>
      </c>
      <c r="H1706" s="7">
        <v>36.04</v>
      </c>
      <c r="I1706" s="19" t="s">
        <v>2283</v>
      </c>
      <c r="J1706" s="19" t="s">
        <v>2512</v>
      </c>
      <c r="K1706" s="6" t="s">
        <v>2513</v>
      </c>
      <c r="L1706" s="6" t="s">
        <v>2514</v>
      </c>
      <c r="M1706" s="6" t="s">
        <v>2515</v>
      </c>
      <c r="N1706" s="6" t="s">
        <v>2516</v>
      </c>
      <c r="O1706" s="6" t="s">
        <v>7533</v>
      </c>
      <c r="P1706" s="6" t="s">
        <v>7534</v>
      </c>
      <c r="Q1706" s="6" t="s">
        <v>7535</v>
      </c>
      <c r="R1706" s="6" t="s">
        <v>7536</v>
      </c>
      <c r="AG1706" s="14" t="s">
        <v>55</v>
      </c>
      <c r="AH1706" s="14" t="s">
        <v>1603</v>
      </c>
      <c r="AI1706" s="14" t="s">
        <v>1603</v>
      </c>
    </row>
    <row r="1707" spans="1:35">
      <c r="A1707" s="5" t="s">
        <v>7537</v>
      </c>
      <c r="B1707" s="5" t="s">
        <v>7531</v>
      </c>
      <c r="C1707" s="6" t="s">
        <v>2281</v>
      </c>
      <c r="D1707" s="6" t="s">
        <v>1645</v>
      </c>
      <c r="E1707" s="6" t="s">
        <v>2065</v>
      </c>
      <c r="F1707" s="6" t="s">
        <v>46</v>
      </c>
      <c r="G1707" s="6" t="s">
        <v>6891</v>
      </c>
      <c r="H1707" s="7">
        <v>36.04</v>
      </c>
      <c r="I1707" s="19" t="s">
        <v>2283</v>
      </c>
      <c r="J1707" s="19" t="s">
        <v>2512</v>
      </c>
      <c r="K1707" s="6" t="s">
        <v>2513</v>
      </c>
      <c r="L1707" s="6" t="s">
        <v>2514</v>
      </c>
      <c r="M1707" s="6" t="s">
        <v>2515</v>
      </c>
      <c r="N1707" s="6" t="s">
        <v>2516</v>
      </c>
      <c r="O1707" s="6" t="s">
        <v>7538</v>
      </c>
      <c r="P1707" s="6" t="s">
        <v>7539</v>
      </c>
      <c r="Q1707" s="6" t="s">
        <v>7540</v>
      </c>
      <c r="R1707" s="6" t="s">
        <v>7541</v>
      </c>
      <c r="AG1707" s="14" t="s">
        <v>55</v>
      </c>
      <c r="AH1707" s="14" t="s">
        <v>1603</v>
      </c>
      <c r="AI1707" s="14" t="s">
        <v>1603</v>
      </c>
    </row>
    <row r="1708" spans="1:35">
      <c r="A1708" s="5" t="s">
        <v>7542</v>
      </c>
      <c r="B1708" s="5" t="s">
        <v>7543</v>
      </c>
      <c r="C1708" s="6" t="s">
        <v>2525</v>
      </c>
      <c r="D1708" s="6" t="s">
        <v>1645</v>
      </c>
      <c r="E1708" s="6" t="s">
        <v>2139</v>
      </c>
      <c r="F1708" s="6" t="s">
        <v>46</v>
      </c>
      <c r="G1708" s="6" t="s">
        <v>7544</v>
      </c>
      <c r="H1708" s="7">
        <v>32.67</v>
      </c>
      <c r="I1708" s="19" t="s">
        <v>2283</v>
      </c>
      <c r="J1708" s="19" t="s">
        <v>2466</v>
      </c>
      <c r="K1708" s="5" t="s">
        <v>6905</v>
      </c>
      <c r="L1708" s="5" t="s">
        <v>6906</v>
      </c>
      <c r="M1708" s="5" t="s">
        <v>6907</v>
      </c>
      <c r="N1708" s="5" t="s">
        <v>6908</v>
      </c>
      <c r="O1708" s="5" t="s">
        <v>7545</v>
      </c>
      <c r="P1708" s="5" t="s">
        <v>7546</v>
      </c>
      <c r="Q1708" s="5" t="s">
        <v>7547</v>
      </c>
      <c r="R1708" s="5" t="s">
        <v>7548</v>
      </c>
      <c r="AG1708" s="14" t="s">
        <v>55</v>
      </c>
      <c r="AH1708" s="14" t="s">
        <v>1603</v>
      </c>
      <c r="AI1708" s="14" t="s">
        <v>1603</v>
      </c>
    </row>
    <row r="1709" spans="1:35">
      <c r="A1709" s="5" t="s">
        <v>7549</v>
      </c>
      <c r="B1709" s="5" t="s">
        <v>7543</v>
      </c>
      <c r="C1709" s="6" t="s">
        <v>2525</v>
      </c>
      <c r="D1709" s="6" t="s">
        <v>1645</v>
      </c>
      <c r="E1709" s="6" t="s">
        <v>2015</v>
      </c>
      <c r="F1709" s="6" t="s">
        <v>46</v>
      </c>
      <c r="G1709" s="6" t="s">
        <v>7550</v>
      </c>
      <c r="H1709" s="7">
        <v>32.67</v>
      </c>
      <c r="I1709" s="19" t="s">
        <v>2283</v>
      </c>
      <c r="J1709" s="19" t="s">
        <v>2466</v>
      </c>
      <c r="K1709" s="5" t="s">
        <v>6905</v>
      </c>
      <c r="L1709" s="5" t="s">
        <v>6906</v>
      </c>
      <c r="M1709" s="5" t="s">
        <v>6907</v>
      </c>
      <c r="N1709" s="5" t="s">
        <v>6908</v>
      </c>
      <c r="O1709" s="5" t="s">
        <v>7545</v>
      </c>
      <c r="P1709" s="5" t="s">
        <v>7546</v>
      </c>
      <c r="Q1709" s="5" t="s">
        <v>7547</v>
      </c>
      <c r="R1709" s="5" t="s">
        <v>7548</v>
      </c>
      <c r="AG1709" s="14" t="s">
        <v>55</v>
      </c>
      <c r="AH1709" s="14" t="s">
        <v>1603</v>
      </c>
      <c r="AI1709" s="14" t="s">
        <v>1603</v>
      </c>
    </row>
    <row r="1710" spans="1:35">
      <c r="A1710" s="5" t="s">
        <v>7551</v>
      </c>
      <c r="B1710" s="5" t="s">
        <v>7543</v>
      </c>
      <c r="C1710" s="6" t="s">
        <v>43</v>
      </c>
      <c r="D1710" s="6" t="s">
        <v>1645</v>
      </c>
      <c r="E1710" s="6" t="s">
        <v>2065</v>
      </c>
      <c r="F1710" s="6" t="s">
        <v>46</v>
      </c>
      <c r="G1710" s="6" t="s">
        <v>7552</v>
      </c>
      <c r="H1710" s="7">
        <v>32.67</v>
      </c>
      <c r="I1710" s="19" t="s">
        <v>2283</v>
      </c>
      <c r="J1710" s="19" t="s">
        <v>2466</v>
      </c>
      <c r="K1710" s="5" t="s">
        <v>6905</v>
      </c>
      <c r="L1710" s="5" t="s">
        <v>6906</v>
      </c>
      <c r="M1710" s="5" t="s">
        <v>6907</v>
      </c>
      <c r="N1710" s="5" t="s">
        <v>6908</v>
      </c>
      <c r="O1710" s="5" t="s">
        <v>7545</v>
      </c>
      <c r="P1710" s="5" t="s">
        <v>7546</v>
      </c>
      <c r="Q1710" s="5" t="s">
        <v>7547</v>
      </c>
      <c r="R1710" s="5" t="s">
        <v>7548</v>
      </c>
      <c r="AG1710" s="14" t="s">
        <v>55</v>
      </c>
      <c r="AH1710" s="14" t="s">
        <v>1603</v>
      </c>
      <c r="AI1710" s="14" t="s">
        <v>1603</v>
      </c>
    </row>
    <row r="1711" spans="1:35">
      <c r="A1711" s="5" t="s">
        <v>7553</v>
      </c>
      <c r="B1711" s="5" t="s">
        <v>7554</v>
      </c>
      <c r="C1711" s="6" t="s">
        <v>91</v>
      </c>
      <c r="D1711" s="6" t="s">
        <v>1645</v>
      </c>
      <c r="E1711" s="6" t="s">
        <v>2139</v>
      </c>
      <c r="F1711" s="6" t="s">
        <v>46</v>
      </c>
      <c r="G1711" s="6" t="s">
        <v>6597</v>
      </c>
      <c r="H1711" s="7">
        <v>32.67</v>
      </c>
      <c r="I1711" s="19" t="s">
        <v>2283</v>
      </c>
      <c r="J1711" s="19" t="s">
        <v>2466</v>
      </c>
      <c r="K1711" s="5" t="s">
        <v>6931</v>
      </c>
      <c r="L1711" s="5" t="s">
        <v>6932</v>
      </c>
      <c r="M1711" s="5" t="s">
        <v>6933</v>
      </c>
      <c r="N1711" s="5" t="s">
        <v>6934</v>
      </c>
      <c r="O1711" s="5" t="s">
        <v>7555</v>
      </c>
      <c r="P1711" s="5" t="s">
        <v>7556</v>
      </c>
      <c r="Q1711" s="5" t="s">
        <v>7557</v>
      </c>
      <c r="R1711" s="5" t="s">
        <v>7558</v>
      </c>
      <c r="AG1711" s="14" t="s">
        <v>55</v>
      </c>
      <c r="AH1711" s="14" t="s">
        <v>1603</v>
      </c>
      <c r="AI1711" s="14" t="s">
        <v>1603</v>
      </c>
    </row>
    <row r="1712" spans="1:35">
      <c r="A1712" s="5" t="s">
        <v>7559</v>
      </c>
      <c r="B1712" s="5" t="s">
        <v>7560</v>
      </c>
      <c r="C1712" s="6" t="s">
        <v>43</v>
      </c>
      <c r="D1712" s="6" t="s">
        <v>1645</v>
      </c>
      <c r="E1712" s="6" t="s">
        <v>1386</v>
      </c>
      <c r="F1712" s="6" t="s">
        <v>46</v>
      </c>
      <c r="G1712" s="6" t="s">
        <v>7561</v>
      </c>
      <c r="H1712" s="7">
        <v>32.67</v>
      </c>
      <c r="I1712" s="19" t="s">
        <v>2283</v>
      </c>
      <c r="J1712" s="19" t="s">
        <v>2466</v>
      </c>
      <c r="K1712" s="5" t="s">
        <v>6931</v>
      </c>
      <c r="L1712" s="5" t="s">
        <v>6932</v>
      </c>
      <c r="M1712" s="5" t="s">
        <v>6933</v>
      </c>
      <c r="N1712" s="5" t="s">
        <v>6934</v>
      </c>
      <c r="O1712" s="5" t="s">
        <v>7555</v>
      </c>
      <c r="P1712" s="5" t="s">
        <v>7556</v>
      </c>
      <c r="Q1712" s="5" t="s">
        <v>7557</v>
      </c>
      <c r="R1712" s="5" t="s">
        <v>7558</v>
      </c>
      <c r="AG1712" s="14" t="s">
        <v>55</v>
      </c>
      <c r="AH1712" s="14" t="s">
        <v>1603</v>
      </c>
      <c r="AI1712" s="14" t="s">
        <v>1603</v>
      </c>
    </row>
    <row r="1713" spans="1:35">
      <c r="A1713" s="5" t="s">
        <v>7562</v>
      </c>
      <c r="B1713" s="5" t="s">
        <v>7560</v>
      </c>
      <c r="C1713" s="6" t="s">
        <v>43</v>
      </c>
      <c r="D1713" s="6" t="s">
        <v>1645</v>
      </c>
      <c r="E1713" s="6" t="s">
        <v>2015</v>
      </c>
      <c r="F1713" s="6" t="s">
        <v>46</v>
      </c>
      <c r="G1713" s="6" t="s">
        <v>7550</v>
      </c>
      <c r="H1713" s="7">
        <v>32.67</v>
      </c>
      <c r="I1713" s="19" t="s">
        <v>2283</v>
      </c>
      <c r="J1713" s="19" t="s">
        <v>2466</v>
      </c>
      <c r="K1713" s="5" t="s">
        <v>6931</v>
      </c>
      <c r="L1713" s="5" t="s">
        <v>6932</v>
      </c>
      <c r="M1713" s="5" t="s">
        <v>6933</v>
      </c>
      <c r="N1713" s="5" t="s">
        <v>6934</v>
      </c>
      <c r="O1713" s="5" t="s">
        <v>7555</v>
      </c>
      <c r="P1713" s="5" t="s">
        <v>7556</v>
      </c>
      <c r="Q1713" s="5" t="s">
        <v>7557</v>
      </c>
      <c r="R1713" s="5" t="s">
        <v>7558</v>
      </c>
      <c r="AG1713" s="14" t="s">
        <v>55</v>
      </c>
      <c r="AH1713" s="14" t="s">
        <v>1603</v>
      </c>
      <c r="AI1713" s="14" t="s">
        <v>1603</v>
      </c>
    </row>
    <row r="1714" spans="1:35">
      <c r="A1714" s="5" t="s">
        <v>7563</v>
      </c>
      <c r="B1714" s="5" t="s">
        <v>7564</v>
      </c>
      <c r="C1714" s="6" t="s">
        <v>2525</v>
      </c>
      <c r="D1714" s="6" t="s">
        <v>1645</v>
      </c>
      <c r="E1714" s="6" t="s">
        <v>2047</v>
      </c>
      <c r="F1714" s="6" t="s">
        <v>46</v>
      </c>
      <c r="G1714" s="6" t="s">
        <v>7565</v>
      </c>
      <c r="H1714" s="7">
        <v>31.19</v>
      </c>
      <c r="I1714" s="19" t="s">
        <v>2283</v>
      </c>
      <c r="J1714" s="19" t="s">
        <v>2512</v>
      </c>
      <c r="K1714" s="6" t="s">
        <v>6942</v>
      </c>
      <c r="L1714" s="6" t="s">
        <v>6943</v>
      </c>
      <c r="M1714" s="6" t="s">
        <v>6944</v>
      </c>
      <c r="N1714" s="6" t="s">
        <v>6945</v>
      </c>
      <c r="O1714" s="6" t="s">
        <v>7566</v>
      </c>
      <c r="P1714" s="6" t="s">
        <v>7567</v>
      </c>
      <c r="Q1714" s="6" t="s">
        <v>7568</v>
      </c>
      <c r="R1714" s="6" t="s">
        <v>7569</v>
      </c>
      <c r="AG1714" s="14" t="s">
        <v>55</v>
      </c>
      <c r="AH1714" s="14" t="s">
        <v>1603</v>
      </c>
      <c r="AI1714" s="14" t="s">
        <v>1603</v>
      </c>
    </row>
    <row r="1715" spans="1:35">
      <c r="A1715" s="5" t="s">
        <v>7570</v>
      </c>
      <c r="B1715" s="5" t="s">
        <v>7571</v>
      </c>
      <c r="C1715" s="6" t="s">
        <v>6965</v>
      </c>
      <c r="D1715" s="6" t="s">
        <v>1645</v>
      </c>
      <c r="E1715" s="6" t="s">
        <v>1386</v>
      </c>
      <c r="F1715" s="6" t="s">
        <v>46</v>
      </c>
      <c r="G1715" s="6" t="s">
        <v>7572</v>
      </c>
      <c r="H1715" s="7">
        <v>36.630000000000003</v>
      </c>
      <c r="I1715" s="19" t="s">
        <v>2283</v>
      </c>
      <c r="J1715" s="19" t="s">
        <v>2481</v>
      </c>
      <c r="K1715" s="5" t="s">
        <v>6966</v>
      </c>
      <c r="L1715" s="5" t="s">
        <v>6967</v>
      </c>
      <c r="M1715" s="5" t="s">
        <v>6968</v>
      </c>
      <c r="N1715" s="5" t="s">
        <v>6969</v>
      </c>
      <c r="O1715" s="5" t="s">
        <v>7573</v>
      </c>
      <c r="P1715" s="5" t="s">
        <v>7574</v>
      </c>
      <c r="Q1715" s="5" t="s">
        <v>7575</v>
      </c>
      <c r="R1715" s="5" t="s">
        <v>7576</v>
      </c>
      <c r="AG1715" s="14" t="s">
        <v>55</v>
      </c>
      <c r="AH1715" s="14" t="s">
        <v>1603</v>
      </c>
      <c r="AI1715" s="14" t="s">
        <v>1603</v>
      </c>
    </row>
    <row r="1716" spans="1:35">
      <c r="A1716" s="5" t="s">
        <v>7577</v>
      </c>
      <c r="B1716" s="5" t="s">
        <v>7571</v>
      </c>
      <c r="C1716" s="6" t="s">
        <v>43</v>
      </c>
      <c r="D1716" s="6" t="s">
        <v>1645</v>
      </c>
      <c r="E1716" s="6" t="s">
        <v>2015</v>
      </c>
      <c r="F1716" s="6" t="s">
        <v>46</v>
      </c>
      <c r="G1716" s="6" t="s">
        <v>7578</v>
      </c>
      <c r="H1716" s="7">
        <v>36.630000000000003</v>
      </c>
      <c r="I1716" s="19" t="s">
        <v>2283</v>
      </c>
      <c r="J1716" s="19" t="s">
        <v>2481</v>
      </c>
      <c r="K1716" s="5" t="s">
        <v>6966</v>
      </c>
      <c r="L1716" s="5" t="s">
        <v>6967</v>
      </c>
      <c r="M1716" s="5" t="s">
        <v>6968</v>
      </c>
      <c r="N1716" s="5" t="s">
        <v>6969</v>
      </c>
      <c r="O1716" s="5" t="s">
        <v>7573</v>
      </c>
      <c r="P1716" s="5" t="s">
        <v>7574</v>
      </c>
      <c r="Q1716" s="5" t="s">
        <v>7575</v>
      </c>
      <c r="R1716" s="5" t="s">
        <v>7576</v>
      </c>
      <c r="AG1716" s="14" t="s">
        <v>55</v>
      </c>
      <c r="AH1716" s="14" t="s">
        <v>1603</v>
      </c>
      <c r="AI1716" s="14" t="s">
        <v>1603</v>
      </c>
    </row>
    <row r="1717" spans="1:35">
      <c r="A1717" s="5" t="s">
        <v>7579</v>
      </c>
      <c r="B1717" s="5" t="s">
        <v>7571</v>
      </c>
      <c r="C1717" s="6" t="s">
        <v>6965</v>
      </c>
      <c r="D1717" s="6" t="s">
        <v>1645</v>
      </c>
      <c r="E1717" s="6" t="s">
        <v>2047</v>
      </c>
      <c r="F1717" s="6" t="s">
        <v>46</v>
      </c>
      <c r="G1717" s="6" t="s">
        <v>7580</v>
      </c>
      <c r="H1717" s="7">
        <v>36.630000000000003</v>
      </c>
      <c r="I1717" s="19" t="s">
        <v>2283</v>
      </c>
      <c r="J1717" s="19" t="s">
        <v>2481</v>
      </c>
      <c r="K1717" s="5" t="s">
        <v>6966</v>
      </c>
      <c r="L1717" s="5" t="s">
        <v>6967</v>
      </c>
      <c r="M1717" s="5" t="s">
        <v>6968</v>
      </c>
      <c r="N1717" s="5" t="s">
        <v>6969</v>
      </c>
      <c r="O1717" s="5" t="s">
        <v>7573</v>
      </c>
      <c r="P1717" s="5" t="s">
        <v>7574</v>
      </c>
      <c r="Q1717" s="5" t="s">
        <v>7575</v>
      </c>
      <c r="R1717" s="5" t="s">
        <v>7576</v>
      </c>
      <c r="AG1717" s="14" t="s">
        <v>55</v>
      </c>
      <c r="AH1717" s="14" t="s">
        <v>1603</v>
      </c>
      <c r="AI1717" s="14" t="s">
        <v>1603</v>
      </c>
    </row>
    <row r="1718" spans="1:35">
      <c r="A1718" s="5" t="s">
        <v>7581</v>
      </c>
      <c r="B1718" s="5" t="s">
        <v>7582</v>
      </c>
      <c r="C1718" s="6" t="s">
        <v>2525</v>
      </c>
      <c r="D1718" s="6" t="s">
        <v>1645</v>
      </c>
      <c r="E1718" s="6" t="s">
        <v>240</v>
      </c>
      <c r="F1718" s="6" t="s">
        <v>46</v>
      </c>
      <c r="G1718" s="6" t="s">
        <v>7583</v>
      </c>
      <c r="H1718" s="7">
        <v>29.7</v>
      </c>
      <c r="I1718" s="19" t="s">
        <v>2283</v>
      </c>
      <c r="J1718" s="19" t="s">
        <v>2466</v>
      </c>
      <c r="R1718" s="5"/>
      <c r="AG1718" s="14" t="s">
        <v>55</v>
      </c>
      <c r="AH1718" s="14" t="s">
        <v>1603</v>
      </c>
      <c r="AI1718" s="14" t="s">
        <v>1603</v>
      </c>
    </row>
    <row r="1719" spans="1:35">
      <c r="A1719" s="5" t="s">
        <v>7584</v>
      </c>
      <c r="B1719" s="5" t="s">
        <v>7585</v>
      </c>
      <c r="C1719" s="6" t="s">
        <v>2281</v>
      </c>
      <c r="D1719" s="6" t="s">
        <v>1645</v>
      </c>
      <c r="E1719" s="6" t="s">
        <v>1386</v>
      </c>
      <c r="F1719" s="6" t="s">
        <v>46</v>
      </c>
      <c r="G1719" s="6" t="s">
        <v>7586</v>
      </c>
      <c r="H1719" s="7">
        <v>43.3</v>
      </c>
      <c r="I1719" s="19" t="s">
        <v>2283</v>
      </c>
      <c r="J1719" s="19" t="s">
        <v>2512</v>
      </c>
      <c r="K1719" s="6" t="s">
        <v>2616</v>
      </c>
      <c r="L1719" s="6" t="s">
        <v>2617</v>
      </c>
      <c r="M1719" s="6" t="s">
        <v>2618</v>
      </c>
      <c r="N1719" s="6" t="s">
        <v>2619</v>
      </c>
      <c r="O1719" s="6" t="s">
        <v>7587</v>
      </c>
      <c r="P1719" s="6" t="s">
        <v>7588</v>
      </c>
      <c r="Q1719" s="6" t="s">
        <v>7589</v>
      </c>
      <c r="R1719" s="6" t="s">
        <v>7590</v>
      </c>
      <c r="AG1719" s="14" t="s">
        <v>55</v>
      </c>
      <c r="AH1719" s="14" t="s">
        <v>1603</v>
      </c>
      <c r="AI1719" s="14" t="s">
        <v>1603</v>
      </c>
    </row>
    <row r="1720" spans="1:35">
      <c r="A1720" s="5" t="s">
        <v>7591</v>
      </c>
      <c r="B1720" s="5" t="s">
        <v>7585</v>
      </c>
      <c r="C1720" s="6" t="s">
        <v>2281</v>
      </c>
      <c r="D1720" s="6" t="s">
        <v>1645</v>
      </c>
      <c r="E1720" s="6" t="s">
        <v>2065</v>
      </c>
      <c r="F1720" s="6" t="s">
        <v>46</v>
      </c>
      <c r="G1720" s="6" t="s">
        <v>7592</v>
      </c>
      <c r="H1720" s="7">
        <v>43.3</v>
      </c>
      <c r="I1720" s="19" t="s">
        <v>2283</v>
      </c>
      <c r="J1720" s="19" t="s">
        <v>2512</v>
      </c>
      <c r="K1720" s="6" t="s">
        <v>2616</v>
      </c>
      <c r="L1720" s="6" t="s">
        <v>2617</v>
      </c>
      <c r="M1720" s="6" t="s">
        <v>2618</v>
      </c>
      <c r="N1720" s="6" t="s">
        <v>2619</v>
      </c>
      <c r="O1720" s="6" t="s">
        <v>7587</v>
      </c>
      <c r="P1720" s="6" t="s">
        <v>7588</v>
      </c>
      <c r="Q1720" s="6" t="s">
        <v>7589</v>
      </c>
      <c r="R1720" s="6" t="s">
        <v>7590</v>
      </c>
      <c r="AG1720" s="14" t="s">
        <v>55</v>
      </c>
      <c r="AH1720" s="14" t="s">
        <v>1603</v>
      </c>
      <c r="AI1720" s="14" t="s">
        <v>1603</v>
      </c>
    </row>
    <row r="1721" spans="1:35">
      <c r="A1721" s="5" t="s">
        <v>7593</v>
      </c>
      <c r="B1721" s="5" t="s">
        <v>7594</v>
      </c>
      <c r="C1721" s="6" t="s">
        <v>7430</v>
      </c>
      <c r="D1721" s="6" t="s">
        <v>1645</v>
      </c>
      <c r="E1721" s="6" t="s">
        <v>1386</v>
      </c>
      <c r="F1721" s="6" t="s">
        <v>46</v>
      </c>
      <c r="G1721" s="6" t="s">
        <v>7595</v>
      </c>
      <c r="H1721" s="7">
        <v>41.51</v>
      </c>
      <c r="I1721" s="19" t="s">
        <v>2283</v>
      </c>
      <c r="J1721" s="19" t="s">
        <v>2636</v>
      </c>
      <c r="K1721" s="5" t="s">
        <v>7596</v>
      </c>
      <c r="L1721" s="5" t="s">
        <v>7597</v>
      </c>
      <c r="M1721" s="5" t="s">
        <v>7598</v>
      </c>
      <c r="N1721" s="5" t="s">
        <v>7599</v>
      </c>
      <c r="O1721" s="5" t="s">
        <v>7600</v>
      </c>
      <c r="P1721" s="5" t="s">
        <v>7601</v>
      </c>
      <c r="Q1721" s="5" t="s">
        <v>7602</v>
      </c>
      <c r="R1721" s="5" t="s">
        <v>7603</v>
      </c>
      <c r="AG1721" s="14" t="s">
        <v>55</v>
      </c>
      <c r="AH1721" s="14" t="s">
        <v>1603</v>
      </c>
      <c r="AI1721" s="14" t="s">
        <v>1603</v>
      </c>
    </row>
    <row r="1722" spans="1:35">
      <c r="A1722" s="5" t="s">
        <v>7604</v>
      </c>
      <c r="B1722" s="5" t="s">
        <v>7605</v>
      </c>
      <c r="C1722" s="6" t="s">
        <v>7606</v>
      </c>
      <c r="D1722" s="6" t="s">
        <v>1645</v>
      </c>
      <c r="E1722" s="6" t="s">
        <v>1386</v>
      </c>
      <c r="F1722" s="6" t="s">
        <v>46</v>
      </c>
      <c r="G1722" s="6" t="s">
        <v>7607</v>
      </c>
      <c r="H1722" s="7">
        <v>44.75</v>
      </c>
      <c r="I1722" s="19" t="s">
        <v>2283</v>
      </c>
      <c r="J1722" s="19" t="s">
        <v>2636</v>
      </c>
      <c r="K1722" s="5" t="s">
        <v>6993</v>
      </c>
      <c r="L1722" s="5" t="s">
        <v>6994</v>
      </c>
      <c r="M1722" s="5" t="s">
        <v>6995</v>
      </c>
      <c r="N1722" s="5" t="s">
        <v>6996</v>
      </c>
      <c r="O1722" s="5" t="s">
        <v>7608</v>
      </c>
      <c r="P1722" s="5" t="s">
        <v>7609</v>
      </c>
      <c r="Q1722" s="5" t="s">
        <v>7610</v>
      </c>
      <c r="R1722" s="5" t="s">
        <v>7611</v>
      </c>
      <c r="AG1722" s="14" t="s">
        <v>55</v>
      </c>
      <c r="AH1722" s="14" t="s">
        <v>1603</v>
      </c>
      <c r="AI1722" s="14" t="s">
        <v>1603</v>
      </c>
    </row>
    <row r="1723" spans="1:35">
      <c r="A1723" s="5" t="s">
        <v>7612</v>
      </c>
      <c r="B1723" s="5" t="s">
        <v>7605</v>
      </c>
      <c r="C1723" s="6" t="s">
        <v>7606</v>
      </c>
      <c r="D1723" s="6" t="s">
        <v>1645</v>
      </c>
      <c r="E1723" s="6" t="s">
        <v>2015</v>
      </c>
      <c r="F1723" s="6" t="s">
        <v>46</v>
      </c>
      <c r="G1723" s="6" t="s">
        <v>7613</v>
      </c>
      <c r="H1723" s="7">
        <v>44.75</v>
      </c>
      <c r="I1723" s="19" t="s">
        <v>2283</v>
      </c>
      <c r="J1723" s="19" t="s">
        <v>2636</v>
      </c>
      <c r="K1723" s="5" t="s">
        <v>6993</v>
      </c>
      <c r="L1723" s="5" t="s">
        <v>6994</v>
      </c>
      <c r="M1723" s="5" t="s">
        <v>6995</v>
      </c>
      <c r="N1723" s="5" t="s">
        <v>6996</v>
      </c>
      <c r="O1723" s="5" t="s">
        <v>7608</v>
      </c>
      <c r="P1723" s="5" t="s">
        <v>7609</v>
      </c>
      <c r="Q1723" s="5" t="s">
        <v>7610</v>
      </c>
      <c r="R1723" s="5" t="s">
        <v>7611</v>
      </c>
      <c r="AG1723" s="14" t="s">
        <v>55</v>
      </c>
      <c r="AH1723" s="14" t="s">
        <v>1603</v>
      </c>
      <c r="AI1723" s="14" t="s">
        <v>1603</v>
      </c>
    </row>
    <row r="1724" spans="1:35">
      <c r="A1724" s="5" t="s">
        <v>7614</v>
      </c>
      <c r="B1724" s="5" t="s">
        <v>7605</v>
      </c>
      <c r="C1724" s="6" t="s">
        <v>7606</v>
      </c>
      <c r="D1724" s="6" t="s">
        <v>1645</v>
      </c>
      <c r="E1724" s="6" t="s">
        <v>2065</v>
      </c>
      <c r="F1724" s="6" t="s">
        <v>46</v>
      </c>
      <c r="G1724" s="6" t="s">
        <v>7615</v>
      </c>
      <c r="H1724" s="7">
        <v>44.75</v>
      </c>
      <c r="I1724" s="19" t="s">
        <v>2283</v>
      </c>
      <c r="J1724" s="19" t="s">
        <v>2636</v>
      </c>
      <c r="K1724" s="5" t="s">
        <v>6993</v>
      </c>
      <c r="L1724" s="5" t="s">
        <v>6994</v>
      </c>
      <c r="M1724" s="5" t="s">
        <v>6995</v>
      </c>
      <c r="N1724" s="5" t="s">
        <v>6996</v>
      </c>
      <c r="O1724" s="5" t="s">
        <v>7608</v>
      </c>
      <c r="P1724" s="5" t="s">
        <v>7609</v>
      </c>
      <c r="Q1724" s="5" t="s">
        <v>7610</v>
      </c>
      <c r="R1724" s="5" t="s">
        <v>7611</v>
      </c>
      <c r="AG1724" s="14" t="s">
        <v>55</v>
      </c>
      <c r="AH1724" s="14" t="s">
        <v>1603</v>
      </c>
      <c r="AI1724" s="14" t="s">
        <v>1603</v>
      </c>
    </row>
    <row r="1725" spans="1:35">
      <c r="A1725" s="5" t="s">
        <v>7616</v>
      </c>
      <c r="B1725" s="5" t="s">
        <v>7617</v>
      </c>
      <c r="C1725" s="6" t="s">
        <v>5271</v>
      </c>
      <c r="D1725" s="6" t="s">
        <v>1390</v>
      </c>
      <c r="E1725" s="6" t="s">
        <v>1386</v>
      </c>
      <c r="F1725" s="6" t="s">
        <v>46</v>
      </c>
      <c r="G1725" s="6" t="s">
        <v>7618</v>
      </c>
      <c r="H1725" s="7">
        <v>19.77</v>
      </c>
      <c r="I1725" s="19" t="s">
        <v>1589</v>
      </c>
      <c r="J1725" s="19" t="s">
        <v>2650</v>
      </c>
      <c r="K1725" s="20" t="s">
        <v>2651</v>
      </c>
      <c r="L1725" s="20" t="s">
        <v>2652</v>
      </c>
      <c r="M1725" s="20" t="s">
        <v>2653</v>
      </c>
      <c r="N1725" s="20" t="s">
        <v>2654</v>
      </c>
      <c r="O1725" s="20" t="s">
        <v>7619</v>
      </c>
      <c r="P1725" s="20" t="s">
        <v>7620</v>
      </c>
      <c r="Q1725" s="20" t="s">
        <v>7621</v>
      </c>
      <c r="R1725" s="5" t="s">
        <v>7622</v>
      </c>
      <c r="W1725" s="20" t="s">
        <v>2010</v>
      </c>
      <c r="X1725" s="20" t="s">
        <v>2011</v>
      </c>
      <c r="Y1725" s="20" t="s">
        <v>2012</v>
      </c>
      <c r="Z1725" s="20" t="s">
        <v>2013</v>
      </c>
      <c r="AG1725" s="14" t="s">
        <v>55</v>
      </c>
      <c r="AH1725" s="14" t="s">
        <v>1603</v>
      </c>
      <c r="AI1725" s="14" t="s">
        <v>124</v>
      </c>
    </row>
    <row r="1726" spans="1:35">
      <c r="A1726" s="5" t="s">
        <v>7623</v>
      </c>
      <c r="B1726" s="5" t="s">
        <v>7624</v>
      </c>
      <c r="C1726" s="6" t="s">
        <v>43</v>
      </c>
      <c r="D1726" s="6" t="s">
        <v>1390</v>
      </c>
      <c r="E1726" s="6" t="s">
        <v>1386</v>
      </c>
      <c r="F1726" s="6" t="s">
        <v>46</v>
      </c>
      <c r="G1726" s="6" t="s">
        <v>7625</v>
      </c>
      <c r="H1726" s="7">
        <v>25.91</v>
      </c>
      <c r="I1726" s="19" t="s">
        <v>1589</v>
      </c>
      <c r="J1726" s="19" t="s">
        <v>2650</v>
      </c>
      <c r="K1726" s="20" t="s">
        <v>2662</v>
      </c>
      <c r="L1726" s="20" t="s">
        <v>2663</v>
      </c>
      <c r="M1726" s="20" t="s">
        <v>2664</v>
      </c>
      <c r="N1726" s="20" t="s">
        <v>2665</v>
      </c>
      <c r="O1726" s="20" t="s">
        <v>7626</v>
      </c>
      <c r="P1726" s="20" t="s">
        <v>7627</v>
      </c>
      <c r="Q1726" s="20" t="s">
        <v>7628</v>
      </c>
      <c r="R1726" s="5" t="s">
        <v>7629</v>
      </c>
      <c r="W1726" s="20" t="s">
        <v>2010</v>
      </c>
      <c r="X1726" s="20" t="s">
        <v>2011</v>
      </c>
      <c r="Y1726" s="20" t="s">
        <v>2012</v>
      </c>
      <c r="Z1726" s="20" t="s">
        <v>2013</v>
      </c>
      <c r="AG1726" s="14" t="s">
        <v>55</v>
      </c>
      <c r="AH1726" s="14" t="s">
        <v>1603</v>
      </c>
      <c r="AI1726" s="14" t="s">
        <v>124</v>
      </c>
    </row>
    <row r="1727" spans="1:35">
      <c r="A1727" s="5" t="s">
        <v>7630</v>
      </c>
      <c r="B1727" s="5" t="s">
        <v>7631</v>
      </c>
      <c r="C1727" s="6" t="s">
        <v>43</v>
      </c>
      <c r="D1727" s="6" t="s">
        <v>1390</v>
      </c>
      <c r="E1727" s="6" t="s">
        <v>1386</v>
      </c>
      <c r="F1727" s="6" t="s">
        <v>46</v>
      </c>
      <c r="G1727" s="6" t="s">
        <v>7632</v>
      </c>
      <c r="H1727" s="7">
        <v>24.88</v>
      </c>
      <c r="I1727" s="19" t="s">
        <v>1589</v>
      </c>
      <c r="J1727" s="19" t="s">
        <v>2650</v>
      </c>
      <c r="K1727" s="5" t="s">
        <v>2674</v>
      </c>
      <c r="L1727" s="5" t="s">
        <v>2675</v>
      </c>
      <c r="M1727" s="5" t="s">
        <v>2676</v>
      </c>
      <c r="N1727" s="5" t="s">
        <v>2677</v>
      </c>
      <c r="O1727" s="5" t="s">
        <v>7633</v>
      </c>
      <c r="P1727" s="5" t="s">
        <v>7634</v>
      </c>
      <c r="Q1727" s="5" t="s">
        <v>7635</v>
      </c>
      <c r="R1727" s="5" t="s">
        <v>7636</v>
      </c>
      <c r="AG1727" s="14" t="s">
        <v>55</v>
      </c>
      <c r="AH1727" s="14" t="s">
        <v>1603</v>
      </c>
      <c r="AI1727" s="14" t="s">
        <v>2087</v>
      </c>
    </row>
    <row r="1728" spans="1:35">
      <c r="A1728" s="5" t="s">
        <v>7637</v>
      </c>
      <c r="B1728" s="5" t="s">
        <v>7638</v>
      </c>
      <c r="C1728" s="6" t="s">
        <v>6820</v>
      </c>
      <c r="D1728" s="6" t="s">
        <v>1390</v>
      </c>
      <c r="E1728" s="6" t="s">
        <v>1386</v>
      </c>
      <c r="F1728" s="6" t="s">
        <v>46</v>
      </c>
      <c r="G1728" s="6" t="s">
        <v>7639</v>
      </c>
      <c r="H1728" s="7">
        <v>30.26</v>
      </c>
      <c r="I1728" s="19" t="s">
        <v>1589</v>
      </c>
      <c r="J1728" s="19" t="s">
        <v>2650</v>
      </c>
      <c r="K1728" s="5" t="s">
        <v>2685</v>
      </c>
      <c r="L1728" s="5" t="s">
        <v>2686</v>
      </c>
      <c r="M1728" s="5" t="s">
        <v>2687</v>
      </c>
      <c r="N1728" s="5" t="s">
        <v>2688</v>
      </c>
      <c r="O1728" s="5" t="s">
        <v>7640</v>
      </c>
      <c r="P1728" s="5" t="s">
        <v>7641</v>
      </c>
      <c r="Q1728" s="5" t="s">
        <v>7642</v>
      </c>
      <c r="R1728" s="5" t="s">
        <v>7643</v>
      </c>
      <c r="AG1728" s="14" t="s">
        <v>55</v>
      </c>
      <c r="AH1728" s="14" t="s">
        <v>1603</v>
      </c>
      <c r="AI1728" s="14" t="s">
        <v>2087</v>
      </c>
    </row>
    <row r="1729" spans="1:37">
      <c r="A1729" s="5" t="s">
        <v>7644</v>
      </c>
      <c r="B1729" s="5" t="s">
        <v>7645</v>
      </c>
      <c r="C1729" s="6" t="s">
        <v>43</v>
      </c>
      <c r="D1729" s="6" t="s">
        <v>239</v>
      </c>
      <c r="E1729" s="6" t="s">
        <v>1386</v>
      </c>
      <c r="F1729" s="6" t="s">
        <v>46</v>
      </c>
      <c r="G1729" s="6" t="s">
        <v>5942</v>
      </c>
      <c r="H1729" s="7">
        <v>13.53</v>
      </c>
      <c r="I1729" s="19" t="s">
        <v>1589</v>
      </c>
      <c r="J1729" s="19" t="s">
        <v>2696</v>
      </c>
      <c r="K1729" s="5" t="s">
        <v>2697</v>
      </c>
      <c r="L1729" s="5" t="s">
        <v>2698</v>
      </c>
      <c r="M1729" s="5" t="s">
        <v>2699</v>
      </c>
      <c r="N1729" s="5" t="s">
        <v>2700</v>
      </c>
      <c r="O1729" s="5" t="s">
        <v>7646</v>
      </c>
      <c r="P1729" s="5" t="s">
        <v>7647</v>
      </c>
      <c r="Q1729" s="5" t="s">
        <v>7648</v>
      </c>
      <c r="R1729" s="5" t="s">
        <v>7649</v>
      </c>
      <c r="AG1729" s="14" t="s">
        <v>55</v>
      </c>
      <c r="AH1729" s="14" t="s">
        <v>1603</v>
      </c>
      <c r="AI1729" s="14" t="s">
        <v>1604</v>
      </c>
    </row>
    <row r="1730" spans="1:37">
      <c r="A1730" s="6" t="s">
        <v>7650</v>
      </c>
      <c r="B1730" s="6" t="s">
        <v>7651</v>
      </c>
      <c r="C1730" s="6" t="s">
        <v>43</v>
      </c>
      <c r="D1730" s="6" t="s">
        <v>239</v>
      </c>
      <c r="E1730" s="6" t="s">
        <v>1540</v>
      </c>
      <c r="F1730" s="6" t="s">
        <v>46</v>
      </c>
      <c r="G1730" s="6" t="s">
        <v>7247</v>
      </c>
      <c r="I1730" s="6" t="s">
        <v>48</v>
      </c>
      <c r="J1730" s="6" t="s">
        <v>48</v>
      </c>
      <c r="K1730" s="6"/>
      <c r="L1730" s="6"/>
      <c r="M1730" s="6"/>
      <c r="N1730" s="6"/>
      <c r="O1730" s="6"/>
      <c r="P1730" s="6"/>
      <c r="Q1730" s="6"/>
      <c r="R1730" s="6"/>
      <c r="S1730" s="6"/>
      <c r="T1730" s="6"/>
      <c r="U1730" s="6"/>
      <c r="V1730" s="6"/>
      <c r="W1730" s="6"/>
      <c r="X1730" s="6"/>
      <c r="Y1730" s="6"/>
      <c r="Z1730" s="6"/>
      <c r="AA1730" s="6"/>
      <c r="AB1730" s="6"/>
      <c r="AC1730" s="6"/>
      <c r="AD1730" s="6"/>
      <c r="AE1730" s="6"/>
      <c r="AF1730" s="6"/>
      <c r="AG1730" s="15" t="s">
        <v>55</v>
      </c>
      <c r="AH1730" s="15"/>
      <c r="AI1730" s="15"/>
      <c r="AJ1730" s="6"/>
      <c r="AK1730" s="6"/>
    </row>
    <row r="1731" spans="1:37" s="6" customFormat="1">
      <c r="A1731" s="5" t="s">
        <v>7652</v>
      </c>
      <c r="B1731" s="5" t="s">
        <v>7653</v>
      </c>
      <c r="C1731" s="6" t="s">
        <v>43</v>
      </c>
      <c r="D1731" s="6" t="s">
        <v>239</v>
      </c>
      <c r="E1731" s="6" t="s">
        <v>1386</v>
      </c>
      <c r="F1731" s="6" t="s">
        <v>46</v>
      </c>
      <c r="G1731" s="6" t="s">
        <v>7654</v>
      </c>
      <c r="H1731" s="7">
        <v>15.41</v>
      </c>
      <c r="I1731" s="19" t="s">
        <v>1589</v>
      </c>
      <c r="J1731" s="19" t="s">
        <v>2696</v>
      </c>
      <c r="K1731" s="5" t="s">
        <v>2733</v>
      </c>
      <c r="L1731" s="5" t="s">
        <v>2734</v>
      </c>
      <c r="M1731" s="5" t="s">
        <v>2735</v>
      </c>
      <c r="N1731" s="5" t="s">
        <v>2736</v>
      </c>
      <c r="O1731" s="5" t="s">
        <v>7655</v>
      </c>
      <c r="P1731" s="5" t="s">
        <v>7656</v>
      </c>
      <c r="Q1731" s="5" t="s">
        <v>7657</v>
      </c>
      <c r="R1731" s="5" t="s">
        <v>7658</v>
      </c>
      <c r="S1731" s="5"/>
      <c r="T1731" s="5"/>
      <c r="U1731" s="5"/>
      <c r="V1731" s="5"/>
      <c r="W1731" s="5"/>
      <c r="X1731" s="5"/>
      <c r="Y1731" s="5"/>
      <c r="Z1731" s="5"/>
      <c r="AA1731" s="5"/>
      <c r="AB1731" s="5"/>
      <c r="AC1731" s="5"/>
      <c r="AD1731" s="5"/>
      <c r="AE1731" s="5"/>
      <c r="AF1731" s="5"/>
      <c r="AG1731" s="14" t="s">
        <v>55</v>
      </c>
      <c r="AH1731" s="14" t="s">
        <v>1603</v>
      </c>
      <c r="AI1731" s="14" t="s">
        <v>1604</v>
      </c>
      <c r="AJ1731" s="5"/>
      <c r="AK1731" s="5"/>
    </row>
    <row r="1732" spans="1:37">
      <c r="A1732" s="5" t="s">
        <v>7659</v>
      </c>
      <c r="B1732" s="5" t="s">
        <v>7653</v>
      </c>
      <c r="C1732" s="6" t="s">
        <v>43</v>
      </c>
      <c r="D1732" s="6" t="s">
        <v>239</v>
      </c>
      <c r="E1732" s="6" t="s">
        <v>2047</v>
      </c>
      <c r="F1732" s="6" t="s">
        <v>46</v>
      </c>
      <c r="G1732" s="6" t="s">
        <v>7660</v>
      </c>
      <c r="H1732" s="7">
        <v>15.41</v>
      </c>
      <c r="I1732" s="19" t="s">
        <v>1589</v>
      </c>
      <c r="J1732" s="19" t="s">
        <v>2696</v>
      </c>
      <c r="K1732" s="5" t="s">
        <v>2733</v>
      </c>
      <c r="L1732" s="5" t="s">
        <v>2734</v>
      </c>
      <c r="M1732" s="5" t="s">
        <v>2735</v>
      </c>
      <c r="N1732" s="5" t="s">
        <v>2736</v>
      </c>
      <c r="O1732" s="5" t="s">
        <v>7655</v>
      </c>
      <c r="P1732" s="5" t="s">
        <v>7656</v>
      </c>
      <c r="Q1732" s="5" t="s">
        <v>7657</v>
      </c>
      <c r="R1732" s="5" t="s">
        <v>7658</v>
      </c>
      <c r="AG1732" s="14" t="s">
        <v>55</v>
      </c>
      <c r="AH1732" s="14" t="s">
        <v>1603</v>
      </c>
      <c r="AI1732" s="14" t="s">
        <v>1604</v>
      </c>
    </row>
    <row r="1733" spans="1:37">
      <c r="A1733" s="6" t="s">
        <v>7661</v>
      </c>
      <c r="B1733" s="6" t="s">
        <v>7662</v>
      </c>
      <c r="C1733" s="6" t="s">
        <v>43</v>
      </c>
      <c r="D1733" s="6" t="s">
        <v>239</v>
      </c>
      <c r="E1733" s="6" t="s">
        <v>2065</v>
      </c>
      <c r="F1733" s="6" t="s">
        <v>46</v>
      </c>
      <c r="G1733" s="6" t="s">
        <v>7663</v>
      </c>
      <c r="I1733" s="19" t="s">
        <v>48</v>
      </c>
      <c r="J1733" s="19" t="s">
        <v>48</v>
      </c>
      <c r="K1733" s="6"/>
      <c r="L1733" s="6"/>
      <c r="M1733" s="6"/>
      <c r="N1733" s="6"/>
      <c r="O1733" s="6"/>
      <c r="P1733" s="6"/>
      <c r="Q1733" s="6"/>
      <c r="R1733" s="6"/>
      <c r="S1733" s="6"/>
      <c r="T1733" s="6"/>
      <c r="U1733" s="6"/>
      <c r="V1733" s="6"/>
      <c r="W1733" s="6"/>
      <c r="X1733" s="6"/>
      <c r="Y1733" s="6"/>
      <c r="Z1733" s="6"/>
      <c r="AA1733" s="6"/>
      <c r="AB1733" s="6"/>
      <c r="AC1733" s="6"/>
      <c r="AD1733" s="6"/>
      <c r="AE1733" s="6"/>
      <c r="AF1733" s="6"/>
      <c r="AG1733" s="15" t="s">
        <v>55</v>
      </c>
      <c r="AH1733" s="15"/>
      <c r="AI1733" s="15"/>
      <c r="AJ1733" s="6"/>
      <c r="AK1733" s="6"/>
    </row>
    <row r="1734" spans="1:37" s="6" customFormat="1">
      <c r="A1734" s="6" t="s">
        <v>7664</v>
      </c>
      <c r="B1734" s="6" t="s">
        <v>7665</v>
      </c>
      <c r="C1734" s="6" t="s">
        <v>43</v>
      </c>
      <c r="D1734" s="6" t="s">
        <v>239</v>
      </c>
      <c r="E1734" s="6" t="s">
        <v>2065</v>
      </c>
      <c r="F1734" s="6" t="s">
        <v>46</v>
      </c>
      <c r="G1734" s="6" t="s">
        <v>6703</v>
      </c>
      <c r="H1734" s="7"/>
      <c r="I1734" s="19" t="s">
        <v>48</v>
      </c>
      <c r="J1734" s="19" t="s">
        <v>48</v>
      </c>
      <c r="AG1734" s="15" t="s">
        <v>55</v>
      </c>
      <c r="AH1734" s="15"/>
      <c r="AI1734" s="15"/>
    </row>
    <row r="1735" spans="1:37" s="6" customFormat="1">
      <c r="A1735" s="5" t="s">
        <v>7666</v>
      </c>
      <c r="B1735" s="5" t="s">
        <v>7667</v>
      </c>
      <c r="C1735" s="6" t="s">
        <v>43</v>
      </c>
      <c r="D1735" s="6" t="s">
        <v>239</v>
      </c>
      <c r="E1735" s="6" t="s">
        <v>1386</v>
      </c>
      <c r="F1735" s="6" t="s">
        <v>46</v>
      </c>
      <c r="G1735" s="6" t="s">
        <v>7668</v>
      </c>
      <c r="H1735" s="7">
        <v>17.79</v>
      </c>
      <c r="I1735" s="19" t="s">
        <v>1589</v>
      </c>
      <c r="J1735" s="19" t="s">
        <v>2696</v>
      </c>
      <c r="K1735" s="5" t="s">
        <v>2757</v>
      </c>
      <c r="L1735" s="5" t="s">
        <v>2758</v>
      </c>
      <c r="M1735" s="5" t="s">
        <v>2759</v>
      </c>
      <c r="N1735" s="5" t="s">
        <v>2760</v>
      </c>
      <c r="O1735" s="5" t="s">
        <v>7669</v>
      </c>
      <c r="P1735" s="5" t="s">
        <v>7670</v>
      </c>
      <c r="Q1735" s="5" t="s">
        <v>7671</v>
      </c>
      <c r="R1735" s="5" t="s">
        <v>7672</v>
      </c>
      <c r="S1735" s="5"/>
      <c r="T1735" s="5"/>
      <c r="U1735" s="5"/>
      <c r="V1735" s="5"/>
      <c r="W1735" s="5"/>
      <c r="X1735" s="5"/>
      <c r="Y1735" s="5"/>
      <c r="Z1735" s="5"/>
      <c r="AA1735" s="5"/>
      <c r="AB1735" s="5"/>
      <c r="AC1735" s="5"/>
      <c r="AD1735" s="5"/>
      <c r="AE1735" s="5"/>
      <c r="AF1735" s="5"/>
      <c r="AG1735" s="14" t="s">
        <v>55</v>
      </c>
      <c r="AH1735" s="14" t="s">
        <v>1603</v>
      </c>
      <c r="AI1735" s="14" t="s">
        <v>1604</v>
      </c>
      <c r="AJ1735" s="5"/>
      <c r="AK1735" s="5"/>
    </row>
    <row r="1736" spans="1:37">
      <c r="A1736" s="5" t="s">
        <v>7673</v>
      </c>
      <c r="B1736" s="5" t="s">
        <v>7667</v>
      </c>
      <c r="C1736" s="6" t="s">
        <v>1935</v>
      </c>
      <c r="D1736" s="6" t="s">
        <v>239</v>
      </c>
      <c r="E1736" s="6" t="s">
        <v>2015</v>
      </c>
      <c r="F1736" s="6" t="s">
        <v>46</v>
      </c>
      <c r="G1736" s="6" t="s">
        <v>6322</v>
      </c>
      <c r="H1736" s="7">
        <v>17.79</v>
      </c>
      <c r="I1736" s="19" t="s">
        <v>1589</v>
      </c>
      <c r="J1736" s="19" t="s">
        <v>2696</v>
      </c>
      <c r="K1736" s="5" t="s">
        <v>2757</v>
      </c>
      <c r="L1736" s="5" t="s">
        <v>2758</v>
      </c>
      <c r="M1736" s="5" t="s">
        <v>2759</v>
      </c>
      <c r="N1736" s="5" t="s">
        <v>2760</v>
      </c>
      <c r="O1736" s="5" t="s">
        <v>7669</v>
      </c>
      <c r="P1736" s="5" t="s">
        <v>7670</v>
      </c>
      <c r="Q1736" s="5" t="s">
        <v>7671</v>
      </c>
      <c r="R1736" s="5" t="s">
        <v>7672</v>
      </c>
      <c r="AG1736" s="14" t="s">
        <v>55</v>
      </c>
      <c r="AH1736" s="14" t="s">
        <v>1603</v>
      </c>
      <c r="AI1736" s="14" t="s">
        <v>1604</v>
      </c>
    </row>
    <row r="1737" spans="1:37">
      <c r="A1737" s="5" t="s">
        <v>7674</v>
      </c>
      <c r="B1737" s="5" t="s">
        <v>7667</v>
      </c>
      <c r="C1737" s="6" t="s">
        <v>43</v>
      </c>
      <c r="D1737" s="6" t="s">
        <v>239</v>
      </c>
      <c r="E1737" s="6" t="s">
        <v>2047</v>
      </c>
      <c r="F1737" s="6" t="s">
        <v>46</v>
      </c>
      <c r="G1737" s="6" t="s">
        <v>7675</v>
      </c>
      <c r="H1737" s="7">
        <v>17.79</v>
      </c>
      <c r="I1737" s="19" t="s">
        <v>1589</v>
      </c>
      <c r="J1737" s="19" t="s">
        <v>2696</v>
      </c>
      <c r="K1737" s="5" t="s">
        <v>2757</v>
      </c>
      <c r="L1737" s="5" t="s">
        <v>2758</v>
      </c>
      <c r="M1737" s="5" t="s">
        <v>2759</v>
      </c>
      <c r="N1737" s="5" t="s">
        <v>2760</v>
      </c>
      <c r="O1737" s="5" t="s">
        <v>7669</v>
      </c>
      <c r="P1737" s="5" t="s">
        <v>7670</v>
      </c>
      <c r="Q1737" s="5" t="s">
        <v>7671</v>
      </c>
      <c r="R1737" s="5" t="s">
        <v>7672</v>
      </c>
      <c r="AG1737" s="14" t="s">
        <v>55</v>
      </c>
      <c r="AH1737" s="14" t="s">
        <v>1603</v>
      </c>
      <c r="AI1737" s="14" t="s">
        <v>1604</v>
      </c>
    </row>
    <row r="1738" spans="1:37">
      <c r="A1738" s="5" t="s">
        <v>7676</v>
      </c>
      <c r="B1738" s="5" t="s">
        <v>7677</v>
      </c>
      <c r="C1738" s="6" t="s">
        <v>43</v>
      </c>
      <c r="D1738" s="6" t="s">
        <v>239</v>
      </c>
      <c r="E1738" s="6" t="s">
        <v>2047</v>
      </c>
      <c r="F1738" s="6" t="s">
        <v>46</v>
      </c>
      <c r="G1738" s="6" t="s">
        <v>5163</v>
      </c>
      <c r="H1738" s="7">
        <v>21.19</v>
      </c>
      <c r="I1738" s="19" t="s">
        <v>1589</v>
      </c>
      <c r="J1738" s="19" t="s">
        <v>2696</v>
      </c>
      <c r="K1738" s="5" t="s">
        <v>6540</v>
      </c>
      <c r="L1738" s="5" t="s">
        <v>6541</v>
      </c>
      <c r="M1738" s="5" t="s">
        <v>6542</v>
      </c>
      <c r="N1738" s="5" t="s">
        <v>6543</v>
      </c>
      <c r="O1738" s="5" t="s">
        <v>7678</v>
      </c>
      <c r="P1738" s="5" t="s">
        <v>7679</v>
      </c>
      <c r="Q1738" s="5" t="s">
        <v>7680</v>
      </c>
      <c r="R1738" s="5" t="s">
        <v>7681</v>
      </c>
      <c r="AG1738" s="14" t="s">
        <v>55</v>
      </c>
      <c r="AH1738" s="14" t="s">
        <v>1603</v>
      </c>
      <c r="AI1738" s="14" t="s">
        <v>1604</v>
      </c>
    </row>
    <row r="1739" spans="1:37">
      <c r="A1739" s="5" t="s">
        <v>7682</v>
      </c>
      <c r="B1739" s="5" t="s">
        <v>7072</v>
      </c>
      <c r="C1739" s="6" t="s">
        <v>43</v>
      </c>
      <c r="D1739" s="6" t="s">
        <v>239</v>
      </c>
      <c r="E1739" s="6" t="s">
        <v>2015</v>
      </c>
      <c r="F1739" s="6" t="s">
        <v>46</v>
      </c>
      <c r="G1739" s="6" t="s">
        <v>7683</v>
      </c>
      <c r="H1739" s="7">
        <v>19.170000000000002</v>
      </c>
      <c r="I1739" s="19" t="s">
        <v>1589</v>
      </c>
      <c r="J1739" s="19" t="s">
        <v>2696</v>
      </c>
      <c r="K1739" s="5" t="s">
        <v>2774</v>
      </c>
      <c r="L1739" s="5" t="s">
        <v>2775</v>
      </c>
      <c r="M1739" s="5" t="s">
        <v>2776</v>
      </c>
      <c r="N1739" s="5" t="s">
        <v>2777</v>
      </c>
      <c r="O1739" s="5" t="s">
        <v>7684</v>
      </c>
      <c r="P1739" s="5" t="s">
        <v>7685</v>
      </c>
      <c r="Q1739" s="5" t="s">
        <v>7686</v>
      </c>
      <c r="R1739" s="5" t="s">
        <v>7687</v>
      </c>
      <c r="AG1739" s="14" t="s">
        <v>55</v>
      </c>
      <c r="AH1739" s="14" t="s">
        <v>1603</v>
      </c>
      <c r="AI1739" s="14" t="s">
        <v>1604</v>
      </c>
    </row>
    <row r="1740" spans="1:37">
      <c r="A1740" s="5" t="s">
        <v>7688</v>
      </c>
      <c r="B1740" s="5" t="s">
        <v>7689</v>
      </c>
      <c r="C1740" s="6" t="s">
        <v>43</v>
      </c>
      <c r="D1740" s="6" t="s">
        <v>239</v>
      </c>
      <c r="E1740" s="6" t="s">
        <v>2047</v>
      </c>
      <c r="F1740" s="6" t="s">
        <v>46</v>
      </c>
      <c r="G1740" s="6" t="s">
        <v>7690</v>
      </c>
      <c r="H1740" s="7">
        <v>23</v>
      </c>
      <c r="I1740" s="19" t="s">
        <v>1589</v>
      </c>
      <c r="J1740" s="19" t="s">
        <v>2696</v>
      </c>
      <c r="K1740" s="5" t="s">
        <v>2774</v>
      </c>
      <c r="L1740" s="5" t="s">
        <v>2775</v>
      </c>
      <c r="M1740" s="5" t="s">
        <v>2776</v>
      </c>
      <c r="N1740" s="5" t="s">
        <v>2777</v>
      </c>
      <c r="O1740" s="5" t="s">
        <v>7684</v>
      </c>
      <c r="P1740" s="5" t="s">
        <v>7685</v>
      </c>
      <c r="Q1740" s="5" t="s">
        <v>7686</v>
      </c>
      <c r="R1740" s="5" t="s">
        <v>7687</v>
      </c>
      <c r="AG1740" s="14" t="s">
        <v>55</v>
      </c>
      <c r="AH1740" s="14" t="s">
        <v>1603</v>
      </c>
      <c r="AI1740" s="14" t="s">
        <v>1604</v>
      </c>
    </row>
    <row r="1741" spans="1:37">
      <c r="A1741" s="5" t="s">
        <v>7691</v>
      </c>
      <c r="B1741" s="5" t="s">
        <v>7689</v>
      </c>
      <c r="C1741" s="6" t="s">
        <v>43</v>
      </c>
      <c r="D1741" s="6" t="s">
        <v>239</v>
      </c>
      <c r="E1741" s="6" t="s">
        <v>2065</v>
      </c>
      <c r="F1741" s="6" t="s">
        <v>46</v>
      </c>
      <c r="G1741" s="6" t="s">
        <v>7692</v>
      </c>
      <c r="H1741" s="7">
        <v>23</v>
      </c>
      <c r="I1741" s="19" t="s">
        <v>1589</v>
      </c>
      <c r="J1741" s="19" t="s">
        <v>2696</v>
      </c>
      <c r="K1741" s="5" t="s">
        <v>2774</v>
      </c>
      <c r="L1741" s="5" t="s">
        <v>2775</v>
      </c>
      <c r="M1741" s="5" t="s">
        <v>2776</v>
      </c>
      <c r="N1741" s="5" t="s">
        <v>2777</v>
      </c>
      <c r="O1741" s="5" t="s">
        <v>7684</v>
      </c>
      <c r="P1741" s="5" t="s">
        <v>7685</v>
      </c>
      <c r="Q1741" s="5" t="s">
        <v>7686</v>
      </c>
      <c r="R1741" s="5" t="s">
        <v>7687</v>
      </c>
      <c r="AG1741" s="14" t="s">
        <v>55</v>
      </c>
      <c r="AH1741" s="14" t="s">
        <v>1603</v>
      </c>
      <c r="AI1741" s="14" t="s">
        <v>1604</v>
      </c>
    </row>
    <row r="1742" spans="1:37">
      <c r="A1742" s="5" t="s">
        <v>7693</v>
      </c>
      <c r="B1742" s="5" t="s">
        <v>7694</v>
      </c>
      <c r="C1742" s="6" t="s">
        <v>43</v>
      </c>
      <c r="D1742" s="6" t="s">
        <v>239</v>
      </c>
      <c r="E1742" s="6" t="s">
        <v>2047</v>
      </c>
      <c r="F1742" s="6" t="s">
        <v>46</v>
      </c>
      <c r="G1742" s="6" t="s">
        <v>7695</v>
      </c>
      <c r="H1742" s="7">
        <v>23.5</v>
      </c>
      <c r="I1742" s="19" t="s">
        <v>1589</v>
      </c>
      <c r="J1742" s="19" t="s">
        <v>2696</v>
      </c>
      <c r="K1742" s="5" t="s">
        <v>2790</v>
      </c>
      <c r="L1742" s="5" t="s">
        <v>2791</v>
      </c>
      <c r="M1742" s="5" t="s">
        <v>2792</v>
      </c>
      <c r="N1742" s="5" t="s">
        <v>2793</v>
      </c>
      <c r="O1742" s="5" t="s">
        <v>7696</v>
      </c>
      <c r="P1742" s="5" t="s">
        <v>7697</v>
      </c>
      <c r="Q1742" s="5" t="s">
        <v>7698</v>
      </c>
      <c r="R1742" s="5" t="s">
        <v>7699</v>
      </c>
      <c r="AG1742" s="14" t="s">
        <v>55</v>
      </c>
      <c r="AH1742" s="14" t="s">
        <v>1603</v>
      </c>
      <c r="AI1742" s="14" t="s">
        <v>1604</v>
      </c>
    </row>
    <row r="1743" spans="1:37">
      <c r="A1743" s="5" t="s">
        <v>7700</v>
      </c>
      <c r="B1743" s="5" t="s">
        <v>7694</v>
      </c>
      <c r="C1743" s="6" t="s">
        <v>43</v>
      </c>
      <c r="D1743" s="6" t="s">
        <v>239</v>
      </c>
      <c r="E1743" s="6" t="s">
        <v>2065</v>
      </c>
      <c r="F1743" s="6" t="s">
        <v>46</v>
      </c>
      <c r="G1743" s="6" t="s">
        <v>7701</v>
      </c>
      <c r="H1743" s="7">
        <v>23.5</v>
      </c>
      <c r="I1743" s="19" t="s">
        <v>1589</v>
      </c>
      <c r="J1743" s="19" t="s">
        <v>2696</v>
      </c>
      <c r="K1743" s="5" t="s">
        <v>2790</v>
      </c>
      <c r="L1743" s="5" t="s">
        <v>2791</v>
      </c>
      <c r="M1743" s="5" t="s">
        <v>2792</v>
      </c>
      <c r="N1743" s="5" t="s">
        <v>2793</v>
      </c>
      <c r="O1743" s="5" t="s">
        <v>7696</v>
      </c>
      <c r="P1743" s="5" t="s">
        <v>7697</v>
      </c>
      <c r="Q1743" s="5" t="s">
        <v>7698</v>
      </c>
      <c r="R1743" s="5" t="s">
        <v>7699</v>
      </c>
      <c r="AG1743" s="14" t="s">
        <v>55</v>
      </c>
      <c r="AH1743" s="14" t="s">
        <v>1603</v>
      </c>
      <c r="AI1743" s="14" t="s">
        <v>1604</v>
      </c>
    </row>
    <row r="1744" spans="1:37">
      <c r="A1744" s="5" t="s">
        <v>7702</v>
      </c>
      <c r="B1744" s="5" t="s">
        <v>7703</v>
      </c>
      <c r="C1744" s="6" t="s">
        <v>43</v>
      </c>
      <c r="D1744" s="6" t="s">
        <v>239</v>
      </c>
      <c r="E1744" s="6" t="s">
        <v>1386</v>
      </c>
      <c r="F1744" s="6" t="s">
        <v>46</v>
      </c>
      <c r="G1744" s="6" t="s">
        <v>7704</v>
      </c>
      <c r="H1744" s="7">
        <v>23.5</v>
      </c>
      <c r="I1744" s="19" t="s">
        <v>1589</v>
      </c>
      <c r="J1744" s="19" t="s">
        <v>2696</v>
      </c>
      <c r="K1744" s="5" t="s">
        <v>2790</v>
      </c>
      <c r="L1744" s="5" t="s">
        <v>2791</v>
      </c>
      <c r="M1744" s="5" t="s">
        <v>2792</v>
      </c>
      <c r="N1744" s="5" t="s">
        <v>2793</v>
      </c>
      <c r="O1744" s="5" t="s">
        <v>7696</v>
      </c>
      <c r="P1744" s="5" t="s">
        <v>7697</v>
      </c>
      <c r="Q1744" s="5" t="s">
        <v>7698</v>
      </c>
      <c r="R1744" s="5" t="s">
        <v>7699</v>
      </c>
      <c r="AG1744" s="14" t="s">
        <v>55</v>
      </c>
      <c r="AH1744" s="14" t="s">
        <v>1603</v>
      </c>
      <c r="AI1744" s="14" t="s">
        <v>1604</v>
      </c>
    </row>
    <row r="1745" spans="1:37">
      <c r="A1745" s="6" t="s">
        <v>7705</v>
      </c>
      <c r="B1745" s="6" t="s">
        <v>7706</v>
      </c>
      <c r="C1745" s="6" t="s">
        <v>43</v>
      </c>
      <c r="D1745" s="6" t="s">
        <v>239</v>
      </c>
      <c r="E1745" s="6" t="s">
        <v>2047</v>
      </c>
      <c r="F1745" s="6" t="s">
        <v>46</v>
      </c>
      <c r="G1745" s="6" t="s">
        <v>7707</v>
      </c>
      <c r="I1745" s="19" t="s">
        <v>48</v>
      </c>
      <c r="J1745" s="19" t="s">
        <v>48</v>
      </c>
      <c r="K1745" s="6"/>
      <c r="L1745" s="6"/>
      <c r="M1745" s="6"/>
      <c r="N1745" s="6"/>
      <c r="O1745" s="6"/>
      <c r="P1745" s="6"/>
      <c r="Q1745" s="6"/>
      <c r="R1745" s="6"/>
      <c r="S1745" s="6"/>
      <c r="T1745" s="6"/>
      <c r="U1745" s="6"/>
      <c r="V1745" s="6"/>
      <c r="W1745" s="6"/>
      <c r="X1745" s="6"/>
      <c r="Y1745" s="6"/>
      <c r="Z1745" s="6"/>
      <c r="AA1745" s="6"/>
      <c r="AB1745" s="6"/>
      <c r="AC1745" s="6"/>
      <c r="AD1745" s="6"/>
      <c r="AE1745" s="6"/>
      <c r="AF1745" s="6"/>
      <c r="AG1745" s="15" t="s">
        <v>55</v>
      </c>
      <c r="AH1745" s="15"/>
      <c r="AI1745" s="15"/>
      <c r="AJ1745" s="6"/>
      <c r="AK1745" s="6"/>
    </row>
    <row r="1746" spans="1:37" s="6" customFormat="1">
      <c r="A1746" s="5" t="s">
        <v>7708</v>
      </c>
      <c r="B1746" s="5" t="s">
        <v>7709</v>
      </c>
      <c r="C1746" s="6" t="s">
        <v>43</v>
      </c>
      <c r="D1746" s="6" t="s">
        <v>239</v>
      </c>
      <c r="E1746" s="6" t="s">
        <v>2139</v>
      </c>
      <c r="F1746" s="6" t="s">
        <v>46</v>
      </c>
      <c r="G1746" s="6" t="s">
        <v>7710</v>
      </c>
      <c r="H1746" s="7">
        <v>24.22</v>
      </c>
      <c r="I1746" s="19" t="s">
        <v>1589</v>
      </c>
      <c r="J1746" s="19" t="s">
        <v>2696</v>
      </c>
      <c r="K1746" s="5" t="s">
        <v>2809</v>
      </c>
      <c r="L1746" s="5" t="s">
        <v>2810</v>
      </c>
      <c r="M1746" s="5" t="s">
        <v>2811</v>
      </c>
      <c r="N1746" s="5" t="s">
        <v>2812</v>
      </c>
      <c r="O1746" s="5" t="s">
        <v>7711</v>
      </c>
      <c r="P1746" s="5" t="s">
        <v>7712</v>
      </c>
      <c r="Q1746" s="5" t="s">
        <v>7713</v>
      </c>
      <c r="R1746" s="5" t="s">
        <v>7714</v>
      </c>
      <c r="S1746" s="5"/>
      <c r="T1746" s="5"/>
      <c r="U1746" s="5"/>
      <c r="V1746" s="5"/>
      <c r="W1746" s="5"/>
      <c r="X1746" s="5"/>
      <c r="Y1746" s="5"/>
      <c r="Z1746" s="5"/>
      <c r="AA1746" s="5"/>
      <c r="AB1746" s="5"/>
      <c r="AC1746" s="5"/>
      <c r="AD1746" s="5"/>
      <c r="AE1746" s="5"/>
      <c r="AF1746" s="5"/>
      <c r="AG1746" s="14" t="s">
        <v>55</v>
      </c>
      <c r="AH1746" s="14" t="s">
        <v>1603</v>
      </c>
      <c r="AI1746" s="14" t="s">
        <v>1604</v>
      </c>
      <c r="AJ1746" s="5"/>
      <c r="AK1746" s="5"/>
    </row>
    <row r="1747" spans="1:37">
      <c r="A1747" s="5" t="s">
        <v>7715</v>
      </c>
      <c r="B1747" s="5" t="s">
        <v>7709</v>
      </c>
      <c r="C1747" s="6" t="s">
        <v>2831</v>
      </c>
      <c r="D1747" s="6" t="s">
        <v>239</v>
      </c>
      <c r="E1747" s="6" t="s">
        <v>2015</v>
      </c>
      <c r="F1747" s="6" t="s">
        <v>46</v>
      </c>
      <c r="G1747" s="6" t="s">
        <v>7716</v>
      </c>
      <c r="H1747" s="7">
        <v>24.22</v>
      </c>
      <c r="I1747" s="19" t="s">
        <v>1589</v>
      </c>
      <c r="J1747" s="19" t="s">
        <v>2696</v>
      </c>
      <c r="K1747" s="5" t="s">
        <v>2809</v>
      </c>
      <c r="L1747" s="5" t="s">
        <v>2810</v>
      </c>
      <c r="M1747" s="5" t="s">
        <v>2811</v>
      </c>
      <c r="N1747" s="5" t="s">
        <v>2812</v>
      </c>
      <c r="O1747" s="5" t="s">
        <v>7711</v>
      </c>
      <c r="P1747" s="5" t="s">
        <v>7712</v>
      </c>
      <c r="Q1747" s="5" t="s">
        <v>7713</v>
      </c>
      <c r="R1747" s="5" t="s">
        <v>7714</v>
      </c>
      <c r="AG1747" s="14" t="s">
        <v>55</v>
      </c>
      <c r="AH1747" s="14" t="s">
        <v>1603</v>
      </c>
      <c r="AI1747" s="14" t="s">
        <v>1604</v>
      </c>
    </row>
    <row r="1748" spans="1:37">
      <c r="A1748" s="5" t="s">
        <v>7717</v>
      </c>
      <c r="B1748" s="5" t="s">
        <v>7709</v>
      </c>
      <c r="C1748" s="6" t="s">
        <v>43</v>
      </c>
      <c r="D1748" s="6" t="s">
        <v>239</v>
      </c>
      <c r="E1748" s="6" t="s">
        <v>2047</v>
      </c>
      <c r="F1748" s="6" t="s">
        <v>46</v>
      </c>
      <c r="G1748" s="6" t="s">
        <v>7718</v>
      </c>
      <c r="H1748" s="7">
        <v>24.22</v>
      </c>
      <c r="I1748" s="19" t="s">
        <v>1589</v>
      </c>
      <c r="J1748" s="19" t="s">
        <v>2696</v>
      </c>
      <c r="K1748" s="5" t="s">
        <v>2809</v>
      </c>
      <c r="L1748" s="5" t="s">
        <v>2810</v>
      </c>
      <c r="M1748" s="5" t="s">
        <v>2811</v>
      </c>
      <c r="N1748" s="5" t="s">
        <v>2812</v>
      </c>
      <c r="O1748" s="5" t="s">
        <v>7711</v>
      </c>
      <c r="P1748" s="5" t="s">
        <v>7712</v>
      </c>
      <c r="Q1748" s="5" t="s">
        <v>7713</v>
      </c>
      <c r="R1748" s="5" t="s">
        <v>7714</v>
      </c>
      <c r="AG1748" s="14" t="s">
        <v>55</v>
      </c>
      <c r="AH1748" s="14" t="s">
        <v>1603</v>
      </c>
      <c r="AI1748" s="14" t="s">
        <v>1604</v>
      </c>
    </row>
    <row r="1749" spans="1:37">
      <c r="A1749" s="6" t="s">
        <v>7719</v>
      </c>
      <c r="B1749" s="6" t="s">
        <v>7720</v>
      </c>
      <c r="C1749" s="6" t="s">
        <v>43</v>
      </c>
      <c r="D1749" s="6" t="s">
        <v>239</v>
      </c>
      <c r="E1749" s="6" t="s">
        <v>2849</v>
      </c>
      <c r="F1749" s="6" t="s">
        <v>46</v>
      </c>
      <c r="G1749" s="6" t="s">
        <v>7721</v>
      </c>
      <c r="I1749" s="19" t="s">
        <v>48</v>
      </c>
      <c r="J1749" s="19" t="s">
        <v>48</v>
      </c>
      <c r="K1749" s="6"/>
      <c r="L1749" s="6"/>
      <c r="M1749" s="6"/>
      <c r="N1749" s="6"/>
      <c r="O1749" s="6"/>
      <c r="P1749" s="6"/>
      <c r="Q1749" s="6"/>
      <c r="R1749" s="6"/>
      <c r="S1749" s="6"/>
      <c r="T1749" s="6"/>
      <c r="U1749" s="6"/>
      <c r="V1749" s="6"/>
      <c r="W1749" s="6"/>
      <c r="X1749" s="6"/>
      <c r="Y1749" s="6"/>
      <c r="Z1749" s="6"/>
      <c r="AA1749" s="6"/>
      <c r="AB1749" s="6"/>
      <c r="AC1749" s="6"/>
      <c r="AD1749" s="6"/>
      <c r="AE1749" s="6"/>
      <c r="AF1749" s="6"/>
      <c r="AG1749" s="15" t="s">
        <v>55</v>
      </c>
      <c r="AH1749" s="15"/>
      <c r="AI1749" s="15"/>
      <c r="AJ1749" s="6"/>
      <c r="AK1749" s="6"/>
    </row>
    <row r="1750" spans="1:37" s="6" customFormat="1">
      <c r="A1750" s="5" t="s">
        <v>7722</v>
      </c>
      <c r="B1750" s="5" t="s">
        <v>7709</v>
      </c>
      <c r="C1750" s="6" t="s">
        <v>43</v>
      </c>
      <c r="D1750" s="6" t="s">
        <v>239</v>
      </c>
      <c r="E1750" s="6" t="s">
        <v>2065</v>
      </c>
      <c r="F1750" s="6" t="s">
        <v>46</v>
      </c>
      <c r="G1750" s="6" t="s">
        <v>7723</v>
      </c>
      <c r="H1750" s="7">
        <v>24.22</v>
      </c>
      <c r="I1750" s="19" t="s">
        <v>1589</v>
      </c>
      <c r="J1750" s="19" t="s">
        <v>2696</v>
      </c>
      <c r="K1750" s="5" t="s">
        <v>2809</v>
      </c>
      <c r="L1750" s="5" t="s">
        <v>2810</v>
      </c>
      <c r="M1750" s="5" t="s">
        <v>2811</v>
      </c>
      <c r="N1750" s="5" t="s">
        <v>2812</v>
      </c>
      <c r="O1750" s="5" t="s">
        <v>7711</v>
      </c>
      <c r="P1750" s="5" t="s">
        <v>7712</v>
      </c>
      <c r="Q1750" s="5" t="s">
        <v>7713</v>
      </c>
      <c r="R1750" s="5" t="s">
        <v>7714</v>
      </c>
      <c r="S1750" s="5"/>
      <c r="T1750" s="5"/>
      <c r="U1750" s="5"/>
      <c r="V1750" s="5"/>
      <c r="W1750" s="5"/>
      <c r="X1750" s="5"/>
      <c r="Y1750" s="5"/>
      <c r="Z1750" s="5"/>
      <c r="AA1750" s="5"/>
      <c r="AB1750" s="5"/>
      <c r="AC1750" s="5"/>
      <c r="AD1750" s="5"/>
      <c r="AE1750" s="5"/>
      <c r="AF1750" s="5"/>
      <c r="AG1750" s="14" t="s">
        <v>55</v>
      </c>
      <c r="AH1750" s="14" t="s">
        <v>1603</v>
      </c>
      <c r="AI1750" s="14" t="s">
        <v>1604</v>
      </c>
      <c r="AJ1750" s="5"/>
      <c r="AK1750" s="5"/>
    </row>
    <row r="1751" spans="1:37">
      <c r="A1751" s="5" t="s">
        <v>7724</v>
      </c>
      <c r="B1751" s="5" t="s">
        <v>7725</v>
      </c>
      <c r="C1751" s="6" t="s">
        <v>43</v>
      </c>
      <c r="D1751" s="6" t="s">
        <v>239</v>
      </c>
      <c r="E1751" s="6" t="s">
        <v>2047</v>
      </c>
      <c r="F1751" s="6" t="s">
        <v>46</v>
      </c>
      <c r="G1751" s="6" t="s">
        <v>7726</v>
      </c>
      <c r="H1751" s="7">
        <v>29.96</v>
      </c>
      <c r="I1751" s="19" t="s">
        <v>1589</v>
      </c>
      <c r="J1751" s="19" t="s">
        <v>2696</v>
      </c>
      <c r="K1751" s="5" t="s">
        <v>2857</v>
      </c>
      <c r="L1751" s="5" t="s">
        <v>2858</v>
      </c>
      <c r="M1751" s="5" t="s">
        <v>2859</v>
      </c>
      <c r="N1751" s="5" t="s">
        <v>2860</v>
      </c>
      <c r="O1751" s="5" t="s">
        <v>7727</v>
      </c>
      <c r="P1751" s="5" t="s">
        <v>7728</v>
      </c>
      <c r="Q1751" s="5" t="s">
        <v>7729</v>
      </c>
      <c r="R1751" s="5" t="s">
        <v>7730</v>
      </c>
      <c r="AG1751" s="14" t="s">
        <v>55</v>
      </c>
      <c r="AH1751" s="14" t="s">
        <v>1603</v>
      </c>
      <c r="AI1751" s="14" t="s">
        <v>1604</v>
      </c>
    </row>
    <row r="1752" spans="1:37">
      <c r="A1752" s="5" t="s">
        <v>7731</v>
      </c>
      <c r="B1752" s="5" t="s">
        <v>7732</v>
      </c>
      <c r="C1752" s="6" t="s">
        <v>43</v>
      </c>
      <c r="D1752" s="6" t="s">
        <v>239</v>
      </c>
      <c r="E1752" s="6" t="s">
        <v>2047</v>
      </c>
      <c r="F1752" s="6" t="s">
        <v>46</v>
      </c>
      <c r="G1752" s="6" t="s">
        <v>6608</v>
      </c>
      <c r="H1752" s="7">
        <v>30.49</v>
      </c>
      <c r="I1752" s="19" t="s">
        <v>1589</v>
      </c>
      <c r="J1752" s="19" t="s">
        <v>2696</v>
      </c>
      <c r="K1752" s="5" t="s">
        <v>2878</v>
      </c>
      <c r="L1752" s="5" t="s">
        <v>2879</v>
      </c>
      <c r="M1752" s="5" t="s">
        <v>2880</v>
      </c>
      <c r="N1752" s="5" t="s">
        <v>2881</v>
      </c>
      <c r="O1752" s="5" t="s">
        <v>7733</v>
      </c>
      <c r="P1752" s="5" t="s">
        <v>7734</v>
      </c>
      <c r="Q1752" s="5" t="s">
        <v>7735</v>
      </c>
      <c r="R1752" s="5" t="s">
        <v>7736</v>
      </c>
      <c r="AG1752" s="14" t="s">
        <v>55</v>
      </c>
      <c r="AH1752" s="14" t="s">
        <v>1603</v>
      </c>
      <c r="AI1752" s="14" t="s">
        <v>1604</v>
      </c>
    </row>
    <row r="1753" spans="1:37">
      <c r="A1753" s="5" t="s">
        <v>7737</v>
      </c>
      <c r="B1753" s="5" t="s">
        <v>7732</v>
      </c>
      <c r="C1753" s="6" t="s">
        <v>43</v>
      </c>
      <c r="D1753" s="6" t="s">
        <v>239</v>
      </c>
      <c r="E1753" s="6" t="s">
        <v>240</v>
      </c>
      <c r="F1753" s="6" t="s">
        <v>46</v>
      </c>
      <c r="G1753" s="6" t="s">
        <v>7583</v>
      </c>
      <c r="H1753" s="7">
        <v>30.49</v>
      </c>
      <c r="I1753" s="19" t="s">
        <v>1589</v>
      </c>
      <c r="J1753" s="19" t="s">
        <v>2696</v>
      </c>
      <c r="K1753" s="5" t="s">
        <v>2878</v>
      </c>
      <c r="L1753" s="5" t="s">
        <v>2879</v>
      </c>
      <c r="M1753" s="5" t="s">
        <v>2880</v>
      </c>
      <c r="N1753" s="5" t="s">
        <v>2881</v>
      </c>
      <c r="O1753" s="5" t="s">
        <v>7733</v>
      </c>
      <c r="P1753" s="5" t="s">
        <v>7734</v>
      </c>
      <c r="Q1753" s="5" t="s">
        <v>7735</v>
      </c>
      <c r="R1753" s="5" t="s">
        <v>7736</v>
      </c>
      <c r="AG1753" s="14" t="s">
        <v>55</v>
      </c>
      <c r="AH1753" s="14" t="s">
        <v>1603</v>
      </c>
      <c r="AI1753" s="14" t="s">
        <v>1604</v>
      </c>
    </row>
    <row r="1754" spans="1:37">
      <c r="A1754" s="5" t="s">
        <v>7738</v>
      </c>
      <c r="B1754" s="5" t="s">
        <v>7739</v>
      </c>
      <c r="C1754" s="6" t="s">
        <v>43</v>
      </c>
      <c r="D1754" s="6" t="s">
        <v>239</v>
      </c>
      <c r="E1754" s="6" t="s">
        <v>2047</v>
      </c>
      <c r="F1754" s="6" t="s">
        <v>46</v>
      </c>
      <c r="G1754" s="6" t="s">
        <v>7740</v>
      </c>
      <c r="H1754" s="7">
        <v>30.06</v>
      </c>
      <c r="I1754" s="19" t="s">
        <v>1589</v>
      </c>
      <c r="J1754" s="19" t="s">
        <v>2696</v>
      </c>
      <c r="K1754" s="5" t="s">
        <v>2923</v>
      </c>
      <c r="L1754" s="5" t="s">
        <v>2924</v>
      </c>
      <c r="M1754" s="5" t="s">
        <v>2925</v>
      </c>
      <c r="N1754" s="5" t="s">
        <v>2926</v>
      </c>
      <c r="O1754" s="5" t="s">
        <v>7741</v>
      </c>
      <c r="P1754" s="5" t="s">
        <v>7742</v>
      </c>
      <c r="Q1754" s="5" t="s">
        <v>7743</v>
      </c>
      <c r="R1754" s="5" t="s">
        <v>7744</v>
      </c>
      <c r="AG1754" s="14" t="s">
        <v>55</v>
      </c>
      <c r="AH1754" s="14" t="s">
        <v>1603</v>
      </c>
      <c r="AI1754" s="14" t="s">
        <v>1604</v>
      </c>
    </row>
    <row r="1755" spans="1:37">
      <c r="A1755" s="5" t="s">
        <v>7745</v>
      </c>
      <c r="B1755" s="5" t="s">
        <v>7746</v>
      </c>
      <c r="C1755" s="6" t="s">
        <v>43</v>
      </c>
      <c r="D1755" s="6" t="s">
        <v>239</v>
      </c>
      <c r="E1755" s="6" t="s">
        <v>2047</v>
      </c>
      <c r="F1755" s="6" t="s">
        <v>46</v>
      </c>
      <c r="G1755" s="6" t="s">
        <v>7747</v>
      </c>
      <c r="H1755" s="7">
        <v>32.08</v>
      </c>
      <c r="I1755" s="19" t="s">
        <v>1589</v>
      </c>
      <c r="J1755" s="19" t="s">
        <v>2696</v>
      </c>
      <c r="K1755" s="5" t="s">
        <v>2935</v>
      </c>
      <c r="L1755" s="5" t="s">
        <v>2936</v>
      </c>
      <c r="M1755" s="5" t="s">
        <v>2937</v>
      </c>
      <c r="N1755" s="5" t="s">
        <v>2938</v>
      </c>
      <c r="O1755" s="5" t="s">
        <v>7748</v>
      </c>
      <c r="P1755" s="5" t="s">
        <v>7749</v>
      </c>
      <c r="Q1755" s="5" t="s">
        <v>7750</v>
      </c>
      <c r="R1755" s="5" t="s">
        <v>7751</v>
      </c>
      <c r="AG1755" s="14" t="s">
        <v>55</v>
      </c>
      <c r="AH1755" s="14" t="s">
        <v>1603</v>
      </c>
      <c r="AI1755" s="14" t="s">
        <v>1604</v>
      </c>
    </row>
    <row r="1756" spans="1:37">
      <c r="A1756" s="6" t="s">
        <v>7752</v>
      </c>
      <c r="B1756" s="6" t="s">
        <v>7753</v>
      </c>
      <c r="C1756" s="6" t="s">
        <v>43</v>
      </c>
      <c r="D1756" s="6" t="s">
        <v>239</v>
      </c>
      <c r="E1756" s="6" t="s">
        <v>2047</v>
      </c>
      <c r="F1756" s="6" t="s">
        <v>46</v>
      </c>
      <c r="G1756" s="6" t="s">
        <v>7754</v>
      </c>
      <c r="I1756" s="6" t="s">
        <v>48</v>
      </c>
      <c r="J1756" s="6" t="s">
        <v>48</v>
      </c>
      <c r="K1756" s="6"/>
      <c r="L1756" s="6"/>
      <c r="M1756" s="6"/>
      <c r="N1756" s="6"/>
      <c r="O1756" s="6"/>
      <c r="P1756" s="6"/>
      <c r="Q1756" s="6"/>
      <c r="R1756" s="6"/>
      <c r="S1756" s="6"/>
      <c r="T1756" s="6"/>
      <c r="U1756" s="6"/>
      <c r="V1756" s="6"/>
      <c r="W1756" s="6"/>
      <c r="X1756" s="6"/>
      <c r="Y1756" s="6"/>
      <c r="Z1756" s="6"/>
      <c r="AA1756" s="6"/>
      <c r="AB1756" s="6"/>
      <c r="AC1756" s="6"/>
      <c r="AD1756" s="6"/>
      <c r="AE1756" s="6"/>
      <c r="AF1756" s="6"/>
      <c r="AG1756" s="15" t="s">
        <v>55</v>
      </c>
      <c r="AH1756" s="15"/>
      <c r="AI1756" s="15"/>
      <c r="AJ1756" s="6"/>
      <c r="AK1756" s="6"/>
    </row>
    <row r="1757" spans="1:37" s="6" customFormat="1">
      <c r="A1757" s="5" t="s">
        <v>7755</v>
      </c>
      <c r="B1757" s="5" t="s">
        <v>7756</v>
      </c>
      <c r="C1757" s="6" t="s">
        <v>43</v>
      </c>
      <c r="D1757" s="6" t="s">
        <v>239</v>
      </c>
      <c r="E1757" s="6" t="s">
        <v>2047</v>
      </c>
      <c r="F1757" s="6" t="s">
        <v>46</v>
      </c>
      <c r="G1757" s="6" t="s">
        <v>7757</v>
      </c>
      <c r="H1757" s="7">
        <v>32.67</v>
      </c>
      <c r="I1757" s="19" t="s">
        <v>1589</v>
      </c>
      <c r="J1757" s="19" t="s">
        <v>2696</v>
      </c>
      <c r="K1757" s="5" t="s">
        <v>2960</v>
      </c>
      <c r="L1757" s="5" t="s">
        <v>2961</v>
      </c>
      <c r="M1757" s="5" t="s">
        <v>2962</v>
      </c>
      <c r="N1757" s="5" t="s">
        <v>2963</v>
      </c>
      <c r="O1757" s="5" t="s">
        <v>7758</v>
      </c>
      <c r="P1757" s="5" t="s">
        <v>7759</v>
      </c>
      <c r="Q1757" s="5" t="s">
        <v>7760</v>
      </c>
      <c r="R1757" s="5" t="s">
        <v>7761</v>
      </c>
      <c r="S1757" s="5"/>
      <c r="T1757" s="5"/>
      <c r="U1757" s="5"/>
      <c r="V1757" s="5"/>
      <c r="W1757" s="5"/>
      <c r="X1757" s="5"/>
      <c r="Y1757" s="5"/>
      <c r="Z1757" s="5"/>
      <c r="AA1757" s="5"/>
      <c r="AB1757" s="5"/>
      <c r="AC1757" s="5"/>
      <c r="AD1757" s="5"/>
      <c r="AE1757" s="5"/>
      <c r="AF1757" s="5"/>
      <c r="AG1757" s="14" t="s">
        <v>55</v>
      </c>
      <c r="AH1757" s="14" t="s">
        <v>1603</v>
      </c>
      <c r="AI1757" s="14" t="s">
        <v>1604</v>
      </c>
      <c r="AJ1757" s="5"/>
      <c r="AK1757" s="5"/>
    </row>
    <row r="1758" spans="1:37">
      <c r="A1758" s="5" t="s">
        <v>7762</v>
      </c>
      <c r="B1758" s="5" t="s">
        <v>7763</v>
      </c>
      <c r="C1758" s="6" t="s">
        <v>43</v>
      </c>
      <c r="D1758" s="6" t="s">
        <v>239</v>
      </c>
      <c r="E1758" s="6" t="s">
        <v>1540</v>
      </c>
      <c r="F1758" s="6" t="s">
        <v>46</v>
      </c>
      <c r="G1758" s="6" t="s">
        <v>6960</v>
      </c>
      <c r="H1758" s="7">
        <v>34.880000000000003</v>
      </c>
      <c r="I1758" s="19" t="s">
        <v>1589</v>
      </c>
      <c r="J1758" s="19" t="s">
        <v>2254</v>
      </c>
      <c r="K1758" s="5" t="s">
        <v>2972</v>
      </c>
      <c r="L1758" s="5" t="s">
        <v>2973</v>
      </c>
      <c r="M1758" s="5" t="s">
        <v>2974</v>
      </c>
      <c r="N1758" s="5" t="s">
        <v>2975</v>
      </c>
      <c r="O1758" s="5" t="s">
        <v>7764</v>
      </c>
      <c r="P1758" s="5" t="s">
        <v>7765</v>
      </c>
      <c r="Q1758" s="5" t="s">
        <v>7766</v>
      </c>
      <c r="R1758" s="5" t="s">
        <v>7767</v>
      </c>
      <c r="Y1758" s="5" t="s">
        <v>2980</v>
      </c>
      <c r="AG1758" s="14" t="s">
        <v>55</v>
      </c>
      <c r="AH1758" s="14" t="s">
        <v>1603</v>
      </c>
      <c r="AI1758" s="14" t="s">
        <v>2264</v>
      </c>
    </row>
    <row r="1759" spans="1:37">
      <c r="A1759" s="5" t="s">
        <v>7768</v>
      </c>
      <c r="B1759" s="5" t="s">
        <v>7769</v>
      </c>
      <c r="C1759" s="6" t="s">
        <v>3900</v>
      </c>
      <c r="D1759" s="6" t="s">
        <v>239</v>
      </c>
      <c r="E1759" s="6" t="s">
        <v>2047</v>
      </c>
      <c r="F1759" s="6" t="s">
        <v>46</v>
      </c>
      <c r="G1759" s="6" t="s">
        <v>7770</v>
      </c>
      <c r="H1759" s="7">
        <v>35.770000000000003</v>
      </c>
      <c r="I1759" s="19" t="s">
        <v>1589</v>
      </c>
      <c r="J1759" s="19" t="s">
        <v>2696</v>
      </c>
      <c r="K1759" s="5" t="s">
        <v>2991</v>
      </c>
      <c r="L1759" s="5" t="s">
        <v>2992</v>
      </c>
      <c r="M1759" s="5" t="s">
        <v>2993</v>
      </c>
      <c r="N1759" s="5" t="s">
        <v>2994</v>
      </c>
      <c r="O1759" s="5" t="s">
        <v>7771</v>
      </c>
      <c r="P1759" s="5" t="s">
        <v>7772</v>
      </c>
      <c r="Q1759" s="5" t="s">
        <v>7773</v>
      </c>
      <c r="R1759" s="5" t="s">
        <v>7774</v>
      </c>
      <c r="AG1759" s="14" t="s">
        <v>55</v>
      </c>
      <c r="AH1759" s="14" t="s">
        <v>1603</v>
      </c>
      <c r="AI1759" s="14" t="s">
        <v>1604</v>
      </c>
    </row>
    <row r="1760" spans="1:37">
      <c r="A1760" s="5" t="s">
        <v>7775</v>
      </c>
      <c r="B1760" s="5" t="s">
        <v>7769</v>
      </c>
      <c r="C1760" s="6" t="s">
        <v>3900</v>
      </c>
      <c r="D1760" s="6" t="s">
        <v>239</v>
      </c>
      <c r="E1760" s="6" t="s">
        <v>2065</v>
      </c>
      <c r="F1760" s="6" t="s">
        <v>46</v>
      </c>
      <c r="G1760" s="6" t="s">
        <v>3719</v>
      </c>
      <c r="H1760" s="7">
        <v>35.770000000000003</v>
      </c>
      <c r="I1760" s="19" t="s">
        <v>1589</v>
      </c>
      <c r="J1760" s="19" t="s">
        <v>2696</v>
      </c>
      <c r="K1760" s="5" t="s">
        <v>2991</v>
      </c>
      <c r="L1760" s="5" t="s">
        <v>2992</v>
      </c>
      <c r="M1760" s="5" t="s">
        <v>2993</v>
      </c>
      <c r="N1760" s="5" t="s">
        <v>2994</v>
      </c>
      <c r="O1760" s="5" t="s">
        <v>7771</v>
      </c>
      <c r="P1760" s="5" t="s">
        <v>7772</v>
      </c>
      <c r="Q1760" s="5" t="s">
        <v>7773</v>
      </c>
      <c r="R1760" s="5" t="s">
        <v>7774</v>
      </c>
      <c r="AG1760" s="14" t="s">
        <v>55</v>
      </c>
      <c r="AH1760" s="14" t="s">
        <v>1603</v>
      </c>
      <c r="AI1760" s="14" t="s">
        <v>1604</v>
      </c>
    </row>
    <row r="1761" spans="1:37">
      <c r="A1761" s="5" t="s">
        <v>7776</v>
      </c>
      <c r="B1761" s="5" t="s">
        <v>7777</v>
      </c>
      <c r="C1761" s="6" t="s">
        <v>43</v>
      </c>
      <c r="D1761" s="6" t="s">
        <v>239</v>
      </c>
      <c r="E1761" s="6" t="s">
        <v>240</v>
      </c>
      <c r="F1761" s="6" t="s">
        <v>46</v>
      </c>
      <c r="G1761" s="6" t="s">
        <v>7583</v>
      </c>
      <c r="H1761" s="7">
        <v>35.770000000000003</v>
      </c>
      <c r="I1761" s="19" t="s">
        <v>1589</v>
      </c>
      <c r="J1761" s="19" t="s">
        <v>2696</v>
      </c>
      <c r="K1761" s="5" t="s">
        <v>2991</v>
      </c>
      <c r="L1761" s="5" t="s">
        <v>2992</v>
      </c>
      <c r="M1761" s="5" t="s">
        <v>2993</v>
      </c>
      <c r="N1761" s="5" t="s">
        <v>2994</v>
      </c>
      <c r="O1761" s="5" t="s">
        <v>7771</v>
      </c>
      <c r="P1761" s="5" t="s">
        <v>7772</v>
      </c>
      <c r="Q1761" s="5" t="s">
        <v>7773</v>
      </c>
      <c r="R1761" s="5" t="s">
        <v>7774</v>
      </c>
      <c r="AG1761" s="14" t="s">
        <v>55</v>
      </c>
      <c r="AH1761" s="14" t="s">
        <v>1603</v>
      </c>
      <c r="AI1761" s="14" t="s">
        <v>1604</v>
      </c>
    </row>
    <row r="1762" spans="1:37">
      <c r="A1762" s="5" t="s">
        <v>7778</v>
      </c>
      <c r="B1762" s="5" t="s">
        <v>7779</v>
      </c>
      <c r="C1762" s="6" t="s">
        <v>43</v>
      </c>
      <c r="D1762" s="6" t="s">
        <v>239</v>
      </c>
      <c r="E1762" s="6" t="s">
        <v>1540</v>
      </c>
      <c r="F1762" s="6" t="s">
        <v>46</v>
      </c>
      <c r="G1762" s="6" t="s">
        <v>7780</v>
      </c>
      <c r="H1762" s="7">
        <v>36.700000000000003</v>
      </c>
      <c r="I1762" s="19" t="s">
        <v>1589</v>
      </c>
      <c r="J1762" s="19" t="s">
        <v>2254</v>
      </c>
      <c r="K1762" s="5" t="s">
        <v>3069</v>
      </c>
      <c r="L1762" s="5" t="s">
        <v>3070</v>
      </c>
      <c r="M1762" s="5" t="s">
        <v>3071</v>
      </c>
      <c r="N1762" s="5" t="s">
        <v>3072</v>
      </c>
      <c r="O1762" s="5" t="s">
        <v>7781</v>
      </c>
      <c r="P1762" s="5" t="s">
        <v>7782</v>
      </c>
      <c r="Q1762" s="5" t="s">
        <v>7783</v>
      </c>
      <c r="R1762" s="5" t="s">
        <v>7784</v>
      </c>
      <c r="Y1762" s="5" t="s">
        <v>2980</v>
      </c>
      <c r="AG1762" s="14" t="s">
        <v>55</v>
      </c>
      <c r="AH1762" s="14" t="s">
        <v>1603</v>
      </c>
      <c r="AI1762" s="14" t="s">
        <v>2264</v>
      </c>
    </row>
    <row r="1763" spans="1:37">
      <c r="A1763" s="6" t="s">
        <v>7785</v>
      </c>
      <c r="B1763" s="6" t="s">
        <v>7786</v>
      </c>
      <c r="C1763" s="6" t="s">
        <v>43</v>
      </c>
      <c r="D1763" s="6" t="s">
        <v>239</v>
      </c>
      <c r="E1763" s="6" t="s">
        <v>1540</v>
      </c>
      <c r="F1763" s="6" t="s">
        <v>46</v>
      </c>
      <c r="G1763" s="6" t="s">
        <v>1183</v>
      </c>
      <c r="I1763" s="16" t="s">
        <v>48</v>
      </c>
      <c r="J1763" s="16" t="s">
        <v>48</v>
      </c>
      <c r="K1763" s="6"/>
      <c r="L1763" s="6"/>
      <c r="M1763" s="6"/>
      <c r="N1763" s="6"/>
      <c r="O1763" s="6"/>
      <c r="P1763" s="6"/>
      <c r="Q1763" s="6"/>
      <c r="R1763" s="6"/>
      <c r="S1763" s="6"/>
      <c r="T1763" s="6"/>
      <c r="U1763" s="6"/>
      <c r="V1763" s="6"/>
      <c r="W1763" s="6"/>
      <c r="X1763" s="6"/>
      <c r="Y1763" s="6"/>
      <c r="Z1763" s="6"/>
      <c r="AA1763" s="6"/>
      <c r="AB1763" s="6"/>
      <c r="AC1763" s="6"/>
      <c r="AD1763" s="6"/>
      <c r="AE1763" s="6"/>
      <c r="AF1763" s="6"/>
      <c r="AG1763" s="15" t="s">
        <v>55</v>
      </c>
      <c r="AH1763" s="15"/>
      <c r="AI1763" s="15"/>
      <c r="AJ1763" s="6"/>
      <c r="AK1763" s="6"/>
    </row>
    <row r="1764" spans="1:37" s="6" customFormat="1">
      <c r="A1764" s="6" t="s">
        <v>7787</v>
      </c>
      <c r="B1764" s="6" t="s">
        <v>7788</v>
      </c>
      <c r="C1764" s="6" t="s">
        <v>43</v>
      </c>
      <c r="D1764" s="6" t="s">
        <v>239</v>
      </c>
      <c r="E1764" s="6" t="s">
        <v>1540</v>
      </c>
      <c r="F1764" s="6" t="s">
        <v>46</v>
      </c>
      <c r="G1764" s="6" t="s">
        <v>2789</v>
      </c>
      <c r="H1764" s="7"/>
      <c r="I1764" s="16" t="s">
        <v>48</v>
      </c>
      <c r="J1764" s="16" t="s">
        <v>48</v>
      </c>
      <c r="AG1764" s="15" t="s">
        <v>55</v>
      </c>
      <c r="AH1764" s="15"/>
      <c r="AI1764" s="15"/>
    </row>
    <row r="1765" spans="1:37" s="6" customFormat="1">
      <c r="A1765" s="6" t="s">
        <v>7789</v>
      </c>
      <c r="B1765" s="6" t="s">
        <v>7790</v>
      </c>
      <c r="C1765" s="6" t="s">
        <v>43</v>
      </c>
      <c r="D1765" s="6" t="s">
        <v>239</v>
      </c>
      <c r="E1765" s="6" t="s">
        <v>1540</v>
      </c>
      <c r="F1765" s="6" t="s">
        <v>46</v>
      </c>
      <c r="G1765" s="6" t="s">
        <v>1183</v>
      </c>
      <c r="H1765" s="7"/>
      <c r="I1765" s="16" t="s">
        <v>48</v>
      </c>
      <c r="J1765" s="16" t="s">
        <v>48</v>
      </c>
      <c r="AG1765" s="15" t="s">
        <v>55</v>
      </c>
      <c r="AH1765" s="15"/>
      <c r="AI1765" s="15"/>
    </row>
    <row r="1766" spans="1:37" s="6" customFormat="1">
      <c r="A1766" s="6" t="s">
        <v>7791</v>
      </c>
      <c r="B1766" s="6" t="s">
        <v>7792</v>
      </c>
      <c r="C1766" s="6" t="s">
        <v>43</v>
      </c>
      <c r="D1766" s="6" t="s">
        <v>239</v>
      </c>
      <c r="E1766" s="6" t="s">
        <v>1540</v>
      </c>
      <c r="F1766" s="6" t="s">
        <v>46</v>
      </c>
      <c r="G1766" s="6" t="s">
        <v>7793</v>
      </c>
      <c r="H1766" s="7"/>
      <c r="I1766" s="6" t="s">
        <v>48</v>
      </c>
      <c r="J1766" s="6" t="s">
        <v>48</v>
      </c>
      <c r="AG1766" s="15" t="s">
        <v>55</v>
      </c>
      <c r="AH1766" s="15"/>
      <c r="AI1766" s="15"/>
    </row>
    <row r="1767" spans="1:37" s="6" customFormat="1">
      <c r="A1767" s="5" t="s">
        <v>7794</v>
      </c>
      <c r="B1767" s="5" t="s">
        <v>7795</v>
      </c>
      <c r="C1767" s="6" t="s">
        <v>43</v>
      </c>
      <c r="D1767" s="6" t="s">
        <v>1977</v>
      </c>
      <c r="E1767" s="6" t="s">
        <v>1386</v>
      </c>
      <c r="F1767" s="6" t="s">
        <v>46</v>
      </c>
      <c r="G1767" s="6" t="s">
        <v>7796</v>
      </c>
      <c r="H1767" s="7">
        <v>18.95</v>
      </c>
      <c r="I1767" s="19" t="s">
        <v>1589</v>
      </c>
      <c r="J1767" s="19" t="s">
        <v>2001</v>
      </c>
      <c r="K1767" s="20" t="s">
        <v>2002</v>
      </c>
      <c r="L1767" s="20" t="s">
        <v>2003</v>
      </c>
      <c r="M1767" s="20" t="s">
        <v>2004</v>
      </c>
      <c r="N1767" s="20" t="s">
        <v>2005</v>
      </c>
      <c r="O1767" s="20" t="s">
        <v>7797</v>
      </c>
      <c r="P1767" s="20" t="s">
        <v>7798</v>
      </c>
      <c r="Q1767" s="20" t="s">
        <v>7799</v>
      </c>
      <c r="R1767" s="5" t="s">
        <v>7800</v>
      </c>
      <c r="S1767" s="5"/>
      <c r="T1767" s="5"/>
      <c r="U1767" s="5"/>
      <c r="V1767" s="5"/>
      <c r="W1767" s="20" t="s">
        <v>2010</v>
      </c>
      <c r="X1767" s="20" t="s">
        <v>2011</v>
      </c>
      <c r="Y1767" s="20" t="s">
        <v>2012</v>
      </c>
      <c r="Z1767" s="20" t="s">
        <v>2013</v>
      </c>
      <c r="AA1767" s="5"/>
      <c r="AB1767" s="5"/>
      <c r="AC1767" s="5"/>
      <c r="AD1767" s="5"/>
      <c r="AE1767" s="5"/>
      <c r="AF1767" s="5"/>
      <c r="AG1767" s="14" t="s">
        <v>55</v>
      </c>
      <c r="AH1767" s="14" t="s">
        <v>1603</v>
      </c>
      <c r="AI1767" s="14" t="s">
        <v>124</v>
      </c>
      <c r="AJ1767" s="5"/>
      <c r="AK1767" s="5"/>
    </row>
    <row r="1768" spans="1:37">
      <c r="A1768" s="5" t="s">
        <v>7801</v>
      </c>
      <c r="B1768" s="5" t="s">
        <v>7795</v>
      </c>
      <c r="C1768" s="6" t="s">
        <v>43</v>
      </c>
      <c r="D1768" s="6" t="s">
        <v>1977</v>
      </c>
      <c r="E1768" s="6" t="s">
        <v>2015</v>
      </c>
      <c r="F1768" s="6" t="s">
        <v>46</v>
      </c>
      <c r="G1768" s="6" t="s">
        <v>7802</v>
      </c>
      <c r="H1768" s="7">
        <v>18.95</v>
      </c>
      <c r="I1768" s="19" t="s">
        <v>1589</v>
      </c>
      <c r="J1768" s="19" t="s">
        <v>2001</v>
      </c>
      <c r="K1768" s="20" t="s">
        <v>2002</v>
      </c>
      <c r="L1768" s="20" t="s">
        <v>2003</v>
      </c>
      <c r="M1768" s="20" t="s">
        <v>2004</v>
      </c>
      <c r="N1768" s="20" t="s">
        <v>2005</v>
      </c>
      <c r="O1768" s="20" t="s">
        <v>7797</v>
      </c>
      <c r="P1768" s="20" t="s">
        <v>7798</v>
      </c>
      <c r="Q1768" s="20" t="s">
        <v>7799</v>
      </c>
      <c r="R1768" s="5" t="s">
        <v>7800</v>
      </c>
      <c r="W1768" s="20" t="s">
        <v>2010</v>
      </c>
      <c r="X1768" s="20" t="s">
        <v>2011</v>
      </c>
      <c r="Y1768" s="20" t="s">
        <v>2012</v>
      </c>
      <c r="Z1768" s="20" t="s">
        <v>2013</v>
      </c>
      <c r="AG1768" s="14" t="s">
        <v>55</v>
      </c>
      <c r="AH1768" s="14" t="s">
        <v>1603</v>
      </c>
      <c r="AI1768" s="14" t="s">
        <v>124</v>
      </c>
    </row>
    <row r="1769" spans="1:37">
      <c r="A1769" s="5" t="s">
        <v>7803</v>
      </c>
      <c r="B1769" s="5" t="s">
        <v>7804</v>
      </c>
      <c r="C1769" s="6" t="s">
        <v>1805</v>
      </c>
      <c r="D1769" s="6" t="s">
        <v>1977</v>
      </c>
      <c r="E1769" s="6" t="s">
        <v>1386</v>
      </c>
      <c r="F1769" s="6" t="s">
        <v>46</v>
      </c>
      <c r="G1769" s="6" t="s">
        <v>6747</v>
      </c>
      <c r="H1769" s="7">
        <v>23.88</v>
      </c>
      <c r="I1769" s="19" t="s">
        <v>1589</v>
      </c>
      <c r="J1769" s="19" t="s">
        <v>2001</v>
      </c>
      <c r="K1769" s="20" t="s">
        <v>2023</v>
      </c>
      <c r="L1769" s="20" t="s">
        <v>2024</v>
      </c>
      <c r="M1769" s="20" t="s">
        <v>2025</v>
      </c>
      <c r="N1769" s="20" t="s">
        <v>2026</v>
      </c>
      <c r="O1769" s="20" t="s">
        <v>7805</v>
      </c>
      <c r="P1769" s="20" t="s">
        <v>7806</v>
      </c>
      <c r="Q1769" s="20" t="s">
        <v>7807</v>
      </c>
      <c r="R1769" s="5" t="s">
        <v>7808</v>
      </c>
      <c r="W1769" s="20" t="s">
        <v>2010</v>
      </c>
      <c r="X1769" s="20" t="s">
        <v>2011</v>
      </c>
      <c r="Y1769" s="20" t="s">
        <v>2012</v>
      </c>
      <c r="Z1769" s="20" t="s">
        <v>2013</v>
      </c>
      <c r="AG1769" s="14" t="s">
        <v>55</v>
      </c>
      <c r="AH1769" s="14" t="s">
        <v>1603</v>
      </c>
      <c r="AI1769" s="14" t="s">
        <v>124</v>
      </c>
    </row>
    <row r="1770" spans="1:37">
      <c r="A1770" s="5" t="s">
        <v>7809</v>
      </c>
      <c r="B1770" s="5" t="s">
        <v>7804</v>
      </c>
      <c r="C1770" s="6" t="s">
        <v>43</v>
      </c>
      <c r="D1770" s="6" t="s">
        <v>1977</v>
      </c>
      <c r="E1770" s="6" t="s">
        <v>2015</v>
      </c>
      <c r="F1770" s="6" t="s">
        <v>46</v>
      </c>
      <c r="G1770" s="6" t="s">
        <v>1137</v>
      </c>
      <c r="H1770" s="7">
        <v>23.88</v>
      </c>
      <c r="I1770" s="19" t="s">
        <v>1589</v>
      </c>
      <c r="J1770" s="19" t="s">
        <v>2001</v>
      </c>
      <c r="K1770" s="20" t="s">
        <v>2023</v>
      </c>
      <c r="L1770" s="20" t="s">
        <v>2024</v>
      </c>
      <c r="M1770" s="20" t="s">
        <v>2025</v>
      </c>
      <c r="N1770" s="20" t="s">
        <v>2026</v>
      </c>
      <c r="O1770" s="20" t="s">
        <v>7805</v>
      </c>
      <c r="P1770" s="20" t="s">
        <v>7806</v>
      </c>
      <c r="Q1770" s="20" t="s">
        <v>7807</v>
      </c>
      <c r="R1770" s="5" t="s">
        <v>7808</v>
      </c>
      <c r="W1770" s="20" t="s">
        <v>2010</v>
      </c>
      <c r="X1770" s="20" t="s">
        <v>2011</v>
      </c>
      <c r="Y1770" s="20" t="s">
        <v>2012</v>
      </c>
      <c r="Z1770" s="20" t="s">
        <v>2013</v>
      </c>
      <c r="AG1770" s="14" t="s">
        <v>55</v>
      </c>
      <c r="AH1770" s="14" t="s">
        <v>1603</v>
      </c>
      <c r="AI1770" s="14" t="s">
        <v>124</v>
      </c>
    </row>
    <row r="1771" spans="1:37">
      <c r="A1771" s="5" t="s">
        <v>7810</v>
      </c>
      <c r="B1771" s="5" t="s">
        <v>7811</v>
      </c>
      <c r="C1771" s="6" t="s">
        <v>43</v>
      </c>
      <c r="D1771" s="6" t="s">
        <v>1977</v>
      </c>
      <c r="E1771" s="6" t="s">
        <v>1386</v>
      </c>
      <c r="F1771" s="6" t="s">
        <v>46</v>
      </c>
      <c r="G1771" s="6" t="s">
        <v>7812</v>
      </c>
      <c r="H1771" s="7">
        <v>25.17</v>
      </c>
      <c r="I1771" s="19" t="s">
        <v>1589</v>
      </c>
      <c r="J1771" s="19" t="s">
        <v>2001</v>
      </c>
      <c r="K1771" s="20" t="s">
        <v>2036</v>
      </c>
      <c r="L1771" s="20" t="s">
        <v>2037</v>
      </c>
      <c r="M1771" s="20" t="s">
        <v>2038</v>
      </c>
      <c r="N1771" s="20" t="s">
        <v>2039</v>
      </c>
      <c r="O1771" s="20" t="s">
        <v>7813</v>
      </c>
      <c r="P1771" s="20" t="s">
        <v>7814</v>
      </c>
      <c r="Q1771" s="20" t="s">
        <v>7815</v>
      </c>
      <c r="R1771" s="5" t="s">
        <v>7816</v>
      </c>
      <c r="W1771" s="20" t="s">
        <v>2010</v>
      </c>
      <c r="X1771" s="20" t="s">
        <v>2011</v>
      </c>
      <c r="Y1771" s="20" t="s">
        <v>2012</v>
      </c>
      <c r="Z1771" s="20" t="s">
        <v>2013</v>
      </c>
      <c r="AG1771" s="14" t="s">
        <v>55</v>
      </c>
      <c r="AH1771" s="14" t="s">
        <v>1603</v>
      </c>
      <c r="AI1771" s="14" t="s">
        <v>124</v>
      </c>
    </row>
    <row r="1772" spans="1:37">
      <c r="A1772" s="5" t="s">
        <v>7817</v>
      </c>
      <c r="B1772" s="5" t="s">
        <v>7811</v>
      </c>
      <c r="C1772" s="6" t="s">
        <v>43</v>
      </c>
      <c r="D1772" s="6" t="s">
        <v>1977</v>
      </c>
      <c r="E1772" s="6" t="s">
        <v>2015</v>
      </c>
      <c r="F1772" s="6" t="s">
        <v>46</v>
      </c>
      <c r="G1772" s="6" t="s">
        <v>7818</v>
      </c>
      <c r="H1772" s="7">
        <v>25.17</v>
      </c>
      <c r="I1772" s="19" t="s">
        <v>1589</v>
      </c>
      <c r="J1772" s="19" t="s">
        <v>2001</v>
      </c>
      <c r="K1772" s="20" t="s">
        <v>2036</v>
      </c>
      <c r="L1772" s="20" t="s">
        <v>2037</v>
      </c>
      <c r="M1772" s="20" t="s">
        <v>2038</v>
      </c>
      <c r="N1772" s="20" t="s">
        <v>2039</v>
      </c>
      <c r="O1772" s="20" t="s">
        <v>7813</v>
      </c>
      <c r="P1772" s="20" t="s">
        <v>7814</v>
      </c>
      <c r="Q1772" s="20" t="s">
        <v>7815</v>
      </c>
      <c r="R1772" s="5" t="s">
        <v>7816</v>
      </c>
      <c r="W1772" s="20" t="s">
        <v>2010</v>
      </c>
      <c r="X1772" s="20" t="s">
        <v>2011</v>
      </c>
      <c r="Y1772" s="20" t="s">
        <v>2012</v>
      </c>
      <c r="Z1772" s="20" t="s">
        <v>2013</v>
      </c>
      <c r="AG1772" s="14" t="s">
        <v>55</v>
      </c>
      <c r="AH1772" s="14" t="s">
        <v>1603</v>
      </c>
      <c r="AI1772" s="14" t="s">
        <v>124</v>
      </c>
    </row>
    <row r="1773" spans="1:37">
      <c r="A1773" s="5" t="s">
        <v>7819</v>
      </c>
      <c r="B1773" s="5" t="s">
        <v>7820</v>
      </c>
      <c r="C1773" s="6" t="s">
        <v>43</v>
      </c>
      <c r="D1773" s="6" t="s">
        <v>1977</v>
      </c>
      <c r="E1773" s="6" t="s">
        <v>1386</v>
      </c>
      <c r="F1773" s="6" t="s">
        <v>46</v>
      </c>
      <c r="G1773" s="6" t="s">
        <v>7821</v>
      </c>
      <c r="H1773" s="7">
        <v>40</v>
      </c>
      <c r="I1773" s="19" t="s">
        <v>1589</v>
      </c>
      <c r="J1773" s="19" t="s">
        <v>2001</v>
      </c>
      <c r="K1773" s="6" t="s">
        <v>2177</v>
      </c>
      <c r="L1773" s="6" t="s">
        <v>2178</v>
      </c>
      <c r="M1773" s="6" t="s">
        <v>2179</v>
      </c>
      <c r="N1773" s="6" t="s">
        <v>2180</v>
      </c>
      <c r="O1773" s="6" t="s">
        <v>2181</v>
      </c>
      <c r="P1773" s="6" t="s">
        <v>2182</v>
      </c>
      <c r="Q1773" s="6" t="s">
        <v>2183</v>
      </c>
      <c r="R1773" s="5"/>
      <c r="S1773" s="6"/>
      <c r="T1773" s="6"/>
      <c r="U1773" s="6"/>
      <c r="W1773" s="20" t="s">
        <v>2010</v>
      </c>
      <c r="X1773" s="20" t="s">
        <v>2011</v>
      </c>
      <c r="Y1773" s="20" t="s">
        <v>2012</v>
      </c>
      <c r="Z1773" s="20" t="s">
        <v>2013</v>
      </c>
      <c r="AG1773" s="14" t="s">
        <v>55</v>
      </c>
      <c r="AH1773" s="14" t="s">
        <v>1603</v>
      </c>
      <c r="AI1773" s="14" t="s">
        <v>124</v>
      </c>
    </row>
    <row r="1774" spans="1:37">
      <c r="A1774" s="5" t="s">
        <v>7822</v>
      </c>
      <c r="B1774" s="5" t="s">
        <v>7823</v>
      </c>
      <c r="C1774" s="6" t="s">
        <v>43</v>
      </c>
      <c r="D1774" s="6" t="s">
        <v>1977</v>
      </c>
      <c r="E1774" s="6" t="s">
        <v>1386</v>
      </c>
      <c r="F1774" s="6" t="s">
        <v>46</v>
      </c>
      <c r="G1774" s="6" t="s">
        <v>7824</v>
      </c>
      <c r="H1774" s="7">
        <v>43.48</v>
      </c>
      <c r="I1774" s="19" t="s">
        <v>1589</v>
      </c>
      <c r="J1774" s="19" t="s">
        <v>2001</v>
      </c>
      <c r="K1774" s="20" t="s">
        <v>2054</v>
      </c>
      <c r="L1774" s="20" t="s">
        <v>2055</v>
      </c>
      <c r="M1774" s="20" t="s">
        <v>2056</v>
      </c>
      <c r="N1774" s="20" t="s">
        <v>2057</v>
      </c>
      <c r="O1774" s="20" t="s">
        <v>7825</v>
      </c>
      <c r="P1774" s="20" t="s">
        <v>7826</v>
      </c>
      <c r="Q1774" s="20" t="s">
        <v>7827</v>
      </c>
      <c r="R1774" s="5" t="s">
        <v>7828</v>
      </c>
      <c r="W1774" s="20" t="s">
        <v>2010</v>
      </c>
      <c r="X1774" s="20" t="s">
        <v>2011</v>
      </c>
      <c r="Y1774" s="20" t="s">
        <v>2012</v>
      </c>
      <c r="Z1774" s="20" t="s">
        <v>2013</v>
      </c>
      <c r="AG1774" s="14" t="s">
        <v>55</v>
      </c>
      <c r="AH1774" s="14" t="s">
        <v>1603</v>
      </c>
      <c r="AI1774" s="14" t="s">
        <v>124</v>
      </c>
    </row>
    <row r="1775" spans="1:37">
      <c r="A1775" s="5" t="s">
        <v>7829</v>
      </c>
      <c r="B1775" s="5" t="s">
        <v>7823</v>
      </c>
      <c r="C1775" s="6" t="s">
        <v>43</v>
      </c>
      <c r="D1775" s="6" t="s">
        <v>1977</v>
      </c>
      <c r="E1775" s="6" t="s">
        <v>2015</v>
      </c>
      <c r="F1775" s="6" t="s">
        <v>46</v>
      </c>
      <c r="G1775" s="6" t="s">
        <v>7830</v>
      </c>
      <c r="H1775" s="7">
        <v>43.47</v>
      </c>
      <c r="I1775" s="19" t="s">
        <v>1589</v>
      </c>
      <c r="J1775" s="19" t="s">
        <v>2001</v>
      </c>
      <c r="K1775" s="20" t="s">
        <v>2054</v>
      </c>
      <c r="L1775" s="20" t="s">
        <v>2055</v>
      </c>
      <c r="M1775" s="20" t="s">
        <v>2056</v>
      </c>
      <c r="N1775" s="20" t="s">
        <v>2057</v>
      </c>
      <c r="O1775" s="20" t="s">
        <v>7825</v>
      </c>
      <c r="P1775" s="20" t="s">
        <v>7826</v>
      </c>
      <c r="Q1775" s="20" t="s">
        <v>7827</v>
      </c>
      <c r="R1775" s="5" t="s">
        <v>7828</v>
      </c>
      <c r="W1775" s="20" t="s">
        <v>2010</v>
      </c>
      <c r="X1775" s="20" t="s">
        <v>2011</v>
      </c>
      <c r="Y1775" s="20" t="s">
        <v>2012</v>
      </c>
      <c r="Z1775" s="20" t="s">
        <v>2013</v>
      </c>
      <c r="AG1775" s="14" t="s">
        <v>55</v>
      </c>
      <c r="AH1775" s="14" t="s">
        <v>1603</v>
      </c>
      <c r="AI1775" s="14" t="s">
        <v>124</v>
      </c>
    </row>
    <row r="1776" spans="1:37">
      <c r="A1776" s="5" t="s">
        <v>7831</v>
      </c>
      <c r="B1776" s="5" t="s">
        <v>7823</v>
      </c>
      <c r="C1776" s="6" t="s">
        <v>43</v>
      </c>
      <c r="D1776" s="6" t="s">
        <v>1977</v>
      </c>
      <c r="E1776" s="6" t="s">
        <v>2065</v>
      </c>
      <c r="F1776" s="6" t="s">
        <v>46</v>
      </c>
      <c r="G1776" s="6" t="s">
        <v>7832</v>
      </c>
      <c r="H1776" s="7">
        <v>43.47</v>
      </c>
      <c r="I1776" s="19" t="s">
        <v>1589</v>
      </c>
      <c r="J1776" s="19" t="s">
        <v>2001</v>
      </c>
      <c r="K1776" s="20" t="s">
        <v>2054</v>
      </c>
      <c r="L1776" s="20" t="s">
        <v>2055</v>
      </c>
      <c r="M1776" s="20" t="s">
        <v>2056</v>
      </c>
      <c r="N1776" s="20" t="s">
        <v>2057</v>
      </c>
      <c r="O1776" s="20" t="s">
        <v>7825</v>
      </c>
      <c r="P1776" s="20" t="s">
        <v>7826</v>
      </c>
      <c r="Q1776" s="20" t="s">
        <v>7827</v>
      </c>
      <c r="R1776" s="5" t="s">
        <v>7828</v>
      </c>
      <c r="W1776" s="20" t="s">
        <v>2010</v>
      </c>
      <c r="X1776" s="20" t="s">
        <v>2011</v>
      </c>
      <c r="Y1776" s="20" t="s">
        <v>2012</v>
      </c>
      <c r="Z1776" s="20" t="s">
        <v>2013</v>
      </c>
      <c r="AG1776" s="14" t="s">
        <v>55</v>
      </c>
      <c r="AH1776" s="14" t="s">
        <v>1603</v>
      </c>
      <c r="AI1776" s="14" t="s">
        <v>124</v>
      </c>
    </row>
    <row r="1777" spans="1:37">
      <c r="A1777" s="6" t="s">
        <v>7833</v>
      </c>
      <c r="B1777" s="6" t="s">
        <v>7834</v>
      </c>
      <c r="C1777" s="6" t="s">
        <v>43</v>
      </c>
      <c r="D1777" s="6" t="s">
        <v>2069</v>
      </c>
      <c r="E1777" s="6" t="s">
        <v>2092</v>
      </c>
      <c r="F1777" s="6" t="s">
        <v>46</v>
      </c>
      <c r="G1777" s="6" t="s">
        <v>7835</v>
      </c>
      <c r="I1777" s="6" t="s">
        <v>48</v>
      </c>
      <c r="J1777" s="6" t="s">
        <v>48</v>
      </c>
      <c r="K1777" s="6"/>
      <c r="L1777" s="6"/>
      <c r="M1777" s="6"/>
      <c r="N1777" s="6"/>
      <c r="O1777" s="6"/>
      <c r="P1777" s="6"/>
      <c r="Q1777" s="6"/>
      <c r="R1777" s="6"/>
      <c r="S1777" s="6"/>
      <c r="T1777" s="6"/>
      <c r="U1777" s="6"/>
      <c r="V1777" s="6"/>
      <c r="W1777" s="6"/>
      <c r="X1777" s="6"/>
      <c r="Y1777" s="6"/>
      <c r="Z1777" s="6"/>
      <c r="AA1777" s="6"/>
      <c r="AB1777" s="6"/>
      <c r="AC1777" s="6"/>
      <c r="AD1777" s="6"/>
      <c r="AE1777" s="6"/>
      <c r="AF1777" s="6"/>
      <c r="AG1777" s="15" t="s">
        <v>55</v>
      </c>
      <c r="AH1777" s="15"/>
      <c r="AI1777" s="15"/>
      <c r="AJ1777" s="6"/>
      <c r="AK1777" s="6"/>
    </row>
    <row r="1778" spans="1:37" s="6" customFormat="1">
      <c r="A1778" s="5" t="s">
        <v>7836</v>
      </c>
      <c r="B1778" s="5" t="s">
        <v>7837</v>
      </c>
      <c r="C1778" s="6" t="s">
        <v>43</v>
      </c>
      <c r="D1778" s="6" t="s">
        <v>2069</v>
      </c>
      <c r="E1778" s="6" t="s">
        <v>2070</v>
      </c>
      <c r="F1778" s="6" t="s">
        <v>46</v>
      </c>
      <c r="G1778" s="6" t="s">
        <v>7838</v>
      </c>
      <c r="H1778" s="7">
        <v>38.72</v>
      </c>
      <c r="I1778" s="19" t="s">
        <v>1589</v>
      </c>
      <c r="J1778" s="19" t="s">
        <v>2078</v>
      </c>
      <c r="K1778" s="5" t="s">
        <v>2079</v>
      </c>
      <c r="L1778" s="5" t="s">
        <v>2080</v>
      </c>
      <c r="M1778" s="5" t="s">
        <v>2081</v>
      </c>
      <c r="N1778" s="5" t="s">
        <v>2082</v>
      </c>
      <c r="O1778" s="5" t="s">
        <v>7839</v>
      </c>
      <c r="P1778" s="5" t="s">
        <v>7840</v>
      </c>
      <c r="Q1778" s="5" t="s">
        <v>7841</v>
      </c>
      <c r="R1778" s="5"/>
      <c r="S1778" s="5"/>
      <c r="T1778" s="5"/>
      <c r="U1778" s="5"/>
      <c r="V1778" s="5"/>
      <c r="W1778" s="5"/>
      <c r="X1778" s="5"/>
      <c r="Y1778" s="5" t="s">
        <v>2086</v>
      </c>
      <c r="Z1778" s="5"/>
      <c r="AA1778" s="5"/>
      <c r="AB1778" s="5"/>
      <c r="AC1778" s="5"/>
      <c r="AD1778" s="5"/>
      <c r="AE1778" s="5"/>
      <c r="AF1778" s="5"/>
      <c r="AG1778" s="14" t="s">
        <v>55</v>
      </c>
      <c r="AH1778" s="14" t="s">
        <v>1603</v>
      </c>
      <c r="AI1778" s="14" t="s">
        <v>2087</v>
      </c>
      <c r="AJ1778" s="5"/>
      <c r="AK1778" s="5"/>
    </row>
    <row r="1779" spans="1:37">
      <c r="A1779" s="5" t="s">
        <v>7842</v>
      </c>
      <c r="B1779" s="5" t="s">
        <v>7837</v>
      </c>
      <c r="C1779" s="6" t="s">
        <v>43</v>
      </c>
      <c r="D1779" s="6" t="s">
        <v>2069</v>
      </c>
      <c r="E1779" s="6" t="s">
        <v>1540</v>
      </c>
      <c r="F1779" s="6" t="s">
        <v>46</v>
      </c>
      <c r="G1779" s="6" t="s">
        <v>7843</v>
      </c>
      <c r="H1779" s="7">
        <v>38.72</v>
      </c>
      <c r="I1779" s="19" t="s">
        <v>1589</v>
      </c>
      <c r="J1779" s="19" t="s">
        <v>2078</v>
      </c>
      <c r="K1779" s="5" t="s">
        <v>2079</v>
      </c>
      <c r="L1779" s="5" t="s">
        <v>2080</v>
      </c>
      <c r="M1779" s="5" t="s">
        <v>2081</v>
      </c>
      <c r="N1779" s="5" t="s">
        <v>2082</v>
      </c>
      <c r="O1779" s="5" t="s">
        <v>7839</v>
      </c>
      <c r="P1779" s="5" t="s">
        <v>7840</v>
      </c>
      <c r="Q1779" s="5" t="s">
        <v>7841</v>
      </c>
      <c r="R1779" s="5"/>
      <c r="Y1779" s="5" t="s">
        <v>2086</v>
      </c>
      <c r="AG1779" s="14" t="s">
        <v>55</v>
      </c>
      <c r="AH1779" s="14" t="s">
        <v>1603</v>
      </c>
      <c r="AI1779" s="14" t="s">
        <v>2087</v>
      </c>
    </row>
    <row r="1780" spans="1:37">
      <c r="A1780" s="5" t="s">
        <v>7844</v>
      </c>
      <c r="B1780" s="5" t="s">
        <v>7837</v>
      </c>
      <c r="C1780" s="6" t="s">
        <v>43</v>
      </c>
      <c r="D1780" s="6" t="s">
        <v>2069</v>
      </c>
      <c r="E1780" s="6" t="s">
        <v>2092</v>
      </c>
      <c r="F1780" s="6" t="s">
        <v>46</v>
      </c>
      <c r="G1780" s="6" t="s">
        <v>7845</v>
      </c>
      <c r="H1780" s="7">
        <v>38.72</v>
      </c>
      <c r="I1780" s="19" t="s">
        <v>1589</v>
      </c>
      <c r="J1780" s="19" t="s">
        <v>2078</v>
      </c>
      <c r="K1780" s="5" t="s">
        <v>2079</v>
      </c>
      <c r="L1780" s="5" t="s">
        <v>2080</v>
      </c>
      <c r="M1780" s="5" t="s">
        <v>2081</v>
      </c>
      <c r="N1780" s="5" t="s">
        <v>2082</v>
      </c>
      <c r="O1780" s="5" t="s">
        <v>7839</v>
      </c>
      <c r="P1780" s="5" t="s">
        <v>7840</v>
      </c>
      <c r="Q1780" s="5" t="s">
        <v>7841</v>
      </c>
      <c r="R1780" s="5"/>
      <c r="Y1780" s="5" t="s">
        <v>2086</v>
      </c>
      <c r="AG1780" s="14" t="s">
        <v>55</v>
      </c>
      <c r="AH1780" s="14" t="s">
        <v>1603</v>
      </c>
      <c r="AI1780" s="14" t="s">
        <v>2087</v>
      </c>
    </row>
    <row r="1781" spans="1:37">
      <c r="A1781" s="5" t="s">
        <v>7846</v>
      </c>
      <c r="B1781" s="5" t="s">
        <v>7847</v>
      </c>
      <c r="C1781" s="6" t="s">
        <v>43</v>
      </c>
      <c r="D1781" s="6" t="s">
        <v>2069</v>
      </c>
      <c r="E1781" s="6" t="s">
        <v>1540</v>
      </c>
      <c r="F1781" s="6" t="s">
        <v>46</v>
      </c>
      <c r="G1781" s="6" t="s">
        <v>2241</v>
      </c>
      <c r="H1781" s="7">
        <v>57.88</v>
      </c>
      <c r="I1781" s="19" t="s">
        <v>1589</v>
      </c>
      <c r="J1781" s="19" t="s">
        <v>2078</v>
      </c>
      <c r="K1781" s="5" t="s">
        <v>2097</v>
      </c>
      <c r="L1781" s="5" t="s">
        <v>2098</v>
      </c>
      <c r="M1781" s="5" t="s">
        <v>2099</v>
      </c>
      <c r="N1781" s="5" t="s">
        <v>2100</v>
      </c>
      <c r="O1781" s="5" t="s">
        <v>7848</v>
      </c>
      <c r="P1781" s="5" t="s">
        <v>7849</v>
      </c>
      <c r="Q1781" s="5" t="s">
        <v>7850</v>
      </c>
      <c r="R1781" s="5"/>
      <c r="Y1781" s="5" t="s">
        <v>2086</v>
      </c>
      <c r="AG1781" s="14" t="s">
        <v>55</v>
      </c>
      <c r="AH1781" s="14" t="s">
        <v>1603</v>
      </c>
      <c r="AI1781" s="14" t="s">
        <v>2087</v>
      </c>
    </row>
    <row r="1782" spans="1:37">
      <c r="A1782" s="5" t="s">
        <v>7851</v>
      </c>
      <c r="B1782" s="5" t="s">
        <v>7852</v>
      </c>
      <c r="C1782" s="6" t="s">
        <v>5663</v>
      </c>
      <c r="D1782" s="6" t="s">
        <v>2114</v>
      </c>
      <c r="E1782" s="6" t="s">
        <v>1386</v>
      </c>
      <c r="F1782" s="6" t="s">
        <v>46</v>
      </c>
      <c r="G1782" s="6" t="s">
        <v>7853</v>
      </c>
      <c r="H1782" s="7">
        <v>21.63</v>
      </c>
      <c r="I1782" s="19" t="s">
        <v>1589</v>
      </c>
      <c r="J1782" s="19" t="s">
        <v>2001</v>
      </c>
      <c r="K1782" s="5" t="s">
        <v>2116</v>
      </c>
      <c r="L1782" s="5" t="s">
        <v>2117</v>
      </c>
      <c r="M1782" s="5" t="s">
        <v>2118</v>
      </c>
      <c r="N1782" s="5" t="s">
        <v>2119</v>
      </c>
      <c r="O1782" s="5" t="s">
        <v>7854</v>
      </c>
      <c r="P1782" s="5" t="s">
        <v>7855</v>
      </c>
      <c r="Q1782" s="5" t="s">
        <v>7856</v>
      </c>
      <c r="R1782" s="5"/>
      <c r="W1782" s="5" t="s">
        <v>2123</v>
      </c>
      <c r="X1782" s="5" t="s">
        <v>2011</v>
      </c>
      <c r="Y1782" s="5" t="s">
        <v>2012</v>
      </c>
      <c r="Z1782" s="5" t="s">
        <v>2013</v>
      </c>
      <c r="AG1782" s="14" t="s">
        <v>55</v>
      </c>
      <c r="AH1782" s="14" t="s">
        <v>1603</v>
      </c>
      <c r="AI1782" s="14" t="s">
        <v>124</v>
      </c>
    </row>
    <row r="1783" spans="1:37">
      <c r="A1783" s="5" t="s">
        <v>7857</v>
      </c>
      <c r="B1783" s="5" t="s">
        <v>7852</v>
      </c>
      <c r="C1783" s="6" t="s">
        <v>5663</v>
      </c>
      <c r="D1783" s="6" t="s">
        <v>2114</v>
      </c>
      <c r="E1783" s="6" t="s">
        <v>2015</v>
      </c>
      <c r="F1783" s="6" t="s">
        <v>46</v>
      </c>
      <c r="G1783" s="6" t="s">
        <v>7858</v>
      </c>
      <c r="H1783" s="7">
        <v>21.63</v>
      </c>
      <c r="I1783" s="19" t="s">
        <v>1589</v>
      </c>
      <c r="J1783" s="19" t="s">
        <v>2001</v>
      </c>
      <c r="K1783" s="5" t="s">
        <v>2116</v>
      </c>
      <c r="L1783" s="5" t="s">
        <v>2117</v>
      </c>
      <c r="M1783" s="5" t="s">
        <v>2118</v>
      </c>
      <c r="N1783" s="5" t="s">
        <v>2119</v>
      </c>
      <c r="O1783" s="5" t="s">
        <v>7854</v>
      </c>
      <c r="P1783" s="5" t="s">
        <v>7855</v>
      </c>
      <c r="Q1783" s="5" t="s">
        <v>7856</v>
      </c>
      <c r="R1783" s="5"/>
      <c r="W1783" s="5" t="s">
        <v>2123</v>
      </c>
      <c r="X1783" s="5" t="s">
        <v>2011</v>
      </c>
      <c r="Y1783" s="5" t="s">
        <v>2012</v>
      </c>
      <c r="Z1783" s="5" t="s">
        <v>2013</v>
      </c>
      <c r="AG1783" s="14" t="s">
        <v>55</v>
      </c>
      <c r="AH1783" s="14" t="s">
        <v>1603</v>
      </c>
      <c r="AI1783" s="14" t="s">
        <v>124</v>
      </c>
    </row>
    <row r="1784" spans="1:37">
      <c r="A1784" s="5" t="s">
        <v>7859</v>
      </c>
      <c r="B1784" s="5" t="s">
        <v>7860</v>
      </c>
      <c r="C1784" s="6" t="s">
        <v>43</v>
      </c>
      <c r="D1784" s="6" t="s">
        <v>2114</v>
      </c>
      <c r="E1784" s="6" t="s">
        <v>2129</v>
      </c>
      <c r="F1784" s="6" t="s">
        <v>46</v>
      </c>
      <c r="G1784" s="6" t="s">
        <v>7861</v>
      </c>
      <c r="H1784" s="7">
        <v>28.17</v>
      </c>
      <c r="I1784" s="19" t="s">
        <v>1589</v>
      </c>
      <c r="J1784" s="19" t="s">
        <v>2001</v>
      </c>
      <c r="K1784" s="5" t="s">
        <v>2131</v>
      </c>
      <c r="L1784" s="5" t="s">
        <v>2132</v>
      </c>
      <c r="M1784" s="5" t="s">
        <v>2133</v>
      </c>
      <c r="N1784" s="5" t="s">
        <v>2134</v>
      </c>
      <c r="O1784" s="5" t="s">
        <v>7862</v>
      </c>
      <c r="P1784" s="5" t="s">
        <v>7863</v>
      </c>
      <c r="Q1784" s="5" t="s">
        <v>7864</v>
      </c>
      <c r="R1784" s="5"/>
      <c r="W1784" s="5" t="s">
        <v>2123</v>
      </c>
      <c r="X1784" s="5" t="s">
        <v>2011</v>
      </c>
      <c r="Y1784" s="5" t="s">
        <v>2012</v>
      </c>
      <c r="Z1784" s="5" t="s">
        <v>2013</v>
      </c>
      <c r="AG1784" s="14" t="s">
        <v>55</v>
      </c>
      <c r="AH1784" s="14" t="s">
        <v>1603</v>
      </c>
      <c r="AI1784" s="14" t="s">
        <v>124</v>
      </c>
    </row>
    <row r="1785" spans="1:37">
      <c r="A1785" s="5" t="s">
        <v>7865</v>
      </c>
      <c r="B1785" s="5" t="s">
        <v>7860</v>
      </c>
      <c r="C1785" s="6" t="s">
        <v>43</v>
      </c>
      <c r="D1785" s="6" t="s">
        <v>2114</v>
      </c>
      <c r="E1785" s="6" t="s">
        <v>2139</v>
      </c>
      <c r="F1785" s="6" t="s">
        <v>46</v>
      </c>
      <c r="G1785" s="6" t="s">
        <v>7866</v>
      </c>
      <c r="H1785" s="7">
        <v>28.17</v>
      </c>
      <c r="I1785" s="19" t="s">
        <v>1589</v>
      </c>
      <c r="J1785" s="19" t="s">
        <v>2001</v>
      </c>
      <c r="K1785" s="5" t="s">
        <v>2131</v>
      </c>
      <c r="L1785" s="5" t="s">
        <v>2132</v>
      </c>
      <c r="M1785" s="5" t="s">
        <v>2133</v>
      </c>
      <c r="N1785" s="5" t="s">
        <v>2134</v>
      </c>
      <c r="O1785" s="5" t="s">
        <v>7862</v>
      </c>
      <c r="P1785" s="5" t="s">
        <v>7863</v>
      </c>
      <c r="Q1785" s="5" t="s">
        <v>7864</v>
      </c>
      <c r="R1785" s="5"/>
      <c r="W1785" s="5" t="s">
        <v>2123</v>
      </c>
      <c r="X1785" s="5" t="s">
        <v>2011</v>
      </c>
      <c r="Y1785" s="5" t="s">
        <v>2012</v>
      </c>
      <c r="Z1785" s="5" t="s">
        <v>2013</v>
      </c>
      <c r="AG1785" s="14" t="s">
        <v>55</v>
      </c>
      <c r="AH1785" s="14" t="s">
        <v>1603</v>
      </c>
      <c r="AI1785" s="14" t="s">
        <v>124</v>
      </c>
    </row>
    <row r="1786" spans="1:37">
      <c r="A1786" s="5" t="s">
        <v>7867</v>
      </c>
      <c r="B1786" s="5" t="s">
        <v>7860</v>
      </c>
      <c r="C1786" s="6" t="s">
        <v>7347</v>
      </c>
      <c r="D1786" s="6" t="s">
        <v>2114</v>
      </c>
      <c r="E1786" s="6" t="s">
        <v>1386</v>
      </c>
      <c r="F1786" s="6" t="s">
        <v>46</v>
      </c>
      <c r="G1786" s="6" t="s">
        <v>7868</v>
      </c>
      <c r="H1786" s="7">
        <v>28.17</v>
      </c>
      <c r="I1786" s="19" t="s">
        <v>1589</v>
      </c>
      <c r="J1786" s="19" t="s">
        <v>2001</v>
      </c>
      <c r="K1786" s="5" t="s">
        <v>2131</v>
      </c>
      <c r="L1786" s="5" t="s">
        <v>2132</v>
      </c>
      <c r="M1786" s="5" t="s">
        <v>2133</v>
      </c>
      <c r="N1786" s="5" t="s">
        <v>2134</v>
      </c>
      <c r="O1786" s="5" t="s">
        <v>7862</v>
      </c>
      <c r="P1786" s="5" t="s">
        <v>7863</v>
      </c>
      <c r="Q1786" s="5" t="s">
        <v>7864</v>
      </c>
      <c r="R1786" s="5"/>
      <c r="W1786" s="5" t="s">
        <v>2123</v>
      </c>
      <c r="X1786" s="5" t="s">
        <v>2011</v>
      </c>
      <c r="Y1786" s="5" t="s">
        <v>2012</v>
      </c>
      <c r="Z1786" s="5" t="s">
        <v>2013</v>
      </c>
      <c r="AG1786" s="14" t="s">
        <v>55</v>
      </c>
      <c r="AH1786" s="14" t="s">
        <v>1603</v>
      </c>
      <c r="AI1786" s="14" t="s">
        <v>124</v>
      </c>
    </row>
    <row r="1787" spans="1:37">
      <c r="A1787" s="5" t="s">
        <v>7869</v>
      </c>
      <c r="B1787" s="5" t="s">
        <v>7860</v>
      </c>
      <c r="C1787" s="6" t="s">
        <v>7347</v>
      </c>
      <c r="D1787" s="6" t="s">
        <v>2114</v>
      </c>
      <c r="E1787" s="6" t="s">
        <v>2015</v>
      </c>
      <c r="F1787" s="6" t="s">
        <v>46</v>
      </c>
      <c r="G1787" s="6" t="s">
        <v>7870</v>
      </c>
      <c r="H1787" s="7">
        <v>28.17</v>
      </c>
      <c r="I1787" s="19" t="s">
        <v>1589</v>
      </c>
      <c r="J1787" s="19" t="s">
        <v>2001</v>
      </c>
      <c r="K1787" s="5" t="s">
        <v>2131</v>
      </c>
      <c r="L1787" s="5" t="s">
        <v>2132</v>
      </c>
      <c r="M1787" s="5" t="s">
        <v>2133</v>
      </c>
      <c r="N1787" s="5" t="s">
        <v>2134</v>
      </c>
      <c r="O1787" s="5" t="s">
        <v>7862</v>
      </c>
      <c r="P1787" s="5" t="s">
        <v>7863</v>
      </c>
      <c r="Q1787" s="5" t="s">
        <v>7864</v>
      </c>
      <c r="R1787" s="5"/>
      <c r="W1787" s="5" t="s">
        <v>2123</v>
      </c>
      <c r="X1787" s="5" t="s">
        <v>2011</v>
      </c>
      <c r="Y1787" s="5" t="s">
        <v>2012</v>
      </c>
      <c r="Z1787" s="5" t="s">
        <v>2013</v>
      </c>
      <c r="AG1787" s="14" t="s">
        <v>55</v>
      </c>
      <c r="AH1787" s="14" t="s">
        <v>1603</v>
      </c>
      <c r="AI1787" s="14" t="s">
        <v>124</v>
      </c>
    </row>
    <row r="1788" spans="1:37">
      <c r="A1788" s="5" t="s">
        <v>7871</v>
      </c>
      <c r="B1788" s="5" t="s">
        <v>7872</v>
      </c>
      <c r="C1788" s="6" t="s">
        <v>7347</v>
      </c>
      <c r="D1788" s="6" t="s">
        <v>2114</v>
      </c>
      <c r="E1788" s="6" t="s">
        <v>2139</v>
      </c>
      <c r="F1788" s="6" t="s">
        <v>46</v>
      </c>
      <c r="G1788" s="6" t="s">
        <v>7873</v>
      </c>
      <c r="H1788" s="7">
        <v>29.74</v>
      </c>
      <c r="I1788" s="19" t="s">
        <v>1589</v>
      </c>
      <c r="J1788" s="19" t="s">
        <v>2001</v>
      </c>
      <c r="K1788" s="6" t="s">
        <v>2148</v>
      </c>
      <c r="L1788" s="6" t="s">
        <v>2149</v>
      </c>
      <c r="M1788" s="6" t="s">
        <v>2150</v>
      </c>
      <c r="N1788" s="6" t="s">
        <v>2151</v>
      </c>
      <c r="O1788" s="6" t="s">
        <v>7874</v>
      </c>
      <c r="P1788" s="6" t="s">
        <v>7875</v>
      </c>
      <c r="Q1788" s="6" t="s">
        <v>7876</v>
      </c>
      <c r="R1788" s="5"/>
      <c r="W1788" s="20" t="s">
        <v>2010</v>
      </c>
      <c r="X1788" s="20" t="s">
        <v>2011</v>
      </c>
      <c r="Y1788" s="20" t="s">
        <v>2012</v>
      </c>
      <c r="Z1788" s="20" t="s">
        <v>2013</v>
      </c>
      <c r="AG1788" s="14" t="s">
        <v>55</v>
      </c>
      <c r="AH1788" s="14" t="s">
        <v>1603</v>
      </c>
      <c r="AI1788" s="14" t="s">
        <v>124</v>
      </c>
    </row>
    <row r="1789" spans="1:37">
      <c r="A1789" s="5" t="s">
        <v>7877</v>
      </c>
      <c r="B1789" s="5" t="s">
        <v>7872</v>
      </c>
      <c r="C1789" s="6" t="s">
        <v>7347</v>
      </c>
      <c r="D1789" s="6" t="s">
        <v>2114</v>
      </c>
      <c r="E1789" s="6" t="s">
        <v>1386</v>
      </c>
      <c r="F1789" s="6" t="s">
        <v>46</v>
      </c>
      <c r="G1789" s="6" t="s">
        <v>7878</v>
      </c>
      <c r="H1789" s="7">
        <v>29.74</v>
      </c>
      <c r="I1789" s="19" t="s">
        <v>1589</v>
      </c>
      <c r="J1789" s="19" t="s">
        <v>2001</v>
      </c>
      <c r="K1789" s="6" t="s">
        <v>2148</v>
      </c>
      <c r="L1789" s="6" t="s">
        <v>2149</v>
      </c>
      <c r="M1789" s="6" t="s">
        <v>2150</v>
      </c>
      <c r="N1789" s="6" t="s">
        <v>2151</v>
      </c>
      <c r="O1789" s="6" t="s">
        <v>7874</v>
      </c>
      <c r="P1789" s="6" t="s">
        <v>7875</v>
      </c>
      <c r="Q1789" s="6" t="s">
        <v>7876</v>
      </c>
      <c r="R1789" s="5"/>
      <c r="W1789" s="20" t="s">
        <v>2010</v>
      </c>
      <c r="X1789" s="20" t="s">
        <v>2011</v>
      </c>
      <c r="Y1789" s="20" t="s">
        <v>2012</v>
      </c>
      <c r="Z1789" s="20" t="s">
        <v>2013</v>
      </c>
      <c r="AG1789" s="14" t="s">
        <v>55</v>
      </c>
      <c r="AH1789" s="14" t="s">
        <v>1603</v>
      </c>
      <c r="AI1789" s="14" t="s">
        <v>124</v>
      </c>
    </row>
    <row r="1790" spans="1:37">
      <c r="A1790" s="5" t="s">
        <v>7879</v>
      </c>
      <c r="B1790" s="5" t="s">
        <v>7872</v>
      </c>
      <c r="C1790" s="6" t="s">
        <v>43</v>
      </c>
      <c r="D1790" s="6" t="s">
        <v>2114</v>
      </c>
      <c r="E1790" s="6" t="s">
        <v>2015</v>
      </c>
      <c r="F1790" s="6" t="s">
        <v>46</v>
      </c>
      <c r="G1790" s="6" t="s">
        <v>7880</v>
      </c>
      <c r="H1790" s="7">
        <v>29.74</v>
      </c>
      <c r="I1790" s="19" t="s">
        <v>1589</v>
      </c>
      <c r="J1790" s="19" t="s">
        <v>2001</v>
      </c>
      <c r="K1790" s="6" t="s">
        <v>2148</v>
      </c>
      <c r="L1790" s="6" t="s">
        <v>2149</v>
      </c>
      <c r="M1790" s="6" t="s">
        <v>2150</v>
      </c>
      <c r="N1790" s="6" t="s">
        <v>2151</v>
      </c>
      <c r="O1790" s="6" t="s">
        <v>7874</v>
      </c>
      <c r="P1790" s="6" t="s">
        <v>7875</v>
      </c>
      <c r="Q1790" s="6" t="s">
        <v>7876</v>
      </c>
      <c r="R1790" s="5"/>
      <c r="W1790" s="20" t="s">
        <v>2010</v>
      </c>
      <c r="X1790" s="20" t="s">
        <v>2011</v>
      </c>
      <c r="Y1790" s="20" t="s">
        <v>2012</v>
      </c>
      <c r="Z1790" s="20" t="s">
        <v>2013</v>
      </c>
      <c r="AG1790" s="14" t="s">
        <v>55</v>
      </c>
      <c r="AH1790" s="14" t="s">
        <v>1603</v>
      </c>
      <c r="AI1790" s="14" t="s">
        <v>124</v>
      </c>
    </row>
    <row r="1791" spans="1:37">
      <c r="A1791" s="5" t="s">
        <v>7881</v>
      </c>
      <c r="B1791" s="5" t="s">
        <v>7882</v>
      </c>
      <c r="C1791" s="6" t="s">
        <v>43</v>
      </c>
      <c r="D1791" s="6" t="s">
        <v>2114</v>
      </c>
      <c r="E1791" s="6" t="s">
        <v>1386</v>
      </c>
      <c r="F1791" s="6" t="s">
        <v>46</v>
      </c>
      <c r="G1791" s="6" t="s">
        <v>7883</v>
      </c>
      <c r="H1791" s="7">
        <v>35.39</v>
      </c>
      <c r="I1791" s="19" t="s">
        <v>1589</v>
      </c>
      <c r="J1791" s="19" t="s">
        <v>2162</v>
      </c>
      <c r="K1791" s="5" t="s">
        <v>2163</v>
      </c>
      <c r="L1791" s="5" t="s">
        <v>2164</v>
      </c>
      <c r="M1791" s="5" t="s">
        <v>2165</v>
      </c>
      <c r="N1791" s="5" t="s">
        <v>2166</v>
      </c>
      <c r="O1791" s="5" t="s">
        <v>7884</v>
      </c>
      <c r="P1791" s="5" t="s">
        <v>7885</v>
      </c>
      <c r="Q1791" s="5" t="s">
        <v>7886</v>
      </c>
      <c r="R1791" s="5"/>
      <c r="W1791" s="5" t="s">
        <v>2170</v>
      </c>
      <c r="X1791" s="5" t="s">
        <v>2171</v>
      </c>
      <c r="Y1791" s="5" t="s">
        <v>2172</v>
      </c>
      <c r="Z1791" s="5" t="s">
        <v>2173</v>
      </c>
      <c r="AG1791" s="14" t="s">
        <v>55</v>
      </c>
      <c r="AH1791" s="14" t="s">
        <v>1603</v>
      </c>
      <c r="AI1791" s="14" t="s">
        <v>124</v>
      </c>
    </row>
    <row r="1792" spans="1:37">
      <c r="A1792" s="5" t="s">
        <v>7887</v>
      </c>
      <c r="B1792" s="5" t="s">
        <v>7888</v>
      </c>
      <c r="C1792" s="6" t="s">
        <v>43</v>
      </c>
      <c r="D1792" s="6" t="s">
        <v>2114</v>
      </c>
      <c r="E1792" s="6" t="s">
        <v>2139</v>
      </c>
      <c r="F1792" s="6" t="s">
        <v>46</v>
      </c>
      <c r="G1792" s="6" t="s">
        <v>7451</v>
      </c>
      <c r="H1792" s="7">
        <v>42.47</v>
      </c>
      <c r="I1792" s="19" t="s">
        <v>1589</v>
      </c>
      <c r="J1792" s="19" t="s">
        <v>2001</v>
      </c>
      <c r="K1792" s="6" t="s">
        <v>2177</v>
      </c>
      <c r="L1792" s="6" t="s">
        <v>2178</v>
      </c>
      <c r="M1792" s="6" t="s">
        <v>2179</v>
      </c>
      <c r="N1792" s="6" t="s">
        <v>2180</v>
      </c>
      <c r="O1792" s="6" t="s">
        <v>7889</v>
      </c>
      <c r="P1792" s="6" t="s">
        <v>7890</v>
      </c>
      <c r="Q1792" s="6" t="s">
        <v>7891</v>
      </c>
      <c r="R1792" s="5"/>
      <c r="S1792" s="6"/>
      <c r="T1792" s="6"/>
      <c r="U1792" s="6"/>
      <c r="W1792" s="20" t="s">
        <v>2010</v>
      </c>
      <c r="X1792" s="20" t="s">
        <v>2011</v>
      </c>
      <c r="Y1792" s="20" t="s">
        <v>2012</v>
      </c>
      <c r="Z1792" s="20" t="s">
        <v>2013</v>
      </c>
      <c r="AG1792" s="14" t="s">
        <v>55</v>
      </c>
      <c r="AH1792" s="14" t="s">
        <v>1603</v>
      </c>
      <c r="AI1792" s="14" t="s">
        <v>124</v>
      </c>
    </row>
    <row r="1793" spans="1:37">
      <c r="A1793" s="5" t="s">
        <v>7892</v>
      </c>
      <c r="B1793" s="5" t="s">
        <v>7888</v>
      </c>
      <c r="C1793" s="6" t="s">
        <v>7347</v>
      </c>
      <c r="D1793" s="6" t="s">
        <v>2114</v>
      </c>
      <c r="E1793" s="6" t="s">
        <v>2015</v>
      </c>
      <c r="F1793" s="6" t="s">
        <v>46</v>
      </c>
      <c r="G1793" s="6" t="s">
        <v>2805</v>
      </c>
      <c r="H1793" s="7">
        <v>42.47</v>
      </c>
      <c r="I1793" s="19" t="s">
        <v>1589</v>
      </c>
      <c r="J1793" s="19" t="s">
        <v>2001</v>
      </c>
      <c r="K1793" s="6" t="s">
        <v>2177</v>
      </c>
      <c r="L1793" s="6" t="s">
        <v>2178</v>
      </c>
      <c r="M1793" s="6" t="s">
        <v>2179</v>
      </c>
      <c r="N1793" s="6" t="s">
        <v>2180</v>
      </c>
      <c r="O1793" s="6" t="s">
        <v>7889</v>
      </c>
      <c r="P1793" s="6" t="s">
        <v>7890</v>
      </c>
      <c r="Q1793" s="6" t="s">
        <v>7891</v>
      </c>
      <c r="R1793" s="5"/>
      <c r="S1793" s="6"/>
      <c r="T1793" s="6"/>
      <c r="U1793" s="6"/>
      <c r="W1793" s="20" t="s">
        <v>2010</v>
      </c>
      <c r="X1793" s="20" t="s">
        <v>2011</v>
      </c>
      <c r="Y1793" s="20" t="s">
        <v>2012</v>
      </c>
      <c r="Z1793" s="20" t="s">
        <v>2013</v>
      </c>
      <c r="AG1793" s="14" t="s">
        <v>55</v>
      </c>
      <c r="AH1793" s="14" t="s">
        <v>1603</v>
      </c>
      <c r="AI1793" s="14" t="s">
        <v>124</v>
      </c>
    </row>
    <row r="1794" spans="1:37">
      <c r="A1794" s="5" t="s">
        <v>7893</v>
      </c>
      <c r="B1794" s="5" t="s">
        <v>7894</v>
      </c>
      <c r="C1794" s="6" t="s">
        <v>43</v>
      </c>
      <c r="D1794" s="6" t="s">
        <v>2189</v>
      </c>
      <c r="E1794" s="6" t="s">
        <v>2139</v>
      </c>
      <c r="F1794" s="6" t="s">
        <v>46</v>
      </c>
      <c r="G1794" s="6" t="s">
        <v>7895</v>
      </c>
      <c r="H1794" s="7">
        <v>27.71</v>
      </c>
      <c r="I1794" s="19" t="s">
        <v>1589</v>
      </c>
      <c r="J1794" s="19" t="s">
        <v>2191</v>
      </c>
      <c r="K1794" s="5" t="s">
        <v>2192</v>
      </c>
      <c r="L1794" s="5" t="s">
        <v>2193</v>
      </c>
      <c r="M1794" s="5" t="s">
        <v>2194</v>
      </c>
      <c r="N1794" s="5" t="s">
        <v>2195</v>
      </c>
      <c r="O1794" s="5" t="s">
        <v>7896</v>
      </c>
      <c r="P1794" s="5" t="s">
        <v>7897</v>
      </c>
      <c r="Q1794" s="5" t="s">
        <v>7898</v>
      </c>
      <c r="R1794" s="5"/>
      <c r="Y1794" s="5" t="s">
        <v>2086</v>
      </c>
      <c r="AG1794" s="14" t="s">
        <v>55</v>
      </c>
      <c r="AH1794" s="14" t="s">
        <v>1603</v>
      </c>
      <c r="AI1794" s="14" t="s">
        <v>2087</v>
      </c>
    </row>
    <row r="1795" spans="1:37">
      <c r="A1795" s="5" t="s">
        <v>7899</v>
      </c>
      <c r="B1795" s="5" t="s">
        <v>7894</v>
      </c>
      <c r="C1795" s="6" t="s">
        <v>43</v>
      </c>
      <c r="D1795" s="6" t="s">
        <v>2189</v>
      </c>
      <c r="E1795" s="6" t="s">
        <v>1386</v>
      </c>
      <c r="F1795" s="6" t="s">
        <v>46</v>
      </c>
      <c r="G1795" s="6" t="s">
        <v>7900</v>
      </c>
      <c r="H1795" s="7">
        <v>27.71</v>
      </c>
      <c r="I1795" s="19" t="s">
        <v>1589</v>
      </c>
      <c r="J1795" s="19" t="s">
        <v>2191</v>
      </c>
      <c r="K1795" s="5" t="s">
        <v>2192</v>
      </c>
      <c r="L1795" s="5" t="s">
        <v>2193</v>
      </c>
      <c r="M1795" s="5" t="s">
        <v>2194</v>
      </c>
      <c r="N1795" s="5" t="s">
        <v>2195</v>
      </c>
      <c r="O1795" s="5" t="s">
        <v>7896</v>
      </c>
      <c r="P1795" s="5" t="s">
        <v>7897</v>
      </c>
      <c r="Q1795" s="5" t="s">
        <v>7898</v>
      </c>
      <c r="R1795" s="5"/>
      <c r="Y1795" s="5" t="s">
        <v>2086</v>
      </c>
      <c r="AG1795" s="14" t="s">
        <v>55</v>
      </c>
      <c r="AH1795" s="14" t="s">
        <v>1603</v>
      </c>
      <c r="AI1795" s="14" t="s">
        <v>2087</v>
      </c>
    </row>
    <row r="1796" spans="1:37">
      <c r="A1796" s="5" t="s">
        <v>7901</v>
      </c>
      <c r="B1796" s="5" t="s">
        <v>7894</v>
      </c>
      <c r="C1796" s="6" t="s">
        <v>43</v>
      </c>
      <c r="D1796" s="6" t="s">
        <v>2189</v>
      </c>
      <c r="E1796" s="6" t="s">
        <v>2015</v>
      </c>
      <c r="F1796" s="6" t="s">
        <v>46</v>
      </c>
      <c r="G1796" s="6" t="s">
        <v>6685</v>
      </c>
      <c r="H1796" s="7">
        <v>27.71</v>
      </c>
      <c r="I1796" s="19" t="s">
        <v>1589</v>
      </c>
      <c r="J1796" s="19" t="s">
        <v>2191</v>
      </c>
      <c r="K1796" s="5" t="s">
        <v>2192</v>
      </c>
      <c r="L1796" s="5" t="s">
        <v>2193</v>
      </c>
      <c r="M1796" s="5" t="s">
        <v>2194</v>
      </c>
      <c r="N1796" s="5" t="s">
        <v>2195</v>
      </c>
      <c r="O1796" s="5" t="s">
        <v>7896</v>
      </c>
      <c r="P1796" s="5" t="s">
        <v>7897</v>
      </c>
      <c r="Q1796" s="5" t="s">
        <v>7898</v>
      </c>
      <c r="R1796" s="5"/>
      <c r="Y1796" s="5" t="s">
        <v>2086</v>
      </c>
      <c r="AG1796" s="14" t="s">
        <v>55</v>
      </c>
      <c r="AH1796" s="14" t="s">
        <v>1603</v>
      </c>
      <c r="AI1796" s="14" t="s">
        <v>2087</v>
      </c>
    </row>
    <row r="1797" spans="1:37">
      <c r="A1797" s="6" t="s">
        <v>7902</v>
      </c>
      <c r="B1797" s="6" t="s">
        <v>7903</v>
      </c>
      <c r="C1797" s="6" t="s">
        <v>43</v>
      </c>
      <c r="D1797" s="6" t="s">
        <v>2189</v>
      </c>
      <c r="E1797" s="6" t="s">
        <v>2065</v>
      </c>
      <c r="F1797" s="6" t="s">
        <v>46</v>
      </c>
      <c r="G1797" s="6" t="s">
        <v>7904</v>
      </c>
      <c r="I1797" s="6" t="s">
        <v>48</v>
      </c>
      <c r="J1797" s="6" t="s">
        <v>48</v>
      </c>
      <c r="K1797" s="6"/>
      <c r="L1797" s="6"/>
      <c r="M1797" s="6"/>
      <c r="N1797" s="6"/>
      <c r="O1797" s="6"/>
      <c r="P1797" s="6"/>
      <c r="Q1797" s="6"/>
      <c r="R1797" s="6"/>
      <c r="S1797" s="6"/>
      <c r="T1797" s="6"/>
      <c r="U1797" s="6"/>
      <c r="V1797" s="6"/>
      <c r="W1797" s="6"/>
      <c r="X1797" s="6"/>
      <c r="Y1797" s="6"/>
      <c r="Z1797" s="6"/>
      <c r="AA1797" s="6"/>
      <c r="AB1797" s="6"/>
      <c r="AC1797" s="6"/>
      <c r="AD1797" s="6"/>
      <c r="AE1797" s="6"/>
      <c r="AF1797" s="6"/>
      <c r="AG1797" s="15" t="s">
        <v>55</v>
      </c>
      <c r="AH1797" s="15"/>
      <c r="AI1797" s="15"/>
      <c r="AJ1797" s="6"/>
      <c r="AK1797" s="6"/>
    </row>
    <row r="1798" spans="1:37" s="6" customFormat="1">
      <c r="A1798" s="5" t="s">
        <v>7905</v>
      </c>
      <c r="B1798" s="5" t="s">
        <v>7906</v>
      </c>
      <c r="C1798" s="6" t="s">
        <v>43</v>
      </c>
      <c r="D1798" s="6" t="s">
        <v>2189</v>
      </c>
      <c r="E1798" s="6" t="s">
        <v>2129</v>
      </c>
      <c r="F1798" s="6" t="s">
        <v>46</v>
      </c>
      <c r="G1798" s="6" t="s">
        <v>3772</v>
      </c>
      <c r="H1798" s="7">
        <v>32.75</v>
      </c>
      <c r="I1798" s="19" t="s">
        <v>1589</v>
      </c>
      <c r="J1798" s="19" t="s">
        <v>2191</v>
      </c>
      <c r="K1798" s="5" t="s">
        <v>2218</v>
      </c>
      <c r="L1798" s="5" t="s">
        <v>2219</v>
      </c>
      <c r="M1798" s="5" t="s">
        <v>2220</v>
      </c>
      <c r="N1798" s="5" t="s">
        <v>2221</v>
      </c>
      <c r="O1798" s="5" t="s">
        <v>7907</v>
      </c>
      <c r="P1798" s="5" t="s">
        <v>7908</v>
      </c>
      <c r="Q1798" s="5" t="s">
        <v>7909</v>
      </c>
      <c r="R1798" s="5"/>
      <c r="S1798" s="5"/>
      <c r="T1798" s="5"/>
      <c r="U1798" s="5"/>
      <c r="V1798" s="5"/>
      <c r="W1798" s="5"/>
      <c r="X1798" s="5"/>
      <c r="Y1798" s="5"/>
      <c r="Z1798" s="5"/>
      <c r="AA1798" s="5"/>
      <c r="AB1798" s="5"/>
      <c r="AC1798" s="5"/>
      <c r="AD1798" s="5"/>
      <c r="AE1798" s="5"/>
      <c r="AF1798" s="5"/>
      <c r="AG1798" s="14" t="s">
        <v>55</v>
      </c>
      <c r="AH1798" s="14" t="s">
        <v>1603</v>
      </c>
      <c r="AI1798" s="14" t="s">
        <v>2087</v>
      </c>
      <c r="AJ1798" s="5"/>
      <c r="AK1798" s="5"/>
    </row>
    <row r="1799" spans="1:37">
      <c r="A1799" s="5" t="s">
        <v>7910</v>
      </c>
      <c r="B1799" s="5" t="s">
        <v>7906</v>
      </c>
      <c r="C1799" s="6" t="s">
        <v>43</v>
      </c>
      <c r="D1799" s="6" t="s">
        <v>2189</v>
      </c>
      <c r="E1799" s="6" t="s">
        <v>2015</v>
      </c>
      <c r="F1799" s="6" t="s">
        <v>46</v>
      </c>
      <c r="G1799" s="6" t="s">
        <v>7911</v>
      </c>
      <c r="H1799" s="7">
        <v>32.75</v>
      </c>
      <c r="I1799" s="19" t="s">
        <v>1589</v>
      </c>
      <c r="J1799" s="19" t="s">
        <v>2191</v>
      </c>
      <c r="K1799" s="5" t="s">
        <v>2218</v>
      </c>
      <c r="L1799" s="5" t="s">
        <v>2219</v>
      </c>
      <c r="M1799" s="5" t="s">
        <v>2220</v>
      </c>
      <c r="N1799" s="5" t="s">
        <v>2221</v>
      </c>
      <c r="O1799" s="5" t="s">
        <v>7907</v>
      </c>
      <c r="P1799" s="5" t="s">
        <v>7908</v>
      </c>
      <c r="Q1799" s="5" t="s">
        <v>7909</v>
      </c>
      <c r="R1799" s="5"/>
      <c r="AG1799" s="14" t="s">
        <v>55</v>
      </c>
      <c r="AH1799" s="14" t="s">
        <v>1603</v>
      </c>
      <c r="AI1799" s="14" t="s">
        <v>2087</v>
      </c>
    </row>
    <row r="1800" spans="1:37">
      <c r="A1800" s="5" t="s">
        <v>7912</v>
      </c>
      <c r="B1800" s="5" t="s">
        <v>7906</v>
      </c>
      <c r="C1800" s="6" t="s">
        <v>43</v>
      </c>
      <c r="D1800" s="6" t="s">
        <v>2189</v>
      </c>
      <c r="E1800" s="6" t="s">
        <v>2209</v>
      </c>
      <c r="F1800" s="6" t="s">
        <v>46</v>
      </c>
      <c r="G1800" s="6" t="s">
        <v>7913</v>
      </c>
      <c r="H1800" s="7">
        <v>32.75</v>
      </c>
      <c r="I1800" s="19" t="s">
        <v>1589</v>
      </c>
      <c r="J1800" s="19" t="s">
        <v>2191</v>
      </c>
      <c r="K1800" s="5" t="s">
        <v>2218</v>
      </c>
      <c r="L1800" s="5" t="s">
        <v>2219</v>
      </c>
      <c r="M1800" s="5" t="s">
        <v>2220</v>
      </c>
      <c r="N1800" s="5" t="s">
        <v>2221</v>
      </c>
      <c r="O1800" s="5" t="s">
        <v>7907</v>
      </c>
      <c r="P1800" s="5" t="s">
        <v>7908</v>
      </c>
      <c r="Q1800" s="5" t="s">
        <v>7909</v>
      </c>
      <c r="R1800" s="5"/>
      <c r="AG1800" s="14" t="s">
        <v>55</v>
      </c>
      <c r="AH1800" s="14" t="s">
        <v>1603</v>
      </c>
      <c r="AI1800" s="14" t="s">
        <v>2087</v>
      </c>
    </row>
    <row r="1801" spans="1:37">
      <c r="A1801" s="5" t="s">
        <v>7914</v>
      </c>
      <c r="B1801" s="5" t="s">
        <v>7906</v>
      </c>
      <c r="C1801" s="6" t="s">
        <v>43</v>
      </c>
      <c r="D1801" s="6" t="s">
        <v>2189</v>
      </c>
      <c r="E1801" s="6" t="s">
        <v>2836</v>
      </c>
      <c r="F1801" s="6" t="s">
        <v>46</v>
      </c>
      <c r="G1801" s="6" t="s">
        <v>7915</v>
      </c>
      <c r="H1801" s="7">
        <v>32.75</v>
      </c>
      <c r="I1801" s="19" t="s">
        <v>1589</v>
      </c>
      <c r="J1801" s="19" t="s">
        <v>2191</v>
      </c>
      <c r="K1801" s="5" t="s">
        <v>2218</v>
      </c>
      <c r="L1801" s="5" t="s">
        <v>2219</v>
      </c>
      <c r="M1801" s="5" t="s">
        <v>2220</v>
      </c>
      <c r="N1801" s="5" t="s">
        <v>2221</v>
      </c>
      <c r="O1801" s="5" t="s">
        <v>7907</v>
      </c>
      <c r="P1801" s="5" t="s">
        <v>7908</v>
      </c>
      <c r="Q1801" s="5" t="s">
        <v>7909</v>
      </c>
      <c r="R1801" s="5"/>
      <c r="AG1801" s="14" t="s">
        <v>55</v>
      </c>
      <c r="AH1801" s="14" t="s">
        <v>1603</v>
      </c>
      <c r="AI1801" s="14" t="s">
        <v>2087</v>
      </c>
    </row>
    <row r="1802" spans="1:37">
      <c r="A1802" s="5" t="s">
        <v>7916</v>
      </c>
      <c r="B1802" s="5" t="s">
        <v>7906</v>
      </c>
      <c r="C1802" s="6" t="s">
        <v>43</v>
      </c>
      <c r="D1802" s="6" t="s">
        <v>2189</v>
      </c>
      <c r="E1802" s="6" t="s">
        <v>2070</v>
      </c>
      <c r="F1802" s="6" t="s">
        <v>46</v>
      </c>
      <c r="G1802" s="6" t="s">
        <v>7273</v>
      </c>
      <c r="H1802" s="7">
        <v>32.75</v>
      </c>
      <c r="I1802" s="19" t="s">
        <v>1589</v>
      </c>
      <c r="J1802" s="19" t="s">
        <v>2191</v>
      </c>
      <c r="K1802" s="5" t="s">
        <v>2218</v>
      </c>
      <c r="L1802" s="5" t="s">
        <v>2219</v>
      </c>
      <c r="M1802" s="5" t="s">
        <v>2220</v>
      </c>
      <c r="N1802" s="5" t="s">
        <v>2221</v>
      </c>
      <c r="O1802" s="5" t="s">
        <v>7907</v>
      </c>
      <c r="P1802" s="5" t="s">
        <v>7908</v>
      </c>
      <c r="Q1802" s="5" t="s">
        <v>7909</v>
      </c>
      <c r="R1802" s="5"/>
      <c r="AG1802" s="14" t="s">
        <v>55</v>
      </c>
      <c r="AH1802" s="14" t="s">
        <v>1603</v>
      </c>
      <c r="AI1802" s="14" t="s">
        <v>2087</v>
      </c>
    </row>
    <row r="1803" spans="1:37">
      <c r="A1803" s="5" t="s">
        <v>7917</v>
      </c>
      <c r="B1803" s="5" t="s">
        <v>7906</v>
      </c>
      <c r="C1803" s="6" t="s">
        <v>43</v>
      </c>
      <c r="D1803" s="6" t="s">
        <v>2189</v>
      </c>
      <c r="E1803" s="6" t="s">
        <v>7918</v>
      </c>
      <c r="F1803" s="6" t="s">
        <v>46</v>
      </c>
      <c r="G1803" s="6" t="s">
        <v>7919</v>
      </c>
      <c r="H1803" s="7">
        <v>32.75</v>
      </c>
      <c r="I1803" s="19" t="s">
        <v>1589</v>
      </c>
      <c r="J1803" s="19" t="s">
        <v>2191</v>
      </c>
      <c r="K1803" s="5" t="s">
        <v>2218</v>
      </c>
      <c r="L1803" s="5" t="s">
        <v>2219</v>
      </c>
      <c r="M1803" s="5" t="s">
        <v>2220</v>
      </c>
      <c r="N1803" s="5" t="s">
        <v>2221</v>
      </c>
      <c r="O1803" s="5" t="s">
        <v>7907</v>
      </c>
      <c r="P1803" s="5" t="s">
        <v>7908</v>
      </c>
      <c r="Q1803" s="5" t="s">
        <v>7909</v>
      </c>
      <c r="R1803" s="5"/>
      <c r="AG1803" s="14" t="s">
        <v>55</v>
      </c>
      <c r="AH1803" s="14" t="s">
        <v>1603</v>
      </c>
      <c r="AI1803" s="14" t="s">
        <v>2087</v>
      </c>
    </row>
    <row r="1804" spans="1:37">
      <c r="A1804" s="5" t="s">
        <v>7920</v>
      </c>
      <c r="B1804" s="5" t="s">
        <v>7906</v>
      </c>
      <c r="C1804" s="6" t="s">
        <v>43</v>
      </c>
      <c r="D1804" s="6" t="s">
        <v>2189</v>
      </c>
      <c r="E1804" s="6" t="s">
        <v>1693</v>
      </c>
      <c r="F1804" s="6" t="s">
        <v>46</v>
      </c>
      <c r="G1804" s="6" t="s">
        <v>7921</v>
      </c>
      <c r="H1804" s="7">
        <v>32.75</v>
      </c>
      <c r="I1804" s="19" t="s">
        <v>1589</v>
      </c>
      <c r="J1804" s="19" t="s">
        <v>2191</v>
      </c>
      <c r="K1804" s="5" t="s">
        <v>2218</v>
      </c>
      <c r="L1804" s="5" t="s">
        <v>2219</v>
      </c>
      <c r="M1804" s="5" t="s">
        <v>2220</v>
      </c>
      <c r="N1804" s="5" t="s">
        <v>2221</v>
      </c>
      <c r="O1804" s="5" t="s">
        <v>7907</v>
      </c>
      <c r="P1804" s="5" t="s">
        <v>7908</v>
      </c>
      <c r="Q1804" s="5" t="s">
        <v>7909</v>
      </c>
      <c r="R1804" s="5"/>
      <c r="AG1804" s="14" t="s">
        <v>55</v>
      </c>
      <c r="AH1804" s="14" t="s">
        <v>1603</v>
      </c>
      <c r="AI1804" s="14" t="s">
        <v>2087</v>
      </c>
    </row>
    <row r="1805" spans="1:37">
      <c r="A1805" s="5" t="s">
        <v>7922</v>
      </c>
      <c r="B1805" s="5" t="s">
        <v>7906</v>
      </c>
      <c r="C1805" s="6" t="s">
        <v>43</v>
      </c>
      <c r="D1805" s="6" t="s">
        <v>2189</v>
      </c>
      <c r="E1805" s="6" t="s">
        <v>1540</v>
      </c>
      <c r="F1805" s="6" t="s">
        <v>46</v>
      </c>
      <c r="G1805" s="6" t="s">
        <v>7923</v>
      </c>
      <c r="H1805" s="7">
        <v>32.75</v>
      </c>
      <c r="I1805" s="19" t="s">
        <v>1589</v>
      </c>
      <c r="J1805" s="19" t="s">
        <v>2191</v>
      </c>
      <c r="K1805" s="5" t="s">
        <v>2218</v>
      </c>
      <c r="L1805" s="5" t="s">
        <v>2219</v>
      </c>
      <c r="M1805" s="5" t="s">
        <v>2220</v>
      </c>
      <c r="N1805" s="5" t="s">
        <v>2221</v>
      </c>
      <c r="O1805" s="5" t="s">
        <v>7907</v>
      </c>
      <c r="P1805" s="5" t="s">
        <v>7908</v>
      </c>
      <c r="Q1805" s="5" t="s">
        <v>7909</v>
      </c>
      <c r="R1805" s="5"/>
      <c r="AG1805" s="14" t="s">
        <v>55</v>
      </c>
      <c r="AH1805" s="14" t="s">
        <v>1603</v>
      </c>
      <c r="AI1805" s="14" t="s">
        <v>2087</v>
      </c>
    </row>
    <row r="1806" spans="1:37">
      <c r="A1806" s="5" t="s">
        <v>7924</v>
      </c>
      <c r="B1806" s="5" t="s">
        <v>7906</v>
      </c>
      <c r="C1806" s="6" t="s">
        <v>43</v>
      </c>
      <c r="D1806" s="6" t="s">
        <v>2189</v>
      </c>
      <c r="E1806" s="6" t="s">
        <v>2065</v>
      </c>
      <c r="F1806" s="6" t="s">
        <v>46</v>
      </c>
      <c r="G1806" s="6" t="s">
        <v>7639</v>
      </c>
      <c r="H1806" s="7">
        <v>32.75</v>
      </c>
      <c r="I1806" s="19" t="s">
        <v>1589</v>
      </c>
      <c r="J1806" s="19" t="s">
        <v>2191</v>
      </c>
      <c r="K1806" s="5" t="s">
        <v>2218</v>
      </c>
      <c r="L1806" s="5" t="s">
        <v>2219</v>
      </c>
      <c r="M1806" s="5" t="s">
        <v>2220</v>
      </c>
      <c r="N1806" s="5" t="s">
        <v>2221</v>
      </c>
      <c r="O1806" s="5" t="s">
        <v>7907</v>
      </c>
      <c r="P1806" s="5" t="s">
        <v>7908</v>
      </c>
      <c r="Q1806" s="5" t="s">
        <v>7909</v>
      </c>
      <c r="R1806" s="5"/>
      <c r="AG1806" s="14" t="s">
        <v>55</v>
      </c>
      <c r="AH1806" s="14" t="s">
        <v>1603</v>
      </c>
      <c r="AI1806" s="14" t="s">
        <v>2087</v>
      </c>
    </row>
    <row r="1807" spans="1:37">
      <c r="A1807" s="5" t="s">
        <v>7925</v>
      </c>
      <c r="B1807" s="5" t="s">
        <v>7906</v>
      </c>
      <c r="C1807" s="6" t="s">
        <v>43</v>
      </c>
      <c r="D1807" s="6" t="s">
        <v>2189</v>
      </c>
      <c r="E1807" s="6" t="s">
        <v>2092</v>
      </c>
      <c r="F1807" s="6" t="s">
        <v>46</v>
      </c>
      <c r="G1807" s="6" t="s">
        <v>7926</v>
      </c>
      <c r="H1807" s="7">
        <v>32.75</v>
      </c>
      <c r="I1807" s="19" t="s">
        <v>1589</v>
      </c>
      <c r="J1807" s="19" t="s">
        <v>2191</v>
      </c>
      <c r="K1807" s="5" t="s">
        <v>2218</v>
      </c>
      <c r="L1807" s="5" t="s">
        <v>2219</v>
      </c>
      <c r="M1807" s="5" t="s">
        <v>2220</v>
      </c>
      <c r="N1807" s="5" t="s">
        <v>2221</v>
      </c>
      <c r="O1807" s="5" t="s">
        <v>7907</v>
      </c>
      <c r="P1807" s="5" t="s">
        <v>7908</v>
      </c>
      <c r="Q1807" s="5" t="s">
        <v>7909</v>
      </c>
      <c r="R1807" s="5"/>
      <c r="AG1807" s="14" t="s">
        <v>55</v>
      </c>
      <c r="AH1807" s="14" t="s">
        <v>1603</v>
      </c>
      <c r="AI1807" s="14" t="s">
        <v>2087</v>
      </c>
    </row>
    <row r="1808" spans="1:37">
      <c r="A1808" s="5" t="s">
        <v>7927</v>
      </c>
      <c r="B1808" s="5" t="s">
        <v>7928</v>
      </c>
      <c r="C1808" s="6" t="s">
        <v>43</v>
      </c>
      <c r="D1808" s="6" t="s">
        <v>2189</v>
      </c>
      <c r="E1808" s="6" t="s">
        <v>2070</v>
      </c>
      <c r="F1808" s="6" t="s">
        <v>46</v>
      </c>
      <c r="G1808" s="6" t="s">
        <v>7314</v>
      </c>
      <c r="H1808" s="7">
        <v>43.37</v>
      </c>
      <c r="I1808" s="19" t="s">
        <v>1589</v>
      </c>
      <c r="J1808" s="19" t="s">
        <v>2191</v>
      </c>
      <c r="K1808" s="5" t="s">
        <v>2242</v>
      </c>
      <c r="L1808" s="5" t="s">
        <v>2243</v>
      </c>
      <c r="M1808" s="5" t="s">
        <v>2244</v>
      </c>
      <c r="N1808" s="5" t="s">
        <v>2245</v>
      </c>
      <c r="O1808" s="5" t="s">
        <v>7929</v>
      </c>
      <c r="P1808" s="5" t="s">
        <v>7930</v>
      </c>
      <c r="Q1808" s="5" t="s">
        <v>7931</v>
      </c>
      <c r="R1808" s="5"/>
      <c r="Y1808" s="5" t="s">
        <v>2086</v>
      </c>
      <c r="AG1808" s="14" t="s">
        <v>55</v>
      </c>
      <c r="AH1808" s="14" t="s">
        <v>1603</v>
      </c>
      <c r="AI1808" s="14" t="s">
        <v>2087</v>
      </c>
    </row>
    <row r="1809" spans="1:50">
      <c r="A1809" s="6" t="s">
        <v>7932</v>
      </c>
      <c r="B1809" s="6" t="s">
        <v>7933</v>
      </c>
      <c r="C1809" s="6" t="s">
        <v>43</v>
      </c>
      <c r="D1809" s="6" t="s">
        <v>2189</v>
      </c>
      <c r="E1809" s="6" t="s">
        <v>2070</v>
      </c>
      <c r="F1809" s="6" t="s">
        <v>46</v>
      </c>
      <c r="G1809" s="6" t="s">
        <v>7934</v>
      </c>
      <c r="I1809" s="16" t="s">
        <v>48</v>
      </c>
      <c r="J1809" s="16" t="s">
        <v>48</v>
      </c>
      <c r="K1809" s="6"/>
      <c r="L1809" s="6"/>
      <c r="M1809" s="6"/>
      <c r="N1809" s="6"/>
      <c r="O1809" s="6"/>
      <c r="P1809" s="6"/>
      <c r="Q1809" s="6"/>
      <c r="R1809" s="6"/>
      <c r="S1809" s="6"/>
      <c r="T1809" s="6"/>
      <c r="U1809" s="6"/>
      <c r="V1809" s="6"/>
      <c r="W1809" s="6"/>
      <c r="X1809" s="6"/>
      <c r="Y1809" s="6"/>
      <c r="Z1809" s="6"/>
      <c r="AA1809" s="6"/>
      <c r="AB1809" s="6"/>
      <c r="AC1809" s="6"/>
      <c r="AD1809" s="6"/>
      <c r="AE1809" s="6"/>
      <c r="AF1809" s="6"/>
      <c r="AG1809" s="15" t="s">
        <v>55</v>
      </c>
      <c r="AH1809" s="15"/>
      <c r="AI1809" s="15"/>
      <c r="AJ1809" s="6"/>
      <c r="AK1809" s="6"/>
    </row>
    <row r="1810" spans="1:50" s="6" customFormat="1">
      <c r="A1810" s="6" t="s">
        <v>7935</v>
      </c>
      <c r="B1810" s="6" t="s">
        <v>7936</v>
      </c>
      <c r="C1810" s="6" t="s">
        <v>43</v>
      </c>
      <c r="D1810" s="6" t="s">
        <v>239</v>
      </c>
      <c r="E1810" s="6" t="s">
        <v>1540</v>
      </c>
      <c r="F1810" s="6" t="s">
        <v>46</v>
      </c>
      <c r="G1810" s="6" t="s">
        <v>7937</v>
      </c>
      <c r="H1810" s="7"/>
      <c r="I1810" s="16" t="s">
        <v>48</v>
      </c>
      <c r="J1810" s="16" t="s">
        <v>48</v>
      </c>
      <c r="AG1810" s="15" t="s">
        <v>55</v>
      </c>
      <c r="AH1810" s="15"/>
      <c r="AI1810" s="15"/>
    </row>
    <row r="1811" spans="1:50" s="6" customFormat="1">
      <c r="A1811" s="6" t="s">
        <v>7938</v>
      </c>
      <c r="B1811" s="6" t="s">
        <v>7939</v>
      </c>
      <c r="C1811" s="6" t="s">
        <v>43</v>
      </c>
      <c r="D1811" s="6" t="s">
        <v>239</v>
      </c>
      <c r="E1811" s="6" t="s">
        <v>1540</v>
      </c>
      <c r="F1811" s="6" t="s">
        <v>46</v>
      </c>
      <c r="G1811" s="6" t="s">
        <v>7940</v>
      </c>
      <c r="H1811" s="7"/>
      <c r="I1811" s="16" t="s">
        <v>48</v>
      </c>
      <c r="J1811" s="16" t="s">
        <v>48</v>
      </c>
      <c r="AG1811" s="15" t="s">
        <v>55</v>
      </c>
      <c r="AH1811" s="15"/>
      <c r="AI1811" s="15"/>
    </row>
    <row r="1812" spans="1:50" s="6" customFormat="1">
      <c r="A1812" s="6" t="s">
        <v>7941</v>
      </c>
      <c r="B1812" s="6" t="s">
        <v>7942</v>
      </c>
      <c r="C1812" s="6" t="s">
        <v>7943</v>
      </c>
      <c r="D1812" s="6" t="s">
        <v>2189</v>
      </c>
      <c r="E1812" s="6" t="s">
        <v>1540</v>
      </c>
      <c r="F1812" s="6" t="s">
        <v>46</v>
      </c>
      <c r="G1812" s="6" t="s">
        <v>7944</v>
      </c>
      <c r="H1812" s="7"/>
      <c r="I1812" s="6" t="s">
        <v>48</v>
      </c>
      <c r="J1812" s="6" t="s">
        <v>48</v>
      </c>
      <c r="AG1812" s="15" t="s">
        <v>55</v>
      </c>
      <c r="AH1812" s="15"/>
      <c r="AI1812" s="15"/>
    </row>
    <row r="1813" spans="1:50" s="6" customFormat="1">
      <c r="A1813" s="5" t="s">
        <v>7945</v>
      </c>
      <c r="B1813" s="5" t="s">
        <v>7946</v>
      </c>
      <c r="C1813" s="6" t="s">
        <v>7947</v>
      </c>
      <c r="D1813" s="6" t="s">
        <v>1645</v>
      </c>
      <c r="E1813" s="6" t="s">
        <v>1386</v>
      </c>
      <c r="F1813" s="6" t="s">
        <v>46</v>
      </c>
      <c r="G1813" s="6" t="s">
        <v>7948</v>
      </c>
      <c r="H1813" s="7">
        <v>72.55</v>
      </c>
      <c r="I1813" s="19" t="s">
        <v>2283</v>
      </c>
      <c r="J1813" s="19" t="s">
        <v>2284</v>
      </c>
      <c r="K1813" s="6" t="s">
        <v>7949</v>
      </c>
      <c r="L1813" s="6" t="s">
        <v>7950</v>
      </c>
      <c r="M1813" s="6" t="s">
        <v>7951</v>
      </c>
      <c r="N1813" s="6" t="s">
        <v>7952</v>
      </c>
      <c r="O1813" s="6" t="s">
        <v>7953</v>
      </c>
      <c r="P1813" s="6" t="s">
        <v>7954</v>
      </c>
      <c r="Q1813" s="6" t="s">
        <v>7955</v>
      </c>
      <c r="R1813" s="6" t="s">
        <v>7956</v>
      </c>
      <c r="S1813" s="5"/>
      <c r="T1813" s="5"/>
      <c r="U1813" s="5"/>
      <c r="V1813" s="5"/>
      <c r="W1813" s="5"/>
      <c r="X1813" s="5"/>
      <c r="Y1813" s="5"/>
      <c r="Z1813" s="5"/>
      <c r="AA1813" s="5"/>
      <c r="AB1813" s="5"/>
      <c r="AC1813" s="5"/>
      <c r="AD1813" s="5"/>
      <c r="AE1813" s="5"/>
      <c r="AF1813" s="5"/>
      <c r="AG1813" s="14" t="s">
        <v>55</v>
      </c>
      <c r="AH1813" s="14" t="s">
        <v>1603</v>
      </c>
      <c r="AI1813" s="14" t="s">
        <v>1603</v>
      </c>
      <c r="AJ1813" s="5"/>
      <c r="AK1813" s="5"/>
    </row>
    <row r="1814" spans="1:50">
      <c r="A1814" s="5" t="s">
        <v>7957</v>
      </c>
      <c r="B1814" s="5" t="s">
        <v>7958</v>
      </c>
      <c r="C1814" s="6" t="s">
        <v>2479</v>
      </c>
      <c r="D1814" s="6" t="s">
        <v>1645</v>
      </c>
      <c r="E1814" s="6" t="s">
        <v>1386</v>
      </c>
      <c r="F1814" s="6" t="s">
        <v>46</v>
      </c>
      <c r="G1814" s="6" t="s">
        <v>7959</v>
      </c>
      <c r="H1814" s="7">
        <v>61.82</v>
      </c>
      <c r="I1814" s="19" t="s">
        <v>2283</v>
      </c>
      <c r="J1814" s="19" t="s">
        <v>2284</v>
      </c>
      <c r="K1814" s="6" t="s">
        <v>6785</v>
      </c>
      <c r="L1814" s="6" t="s">
        <v>6786</v>
      </c>
      <c r="M1814" s="6" t="s">
        <v>6787</v>
      </c>
      <c r="N1814" s="6" t="s">
        <v>6788</v>
      </c>
      <c r="O1814" s="6" t="s">
        <v>7960</v>
      </c>
      <c r="P1814" s="6" t="s">
        <v>7961</v>
      </c>
      <c r="Q1814" s="6" t="s">
        <v>7962</v>
      </c>
      <c r="R1814" s="6" t="s">
        <v>7963</v>
      </c>
      <c r="AG1814" s="14" t="s">
        <v>55</v>
      </c>
      <c r="AH1814" s="14" t="s">
        <v>1603</v>
      </c>
      <c r="AI1814" s="14" t="s">
        <v>1603</v>
      </c>
    </row>
    <row r="1815" spans="1:50">
      <c r="A1815" s="5" t="s">
        <v>7964</v>
      </c>
      <c r="B1815" s="5" t="s">
        <v>7965</v>
      </c>
      <c r="C1815" s="6" t="s">
        <v>2281</v>
      </c>
      <c r="D1815" s="6" t="s">
        <v>1645</v>
      </c>
      <c r="E1815" s="6" t="s">
        <v>1386</v>
      </c>
      <c r="F1815" s="6" t="s">
        <v>46</v>
      </c>
      <c r="G1815" s="6" t="s">
        <v>7966</v>
      </c>
      <c r="H1815" s="7">
        <v>53.45</v>
      </c>
      <c r="I1815" s="19" t="s">
        <v>2283</v>
      </c>
      <c r="J1815" s="19" t="s">
        <v>2284</v>
      </c>
      <c r="K1815" s="6" t="s">
        <v>2366</v>
      </c>
      <c r="L1815" s="6" t="s">
        <v>2367</v>
      </c>
      <c r="M1815" s="6" t="s">
        <v>2368</v>
      </c>
      <c r="N1815" s="6" t="s">
        <v>2369</v>
      </c>
      <c r="O1815" s="6" t="s">
        <v>7967</v>
      </c>
      <c r="P1815" s="6" t="s">
        <v>7968</v>
      </c>
      <c r="Q1815" s="6" t="s">
        <v>7969</v>
      </c>
      <c r="R1815" s="6" t="s">
        <v>7970</v>
      </c>
      <c r="AG1815" s="14" t="s">
        <v>55</v>
      </c>
      <c r="AH1815" s="14" t="s">
        <v>1603</v>
      </c>
      <c r="AI1815" s="14" t="s">
        <v>1603</v>
      </c>
    </row>
    <row r="1816" spans="1:50">
      <c r="A1816" s="5" t="s">
        <v>7971</v>
      </c>
      <c r="B1816" s="5" t="s">
        <v>7965</v>
      </c>
      <c r="C1816" s="6" t="s">
        <v>2281</v>
      </c>
      <c r="D1816" s="6" t="s">
        <v>1645</v>
      </c>
      <c r="E1816" s="6" t="s">
        <v>2065</v>
      </c>
      <c r="F1816" s="6" t="s">
        <v>46</v>
      </c>
      <c r="G1816" s="6" t="s">
        <v>7972</v>
      </c>
      <c r="H1816" s="7">
        <v>53.45</v>
      </c>
      <c r="I1816" s="19" t="s">
        <v>2283</v>
      </c>
      <c r="J1816" s="19" t="s">
        <v>2284</v>
      </c>
      <c r="K1816" s="6" t="s">
        <v>2366</v>
      </c>
      <c r="L1816" s="6" t="s">
        <v>2367</v>
      </c>
      <c r="M1816" s="6" t="s">
        <v>2368</v>
      </c>
      <c r="N1816" s="6" t="s">
        <v>2369</v>
      </c>
      <c r="O1816" s="6" t="s">
        <v>7967</v>
      </c>
      <c r="P1816" s="6" t="s">
        <v>7968</v>
      </c>
      <c r="Q1816" s="6" t="s">
        <v>7969</v>
      </c>
      <c r="R1816" s="6" t="s">
        <v>7970</v>
      </c>
      <c r="AG1816" s="14" t="s">
        <v>55</v>
      </c>
      <c r="AH1816" s="14" t="s">
        <v>1603</v>
      </c>
      <c r="AI1816" s="14" t="s">
        <v>1603</v>
      </c>
    </row>
    <row r="1817" spans="1:50">
      <c r="A1817" s="6" t="s">
        <v>7973</v>
      </c>
      <c r="B1817" s="6" t="s">
        <v>7974</v>
      </c>
      <c r="C1817" s="6" t="s">
        <v>2281</v>
      </c>
      <c r="D1817" s="6" t="s">
        <v>1645</v>
      </c>
      <c r="E1817" s="6" t="s">
        <v>2015</v>
      </c>
      <c r="F1817" s="6" t="s">
        <v>46</v>
      </c>
      <c r="G1817" s="6" t="s">
        <v>7975</v>
      </c>
      <c r="I1817" s="19" t="s">
        <v>48</v>
      </c>
      <c r="J1817" s="19" t="s">
        <v>48</v>
      </c>
      <c r="K1817" s="6"/>
      <c r="L1817" s="6"/>
      <c r="M1817" s="6"/>
      <c r="N1817" s="6"/>
      <c r="O1817" s="6"/>
      <c r="P1817" s="6"/>
      <c r="Q1817" s="6"/>
      <c r="R1817" s="6"/>
      <c r="S1817" s="6"/>
      <c r="T1817" s="6"/>
      <c r="U1817" s="6"/>
      <c r="V1817" s="6"/>
      <c r="W1817" s="6"/>
      <c r="X1817" s="6"/>
      <c r="Y1817" s="6"/>
      <c r="Z1817" s="6"/>
      <c r="AA1817" s="6"/>
      <c r="AB1817" s="6"/>
      <c r="AC1817" s="6"/>
      <c r="AD1817" s="6"/>
      <c r="AE1817" s="6"/>
      <c r="AF1817" s="6"/>
      <c r="AG1817" s="15" t="s">
        <v>55</v>
      </c>
      <c r="AH1817" s="15"/>
      <c r="AI1817" s="15"/>
      <c r="AJ1817" s="6"/>
      <c r="AK1817" s="6"/>
    </row>
    <row r="1818" spans="1:50" s="6" customFormat="1">
      <c r="A1818" s="6" t="s">
        <v>7976</v>
      </c>
      <c r="B1818" s="6" t="s">
        <v>7977</v>
      </c>
      <c r="C1818" s="6" t="s">
        <v>2281</v>
      </c>
      <c r="D1818" s="6" t="s">
        <v>1645</v>
      </c>
      <c r="E1818" s="6" t="s">
        <v>2015</v>
      </c>
      <c r="F1818" s="6" t="s">
        <v>46</v>
      </c>
      <c r="G1818" s="6" t="s">
        <v>7978</v>
      </c>
      <c r="H1818" s="7"/>
      <c r="I1818" s="19" t="s">
        <v>48</v>
      </c>
      <c r="J1818" s="19" t="s">
        <v>48</v>
      </c>
      <c r="AG1818" s="15" t="s">
        <v>55</v>
      </c>
      <c r="AH1818" s="15"/>
      <c r="AI1818" s="15"/>
    </row>
    <row r="1819" spans="1:50" s="6" customFormat="1">
      <c r="A1819" s="6" t="s">
        <v>7979</v>
      </c>
      <c r="B1819" s="6" t="s">
        <v>7980</v>
      </c>
      <c r="C1819" s="6" t="s">
        <v>43</v>
      </c>
      <c r="D1819" s="6" t="s">
        <v>1645</v>
      </c>
      <c r="E1819" s="6" t="s">
        <v>1671</v>
      </c>
      <c r="F1819" s="6" t="s">
        <v>46</v>
      </c>
      <c r="G1819" s="6" t="s">
        <v>7981</v>
      </c>
      <c r="H1819" s="7"/>
      <c r="I1819" s="19" t="s">
        <v>48</v>
      </c>
      <c r="J1819" s="19" t="s">
        <v>48</v>
      </c>
      <c r="AG1819" s="15" t="s">
        <v>55</v>
      </c>
      <c r="AH1819" s="15"/>
      <c r="AI1819" s="15"/>
    </row>
    <row r="1820" spans="1:50" s="6" customFormat="1">
      <c r="A1820" s="5" t="s">
        <v>7982</v>
      </c>
      <c r="B1820" s="5" t="s">
        <v>7983</v>
      </c>
      <c r="C1820" s="6" t="s">
        <v>7984</v>
      </c>
      <c r="D1820" s="6" t="s">
        <v>1645</v>
      </c>
      <c r="E1820" s="6" t="s">
        <v>1386</v>
      </c>
      <c r="F1820" s="6" t="s">
        <v>46</v>
      </c>
      <c r="G1820" s="6" t="s">
        <v>4100</v>
      </c>
      <c r="H1820" s="7">
        <v>67.5</v>
      </c>
      <c r="I1820" s="19" t="s">
        <v>2283</v>
      </c>
      <c r="J1820" s="19" t="s">
        <v>2380</v>
      </c>
      <c r="K1820" s="23" t="s">
        <v>7432</v>
      </c>
      <c r="L1820" s="23" t="s">
        <v>7433</v>
      </c>
      <c r="M1820" s="23" t="s">
        <v>7434</v>
      </c>
      <c r="N1820" s="23" t="s">
        <v>7435</v>
      </c>
      <c r="O1820" s="23" t="s">
        <v>7985</v>
      </c>
      <c r="P1820" s="23" t="s">
        <v>7986</v>
      </c>
      <c r="Q1820" s="23" t="s">
        <v>7987</v>
      </c>
      <c r="R1820" s="23" t="s">
        <v>7988</v>
      </c>
      <c r="S1820" s="23"/>
      <c r="T1820" s="23"/>
      <c r="U1820" s="23"/>
      <c r="V1820" s="23"/>
      <c r="W1820" s="23"/>
      <c r="X1820" s="23"/>
      <c r="Y1820" s="23"/>
      <c r="Z1820" s="23"/>
      <c r="AA1820" s="23"/>
      <c r="AB1820" s="23"/>
      <c r="AC1820" s="23"/>
      <c r="AD1820" s="23"/>
      <c r="AE1820" s="23"/>
      <c r="AF1820" s="23"/>
      <c r="AG1820" s="14" t="s">
        <v>55</v>
      </c>
      <c r="AH1820" s="14" t="s">
        <v>1603</v>
      </c>
      <c r="AI1820" s="14" t="s">
        <v>1603</v>
      </c>
      <c r="AJ1820" s="23"/>
      <c r="AK1820" s="23"/>
    </row>
    <row r="1821" spans="1:50">
      <c r="A1821" s="5" t="s">
        <v>7989</v>
      </c>
      <c r="B1821" s="5" t="s">
        <v>7983</v>
      </c>
      <c r="C1821" s="6" t="s">
        <v>7984</v>
      </c>
      <c r="D1821" s="6" t="s">
        <v>1645</v>
      </c>
      <c r="E1821" s="6" t="s">
        <v>2461</v>
      </c>
      <c r="F1821" s="6" t="s">
        <v>46</v>
      </c>
      <c r="G1821" s="6" t="s">
        <v>7990</v>
      </c>
      <c r="H1821" s="7">
        <v>67.5</v>
      </c>
      <c r="I1821" s="19" t="s">
        <v>2283</v>
      </c>
      <c r="J1821" s="19" t="s">
        <v>2380</v>
      </c>
      <c r="K1821" s="23" t="s">
        <v>7432</v>
      </c>
      <c r="L1821" s="23" t="s">
        <v>7433</v>
      </c>
      <c r="M1821" s="23" t="s">
        <v>7434</v>
      </c>
      <c r="N1821" s="23" t="s">
        <v>7435</v>
      </c>
      <c r="O1821" s="23" t="s">
        <v>7985</v>
      </c>
      <c r="P1821" s="23" t="s">
        <v>7986</v>
      </c>
      <c r="Q1821" s="23" t="s">
        <v>7987</v>
      </c>
      <c r="R1821" s="23" t="s">
        <v>7988</v>
      </c>
      <c r="S1821" s="23"/>
      <c r="T1821" s="23"/>
      <c r="U1821" s="23"/>
      <c r="V1821" s="23"/>
      <c r="W1821" s="23"/>
      <c r="X1821" s="23"/>
      <c r="Y1821" s="23"/>
      <c r="Z1821" s="23"/>
      <c r="AA1821" s="23"/>
      <c r="AB1821" s="23"/>
      <c r="AC1821" s="23"/>
      <c r="AD1821" s="23"/>
      <c r="AE1821" s="23"/>
      <c r="AF1821" s="23"/>
      <c r="AG1821" s="14" t="s">
        <v>55</v>
      </c>
      <c r="AH1821" s="14" t="s">
        <v>1603</v>
      </c>
      <c r="AI1821" s="14" t="s">
        <v>1603</v>
      </c>
      <c r="AJ1821" s="23"/>
      <c r="AK1821" s="23"/>
      <c r="AL1821" s="23"/>
      <c r="AM1821" s="23"/>
      <c r="AN1821" s="23"/>
      <c r="AO1821" s="23"/>
      <c r="AP1821" s="23"/>
      <c r="AQ1821" s="23"/>
      <c r="AR1821" s="23"/>
      <c r="AS1821" s="23"/>
      <c r="AT1821" s="23"/>
      <c r="AU1821" s="23"/>
      <c r="AV1821" s="23"/>
      <c r="AW1821" s="23"/>
      <c r="AX1821" s="23"/>
    </row>
    <row r="1822" spans="1:50">
      <c r="A1822" s="5" t="s">
        <v>7991</v>
      </c>
      <c r="B1822" s="5" t="s">
        <v>7992</v>
      </c>
      <c r="C1822" s="6" t="s">
        <v>7984</v>
      </c>
      <c r="D1822" s="6" t="s">
        <v>1645</v>
      </c>
      <c r="E1822" s="6" t="s">
        <v>1386</v>
      </c>
      <c r="F1822" s="6" t="s">
        <v>46</v>
      </c>
      <c r="G1822" s="6" t="s">
        <v>7993</v>
      </c>
      <c r="H1822" s="7">
        <v>39.229999999999997</v>
      </c>
      <c r="I1822" s="19" t="s">
        <v>2283</v>
      </c>
      <c r="J1822" s="19" t="s">
        <v>2380</v>
      </c>
      <c r="K1822" s="23" t="s">
        <v>4892</v>
      </c>
      <c r="L1822" s="23" t="s">
        <v>4893</v>
      </c>
      <c r="M1822" s="23" t="s">
        <v>4894</v>
      </c>
      <c r="N1822" s="23" t="s">
        <v>4895</v>
      </c>
      <c r="O1822" s="23" t="s">
        <v>7994</v>
      </c>
      <c r="P1822" s="23" t="s">
        <v>7995</v>
      </c>
      <c r="Q1822" s="23" t="s">
        <v>7996</v>
      </c>
      <c r="R1822" s="23" t="s">
        <v>7997</v>
      </c>
      <c r="S1822" s="23"/>
      <c r="T1822" s="23"/>
      <c r="U1822" s="23"/>
      <c r="V1822" s="23"/>
      <c r="W1822" s="23"/>
      <c r="X1822" s="23"/>
      <c r="Y1822" s="23"/>
      <c r="Z1822" s="23"/>
      <c r="AA1822" s="23"/>
      <c r="AB1822" s="23"/>
      <c r="AC1822" s="23"/>
      <c r="AD1822" s="23"/>
      <c r="AE1822" s="23"/>
      <c r="AF1822" s="23"/>
      <c r="AG1822" s="14" t="s">
        <v>55</v>
      </c>
      <c r="AH1822" s="14" t="s">
        <v>1603</v>
      </c>
      <c r="AI1822" s="14" t="s">
        <v>1603</v>
      </c>
      <c r="AJ1822" s="23"/>
      <c r="AK1822" s="23"/>
      <c r="AL1822" s="23"/>
      <c r="AM1822" s="23"/>
      <c r="AN1822" s="23"/>
      <c r="AO1822" s="23"/>
      <c r="AP1822" s="23"/>
      <c r="AQ1822" s="23"/>
      <c r="AR1822" s="23"/>
      <c r="AS1822" s="23"/>
      <c r="AT1822" s="23"/>
      <c r="AU1822" s="23"/>
      <c r="AV1822" s="23"/>
      <c r="AW1822" s="23"/>
      <c r="AX1822" s="23"/>
    </row>
    <row r="1823" spans="1:50">
      <c r="A1823" s="5" t="s">
        <v>7998</v>
      </c>
      <c r="B1823" s="5" t="s">
        <v>7992</v>
      </c>
      <c r="C1823" s="6" t="s">
        <v>7984</v>
      </c>
      <c r="D1823" s="6" t="s">
        <v>1645</v>
      </c>
      <c r="E1823" s="6" t="s">
        <v>2015</v>
      </c>
      <c r="F1823" s="6" t="s">
        <v>46</v>
      </c>
      <c r="G1823" s="6" t="s">
        <v>7999</v>
      </c>
      <c r="H1823" s="7">
        <v>39.229999999999997</v>
      </c>
      <c r="I1823" s="19" t="s">
        <v>2283</v>
      </c>
      <c r="J1823" s="19" t="s">
        <v>2380</v>
      </c>
      <c r="K1823" s="23" t="s">
        <v>4892</v>
      </c>
      <c r="L1823" s="23" t="s">
        <v>4893</v>
      </c>
      <c r="M1823" s="23" t="s">
        <v>4894</v>
      </c>
      <c r="N1823" s="23" t="s">
        <v>4895</v>
      </c>
      <c r="O1823" s="23" t="s">
        <v>7994</v>
      </c>
      <c r="P1823" s="23" t="s">
        <v>7995</v>
      </c>
      <c r="Q1823" s="23" t="s">
        <v>7996</v>
      </c>
      <c r="R1823" s="23" t="s">
        <v>7997</v>
      </c>
      <c r="S1823" s="23"/>
      <c r="T1823" s="23"/>
      <c r="U1823" s="23"/>
      <c r="V1823" s="23"/>
      <c r="W1823" s="23"/>
      <c r="X1823" s="23"/>
      <c r="Y1823" s="23"/>
      <c r="Z1823" s="23"/>
      <c r="AA1823" s="23"/>
      <c r="AB1823" s="23"/>
      <c r="AC1823" s="23"/>
      <c r="AD1823" s="23"/>
      <c r="AE1823" s="23"/>
      <c r="AF1823" s="23"/>
      <c r="AG1823" s="14" t="s">
        <v>55</v>
      </c>
      <c r="AH1823" s="14" t="s">
        <v>1603</v>
      </c>
      <c r="AI1823" s="14" t="s">
        <v>1603</v>
      </c>
      <c r="AJ1823" s="23"/>
      <c r="AK1823" s="23"/>
      <c r="AL1823" s="23"/>
      <c r="AM1823" s="23"/>
      <c r="AN1823" s="23"/>
      <c r="AO1823" s="23"/>
      <c r="AP1823" s="23"/>
      <c r="AQ1823" s="23"/>
      <c r="AR1823" s="23"/>
      <c r="AS1823" s="23"/>
      <c r="AT1823" s="23"/>
      <c r="AU1823" s="23"/>
      <c r="AV1823" s="23"/>
      <c r="AW1823" s="23"/>
      <c r="AX1823" s="23"/>
    </row>
    <row r="1824" spans="1:50">
      <c r="A1824" s="5" t="s">
        <v>8000</v>
      </c>
      <c r="B1824" s="5" t="s">
        <v>8001</v>
      </c>
      <c r="C1824" s="6" t="s">
        <v>2405</v>
      </c>
      <c r="D1824" s="6" t="s">
        <v>1645</v>
      </c>
      <c r="E1824" s="6" t="s">
        <v>1386</v>
      </c>
      <c r="F1824" s="6" t="s">
        <v>46</v>
      </c>
      <c r="G1824" s="6" t="s">
        <v>8002</v>
      </c>
      <c r="H1824" s="7">
        <v>39.229999999999997</v>
      </c>
      <c r="I1824" s="19" t="s">
        <v>2283</v>
      </c>
      <c r="J1824" s="19" t="s">
        <v>2380</v>
      </c>
      <c r="K1824" s="23" t="s">
        <v>7452</v>
      </c>
      <c r="L1824" s="23" t="s">
        <v>7453</v>
      </c>
      <c r="M1824" s="23" t="s">
        <v>7454</v>
      </c>
      <c r="N1824" s="23" t="s">
        <v>7455</v>
      </c>
      <c r="O1824" s="23" t="s">
        <v>8003</v>
      </c>
      <c r="P1824" s="23" t="s">
        <v>8004</v>
      </c>
      <c r="Q1824" s="23" t="s">
        <v>8005</v>
      </c>
      <c r="R1824" s="23" t="s">
        <v>8006</v>
      </c>
      <c r="S1824" s="23"/>
      <c r="T1824" s="23"/>
      <c r="U1824" s="23"/>
      <c r="V1824" s="23"/>
      <c r="W1824" s="23"/>
      <c r="X1824" s="23"/>
      <c r="Y1824" s="23"/>
      <c r="Z1824" s="23"/>
      <c r="AA1824" s="23"/>
      <c r="AB1824" s="23"/>
      <c r="AC1824" s="23"/>
      <c r="AD1824" s="23"/>
      <c r="AE1824" s="23"/>
      <c r="AF1824" s="23"/>
      <c r="AG1824" s="14" t="s">
        <v>55</v>
      </c>
      <c r="AH1824" s="14" t="s">
        <v>1603</v>
      </c>
      <c r="AI1824" s="14" t="s">
        <v>1603</v>
      </c>
      <c r="AJ1824" s="23"/>
      <c r="AK1824" s="23"/>
      <c r="AL1824" s="23"/>
      <c r="AM1824" s="23"/>
      <c r="AN1824" s="23"/>
      <c r="AO1824" s="23"/>
      <c r="AP1824" s="23"/>
      <c r="AQ1824" s="23"/>
      <c r="AR1824" s="23"/>
      <c r="AS1824" s="23"/>
      <c r="AT1824" s="23"/>
      <c r="AU1824" s="23"/>
      <c r="AV1824" s="23"/>
      <c r="AW1824" s="23"/>
      <c r="AX1824" s="23"/>
    </row>
    <row r="1825" spans="1:50">
      <c r="A1825" s="5" t="s">
        <v>8007</v>
      </c>
      <c r="B1825" s="5" t="s">
        <v>8008</v>
      </c>
      <c r="C1825" s="6" t="s">
        <v>2405</v>
      </c>
      <c r="D1825" s="6" t="s">
        <v>1645</v>
      </c>
      <c r="E1825" s="6" t="s">
        <v>1386</v>
      </c>
      <c r="F1825" s="6" t="s">
        <v>46</v>
      </c>
      <c r="G1825" s="6" t="s">
        <v>8009</v>
      </c>
      <c r="H1825" s="7">
        <v>39.229999999999997</v>
      </c>
      <c r="I1825" s="19" t="s">
        <v>2283</v>
      </c>
      <c r="J1825" s="19" t="s">
        <v>2380</v>
      </c>
      <c r="K1825" s="23" t="s">
        <v>8010</v>
      </c>
      <c r="L1825" s="23" t="s">
        <v>8011</v>
      </c>
      <c r="M1825" s="23" t="s">
        <v>8012</v>
      </c>
      <c r="N1825" s="23" t="s">
        <v>8013</v>
      </c>
      <c r="O1825" s="23" t="s">
        <v>8014</v>
      </c>
      <c r="P1825" s="23" t="s">
        <v>8015</v>
      </c>
      <c r="Q1825" s="23" t="s">
        <v>8016</v>
      </c>
      <c r="R1825" s="23" t="s">
        <v>8017</v>
      </c>
      <c r="S1825" s="23"/>
      <c r="T1825" s="23"/>
      <c r="U1825" s="23"/>
      <c r="V1825" s="23"/>
      <c r="W1825" s="23"/>
      <c r="X1825" s="23"/>
      <c r="Y1825" s="23"/>
      <c r="Z1825" s="23"/>
      <c r="AA1825" s="23"/>
      <c r="AB1825" s="23"/>
      <c r="AC1825" s="23"/>
      <c r="AD1825" s="23"/>
      <c r="AE1825" s="23"/>
      <c r="AF1825" s="23"/>
      <c r="AG1825" s="14" t="s">
        <v>55</v>
      </c>
      <c r="AH1825" s="14" t="s">
        <v>1603</v>
      </c>
      <c r="AI1825" s="14" t="s">
        <v>1603</v>
      </c>
      <c r="AJ1825" s="23"/>
      <c r="AK1825" s="23"/>
      <c r="AL1825" s="23"/>
      <c r="AM1825" s="23"/>
      <c r="AN1825" s="23"/>
      <c r="AO1825" s="23"/>
      <c r="AP1825" s="23"/>
      <c r="AQ1825" s="23"/>
      <c r="AR1825" s="23"/>
      <c r="AS1825" s="23"/>
      <c r="AT1825" s="23"/>
      <c r="AU1825" s="23"/>
      <c r="AV1825" s="23"/>
      <c r="AW1825" s="23"/>
      <c r="AX1825" s="23"/>
    </row>
    <row r="1826" spans="1:50">
      <c r="A1826" s="5" t="s">
        <v>8018</v>
      </c>
      <c r="B1826" s="5" t="s">
        <v>8019</v>
      </c>
      <c r="C1826" s="6" t="s">
        <v>8020</v>
      </c>
      <c r="D1826" s="6" t="s">
        <v>1645</v>
      </c>
      <c r="E1826" s="6" t="s">
        <v>1386</v>
      </c>
      <c r="F1826" s="6" t="s">
        <v>46</v>
      </c>
      <c r="G1826" s="6" t="s">
        <v>8021</v>
      </c>
      <c r="H1826" s="7">
        <v>72.5</v>
      </c>
      <c r="I1826" s="19" t="s">
        <v>2283</v>
      </c>
      <c r="J1826" s="19" t="s">
        <v>2380</v>
      </c>
      <c r="K1826" s="23" t="s">
        <v>7463</v>
      </c>
      <c r="L1826" s="23" t="s">
        <v>7464</v>
      </c>
      <c r="M1826" s="23" t="s">
        <v>7465</v>
      </c>
      <c r="N1826" s="23" t="s">
        <v>7466</v>
      </c>
      <c r="O1826" s="23" t="s">
        <v>8022</v>
      </c>
      <c r="P1826" s="23" t="s">
        <v>8023</v>
      </c>
      <c r="Q1826" s="23" t="s">
        <v>8024</v>
      </c>
      <c r="R1826" s="23" t="s">
        <v>8025</v>
      </c>
      <c r="S1826" s="23"/>
      <c r="T1826" s="23"/>
      <c r="U1826" s="23"/>
      <c r="V1826" s="23"/>
      <c r="W1826" s="23"/>
      <c r="X1826" s="23"/>
      <c r="Y1826" s="23"/>
      <c r="Z1826" s="23"/>
      <c r="AA1826" s="23"/>
      <c r="AB1826" s="23"/>
      <c r="AC1826" s="23"/>
      <c r="AD1826" s="23"/>
      <c r="AE1826" s="23"/>
      <c r="AF1826" s="23"/>
      <c r="AG1826" s="14" t="s">
        <v>55</v>
      </c>
      <c r="AH1826" s="14" t="s">
        <v>1603</v>
      </c>
      <c r="AI1826" s="14" t="s">
        <v>1603</v>
      </c>
      <c r="AJ1826" s="23"/>
      <c r="AK1826" s="23"/>
      <c r="AL1826" s="23"/>
      <c r="AM1826" s="23"/>
      <c r="AN1826" s="23"/>
      <c r="AO1826" s="23"/>
      <c r="AP1826" s="23"/>
      <c r="AQ1826" s="23"/>
      <c r="AR1826" s="23"/>
      <c r="AS1826" s="23"/>
      <c r="AT1826" s="23"/>
      <c r="AU1826" s="23"/>
      <c r="AV1826" s="23"/>
      <c r="AW1826" s="23"/>
      <c r="AX1826" s="23"/>
    </row>
    <row r="1827" spans="1:50">
      <c r="A1827" s="5" t="s">
        <v>8026</v>
      </c>
      <c r="B1827" s="5" t="s">
        <v>8019</v>
      </c>
      <c r="C1827" s="6" t="s">
        <v>8020</v>
      </c>
      <c r="D1827" s="6" t="s">
        <v>1645</v>
      </c>
      <c r="E1827" s="6" t="s">
        <v>2015</v>
      </c>
      <c r="F1827" s="6" t="s">
        <v>46</v>
      </c>
      <c r="G1827" s="6" t="s">
        <v>8027</v>
      </c>
      <c r="H1827" s="7">
        <v>72.5</v>
      </c>
      <c r="I1827" s="19" t="s">
        <v>2283</v>
      </c>
      <c r="J1827" s="19" t="s">
        <v>2380</v>
      </c>
      <c r="K1827" s="23" t="s">
        <v>7463</v>
      </c>
      <c r="L1827" s="23" t="s">
        <v>7464</v>
      </c>
      <c r="M1827" s="23" t="s">
        <v>7465</v>
      </c>
      <c r="N1827" s="23" t="s">
        <v>7466</v>
      </c>
      <c r="O1827" s="23" t="s">
        <v>8022</v>
      </c>
      <c r="P1827" s="23" t="s">
        <v>8023</v>
      </c>
      <c r="Q1827" s="23" t="s">
        <v>8024</v>
      </c>
      <c r="R1827" s="23" t="s">
        <v>8025</v>
      </c>
      <c r="S1827" s="23"/>
      <c r="T1827" s="23"/>
      <c r="U1827" s="23"/>
      <c r="V1827" s="23"/>
      <c r="W1827" s="23"/>
      <c r="X1827" s="23"/>
      <c r="Y1827" s="23"/>
      <c r="Z1827" s="23"/>
      <c r="AA1827" s="23"/>
      <c r="AB1827" s="23"/>
      <c r="AC1827" s="23"/>
      <c r="AD1827" s="23"/>
      <c r="AE1827" s="23"/>
      <c r="AF1827" s="23"/>
      <c r="AG1827" s="14" t="s">
        <v>55</v>
      </c>
      <c r="AH1827" s="14" t="s">
        <v>1603</v>
      </c>
      <c r="AI1827" s="14" t="s">
        <v>1603</v>
      </c>
      <c r="AJ1827" s="23"/>
      <c r="AK1827" s="23"/>
      <c r="AL1827" s="23"/>
      <c r="AM1827" s="23"/>
      <c r="AN1827" s="23"/>
      <c r="AO1827" s="23"/>
      <c r="AP1827" s="23"/>
      <c r="AQ1827" s="23"/>
      <c r="AR1827" s="23"/>
      <c r="AS1827" s="23"/>
      <c r="AT1827" s="23"/>
      <c r="AU1827" s="23"/>
      <c r="AV1827" s="23"/>
      <c r="AW1827" s="23"/>
      <c r="AX1827" s="23"/>
    </row>
    <row r="1828" spans="1:50">
      <c r="A1828" s="5" t="s">
        <v>8028</v>
      </c>
      <c r="B1828" s="5" t="s">
        <v>8029</v>
      </c>
      <c r="C1828" s="6" t="s">
        <v>4333</v>
      </c>
      <c r="D1828" s="6" t="s">
        <v>1645</v>
      </c>
      <c r="E1828" s="6" t="s">
        <v>2319</v>
      </c>
      <c r="F1828" s="6" t="s">
        <v>46</v>
      </c>
      <c r="G1828" s="6" t="s">
        <v>8030</v>
      </c>
      <c r="H1828" s="7">
        <v>49.87</v>
      </c>
      <c r="I1828" s="19" t="s">
        <v>2283</v>
      </c>
      <c r="J1828" s="19" t="s">
        <v>2380</v>
      </c>
      <c r="K1828" s="23" t="s">
        <v>6810</v>
      </c>
      <c r="L1828" s="23" t="s">
        <v>6811</v>
      </c>
      <c r="M1828" s="23" t="s">
        <v>6812</v>
      </c>
      <c r="N1828" s="23" t="s">
        <v>6813</v>
      </c>
      <c r="O1828" s="23" t="s">
        <v>8031</v>
      </c>
      <c r="P1828" s="23" t="s">
        <v>8032</v>
      </c>
      <c r="Q1828" s="23" t="s">
        <v>8033</v>
      </c>
      <c r="R1828" s="23" t="s">
        <v>8034</v>
      </c>
      <c r="S1828" s="23"/>
      <c r="T1828" s="23"/>
      <c r="U1828" s="23"/>
      <c r="V1828" s="23"/>
      <c r="W1828" s="23"/>
      <c r="X1828" s="23"/>
      <c r="Y1828" s="23"/>
      <c r="Z1828" s="23"/>
      <c r="AA1828" s="23"/>
      <c r="AB1828" s="23"/>
      <c r="AC1828" s="23"/>
      <c r="AD1828" s="23"/>
      <c r="AE1828" s="23"/>
      <c r="AF1828" s="23"/>
      <c r="AG1828" s="14" t="s">
        <v>55</v>
      </c>
      <c r="AH1828" s="14" t="s">
        <v>1603</v>
      </c>
      <c r="AI1828" s="14" t="s">
        <v>1603</v>
      </c>
      <c r="AJ1828" s="23"/>
      <c r="AK1828" s="23"/>
      <c r="AL1828" s="23"/>
      <c r="AM1828" s="23"/>
      <c r="AN1828" s="23"/>
      <c r="AO1828" s="23"/>
      <c r="AP1828" s="23"/>
      <c r="AQ1828" s="23"/>
      <c r="AR1828" s="23"/>
      <c r="AS1828" s="23"/>
      <c r="AT1828" s="23"/>
      <c r="AU1828" s="23"/>
      <c r="AV1828" s="23"/>
      <c r="AW1828" s="23"/>
      <c r="AX1828" s="23"/>
    </row>
    <row r="1829" spans="1:50">
      <c r="A1829" s="5" t="s">
        <v>8035</v>
      </c>
      <c r="B1829" s="5" t="s">
        <v>8029</v>
      </c>
      <c r="C1829" s="6" t="s">
        <v>7947</v>
      </c>
      <c r="D1829" s="6" t="s">
        <v>1645</v>
      </c>
      <c r="E1829" s="6" t="s">
        <v>1386</v>
      </c>
      <c r="F1829" s="6" t="s">
        <v>46</v>
      </c>
      <c r="G1829" s="6" t="s">
        <v>8036</v>
      </c>
      <c r="H1829" s="7">
        <v>49.87</v>
      </c>
      <c r="I1829" s="19" t="s">
        <v>2283</v>
      </c>
      <c r="J1829" s="19" t="s">
        <v>2380</v>
      </c>
      <c r="K1829" s="23" t="s">
        <v>6810</v>
      </c>
      <c r="L1829" s="23" t="s">
        <v>6811</v>
      </c>
      <c r="M1829" s="23" t="s">
        <v>6812</v>
      </c>
      <c r="N1829" s="23" t="s">
        <v>6813</v>
      </c>
      <c r="O1829" s="23" t="s">
        <v>8031</v>
      </c>
      <c r="P1829" s="23" t="s">
        <v>8032</v>
      </c>
      <c r="Q1829" s="23" t="s">
        <v>8033</v>
      </c>
      <c r="R1829" s="23" t="s">
        <v>8034</v>
      </c>
      <c r="S1829" s="23"/>
      <c r="T1829" s="23"/>
      <c r="U1829" s="23"/>
      <c r="V1829" s="23"/>
      <c r="W1829" s="23"/>
      <c r="X1829" s="23"/>
      <c r="Y1829" s="23"/>
      <c r="Z1829" s="23"/>
      <c r="AA1829" s="23"/>
      <c r="AB1829" s="23"/>
      <c r="AC1829" s="23"/>
      <c r="AD1829" s="23"/>
      <c r="AE1829" s="23"/>
      <c r="AF1829" s="23"/>
      <c r="AG1829" s="14" t="s">
        <v>55</v>
      </c>
      <c r="AH1829" s="14" t="s">
        <v>1603</v>
      </c>
      <c r="AI1829" s="14" t="s">
        <v>1603</v>
      </c>
      <c r="AJ1829" s="23"/>
      <c r="AK1829" s="23"/>
      <c r="AL1829" s="23"/>
      <c r="AM1829" s="23"/>
      <c r="AN1829" s="23"/>
      <c r="AO1829" s="23"/>
      <c r="AP1829" s="23"/>
      <c r="AQ1829" s="23"/>
      <c r="AR1829" s="23"/>
      <c r="AS1829" s="23"/>
      <c r="AT1829" s="23"/>
      <c r="AU1829" s="23"/>
      <c r="AV1829" s="23"/>
      <c r="AW1829" s="23"/>
      <c r="AX1829" s="23"/>
    </row>
    <row r="1830" spans="1:50">
      <c r="A1830" s="5" t="s">
        <v>8037</v>
      </c>
      <c r="B1830" s="5" t="s">
        <v>8029</v>
      </c>
      <c r="C1830" s="6" t="s">
        <v>4333</v>
      </c>
      <c r="D1830" s="6" t="s">
        <v>1645</v>
      </c>
      <c r="E1830" s="6" t="s">
        <v>2015</v>
      </c>
      <c r="F1830" s="6" t="s">
        <v>46</v>
      </c>
      <c r="G1830" s="6" t="s">
        <v>8038</v>
      </c>
      <c r="H1830" s="7">
        <v>49.87</v>
      </c>
      <c r="I1830" s="19" t="s">
        <v>2283</v>
      </c>
      <c r="J1830" s="19" t="s">
        <v>2380</v>
      </c>
      <c r="K1830" s="23" t="s">
        <v>6810</v>
      </c>
      <c r="L1830" s="23" t="s">
        <v>6811</v>
      </c>
      <c r="M1830" s="23" t="s">
        <v>6812</v>
      </c>
      <c r="N1830" s="23" t="s">
        <v>6813</v>
      </c>
      <c r="O1830" s="23" t="s">
        <v>8031</v>
      </c>
      <c r="P1830" s="23" t="s">
        <v>8032</v>
      </c>
      <c r="Q1830" s="23" t="s">
        <v>8033</v>
      </c>
      <c r="R1830" s="23" t="s">
        <v>8034</v>
      </c>
      <c r="S1830" s="23"/>
      <c r="T1830" s="23"/>
      <c r="U1830" s="23"/>
      <c r="V1830" s="23"/>
      <c r="W1830" s="23"/>
      <c r="X1830" s="23"/>
      <c r="Y1830" s="23"/>
      <c r="Z1830" s="23"/>
      <c r="AA1830" s="23"/>
      <c r="AB1830" s="23"/>
      <c r="AC1830" s="23"/>
      <c r="AD1830" s="23"/>
      <c r="AE1830" s="23"/>
      <c r="AF1830" s="23"/>
      <c r="AG1830" s="14" t="s">
        <v>55</v>
      </c>
      <c r="AH1830" s="14" t="s">
        <v>1603</v>
      </c>
      <c r="AI1830" s="14" t="s">
        <v>1603</v>
      </c>
      <c r="AJ1830" s="23"/>
      <c r="AK1830" s="23"/>
      <c r="AL1830" s="23"/>
      <c r="AM1830" s="23"/>
      <c r="AN1830" s="23"/>
      <c r="AO1830" s="23"/>
      <c r="AP1830" s="23"/>
      <c r="AQ1830" s="23"/>
      <c r="AR1830" s="23"/>
      <c r="AS1830" s="23"/>
      <c r="AT1830" s="23"/>
      <c r="AU1830" s="23"/>
      <c r="AV1830" s="23"/>
      <c r="AW1830" s="23"/>
      <c r="AX1830" s="23"/>
    </row>
    <row r="1831" spans="1:50">
      <c r="A1831" s="5" t="s">
        <v>8039</v>
      </c>
      <c r="B1831" s="5" t="s">
        <v>8040</v>
      </c>
      <c r="C1831" s="6" t="s">
        <v>7947</v>
      </c>
      <c r="D1831" s="6" t="s">
        <v>1645</v>
      </c>
      <c r="E1831" s="6" t="s">
        <v>2319</v>
      </c>
      <c r="F1831" s="6" t="s">
        <v>46</v>
      </c>
      <c r="G1831" s="6" t="s">
        <v>8041</v>
      </c>
      <c r="H1831" s="7">
        <v>49.87</v>
      </c>
      <c r="I1831" s="19" t="s">
        <v>2283</v>
      </c>
      <c r="J1831" s="19" t="s">
        <v>2380</v>
      </c>
      <c r="K1831" s="23" t="s">
        <v>7484</v>
      </c>
      <c r="L1831" s="23" t="s">
        <v>7485</v>
      </c>
      <c r="M1831" s="23" t="s">
        <v>7486</v>
      </c>
      <c r="N1831" s="23" t="s">
        <v>7487</v>
      </c>
      <c r="O1831" s="23" t="s">
        <v>8042</v>
      </c>
      <c r="P1831" s="23" t="s">
        <v>8043</v>
      </c>
      <c r="Q1831" s="23" t="s">
        <v>8044</v>
      </c>
      <c r="R1831" s="23" t="s">
        <v>8045</v>
      </c>
      <c r="S1831" s="23"/>
      <c r="T1831" s="23"/>
      <c r="U1831" s="23"/>
      <c r="V1831" s="23"/>
      <c r="W1831" s="23"/>
      <c r="X1831" s="23"/>
      <c r="Y1831" s="23"/>
      <c r="Z1831" s="23"/>
      <c r="AA1831" s="23"/>
      <c r="AB1831" s="23"/>
      <c r="AC1831" s="23"/>
      <c r="AD1831" s="23"/>
      <c r="AE1831" s="23"/>
      <c r="AF1831" s="23"/>
      <c r="AG1831" s="14" t="s">
        <v>55</v>
      </c>
      <c r="AH1831" s="14" t="s">
        <v>1603</v>
      </c>
      <c r="AI1831" s="14" t="s">
        <v>1603</v>
      </c>
      <c r="AJ1831" s="23"/>
      <c r="AK1831" s="23"/>
      <c r="AL1831" s="23"/>
      <c r="AM1831" s="23"/>
      <c r="AN1831" s="23"/>
      <c r="AO1831" s="23"/>
      <c r="AP1831" s="23"/>
      <c r="AQ1831" s="23"/>
      <c r="AR1831" s="23"/>
      <c r="AS1831" s="23"/>
      <c r="AT1831" s="23"/>
      <c r="AU1831" s="23"/>
      <c r="AV1831" s="23"/>
      <c r="AW1831" s="23"/>
      <c r="AX1831" s="23"/>
    </row>
    <row r="1832" spans="1:50">
      <c r="A1832" s="5" t="s">
        <v>8046</v>
      </c>
      <c r="B1832" s="5" t="s">
        <v>8040</v>
      </c>
      <c r="C1832" s="6" t="s">
        <v>7947</v>
      </c>
      <c r="D1832" s="6" t="s">
        <v>1645</v>
      </c>
      <c r="E1832" s="6" t="s">
        <v>1386</v>
      </c>
      <c r="F1832" s="6" t="s">
        <v>46</v>
      </c>
      <c r="G1832" s="6" t="s">
        <v>3104</v>
      </c>
      <c r="H1832" s="7">
        <v>49.87</v>
      </c>
      <c r="I1832" s="19" t="s">
        <v>2283</v>
      </c>
      <c r="J1832" s="19" t="s">
        <v>2380</v>
      </c>
      <c r="K1832" s="23" t="s">
        <v>7484</v>
      </c>
      <c r="L1832" s="23" t="s">
        <v>7485</v>
      </c>
      <c r="M1832" s="23" t="s">
        <v>7486</v>
      </c>
      <c r="N1832" s="23" t="s">
        <v>7487</v>
      </c>
      <c r="O1832" s="23" t="s">
        <v>8042</v>
      </c>
      <c r="P1832" s="23" t="s">
        <v>8043</v>
      </c>
      <c r="Q1832" s="23" t="s">
        <v>8044</v>
      </c>
      <c r="R1832" s="23" t="s">
        <v>8045</v>
      </c>
      <c r="S1832" s="23"/>
      <c r="T1832" s="23"/>
      <c r="U1832" s="23"/>
      <c r="V1832" s="23"/>
      <c r="W1832" s="23"/>
      <c r="X1832" s="23"/>
      <c r="Y1832" s="23"/>
      <c r="Z1832" s="23"/>
      <c r="AA1832" s="23"/>
      <c r="AB1832" s="23"/>
      <c r="AC1832" s="23"/>
      <c r="AD1832" s="23"/>
      <c r="AE1832" s="23"/>
      <c r="AF1832" s="23"/>
      <c r="AG1832" s="14" t="s">
        <v>55</v>
      </c>
      <c r="AH1832" s="14" t="s">
        <v>1603</v>
      </c>
      <c r="AI1832" s="14" t="s">
        <v>1603</v>
      </c>
      <c r="AJ1832" s="23"/>
      <c r="AK1832" s="23"/>
      <c r="AL1832" s="23"/>
      <c r="AM1832" s="23"/>
      <c r="AN1832" s="23"/>
      <c r="AO1832" s="23"/>
      <c r="AP1832" s="23"/>
      <c r="AQ1832" s="23"/>
      <c r="AR1832" s="23"/>
      <c r="AS1832" s="23"/>
      <c r="AT1832" s="23"/>
      <c r="AU1832" s="23"/>
      <c r="AV1832" s="23"/>
      <c r="AW1832" s="23"/>
      <c r="AX1832" s="23"/>
    </row>
    <row r="1833" spans="1:50">
      <c r="A1833" s="5" t="s">
        <v>8047</v>
      </c>
      <c r="B1833" s="5" t="s">
        <v>8048</v>
      </c>
      <c r="C1833" s="6" t="s">
        <v>7947</v>
      </c>
      <c r="D1833" s="6" t="s">
        <v>1645</v>
      </c>
      <c r="E1833" s="6" t="s">
        <v>1386</v>
      </c>
      <c r="F1833" s="6" t="s">
        <v>46</v>
      </c>
      <c r="G1833" s="6" t="s">
        <v>2582</v>
      </c>
      <c r="H1833" s="7">
        <v>49.87</v>
      </c>
      <c r="I1833" s="19" t="s">
        <v>2283</v>
      </c>
      <c r="J1833" s="19" t="s">
        <v>2380</v>
      </c>
      <c r="K1833" s="23" t="s">
        <v>2381</v>
      </c>
      <c r="L1833" s="23" t="s">
        <v>2382</v>
      </c>
      <c r="M1833" s="23" t="s">
        <v>2383</v>
      </c>
      <c r="N1833" s="23" t="s">
        <v>2384</v>
      </c>
      <c r="O1833" s="23" t="s">
        <v>8049</v>
      </c>
      <c r="P1833" s="23" t="s">
        <v>8050</v>
      </c>
      <c r="Q1833" s="23" t="s">
        <v>8051</v>
      </c>
      <c r="R1833" s="23" t="s">
        <v>8052</v>
      </c>
      <c r="S1833" s="23"/>
      <c r="T1833" s="23"/>
      <c r="U1833" s="23"/>
      <c r="V1833" s="23"/>
      <c r="W1833" s="23"/>
      <c r="X1833" s="23"/>
      <c r="Y1833" s="23"/>
      <c r="Z1833" s="23"/>
      <c r="AA1833" s="23"/>
      <c r="AB1833" s="23"/>
      <c r="AC1833" s="23"/>
      <c r="AD1833" s="23"/>
      <c r="AE1833" s="23"/>
      <c r="AF1833" s="23"/>
      <c r="AG1833" s="14" t="s">
        <v>55</v>
      </c>
      <c r="AH1833" s="14" t="s">
        <v>1603</v>
      </c>
      <c r="AI1833" s="14" t="s">
        <v>1603</v>
      </c>
      <c r="AJ1833" s="23"/>
      <c r="AK1833" s="23"/>
      <c r="AL1833" s="23"/>
      <c r="AM1833" s="23"/>
      <c r="AN1833" s="23"/>
      <c r="AO1833" s="23"/>
      <c r="AP1833" s="23"/>
      <c r="AQ1833" s="23"/>
      <c r="AR1833" s="23"/>
      <c r="AS1833" s="23"/>
      <c r="AT1833" s="23"/>
      <c r="AU1833" s="23"/>
      <c r="AV1833" s="23"/>
      <c r="AW1833" s="23"/>
      <c r="AX1833" s="23"/>
    </row>
    <row r="1834" spans="1:50">
      <c r="A1834" s="5" t="s">
        <v>8053</v>
      </c>
      <c r="B1834" s="5" t="s">
        <v>8054</v>
      </c>
      <c r="C1834" s="6" t="s">
        <v>8055</v>
      </c>
      <c r="D1834" s="6" t="s">
        <v>1645</v>
      </c>
      <c r="E1834" s="6" t="s">
        <v>2139</v>
      </c>
      <c r="F1834" s="6" t="s">
        <v>46</v>
      </c>
      <c r="G1834" s="6" t="s">
        <v>5571</v>
      </c>
      <c r="H1834" s="7">
        <v>31.75</v>
      </c>
      <c r="I1834" s="19" t="s">
        <v>2283</v>
      </c>
      <c r="J1834" s="19" t="s">
        <v>2466</v>
      </c>
      <c r="K1834" s="5" t="s">
        <v>6837</v>
      </c>
      <c r="L1834" s="5" t="s">
        <v>6838</v>
      </c>
      <c r="M1834" s="5" t="s">
        <v>6839</v>
      </c>
      <c r="N1834" s="5" t="s">
        <v>6840</v>
      </c>
      <c r="O1834" s="5" t="s">
        <v>8056</v>
      </c>
      <c r="P1834" s="5" t="s">
        <v>8057</v>
      </c>
      <c r="Q1834" s="5" t="s">
        <v>8058</v>
      </c>
      <c r="R1834" s="5" t="s">
        <v>8059</v>
      </c>
      <c r="AG1834" s="14" t="s">
        <v>55</v>
      </c>
      <c r="AH1834" s="14" t="s">
        <v>1603</v>
      </c>
      <c r="AI1834" s="14" t="s">
        <v>1603</v>
      </c>
      <c r="AL1834" s="23"/>
      <c r="AM1834" s="23"/>
      <c r="AN1834" s="23"/>
      <c r="AO1834" s="23"/>
      <c r="AP1834" s="23"/>
      <c r="AQ1834" s="23"/>
      <c r="AR1834" s="23"/>
      <c r="AS1834" s="23"/>
      <c r="AT1834" s="23"/>
      <c r="AU1834" s="23"/>
      <c r="AV1834" s="23"/>
      <c r="AW1834" s="23"/>
      <c r="AX1834" s="23"/>
    </row>
    <row r="1835" spans="1:50">
      <c r="A1835" s="5" t="s">
        <v>8060</v>
      </c>
      <c r="B1835" s="5" t="s">
        <v>8054</v>
      </c>
      <c r="C1835" s="6" t="s">
        <v>8055</v>
      </c>
      <c r="D1835" s="6" t="s">
        <v>1645</v>
      </c>
      <c r="E1835" s="6" t="s">
        <v>1386</v>
      </c>
      <c r="F1835" s="6" t="s">
        <v>46</v>
      </c>
      <c r="G1835" s="6" t="s">
        <v>8061</v>
      </c>
      <c r="H1835" s="7">
        <v>31.75</v>
      </c>
      <c r="I1835" s="19" t="s">
        <v>2283</v>
      </c>
      <c r="J1835" s="19" t="s">
        <v>2466</v>
      </c>
      <c r="K1835" s="5" t="s">
        <v>6837</v>
      </c>
      <c r="L1835" s="5" t="s">
        <v>6838</v>
      </c>
      <c r="M1835" s="5" t="s">
        <v>6839</v>
      </c>
      <c r="N1835" s="5" t="s">
        <v>6840</v>
      </c>
      <c r="O1835" s="5" t="s">
        <v>8056</v>
      </c>
      <c r="P1835" s="5" t="s">
        <v>8057</v>
      </c>
      <c r="Q1835" s="5" t="s">
        <v>8058</v>
      </c>
      <c r="R1835" s="5" t="s">
        <v>8059</v>
      </c>
      <c r="AG1835" s="14" t="s">
        <v>55</v>
      </c>
      <c r="AH1835" s="14" t="s">
        <v>1603</v>
      </c>
      <c r="AI1835" s="14" t="s">
        <v>1603</v>
      </c>
    </row>
    <row r="1836" spans="1:50">
      <c r="A1836" s="5" t="s">
        <v>8062</v>
      </c>
      <c r="B1836" s="5" t="s">
        <v>8054</v>
      </c>
      <c r="C1836" s="6" t="s">
        <v>8055</v>
      </c>
      <c r="D1836" s="6" t="s">
        <v>1645</v>
      </c>
      <c r="E1836" s="6" t="s">
        <v>2015</v>
      </c>
      <c r="F1836" s="6" t="s">
        <v>46</v>
      </c>
      <c r="G1836" s="6" t="s">
        <v>8063</v>
      </c>
      <c r="H1836" s="7">
        <v>31.75</v>
      </c>
      <c r="I1836" s="19" t="s">
        <v>2283</v>
      </c>
      <c r="J1836" s="19" t="s">
        <v>2466</v>
      </c>
      <c r="K1836" s="5" t="s">
        <v>6837</v>
      </c>
      <c r="L1836" s="5" t="s">
        <v>6838</v>
      </c>
      <c r="M1836" s="5" t="s">
        <v>6839</v>
      </c>
      <c r="N1836" s="5" t="s">
        <v>6840</v>
      </c>
      <c r="O1836" s="5" t="s">
        <v>8056</v>
      </c>
      <c r="P1836" s="5" t="s">
        <v>8057</v>
      </c>
      <c r="Q1836" s="5" t="s">
        <v>8058</v>
      </c>
      <c r="R1836" s="5" t="s">
        <v>8059</v>
      </c>
      <c r="AG1836" s="14" t="s">
        <v>55</v>
      </c>
      <c r="AH1836" s="14" t="s">
        <v>1603</v>
      </c>
      <c r="AI1836" s="14" t="s">
        <v>1603</v>
      </c>
    </row>
    <row r="1837" spans="1:50">
      <c r="A1837" s="5" t="s">
        <v>8064</v>
      </c>
      <c r="B1837" s="5" t="s">
        <v>8054</v>
      </c>
      <c r="C1837" s="6" t="s">
        <v>8055</v>
      </c>
      <c r="D1837" s="6" t="s">
        <v>1645</v>
      </c>
      <c r="E1837" s="6" t="s">
        <v>2065</v>
      </c>
      <c r="F1837" s="6" t="s">
        <v>46</v>
      </c>
      <c r="G1837" s="6" t="s">
        <v>8065</v>
      </c>
      <c r="H1837" s="7">
        <v>31.75</v>
      </c>
      <c r="I1837" s="19" t="s">
        <v>2283</v>
      </c>
      <c r="J1837" s="19" t="s">
        <v>2466</v>
      </c>
      <c r="K1837" s="5" t="s">
        <v>6837</v>
      </c>
      <c r="L1837" s="5" t="s">
        <v>6838</v>
      </c>
      <c r="M1837" s="5" t="s">
        <v>6839</v>
      </c>
      <c r="N1837" s="5" t="s">
        <v>6840</v>
      </c>
      <c r="O1837" s="5" t="s">
        <v>8056</v>
      </c>
      <c r="P1837" s="5" t="s">
        <v>8057</v>
      </c>
      <c r="Q1837" s="5" t="s">
        <v>8058</v>
      </c>
      <c r="R1837" s="5" t="s">
        <v>8059</v>
      </c>
      <c r="AG1837" s="14" t="s">
        <v>55</v>
      </c>
      <c r="AH1837" s="14" t="s">
        <v>1603</v>
      </c>
      <c r="AI1837" s="14" t="s">
        <v>1603</v>
      </c>
    </row>
    <row r="1838" spans="1:50">
      <c r="A1838" s="6" t="s">
        <v>8066</v>
      </c>
      <c r="B1838" s="6" t="s">
        <v>8067</v>
      </c>
      <c r="C1838" s="6" t="s">
        <v>1333</v>
      </c>
      <c r="D1838" s="6" t="s">
        <v>1645</v>
      </c>
      <c r="E1838" s="6" t="s">
        <v>2015</v>
      </c>
      <c r="F1838" s="6" t="s">
        <v>46</v>
      </c>
      <c r="G1838" s="6" t="s">
        <v>8068</v>
      </c>
      <c r="I1838" s="19" t="s">
        <v>48</v>
      </c>
      <c r="J1838" s="19" t="s">
        <v>48</v>
      </c>
      <c r="K1838" s="6"/>
      <c r="L1838" s="6"/>
      <c r="M1838" s="6"/>
      <c r="N1838" s="6"/>
      <c r="O1838" s="6"/>
      <c r="P1838" s="6"/>
      <c r="Q1838" s="6"/>
      <c r="R1838" s="6"/>
      <c r="S1838" s="6"/>
      <c r="T1838" s="6"/>
      <c r="U1838" s="6"/>
      <c r="V1838" s="6"/>
      <c r="W1838" s="6"/>
      <c r="X1838" s="6"/>
      <c r="Y1838" s="6"/>
      <c r="Z1838" s="6"/>
      <c r="AA1838" s="6"/>
      <c r="AB1838" s="6"/>
      <c r="AC1838" s="6"/>
      <c r="AD1838" s="6"/>
      <c r="AE1838" s="6"/>
      <c r="AF1838" s="6"/>
      <c r="AG1838" s="15" t="s">
        <v>55</v>
      </c>
      <c r="AH1838" s="15"/>
      <c r="AI1838" s="15"/>
      <c r="AJ1838" s="6"/>
      <c r="AK1838" s="6"/>
    </row>
    <row r="1839" spans="1:50" s="6" customFormat="1">
      <c r="A1839" s="5" t="s">
        <v>8069</v>
      </c>
      <c r="B1839" s="5" t="s">
        <v>8070</v>
      </c>
      <c r="C1839" s="6" t="s">
        <v>1333</v>
      </c>
      <c r="D1839" s="6" t="s">
        <v>1645</v>
      </c>
      <c r="E1839" s="6" t="s">
        <v>2139</v>
      </c>
      <c r="F1839" s="6" t="s">
        <v>46</v>
      </c>
      <c r="G1839" s="6" t="s">
        <v>8071</v>
      </c>
      <c r="H1839" s="7">
        <v>31.75</v>
      </c>
      <c r="I1839" s="19" t="s">
        <v>2283</v>
      </c>
      <c r="J1839" s="19" t="s">
        <v>2466</v>
      </c>
      <c r="K1839" s="5" t="s">
        <v>7508</v>
      </c>
      <c r="L1839" s="5" t="s">
        <v>7509</v>
      </c>
      <c r="M1839" s="5" t="s">
        <v>7510</v>
      </c>
      <c r="N1839" s="5" t="s">
        <v>7511</v>
      </c>
      <c r="O1839" s="5" t="s">
        <v>8072</v>
      </c>
      <c r="P1839" s="5" t="s">
        <v>8073</v>
      </c>
      <c r="Q1839" s="5" t="s">
        <v>8074</v>
      </c>
      <c r="R1839" s="5" t="s">
        <v>8075</v>
      </c>
      <c r="S1839" s="5"/>
      <c r="T1839" s="5"/>
      <c r="U1839" s="5"/>
      <c r="V1839" s="5"/>
      <c r="W1839" s="5"/>
      <c r="X1839" s="5"/>
      <c r="Y1839" s="5"/>
      <c r="Z1839" s="5"/>
      <c r="AA1839" s="5"/>
      <c r="AB1839" s="5"/>
      <c r="AC1839" s="5"/>
      <c r="AD1839" s="5"/>
      <c r="AE1839" s="5"/>
      <c r="AF1839" s="5"/>
      <c r="AG1839" s="14" t="s">
        <v>55</v>
      </c>
      <c r="AH1839" s="14" t="s">
        <v>1603</v>
      </c>
      <c r="AI1839" s="14" t="s">
        <v>1603</v>
      </c>
      <c r="AJ1839" s="5"/>
      <c r="AK1839" s="5"/>
    </row>
    <row r="1840" spans="1:50">
      <c r="A1840" s="5" t="s">
        <v>8076</v>
      </c>
      <c r="B1840" s="5" t="s">
        <v>8070</v>
      </c>
      <c r="C1840" s="6" t="s">
        <v>1333</v>
      </c>
      <c r="D1840" s="6" t="s">
        <v>1645</v>
      </c>
      <c r="E1840" s="6" t="s">
        <v>2015</v>
      </c>
      <c r="F1840" s="6" t="s">
        <v>46</v>
      </c>
      <c r="G1840" s="6" t="s">
        <v>8063</v>
      </c>
      <c r="H1840" s="7">
        <v>31.75</v>
      </c>
      <c r="I1840" s="19" t="s">
        <v>2283</v>
      </c>
      <c r="J1840" s="19" t="s">
        <v>2466</v>
      </c>
      <c r="K1840" s="5" t="s">
        <v>7508</v>
      </c>
      <c r="L1840" s="5" t="s">
        <v>7509</v>
      </c>
      <c r="M1840" s="5" t="s">
        <v>7510</v>
      </c>
      <c r="N1840" s="5" t="s">
        <v>7511</v>
      </c>
      <c r="O1840" s="5" t="s">
        <v>8072</v>
      </c>
      <c r="P1840" s="5" t="s">
        <v>8073</v>
      </c>
      <c r="Q1840" s="5" t="s">
        <v>8074</v>
      </c>
      <c r="R1840" s="5" t="s">
        <v>8075</v>
      </c>
      <c r="AG1840" s="14" t="s">
        <v>55</v>
      </c>
      <c r="AH1840" s="14" t="s">
        <v>1603</v>
      </c>
      <c r="AI1840" s="14" t="s">
        <v>1603</v>
      </c>
    </row>
    <row r="1841" spans="1:37">
      <c r="A1841" s="5" t="s">
        <v>8077</v>
      </c>
      <c r="B1841" s="5" t="s">
        <v>8078</v>
      </c>
      <c r="C1841" s="6" t="s">
        <v>8079</v>
      </c>
      <c r="D1841" s="6" t="s">
        <v>1645</v>
      </c>
      <c r="E1841" s="6" t="s">
        <v>2319</v>
      </c>
      <c r="F1841" s="6" t="s">
        <v>46</v>
      </c>
      <c r="G1841" s="6" t="s">
        <v>8080</v>
      </c>
      <c r="H1841" s="7">
        <v>35.39</v>
      </c>
      <c r="I1841" s="19" t="s">
        <v>2283</v>
      </c>
      <c r="J1841" s="19" t="s">
        <v>2481</v>
      </c>
      <c r="K1841" s="5" t="s">
        <v>6871</v>
      </c>
      <c r="L1841" s="5" t="s">
        <v>6872</v>
      </c>
      <c r="M1841" s="5" t="s">
        <v>6873</v>
      </c>
      <c r="N1841" s="5" t="s">
        <v>6874</v>
      </c>
      <c r="O1841" s="5" t="s">
        <v>8081</v>
      </c>
      <c r="P1841" s="5" t="s">
        <v>8082</v>
      </c>
      <c r="Q1841" s="5" t="s">
        <v>8083</v>
      </c>
      <c r="R1841" s="5" t="s">
        <v>8084</v>
      </c>
      <c r="AG1841" s="14" t="s">
        <v>55</v>
      </c>
      <c r="AH1841" s="14" t="s">
        <v>1603</v>
      </c>
      <c r="AI1841" s="14" t="s">
        <v>1603</v>
      </c>
    </row>
    <row r="1842" spans="1:37">
      <c r="A1842" s="5" t="s">
        <v>8085</v>
      </c>
      <c r="B1842" s="5" t="s">
        <v>8078</v>
      </c>
      <c r="C1842" s="6" t="s">
        <v>8079</v>
      </c>
      <c r="D1842" s="6" t="s">
        <v>1645</v>
      </c>
      <c r="E1842" s="6" t="s">
        <v>1386</v>
      </c>
      <c r="F1842" s="6" t="s">
        <v>46</v>
      </c>
      <c r="G1842" s="6" t="s">
        <v>2144</v>
      </c>
      <c r="H1842" s="7">
        <v>35.39</v>
      </c>
      <c r="I1842" s="19" t="s">
        <v>2283</v>
      </c>
      <c r="J1842" s="19" t="s">
        <v>2481</v>
      </c>
      <c r="K1842" s="5" t="s">
        <v>6871</v>
      </c>
      <c r="L1842" s="5" t="s">
        <v>6872</v>
      </c>
      <c r="M1842" s="5" t="s">
        <v>6873</v>
      </c>
      <c r="N1842" s="5" t="s">
        <v>6874</v>
      </c>
      <c r="O1842" s="5" t="s">
        <v>8081</v>
      </c>
      <c r="P1842" s="5" t="s">
        <v>8082</v>
      </c>
      <c r="Q1842" s="5" t="s">
        <v>8083</v>
      </c>
      <c r="R1842" s="5" t="s">
        <v>8084</v>
      </c>
      <c r="AG1842" s="14" t="s">
        <v>55</v>
      </c>
      <c r="AH1842" s="14" t="s">
        <v>1603</v>
      </c>
      <c r="AI1842" s="14" t="s">
        <v>1603</v>
      </c>
    </row>
    <row r="1843" spans="1:37">
      <c r="A1843" s="5" t="s">
        <v>8086</v>
      </c>
      <c r="B1843" s="5" t="s">
        <v>8078</v>
      </c>
      <c r="C1843" s="6" t="s">
        <v>8079</v>
      </c>
      <c r="D1843" s="6" t="s">
        <v>1645</v>
      </c>
      <c r="E1843" s="6" t="s">
        <v>2015</v>
      </c>
      <c r="F1843" s="6" t="s">
        <v>46</v>
      </c>
      <c r="G1843" s="6" t="s">
        <v>8087</v>
      </c>
      <c r="H1843" s="7">
        <v>35.39</v>
      </c>
      <c r="I1843" s="19" t="s">
        <v>2283</v>
      </c>
      <c r="J1843" s="19" t="s">
        <v>2481</v>
      </c>
      <c r="K1843" s="5" t="s">
        <v>6871</v>
      </c>
      <c r="L1843" s="5" t="s">
        <v>6872</v>
      </c>
      <c r="M1843" s="5" t="s">
        <v>6873</v>
      </c>
      <c r="N1843" s="5" t="s">
        <v>6874</v>
      </c>
      <c r="O1843" s="5" t="s">
        <v>8081</v>
      </c>
      <c r="P1843" s="5" t="s">
        <v>8082</v>
      </c>
      <c r="Q1843" s="5" t="s">
        <v>8083</v>
      </c>
      <c r="R1843" s="5" t="s">
        <v>8084</v>
      </c>
      <c r="AG1843" s="14" t="s">
        <v>55</v>
      </c>
      <c r="AH1843" s="14" t="s">
        <v>1603</v>
      </c>
      <c r="AI1843" s="14" t="s">
        <v>1603</v>
      </c>
    </row>
    <row r="1844" spans="1:37">
      <c r="A1844" s="5" t="s">
        <v>8088</v>
      </c>
      <c r="B1844" s="5" t="s">
        <v>8078</v>
      </c>
      <c r="C1844" s="6" t="s">
        <v>8079</v>
      </c>
      <c r="D1844" s="6" t="s">
        <v>1645</v>
      </c>
      <c r="E1844" s="6" t="s">
        <v>2047</v>
      </c>
      <c r="F1844" s="6" t="s">
        <v>46</v>
      </c>
      <c r="G1844" s="6" t="s">
        <v>8089</v>
      </c>
      <c r="H1844" s="7">
        <v>35.39</v>
      </c>
      <c r="I1844" s="19" t="s">
        <v>2283</v>
      </c>
      <c r="J1844" s="19" t="s">
        <v>2481</v>
      </c>
      <c r="K1844" s="5" t="s">
        <v>6871</v>
      </c>
      <c r="L1844" s="5" t="s">
        <v>6872</v>
      </c>
      <c r="M1844" s="5" t="s">
        <v>6873</v>
      </c>
      <c r="N1844" s="5" t="s">
        <v>6874</v>
      </c>
      <c r="O1844" s="5" t="s">
        <v>8081</v>
      </c>
      <c r="P1844" s="5" t="s">
        <v>8082</v>
      </c>
      <c r="Q1844" s="5" t="s">
        <v>8083</v>
      </c>
      <c r="R1844" s="5" t="s">
        <v>8084</v>
      </c>
      <c r="AG1844" s="14" t="s">
        <v>55</v>
      </c>
      <c r="AH1844" s="14" t="s">
        <v>1603</v>
      </c>
      <c r="AI1844" s="14" t="s">
        <v>1603</v>
      </c>
    </row>
    <row r="1845" spans="1:37">
      <c r="A1845" s="6" t="s">
        <v>8090</v>
      </c>
      <c r="B1845" s="6" t="s">
        <v>8078</v>
      </c>
      <c r="C1845" s="6" t="s">
        <v>8079</v>
      </c>
      <c r="D1845" s="6" t="s">
        <v>1645</v>
      </c>
      <c r="E1845" s="6" t="s">
        <v>1671</v>
      </c>
      <c r="F1845" s="6" t="s">
        <v>46</v>
      </c>
      <c r="G1845" s="6" t="s">
        <v>8091</v>
      </c>
      <c r="I1845" s="19" t="s">
        <v>48</v>
      </c>
      <c r="J1845" s="19" t="s">
        <v>48</v>
      </c>
      <c r="K1845" s="6"/>
      <c r="L1845" s="6"/>
      <c r="M1845" s="6"/>
      <c r="N1845" s="6"/>
      <c r="O1845" s="6"/>
      <c r="P1845" s="6"/>
      <c r="Q1845" s="6"/>
      <c r="R1845" s="6"/>
      <c r="S1845" s="6"/>
      <c r="T1845" s="6"/>
      <c r="U1845" s="6"/>
      <c r="V1845" s="6"/>
      <c r="W1845" s="6"/>
      <c r="X1845" s="6"/>
      <c r="Y1845" s="6"/>
      <c r="Z1845" s="6"/>
      <c r="AA1845" s="6"/>
      <c r="AB1845" s="6"/>
      <c r="AC1845" s="6"/>
      <c r="AD1845" s="6"/>
      <c r="AE1845" s="6"/>
      <c r="AF1845" s="6"/>
      <c r="AG1845" s="15" t="s">
        <v>55</v>
      </c>
      <c r="AH1845" s="15"/>
      <c r="AI1845" s="15"/>
      <c r="AJ1845" s="6"/>
      <c r="AK1845" s="6"/>
    </row>
    <row r="1846" spans="1:37" s="6" customFormat="1">
      <c r="A1846" s="5" t="s">
        <v>8092</v>
      </c>
      <c r="B1846" s="5" t="s">
        <v>8078</v>
      </c>
      <c r="C1846" s="6" t="s">
        <v>8079</v>
      </c>
      <c r="D1846" s="6" t="s">
        <v>1645</v>
      </c>
      <c r="E1846" s="6" t="s">
        <v>503</v>
      </c>
      <c r="F1846" s="6" t="s">
        <v>46</v>
      </c>
      <c r="G1846" s="6" t="s">
        <v>8093</v>
      </c>
      <c r="H1846" s="7">
        <v>35.39</v>
      </c>
      <c r="I1846" s="19" t="s">
        <v>2283</v>
      </c>
      <c r="J1846" s="19" t="s">
        <v>2481</v>
      </c>
      <c r="K1846" s="5" t="s">
        <v>6871</v>
      </c>
      <c r="L1846" s="5" t="s">
        <v>6872</v>
      </c>
      <c r="M1846" s="5" t="s">
        <v>6873</v>
      </c>
      <c r="N1846" s="5" t="s">
        <v>6874</v>
      </c>
      <c r="O1846" s="5" t="s">
        <v>8081</v>
      </c>
      <c r="P1846" s="5" t="s">
        <v>8082</v>
      </c>
      <c r="Q1846" s="5" t="s">
        <v>8083</v>
      </c>
      <c r="R1846" s="5" t="s">
        <v>8084</v>
      </c>
      <c r="S1846" s="5"/>
      <c r="T1846" s="5"/>
      <c r="U1846" s="5"/>
      <c r="V1846" s="5"/>
      <c r="W1846" s="5"/>
      <c r="X1846" s="5"/>
      <c r="Y1846" s="5"/>
      <c r="Z1846" s="5"/>
      <c r="AA1846" s="5"/>
      <c r="AB1846" s="5"/>
      <c r="AC1846" s="5"/>
      <c r="AD1846" s="5"/>
      <c r="AE1846" s="5"/>
      <c r="AF1846" s="5"/>
      <c r="AG1846" s="14" t="s">
        <v>55</v>
      </c>
      <c r="AH1846" s="14" t="s">
        <v>1603</v>
      </c>
      <c r="AI1846" s="14" t="s">
        <v>1603</v>
      </c>
      <c r="AJ1846" s="5"/>
      <c r="AK1846" s="5"/>
    </row>
    <row r="1847" spans="1:37">
      <c r="A1847" s="5" t="s">
        <v>8094</v>
      </c>
      <c r="B1847" s="5" t="s">
        <v>8095</v>
      </c>
      <c r="C1847" s="6" t="s">
        <v>8079</v>
      </c>
      <c r="D1847" s="6" t="s">
        <v>1645</v>
      </c>
      <c r="E1847" s="6" t="s">
        <v>2139</v>
      </c>
      <c r="F1847" s="6" t="s">
        <v>46</v>
      </c>
      <c r="G1847" s="6" t="s">
        <v>3772</v>
      </c>
      <c r="H1847" s="7">
        <v>35.39</v>
      </c>
      <c r="I1847" s="19" t="s">
        <v>2283</v>
      </c>
      <c r="J1847" s="19" t="s">
        <v>2481</v>
      </c>
      <c r="K1847" s="5" t="s">
        <v>8096</v>
      </c>
      <c r="L1847" s="5" t="s">
        <v>8097</v>
      </c>
      <c r="M1847" s="5" t="s">
        <v>8098</v>
      </c>
      <c r="N1847" s="5" t="s">
        <v>8099</v>
      </c>
      <c r="O1847" s="5" t="s">
        <v>8100</v>
      </c>
      <c r="P1847" s="5" t="s">
        <v>8101</v>
      </c>
      <c r="Q1847" s="5" t="s">
        <v>8102</v>
      </c>
      <c r="R1847" s="5" t="s">
        <v>8103</v>
      </c>
      <c r="AG1847" s="14" t="s">
        <v>55</v>
      </c>
      <c r="AH1847" s="14" t="s">
        <v>1603</v>
      </c>
      <c r="AI1847" s="14" t="s">
        <v>1603</v>
      </c>
    </row>
    <row r="1848" spans="1:37">
      <c r="A1848" s="5" t="s">
        <v>8104</v>
      </c>
      <c r="B1848" s="5" t="s">
        <v>8095</v>
      </c>
      <c r="C1848" s="6" t="s">
        <v>8079</v>
      </c>
      <c r="D1848" s="6" t="s">
        <v>1645</v>
      </c>
      <c r="E1848" s="6" t="s">
        <v>1386</v>
      </c>
      <c r="F1848" s="6" t="s">
        <v>46</v>
      </c>
      <c r="G1848" s="6" t="s">
        <v>2888</v>
      </c>
      <c r="H1848" s="7">
        <v>35.39</v>
      </c>
      <c r="I1848" s="19" t="s">
        <v>2283</v>
      </c>
      <c r="J1848" s="19" t="s">
        <v>2481</v>
      </c>
      <c r="K1848" s="5" t="s">
        <v>8096</v>
      </c>
      <c r="L1848" s="5" t="s">
        <v>8097</v>
      </c>
      <c r="M1848" s="5" t="s">
        <v>8098</v>
      </c>
      <c r="N1848" s="5" t="s">
        <v>8099</v>
      </c>
      <c r="O1848" s="5" t="s">
        <v>8100</v>
      </c>
      <c r="P1848" s="5" t="s">
        <v>8101</v>
      </c>
      <c r="Q1848" s="5" t="s">
        <v>8102</v>
      </c>
      <c r="R1848" s="5" t="s">
        <v>8103</v>
      </c>
      <c r="AG1848" s="14" t="s">
        <v>55</v>
      </c>
      <c r="AH1848" s="14" t="s">
        <v>1603</v>
      </c>
      <c r="AI1848" s="14" t="s">
        <v>1603</v>
      </c>
    </row>
    <row r="1849" spans="1:37">
      <c r="A1849" s="5" t="s">
        <v>8105</v>
      </c>
      <c r="B1849" s="5" t="s">
        <v>8095</v>
      </c>
      <c r="C1849" s="6" t="s">
        <v>8079</v>
      </c>
      <c r="D1849" s="6" t="s">
        <v>1645</v>
      </c>
      <c r="E1849" s="6" t="s">
        <v>2015</v>
      </c>
      <c r="F1849" s="6" t="s">
        <v>46</v>
      </c>
      <c r="G1849" s="6" t="s">
        <v>8106</v>
      </c>
      <c r="H1849" s="7">
        <v>35.39</v>
      </c>
      <c r="I1849" s="19" t="s">
        <v>2283</v>
      </c>
      <c r="J1849" s="19" t="s">
        <v>2481</v>
      </c>
      <c r="K1849" s="5" t="s">
        <v>8096</v>
      </c>
      <c r="L1849" s="5" t="s">
        <v>8097</v>
      </c>
      <c r="M1849" s="5" t="s">
        <v>8098</v>
      </c>
      <c r="N1849" s="5" t="s">
        <v>8099</v>
      </c>
      <c r="O1849" s="5" t="s">
        <v>8100</v>
      </c>
      <c r="P1849" s="5" t="s">
        <v>8101</v>
      </c>
      <c r="Q1849" s="5" t="s">
        <v>8102</v>
      </c>
      <c r="R1849" s="5" t="s">
        <v>8103</v>
      </c>
      <c r="AG1849" s="14" t="s">
        <v>55</v>
      </c>
      <c r="AH1849" s="14" t="s">
        <v>1603</v>
      </c>
      <c r="AI1849" s="14" t="s">
        <v>1603</v>
      </c>
    </row>
    <row r="1850" spans="1:37">
      <c r="A1850" s="5" t="s">
        <v>8107</v>
      </c>
      <c r="B1850" s="5" t="s">
        <v>8108</v>
      </c>
      <c r="C1850" s="6" t="s">
        <v>8079</v>
      </c>
      <c r="D1850" s="6" t="s">
        <v>1645</v>
      </c>
      <c r="E1850" s="6" t="s">
        <v>1386</v>
      </c>
      <c r="F1850" s="6" t="s">
        <v>46</v>
      </c>
      <c r="G1850" s="6" t="s">
        <v>2888</v>
      </c>
      <c r="H1850" s="7">
        <v>35.39</v>
      </c>
      <c r="I1850" s="19" t="s">
        <v>2283</v>
      </c>
      <c r="J1850" s="19" t="s">
        <v>2481</v>
      </c>
      <c r="K1850" s="5" t="s">
        <v>8109</v>
      </c>
      <c r="L1850" s="5" t="s">
        <v>8110</v>
      </c>
      <c r="M1850" s="5" t="s">
        <v>8111</v>
      </c>
      <c r="N1850" s="5" t="s">
        <v>8112</v>
      </c>
      <c r="O1850" s="5" t="s">
        <v>8113</v>
      </c>
      <c r="P1850" s="5" t="s">
        <v>8114</v>
      </c>
      <c r="Q1850" s="5" t="s">
        <v>8115</v>
      </c>
      <c r="R1850" s="5" t="s">
        <v>8116</v>
      </c>
      <c r="AG1850" s="14" t="s">
        <v>55</v>
      </c>
      <c r="AH1850" s="14" t="s">
        <v>1603</v>
      </c>
      <c r="AI1850" s="14" t="s">
        <v>1603</v>
      </c>
    </row>
    <row r="1851" spans="1:37">
      <c r="A1851" s="5" t="s">
        <v>8117</v>
      </c>
      <c r="B1851" s="5" t="s">
        <v>8108</v>
      </c>
      <c r="C1851" s="6" t="s">
        <v>8079</v>
      </c>
      <c r="D1851" s="6" t="s">
        <v>1645</v>
      </c>
      <c r="E1851" s="6" t="s">
        <v>2015</v>
      </c>
      <c r="F1851" s="6" t="s">
        <v>46</v>
      </c>
      <c r="G1851" s="6" t="s">
        <v>6638</v>
      </c>
      <c r="H1851" s="7">
        <v>35.39</v>
      </c>
      <c r="I1851" s="19" t="s">
        <v>2283</v>
      </c>
      <c r="J1851" s="19" t="s">
        <v>2481</v>
      </c>
      <c r="K1851" s="5" t="s">
        <v>8109</v>
      </c>
      <c r="L1851" s="5" t="s">
        <v>8110</v>
      </c>
      <c r="M1851" s="5" t="s">
        <v>8111</v>
      </c>
      <c r="N1851" s="5" t="s">
        <v>8112</v>
      </c>
      <c r="O1851" s="5" t="s">
        <v>8113</v>
      </c>
      <c r="P1851" s="5" t="s">
        <v>8114</v>
      </c>
      <c r="Q1851" s="5" t="s">
        <v>8115</v>
      </c>
      <c r="R1851" s="5" t="s">
        <v>8116</v>
      </c>
      <c r="AG1851" s="14" t="s">
        <v>55</v>
      </c>
      <c r="AH1851" s="14" t="s">
        <v>1603</v>
      </c>
      <c r="AI1851" s="14" t="s">
        <v>1603</v>
      </c>
    </row>
    <row r="1852" spans="1:37">
      <c r="A1852" s="5" t="s">
        <v>8118</v>
      </c>
      <c r="B1852" s="5" t="s">
        <v>8108</v>
      </c>
      <c r="C1852" s="6" t="s">
        <v>8079</v>
      </c>
      <c r="D1852" s="6" t="s">
        <v>1645</v>
      </c>
      <c r="E1852" s="6" t="s">
        <v>2461</v>
      </c>
      <c r="F1852" s="6" t="s">
        <v>46</v>
      </c>
      <c r="G1852" s="6" t="s">
        <v>8119</v>
      </c>
      <c r="H1852" s="7">
        <v>35.39</v>
      </c>
      <c r="I1852" s="19" t="s">
        <v>2283</v>
      </c>
      <c r="J1852" s="19" t="s">
        <v>2481</v>
      </c>
      <c r="K1852" s="5" t="s">
        <v>8109</v>
      </c>
      <c r="L1852" s="5" t="s">
        <v>8110</v>
      </c>
      <c r="M1852" s="5" t="s">
        <v>8111</v>
      </c>
      <c r="N1852" s="5" t="s">
        <v>8112</v>
      </c>
      <c r="O1852" s="5" t="s">
        <v>8113</v>
      </c>
      <c r="P1852" s="5" t="s">
        <v>8114</v>
      </c>
      <c r="Q1852" s="5" t="s">
        <v>8115</v>
      </c>
      <c r="R1852" s="5" t="s">
        <v>8116</v>
      </c>
      <c r="AG1852" s="14" t="s">
        <v>55</v>
      </c>
      <c r="AH1852" s="14" t="s">
        <v>1603</v>
      </c>
      <c r="AI1852" s="14" t="s">
        <v>1603</v>
      </c>
    </row>
    <row r="1853" spans="1:37">
      <c r="A1853" s="5" t="s">
        <v>8120</v>
      </c>
      <c r="B1853" s="5" t="s">
        <v>8121</v>
      </c>
      <c r="C1853" s="6" t="s">
        <v>2281</v>
      </c>
      <c r="D1853" s="6" t="s">
        <v>1645</v>
      </c>
      <c r="E1853" s="6" t="s">
        <v>1386</v>
      </c>
      <c r="F1853" s="6" t="s">
        <v>46</v>
      </c>
      <c r="G1853" s="6" t="s">
        <v>3308</v>
      </c>
      <c r="H1853" s="7">
        <v>39.04</v>
      </c>
      <c r="I1853" s="19" t="s">
        <v>2283</v>
      </c>
      <c r="J1853" s="19" t="s">
        <v>2512</v>
      </c>
      <c r="K1853" s="6" t="s">
        <v>2513</v>
      </c>
      <c r="L1853" s="6" t="s">
        <v>2514</v>
      </c>
      <c r="M1853" s="6" t="s">
        <v>2515</v>
      </c>
      <c r="N1853" s="6" t="s">
        <v>2516</v>
      </c>
      <c r="O1853" s="6" t="s">
        <v>8122</v>
      </c>
      <c r="P1853" s="6" t="s">
        <v>8123</v>
      </c>
      <c r="Q1853" s="6" t="s">
        <v>8124</v>
      </c>
      <c r="R1853" s="6" t="s">
        <v>8125</v>
      </c>
      <c r="AG1853" s="14" t="s">
        <v>55</v>
      </c>
      <c r="AH1853" s="14" t="s">
        <v>1603</v>
      </c>
      <c r="AI1853" s="14" t="s">
        <v>1603</v>
      </c>
    </row>
    <row r="1854" spans="1:37">
      <c r="A1854" s="5" t="s">
        <v>8126</v>
      </c>
      <c r="B1854" s="5" t="s">
        <v>8121</v>
      </c>
      <c r="C1854" s="6" t="s">
        <v>2281</v>
      </c>
      <c r="D1854" s="6" t="s">
        <v>1645</v>
      </c>
      <c r="E1854" s="6" t="s">
        <v>2065</v>
      </c>
      <c r="F1854" s="6" t="s">
        <v>46</v>
      </c>
      <c r="G1854" s="6" t="s">
        <v>7176</v>
      </c>
      <c r="H1854" s="7">
        <v>39.04</v>
      </c>
      <c r="I1854" s="19" t="s">
        <v>2283</v>
      </c>
      <c r="J1854" s="19" t="s">
        <v>2512</v>
      </c>
      <c r="K1854" s="6" t="s">
        <v>2513</v>
      </c>
      <c r="L1854" s="6" t="s">
        <v>2514</v>
      </c>
      <c r="M1854" s="6" t="s">
        <v>2515</v>
      </c>
      <c r="N1854" s="6" t="s">
        <v>2516</v>
      </c>
      <c r="O1854" s="6" t="s">
        <v>8127</v>
      </c>
      <c r="P1854" s="6" t="s">
        <v>8128</v>
      </c>
      <c r="Q1854" s="6" t="s">
        <v>8129</v>
      </c>
      <c r="R1854" s="6" t="s">
        <v>8130</v>
      </c>
      <c r="AG1854" s="14" t="s">
        <v>55</v>
      </c>
      <c r="AH1854" s="14" t="s">
        <v>1603</v>
      </c>
      <c r="AI1854" s="14" t="s">
        <v>1603</v>
      </c>
    </row>
    <row r="1855" spans="1:37">
      <c r="A1855" s="5" t="s">
        <v>8131</v>
      </c>
      <c r="B1855" s="5" t="s">
        <v>8132</v>
      </c>
      <c r="C1855" s="6" t="s">
        <v>6903</v>
      </c>
      <c r="D1855" s="6" t="s">
        <v>1645</v>
      </c>
      <c r="E1855" s="6" t="s">
        <v>2139</v>
      </c>
      <c r="F1855" s="6" t="s">
        <v>46</v>
      </c>
      <c r="G1855" s="6" t="s">
        <v>8133</v>
      </c>
      <c r="H1855" s="7">
        <v>32.67</v>
      </c>
      <c r="I1855" s="19" t="s">
        <v>2283</v>
      </c>
      <c r="J1855" s="19" t="s">
        <v>2466</v>
      </c>
      <c r="K1855" s="5" t="s">
        <v>6905</v>
      </c>
      <c r="L1855" s="5" t="s">
        <v>6906</v>
      </c>
      <c r="M1855" s="5" t="s">
        <v>6907</v>
      </c>
      <c r="N1855" s="5" t="s">
        <v>6908</v>
      </c>
      <c r="O1855" s="5" t="s">
        <v>8134</v>
      </c>
      <c r="P1855" s="5" t="s">
        <v>8135</v>
      </c>
      <c r="Q1855" s="5" t="s">
        <v>8136</v>
      </c>
      <c r="R1855" s="5" t="s">
        <v>8137</v>
      </c>
      <c r="AG1855" s="14" t="s">
        <v>55</v>
      </c>
      <c r="AH1855" s="14" t="s">
        <v>1603</v>
      </c>
      <c r="AI1855" s="14" t="s">
        <v>1603</v>
      </c>
    </row>
    <row r="1856" spans="1:37">
      <c r="A1856" s="5" t="s">
        <v>8138</v>
      </c>
      <c r="B1856" s="5" t="s">
        <v>8132</v>
      </c>
      <c r="C1856" s="6" t="s">
        <v>6903</v>
      </c>
      <c r="D1856" s="6" t="s">
        <v>1645</v>
      </c>
      <c r="E1856" s="6" t="s">
        <v>1386</v>
      </c>
      <c r="F1856" s="6" t="s">
        <v>46</v>
      </c>
      <c r="G1856" s="6" t="s">
        <v>8139</v>
      </c>
      <c r="H1856" s="7">
        <v>32.67</v>
      </c>
      <c r="I1856" s="19" t="s">
        <v>2283</v>
      </c>
      <c r="J1856" s="19" t="s">
        <v>2466</v>
      </c>
      <c r="K1856" s="5" t="s">
        <v>6905</v>
      </c>
      <c r="L1856" s="5" t="s">
        <v>6906</v>
      </c>
      <c r="M1856" s="5" t="s">
        <v>6907</v>
      </c>
      <c r="N1856" s="5" t="s">
        <v>6908</v>
      </c>
      <c r="O1856" s="5" t="s">
        <v>8134</v>
      </c>
      <c r="P1856" s="5" t="s">
        <v>8135</v>
      </c>
      <c r="Q1856" s="5" t="s">
        <v>8136</v>
      </c>
      <c r="R1856" s="5" t="s">
        <v>8137</v>
      </c>
      <c r="AG1856" s="14" t="s">
        <v>55</v>
      </c>
      <c r="AH1856" s="14" t="s">
        <v>1603</v>
      </c>
      <c r="AI1856" s="14" t="s">
        <v>1603</v>
      </c>
    </row>
    <row r="1857" spans="1:37">
      <c r="A1857" s="5" t="s">
        <v>8140</v>
      </c>
      <c r="B1857" s="5" t="s">
        <v>8132</v>
      </c>
      <c r="C1857" s="6" t="s">
        <v>6903</v>
      </c>
      <c r="D1857" s="6" t="s">
        <v>1645</v>
      </c>
      <c r="E1857" s="6" t="s">
        <v>2015</v>
      </c>
      <c r="F1857" s="6" t="s">
        <v>46</v>
      </c>
      <c r="G1857" s="6" t="s">
        <v>8106</v>
      </c>
      <c r="H1857" s="7">
        <v>32.67</v>
      </c>
      <c r="I1857" s="19" t="s">
        <v>2283</v>
      </c>
      <c r="J1857" s="19" t="s">
        <v>2466</v>
      </c>
      <c r="K1857" s="5" t="s">
        <v>6905</v>
      </c>
      <c r="L1857" s="5" t="s">
        <v>6906</v>
      </c>
      <c r="M1857" s="5" t="s">
        <v>6907</v>
      </c>
      <c r="N1857" s="5" t="s">
        <v>6908</v>
      </c>
      <c r="O1857" s="5" t="s">
        <v>8134</v>
      </c>
      <c r="P1857" s="5" t="s">
        <v>8135</v>
      </c>
      <c r="Q1857" s="5" t="s">
        <v>8136</v>
      </c>
      <c r="R1857" s="5" t="s">
        <v>8137</v>
      </c>
      <c r="AG1857" s="14" t="s">
        <v>55</v>
      </c>
      <c r="AH1857" s="14" t="s">
        <v>1603</v>
      </c>
      <c r="AI1857" s="14" t="s">
        <v>1603</v>
      </c>
    </row>
    <row r="1858" spans="1:37">
      <c r="A1858" s="5" t="s">
        <v>8141</v>
      </c>
      <c r="B1858" s="5" t="s">
        <v>8132</v>
      </c>
      <c r="C1858" s="6" t="s">
        <v>6903</v>
      </c>
      <c r="D1858" s="6" t="s">
        <v>1645</v>
      </c>
      <c r="E1858" s="6" t="s">
        <v>2065</v>
      </c>
      <c r="F1858" s="6" t="s">
        <v>46</v>
      </c>
      <c r="G1858" s="6" t="s">
        <v>8142</v>
      </c>
      <c r="H1858" s="7">
        <v>32.67</v>
      </c>
      <c r="I1858" s="19" t="s">
        <v>2283</v>
      </c>
      <c r="J1858" s="19" t="s">
        <v>2466</v>
      </c>
      <c r="K1858" s="5" t="s">
        <v>6905</v>
      </c>
      <c r="L1858" s="5" t="s">
        <v>6906</v>
      </c>
      <c r="M1858" s="5" t="s">
        <v>6907</v>
      </c>
      <c r="N1858" s="5" t="s">
        <v>6908</v>
      </c>
      <c r="O1858" s="5" t="s">
        <v>8134</v>
      </c>
      <c r="P1858" s="5" t="s">
        <v>8135</v>
      </c>
      <c r="Q1858" s="5" t="s">
        <v>8136</v>
      </c>
      <c r="R1858" s="5" t="s">
        <v>8137</v>
      </c>
      <c r="AG1858" s="14" t="s">
        <v>55</v>
      </c>
      <c r="AH1858" s="14" t="s">
        <v>1603</v>
      </c>
      <c r="AI1858" s="14" t="s">
        <v>1603</v>
      </c>
    </row>
    <row r="1859" spans="1:37">
      <c r="A1859" s="5" t="s">
        <v>8143</v>
      </c>
      <c r="B1859" s="5" t="s">
        <v>8144</v>
      </c>
      <c r="C1859" s="6" t="s">
        <v>91</v>
      </c>
      <c r="D1859" s="6" t="s">
        <v>1645</v>
      </c>
      <c r="E1859" s="6" t="s">
        <v>2139</v>
      </c>
      <c r="F1859" s="6" t="s">
        <v>46</v>
      </c>
      <c r="G1859" s="6" t="s">
        <v>8133</v>
      </c>
      <c r="H1859" s="7">
        <v>35.39</v>
      </c>
      <c r="I1859" s="19" t="s">
        <v>2283</v>
      </c>
      <c r="J1859" s="19" t="s">
        <v>2466</v>
      </c>
      <c r="K1859" s="5" t="s">
        <v>6931</v>
      </c>
      <c r="L1859" s="5" t="s">
        <v>6932</v>
      </c>
      <c r="M1859" s="5" t="s">
        <v>6933</v>
      </c>
      <c r="N1859" s="5" t="s">
        <v>6934</v>
      </c>
      <c r="O1859" s="5" t="s">
        <v>8145</v>
      </c>
      <c r="P1859" s="5" t="s">
        <v>8146</v>
      </c>
      <c r="Q1859" s="5" t="s">
        <v>8147</v>
      </c>
      <c r="R1859" s="5" t="s">
        <v>8148</v>
      </c>
      <c r="AG1859" s="14" t="s">
        <v>55</v>
      </c>
      <c r="AH1859" s="14" t="s">
        <v>1603</v>
      </c>
      <c r="AI1859" s="14" t="s">
        <v>1603</v>
      </c>
    </row>
    <row r="1860" spans="1:37">
      <c r="A1860" s="5" t="s">
        <v>8149</v>
      </c>
      <c r="B1860" s="5" t="s">
        <v>8144</v>
      </c>
      <c r="C1860" s="6" t="s">
        <v>91</v>
      </c>
      <c r="D1860" s="6" t="s">
        <v>1645</v>
      </c>
      <c r="E1860" s="6" t="s">
        <v>1386</v>
      </c>
      <c r="F1860" s="6" t="s">
        <v>46</v>
      </c>
      <c r="G1860" s="6" t="s">
        <v>8139</v>
      </c>
      <c r="H1860" s="7">
        <v>35.39</v>
      </c>
      <c r="I1860" s="19" t="s">
        <v>2283</v>
      </c>
      <c r="J1860" s="19" t="s">
        <v>2466</v>
      </c>
      <c r="K1860" s="5" t="s">
        <v>6931</v>
      </c>
      <c r="L1860" s="5" t="s">
        <v>6932</v>
      </c>
      <c r="M1860" s="5" t="s">
        <v>6933</v>
      </c>
      <c r="N1860" s="5" t="s">
        <v>6934</v>
      </c>
      <c r="O1860" s="5" t="s">
        <v>8145</v>
      </c>
      <c r="P1860" s="5" t="s">
        <v>8146</v>
      </c>
      <c r="Q1860" s="5" t="s">
        <v>8147</v>
      </c>
      <c r="R1860" s="5" t="s">
        <v>8148</v>
      </c>
      <c r="AG1860" s="14" t="s">
        <v>55</v>
      </c>
      <c r="AH1860" s="14" t="s">
        <v>1603</v>
      </c>
      <c r="AI1860" s="14" t="s">
        <v>1603</v>
      </c>
    </row>
    <row r="1861" spans="1:37">
      <c r="A1861" s="5" t="s">
        <v>8150</v>
      </c>
      <c r="B1861" s="5" t="s">
        <v>8144</v>
      </c>
      <c r="C1861" s="6" t="s">
        <v>91</v>
      </c>
      <c r="D1861" s="6" t="s">
        <v>1645</v>
      </c>
      <c r="E1861" s="6" t="s">
        <v>2015</v>
      </c>
      <c r="F1861" s="6" t="s">
        <v>46</v>
      </c>
      <c r="G1861" s="6" t="s">
        <v>6638</v>
      </c>
      <c r="H1861" s="7">
        <v>35.39</v>
      </c>
      <c r="I1861" s="19" t="s">
        <v>2283</v>
      </c>
      <c r="J1861" s="19" t="s">
        <v>2466</v>
      </c>
      <c r="K1861" s="5" t="s">
        <v>6931</v>
      </c>
      <c r="L1861" s="5" t="s">
        <v>6932</v>
      </c>
      <c r="M1861" s="5" t="s">
        <v>6933</v>
      </c>
      <c r="N1861" s="5" t="s">
        <v>6934</v>
      </c>
      <c r="O1861" s="5" t="s">
        <v>8145</v>
      </c>
      <c r="P1861" s="5" t="s">
        <v>8146</v>
      </c>
      <c r="Q1861" s="5" t="s">
        <v>8147</v>
      </c>
      <c r="R1861" s="5" t="s">
        <v>8148</v>
      </c>
      <c r="AG1861" s="14" t="s">
        <v>55</v>
      </c>
      <c r="AH1861" s="14" t="s">
        <v>1603</v>
      </c>
      <c r="AI1861" s="14" t="s">
        <v>1603</v>
      </c>
    </row>
    <row r="1862" spans="1:37">
      <c r="A1862" s="5" t="s">
        <v>8151</v>
      </c>
      <c r="B1862" s="5" t="s">
        <v>8152</v>
      </c>
      <c r="C1862" s="6" t="s">
        <v>2525</v>
      </c>
      <c r="D1862" s="6" t="s">
        <v>1645</v>
      </c>
      <c r="E1862" s="6" t="s">
        <v>2047</v>
      </c>
      <c r="F1862" s="6" t="s">
        <v>46</v>
      </c>
      <c r="G1862" s="6" t="s">
        <v>8153</v>
      </c>
      <c r="H1862" s="7">
        <v>33.79</v>
      </c>
      <c r="I1862" s="19" t="s">
        <v>2283</v>
      </c>
      <c r="J1862" s="19" t="s">
        <v>2512</v>
      </c>
      <c r="K1862" s="6" t="s">
        <v>6942</v>
      </c>
      <c r="L1862" s="6" t="s">
        <v>6943</v>
      </c>
      <c r="M1862" s="6" t="s">
        <v>6944</v>
      </c>
      <c r="N1862" s="6" t="s">
        <v>6945</v>
      </c>
      <c r="O1862" s="6" t="s">
        <v>8154</v>
      </c>
      <c r="P1862" s="6" t="s">
        <v>8155</v>
      </c>
      <c r="Q1862" s="6" t="s">
        <v>8156</v>
      </c>
      <c r="R1862" s="6" t="s">
        <v>8157</v>
      </c>
      <c r="AG1862" s="14" t="s">
        <v>55</v>
      </c>
      <c r="AH1862" s="14" t="s">
        <v>1603</v>
      </c>
      <c r="AI1862" s="14" t="s">
        <v>1603</v>
      </c>
    </row>
    <row r="1863" spans="1:37">
      <c r="A1863" s="5" t="s">
        <v>8158</v>
      </c>
      <c r="B1863" s="5" t="s">
        <v>8159</v>
      </c>
      <c r="C1863" s="6" t="s">
        <v>2479</v>
      </c>
      <c r="D1863" s="6" t="s">
        <v>1645</v>
      </c>
      <c r="E1863" s="6" t="s">
        <v>2319</v>
      </c>
      <c r="F1863" s="6" t="s">
        <v>46</v>
      </c>
      <c r="G1863" s="6" t="s">
        <v>8160</v>
      </c>
      <c r="H1863" s="7">
        <v>39.68</v>
      </c>
      <c r="I1863" s="19" t="s">
        <v>2283</v>
      </c>
      <c r="J1863" s="19" t="s">
        <v>2481</v>
      </c>
      <c r="K1863" s="5" t="s">
        <v>6966</v>
      </c>
      <c r="L1863" s="5" t="s">
        <v>6967</v>
      </c>
      <c r="M1863" s="5" t="s">
        <v>6968</v>
      </c>
      <c r="N1863" s="5" t="s">
        <v>6969</v>
      </c>
      <c r="O1863" s="5" t="s">
        <v>8161</v>
      </c>
      <c r="P1863" s="5" t="s">
        <v>8162</v>
      </c>
      <c r="Q1863" s="5" t="s">
        <v>8163</v>
      </c>
      <c r="R1863" s="5" t="s">
        <v>8164</v>
      </c>
      <c r="AG1863" s="14" t="s">
        <v>55</v>
      </c>
      <c r="AH1863" s="14" t="s">
        <v>1603</v>
      </c>
      <c r="AI1863" s="14" t="s">
        <v>1603</v>
      </c>
    </row>
    <row r="1864" spans="1:37">
      <c r="A1864" s="5" t="s">
        <v>8165</v>
      </c>
      <c r="B1864" s="5" t="s">
        <v>8159</v>
      </c>
      <c r="C1864" s="6" t="s">
        <v>2479</v>
      </c>
      <c r="D1864" s="6" t="s">
        <v>1645</v>
      </c>
      <c r="E1864" s="6" t="s">
        <v>2139</v>
      </c>
      <c r="F1864" s="6" t="s">
        <v>46</v>
      </c>
      <c r="G1864" s="6" t="s">
        <v>8166</v>
      </c>
      <c r="H1864" s="7">
        <v>39.68</v>
      </c>
      <c r="I1864" s="19" t="s">
        <v>2283</v>
      </c>
      <c r="J1864" s="19" t="s">
        <v>2481</v>
      </c>
      <c r="K1864" s="5" t="s">
        <v>6966</v>
      </c>
      <c r="L1864" s="5" t="s">
        <v>6967</v>
      </c>
      <c r="M1864" s="5" t="s">
        <v>6968</v>
      </c>
      <c r="N1864" s="5" t="s">
        <v>6969</v>
      </c>
      <c r="O1864" s="5" t="s">
        <v>8161</v>
      </c>
      <c r="P1864" s="5" t="s">
        <v>8162</v>
      </c>
      <c r="Q1864" s="5" t="s">
        <v>8163</v>
      </c>
      <c r="R1864" s="5" t="s">
        <v>8164</v>
      </c>
      <c r="AG1864" s="14" t="s">
        <v>55</v>
      </c>
      <c r="AH1864" s="14" t="s">
        <v>1603</v>
      </c>
      <c r="AI1864" s="14" t="s">
        <v>1603</v>
      </c>
    </row>
    <row r="1865" spans="1:37">
      <c r="A1865" s="5" t="s">
        <v>8167</v>
      </c>
      <c r="B1865" s="5" t="s">
        <v>8159</v>
      </c>
      <c r="C1865" s="6" t="s">
        <v>2479</v>
      </c>
      <c r="D1865" s="6" t="s">
        <v>1645</v>
      </c>
      <c r="E1865" s="6" t="s">
        <v>1386</v>
      </c>
      <c r="F1865" s="6" t="s">
        <v>46</v>
      </c>
      <c r="G1865" s="6" t="s">
        <v>3312</v>
      </c>
      <c r="H1865" s="7">
        <v>39.68</v>
      </c>
      <c r="I1865" s="19" t="s">
        <v>2283</v>
      </c>
      <c r="J1865" s="19" t="s">
        <v>2481</v>
      </c>
      <c r="K1865" s="5" t="s">
        <v>6966</v>
      </c>
      <c r="L1865" s="5" t="s">
        <v>6967</v>
      </c>
      <c r="M1865" s="5" t="s">
        <v>6968</v>
      </c>
      <c r="N1865" s="5" t="s">
        <v>6969</v>
      </c>
      <c r="O1865" s="5" t="s">
        <v>8161</v>
      </c>
      <c r="P1865" s="5" t="s">
        <v>8162</v>
      </c>
      <c r="Q1865" s="5" t="s">
        <v>8163</v>
      </c>
      <c r="R1865" s="5" t="s">
        <v>8164</v>
      </c>
      <c r="AG1865" s="14" t="s">
        <v>55</v>
      </c>
      <c r="AH1865" s="14" t="s">
        <v>1603</v>
      </c>
      <c r="AI1865" s="14" t="s">
        <v>1603</v>
      </c>
    </row>
    <row r="1866" spans="1:37">
      <c r="A1866" s="5" t="s">
        <v>8168</v>
      </c>
      <c r="B1866" s="5" t="s">
        <v>8159</v>
      </c>
      <c r="C1866" s="6" t="s">
        <v>2479</v>
      </c>
      <c r="D1866" s="6" t="s">
        <v>1645</v>
      </c>
      <c r="E1866" s="6" t="s">
        <v>2015</v>
      </c>
      <c r="F1866" s="6" t="s">
        <v>46</v>
      </c>
      <c r="G1866" s="6" t="s">
        <v>8169</v>
      </c>
      <c r="H1866" s="7">
        <v>39.68</v>
      </c>
      <c r="I1866" s="19" t="s">
        <v>2283</v>
      </c>
      <c r="J1866" s="19" t="s">
        <v>2481</v>
      </c>
      <c r="K1866" s="5" t="s">
        <v>6966</v>
      </c>
      <c r="L1866" s="5" t="s">
        <v>6967</v>
      </c>
      <c r="M1866" s="5" t="s">
        <v>6968</v>
      </c>
      <c r="N1866" s="5" t="s">
        <v>6969</v>
      </c>
      <c r="O1866" s="5" t="s">
        <v>8161</v>
      </c>
      <c r="P1866" s="5" t="s">
        <v>8162</v>
      </c>
      <c r="Q1866" s="5" t="s">
        <v>8163</v>
      </c>
      <c r="R1866" s="5" t="s">
        <v>8164</v>
      </c>
      <c r="AG1866" s="14" t="s">
        <v>55</v>
      </c>
      <c r="AH1866" s="14" t="s">
        <v>1603</v>
      </c>
      <c r="AI1866" s="14" t="s">
        <v>1603</v>
      </c>
    </row>
    <row r="1867" spans="1:37">
      <c r="A1867" s="5" t="s">
        <v>8170</v>
      </c>
      <c r="B1867" s="5" t="s">
        <v>8159</v>
      </c>
      <c r="C1867" s="6" t="s">
        <v>2479</v>
      </c>
      <c r="D1867" s="6" t="s">
        <v>1645</v>
      </c>
      <c r="E1867" s="6" t="s">
        <v>2047</v>
      </c>
      <c r="F1867" s="6" t="s">
        <v>46</v>
      </c>
      <c r="G1867" s="6" t="s">
        <v>8171</v>
      </c>
      <c r="H1867" s="7">
        <v>39.68</v>
      </c>
      <c r="I1867" s="19" t="s">
        <v>2283</v>
      </c>
      <c r="J1867" s="19" t="s">
        <v>2481</v>
      </c>
      <c r="K1867" s="5" t="s">
        <v>6966</v>
      </c>
      <c r="L1867" s="5" t="s">
        <v>6967</v>
      </c>
      <c r="M1867" s="5" t="s">
        <v>6968</v>
      </c>
      <c r="N1867" s="5" t="s">
        <v>6969</v>
      </c>
      <c r="O1867" s="5" t="s">
        <v>8161</v>
      </c>
      <c r="P1867" s="5" t="s">
        <v>8162</v>
      </c>
      <c r="Q1867" s="5" t="s">
        <v>8163</v>
      </c>
      <c r="R1867" s="5" t="s">
        <v>8164</v>
      </c>
      <c r="AG1867" s="14" t="s">
        <v>55</v>
      </c>
      <c r="AH1867" s="14" t="s">
        <v>1603</v>
      </c>
      <c r="AI1867" s="14" t="s">
        <v>1603</v>
      </c>
    </row>
    <row r="1868" spans="1:37">
      <c r="A1868" s="6" t="s">
        <v>8172</v>
      </c>
      <c r="B1868" s="6" t="s">
        <v>8173</v>
      </c>
      <c r="C1868" s="6" t="s">
        <v>43</v>
      </c>
      <c r="D1868" s="6" t="s">
        <v>239</v>
      </c>
      <c r="E1868" s="6" t="s">
        <v>2849</v>
      </c>
      <c r="F1868" s="6" t="s">
        <v>46</v>
      </c>
      <c r="G1868" s="6" t="s">
        <v>8174</v>
      </c>
      <c r="I1868" s="19" t="s">
        <v>48</v>
      </c>
      <c r="J1868" s="19" t="s">
        <v>48</v>
      </c>
      <c r="K1868" s="6"/>
      <c r="L1868" s="6"/>
      <c r="M1868" s="6"/>
      <c r="N1868" s="6"/>
      <c r="O1868" s="6"/>
      <c r="P1868" s="6"/>
      <c r="Q1868" s="6"/>
      <c r="R1868" s="6"/>
      <c r="S1868" s="6"/>
      <c r="T1868" s="6"/>
      <c r="U1868" s="6"/>
      <c r="V1868" s="6"/>
      <c r="W1868" s="6"/>
      <c r="X1868" s="6"/>
      <c r="Y1868" s="6"/>
      <c r="Z1868" s="6"/>
      <c r="AA1868" s="6"/>
      <c r="AB1868" s="6"/>
      <c r="AC1868" s="6"/>
      <c r="AD1868" s="6"/>
      <c r="AE1868" s="6"/>
      <c r="AF1868" s="6"/>
      <c r="AG1868" s="15" t="s">
        <v>55</v>
      </c>
      <c r="AH1868" s="15"/>
      <c r="AI1868" s="15"/>
      <c r="AJ1868" s="6"/>
      <c r="AK1868" s="6"/>
    </row>
    <row r="1869" spans="1:37" s="6" customFormat="1">
      <c r="A1869" s="5" t="s">
        <v>8175</v>
      </c>
      <c r="B1869" s="5" t="s">
        <v>8159</v>
      </c>
      <c r="C1869" s="6" t="s">
        <v>2479</v>
      </c>
      <c r="D1869" s="6" t="s">
        <v>1645</v>
      </c>
      <c r="E1869" s="6" t="s">
        <v>503</v>
      </c>
      <c r="F1869" s="6" t="s">
        <v>46</v>
      </c>
      <c r="G1869" s="6" t="s">
        <v>8176</v>
      </c>
      <c r="H1869" s="7">
        <v>39.68</v>
      </c>
      <c r="I1869" s="19" t="s">
        <v>2283</v>
      </c>
      <c r="J1869" s="19" t="s">
        <v>2481</v>
      </c>
      <c r="K1869" s="5" t="s">
        <v>6966</v>
      </c>
      <c r="L1869" s="5" t="s">
        <v>6967</v>
      </c>
      <c r="M1869" s="5" t="s">
        <v>6968</v>
      </c>
      <c r="N1869" s="5" t="s">
        <v>6969</v>
      </c>
      <c r="O1869" s="5" t="s">
        <v>8161</v>
      </c>
      <c r="P1869" s="5" t="s">
        <v>8162</v>
      </c>
      <c r="Q1869" s="5" t="s">
        <v>8163</v>
      </c>
      <c r="R1869" s="5" t="s">
        <v>8164</v>
      </c>
      <c r="S1869" s="5"/>
      <c r="T1869" s="5"/>
      <c r="U1869" s="5"/>
      <c r="V1869" s="5"/>
      <c r="W1869" s="5"/>
      <c r="X1869" s="5"/>
      <c r="Y1869" s="5"/>
      <c r="Z1869" s="5"/>
      <c r="AA1869" s="5"/>
      <c r="AB1869" s="5"/>
      <c r="AC1869" s="5"/>
      <c r="AD1869" s="5"/>
      <c r="AE1869" s="5"/>
      <c r="AF1869" s="5"/>
      <c r="AG1869" s="14" t="s">
        <v>55</v>
      </c>
      <c r="AH1869" s="14" t="s">
        <v>1603</v>
      </c>
      <c r="AI1869" s="14" t="s">
        <v>1603</v>
      </c>
      <c r="AJ1869" s="5"/>
      <c r="AK1869" s="5"/>
    </row>
    <row r="1870" spans="1:37">
      <c r="A1870" s="5" t="s">
        <v>8177</v>
      </c>
      <c r="B1870" s="5" t="s">
        <v>8178</v>
      </c>
      <c r="C1870" s="6" t="s">
        <v>43</v>
      </c>
      <c r="D1870" s="6" t="s">
        <v>1645</v>
      </c>
      <c r="E1870" s="6" t="s">
        <v>1386</v>
      </c>
      <c r="F1870" s="6" t="s">
        <v>46</v>
      </c>
      <c r="G1870" s="6" t="s">
        <v>3312</v>
      </c>
      <c r="H1870" s="7">
        <v>39.68</v>
      </c>
      <c r="I1870" s="19" t="s">
        <v>2283</v>
      </c>
      <c r="J1870" s="19" t="s">
        <v>2481</v>
      </c>
      <c r="K1870" s="5" t="s">
        <v>8179</v>
      </c>
      <c r="L1870" s="5" t="s">
        <v>8180</v>
      </c>
      <c r="M1870" s="5" t="s">
        <v>8181</v>
      </c>
      <c r="N1870" s="5" t="s">
        <v>8182</v>
      </c>
      <c r="O1870" s="5" t="s">
        <v>8183</v>
      </c>
      <c r="P1870" s="5" t="s">
        <v>8184</v>
      </c>
      <c r="Q1870" s="5" t="s">
        <v>8185</v>
      </c>
      <c r="R1870" s="5" t="s">
        <v>8186</v>
      </c>
      <c r="AG1870" s="14" t="s">
        <v>55</v>
      </c>
      <c r="AH1870" s="14" t="s">
        <v>1603</v>
      </c>
      <c r="AI1870" s="14" t="s">
        <v>1603</v>
      </c>
    </row>
    <row r="1871" spans="1:37">
      <c r="A1871" s="5" t="s">
        <v>8187</v>
      </c>
      <c r="B1871" s="5" t="s">
        <v>8178</v>
      </c>
      <c r="C1871" s="6" t="s">
        <v>43</v>
      </c>
      <c r="D1871" s="6" t="s">
        <v>1645</v>
      </c>
      <c r="E1871" s="6" t="s">
        <v>2015</v>
      </c>
      <c r="F1871" s="6" t="s">
        <v>46</v>
      </c>
      <c r="G1871" s="6" t="s">
        <v>8188</v>
      </c>
      <c r="H1871" s="7">
        <v>39.68</v>
      </c>
      <c r="I1871" s="19" t="s">
        <v>2283</v>
      </c>
      <c r="J1871" s="19" t="s">
        <v>2481</v>
      </c>
      <c r="K1871" s="5" t="s">
        <v>8179</v>
      </c>
      <c r="L1871" s="5" t="s">
        <v>8180</v>
      </c>
      <c r="M1871" s="5" t="s">
        <v>8181</v>
      </c>
      <c r="N1871" s="5" t="s">
        <v>8182</v>
      </c>
      <c r="O1871" s="5" t="s">
        <v>8183</v>
      </c>
      <c r="P1871" s="5" t="s">
        <v>8184</v>
      </c>
      <c r="Q1871" s="5" t="s">
        <v>8185</v>
      </c>
      <c r="R1871" s="5" t="s">
        <v>8186</v>
      </c>
      <c r="AG1871" s="14" t="s">
        <v>55</v>
      </c>
      <c r="AH1871" s="14" t="s">
        <v>1603</v>
      </c>
      <c r="AI1871" s="14" t="s">
        <v>1603</v>
      </c>
    </row>
    <row r="1872" spans="1:37">
      <c r="A1872" s="5" t="s">
        <v>8189</v>
      </c>
      <c r="B1872" s="5" t="s">
        <v>8190</v>
      </c>
      <c r="C1872" s="6" t="s">
        <v>2479</v>
      </c>
      <c r="D1872" s="6" t="s">
        <v>1645</v>
      </c>
      <c r="E1872" s="6" t="s">
        <v>1386</v>
      </c>
      <c r="F1872" s="6" t="s">
        <v>46</v>
      </c>
      <c r="G1872" s="6" t="s">
        <v>8191</v>
      </c>
      <c r="H1872" s="7">
        <v>39.68</v>
      </c>
      <c r="I1872" s="19" t="s">
        <v>2283</v>
      </c>
      <c r="J1872" s="19" t="s">
        <v>2481</v>
      </c>
      <c r="K1872" s="5" t="s">
        <v>2573</v>
      </c>
      <c r="L1872" s="5" t="s">
        <v>2574</v>
      </c>
      <c r="M1872" s="5" t="s">
        <v>2575</v>
      </c>
      <c r="N1872" s="5" t="s">
        <v>2576</v>
      </c>
      <c r="O1872" s="5" t="s">
        <v>8192</v>
      </c>
      <c r="P1872" s="5" t="s">
        <v>8193</v>
      </c>
      <c r="Q1872" s="5" t="s">
        <v>8194</v>
      </c>
      <c r="R1872" s="5" t="s">
        <v>8195</v>
      </c>
      <c r="AG1872" s="14" t="s">
        <v>55</v>
      </c>
      <c r="AH1872" s="14" t="s">
        <v>1603</v>
      </c>
      <c r="AI1872" s="14" t="s">
        <v>1603</v>
      </c>
    </row>
    <row r="1873" spans="1:37">
      <c r="A1873" s="5" t="s">
        <v>8196</v>
      </c>
      <c r="B1873" s="5" t="s">
        <v>8190</v>
      </c>
      <c r="C1873" s="6" t="s">
        <v>2479</v>
      </c>
      <c r="D1873" s="6" t="s">
        <v>1645</v>
      </c>
      <c r="E1873" s="6" t="s">
        <v>2015</v>
      </c>
      <c r="F1873" s="6" t="s">
        <v>46</v>
      </c>
      <c r="G1873" s="6" t="s">
        <v>3725</v>
      </c>
      <c r="H1873" s="7">
        <v>39.68</v>
      </c>
      <c r="I1873" s="19" t="s">
        <v>2283</v>
      </c>
      <c r="J1873" s="19" t="s">
        <v>2481</v>
      </c>
      <c r="K1873" s="5" t="s">
        <v>2573</v>
      </c>
      <c r="L1873" s="5" t="s">
        <v>2574</v>
      </c>
      <c r="M1873" s="5" t="s">
        <v>2575</v>
      </c>
      <c r="N1873" s="5" t="s">
        <v>2576</v>
      </c>
      <c r="O1873" s="5" t="s">
        <v>8192</v>
      </c>
      <c r="P1873" s="5" t="s">
        <v>8193</v>
      </c>
      <c r="Q1873" s="5" t="s">
        <v>8194</v>
      </c>
      <c r="R1873" s="5" t="s">
        <v>8195</v>
      </c>
      <c r="AG1873" s="14" t="s">
        <v>55</v>
      </c>
      <c r="AH1873" s="14" t="s">
        <v>1603</v>
      </c>
      <c r="AI1873" s="14" t="s">
        <v>1603</v>
      </c>
    </row>
    <row r="1874" spans="1:37">
      <c r="A1874" s="6" t="s">
        <v>8197</v>
      </c>
      <c r="B1874" s="6" t="s">
        <v>8198</v>
      </c>
      <c r="C1874" s="6" t="s">
        <v>43</v>
      </c>
      <c r="D1874" s="6" t="s">
        <v>239</v>
      </c>
      <c r="E1874" s="6" t="s">
        <v>1693</v>
      </c>
      <c r="F1874" s="6" t="s">
        <v>46</v>
      </c>
      <c r="G1874" s="6" t="s">
        <v>8199</v>
      </c>
      <c r="I1874" s="19" t="s">
        <v>48</v>
      </c>
      <c r="J1874" s="19" t="s">
        <v>48</v>
      </c>
      <c r="K1874" s="6"/>
      <c r="L1874" s="6"/>
      <c r="M1874" s="6"/>
      <c r="N1874" s="6"/>
      <c r="O1874" s="6"/>
      <c r="P1874" s="6"/>
      <c r="Q1874" s="6"/>
      <c r="R1874" s="6"/>
      <c r="S1874" s="6"/>
      <c r="T1874" s="6"/>
      <c r="U1874" s="6"/>
      <c r="V1874" s="6"/>
      <c r="W1874" s="6"/>
      <c r="X1874" s="6"/>
      <c r="Y1874" s="6"/>
      <c r="Z1874" s="6"/>
      <c r="AA1874" s="6"/>
      <c r="AB1874" s="6"/>
      <c r="AC1874" s="6"/>
      <c r="AD1874" s="6"/>
      <c r="AE1874" s="6"/>
      <c r="AF1874" s="6"/>
      <c r="AG1874" s="15" t="s">
        <v>55</v>
      </c>
      <c r="AH1874" s="15"/>
      <c r="AI1874" s="15"/>
      <c r="AJ1874" s="6"/>
      <c r="AK1874" s="6"/>
    </row>
    <row r="1875" spans="1:37" s="6" customFormat="1">
      <c r="A1875" s="5" t="s">
        <v>8200</v>
      </c>
      <c r="B1875" s="5" t="s">
        <v>8201</v>
      </c>
      <c r="C1875" s="6" t="s">
        <v>2281</v>
      </c>
      <c r="D1875" s="6" t="s">
        <v>1645</v>
      </c>
      <c r="E1875" s="6" t="s">
        <v>1386</v>
      </c>
      <c r="F1875" s="6" t="s">
        <v>46</v>
      </c>
      <c r="G1875" s="6" t="s">
        <v>3576</v>
      </c>
      <c r="H1875" s="7">
        <v>46.9</v>
      </c>
      <c r="I1875" s="19" t="s">
        <v>2283</v>
      </c>
      <c r="J1875" s="19" t="s">
        <v>2512</v>
      </c>
      <c r="K1875" s="6" t="s">
        <v>2616</v>
      </c>
      <c r="L1875" s="6" t="s">
        <v>2617</v>
      </c>
      <c r="M1875" s="6" t="s">
        <v>2618</v>
      </c>
      <c r="N1875" s="6" t="s">
        <v>2619</v>
      </c>
      <c r="O1875" s="6" t="s">
        <v>8202</v>
      </c>
      <c r="P1875" s="6" t="s">
        <v>8203</v>
      </c>
      <c r="Q1875" s="6" t="s">
        <v>8204</v>
      </c>
      <c r="R1875" s="6" t="s">
        <v>8205</v>
      </c>
      <c r="S1875" s="5"/>
      <c r="T1875" s="5"/>
      <c r="U1875" s="5"/>
      <c r="V1875" s="5"/>
      <c r="W1875" s="5"/>
      <c r="X1875" s="5"/>
      <c r="Y1875" s="5"/>
      <c r="Z1875" s="5"/>
      <c r="AA1875" s="5"/>
      <c r="AB1875" s="5"/>
      <c r="AC1875" s="5"/>
      <c r="AD1875" s="5"/>
      <c r="AE1875" s="5"/>
      <c r="AF1875" s="5"/>
      <c r="AG1875" s="14" t="s">
        <v>55</v>
      </c>
      <c r="AH1875" s="14" t="s">
        <v>1603</v>
      </c>
      <c r="AI1875" s="14" t="s">
        <v>1603</v>
      </c>
      <c r="AJ1875" s="5"/>
      <c r="AK1875" s="5"/>
    </row>
    <row r="1876" spans="1:37">
      <c r="A1876" s="5" t="s">
        <v>8206</v>
      </c>
      <c r="B1876" s="5" t="s">
        <v>8201</v>
      </c>
      <c r="C1876" s="6" t="s">
        <v>2281</v>
      </c>
      <c r="D1876" s="6" t="s">
        <v>1645</v>
      </c>
      <c r="E1876" s="6" t="s">
        <v>2065</v>
      </c>
      <c r="F1876" s="6" t="s">
        <v>46</v>
      </c>
      <c r="G1876" s="6" t="s">
        <v>8207</v>
      </c>
      <c r="H1876" s="7">
        <v>46.9</v>
      </c>
      <c r="I1876" s="19" t="s">
        <v>2283</v>
      </c>
      <c r="J1876" s="19" t="s">
        <v>2512</v>
      </c>
      <c r="K1876" s="6" t="s">
        <v>2616</v>
      </c>
      <c r="L1876" s="6" t="s">
        <v>2617</v>
      </c>
      <c r="M1876" s="6" t="s">
        <v>2618</v>
      </c>
      <c r="N1876" s="6" t="s">
        <v>2619</v>
      </c>
      <c r="O1876" s="6" t="s">
        <v>8208</v>
      </c>
      <c r="P1876" s="6" t="s">
        <v>8209</v>
      </c>
      <c r="Q1876" s="6" t="s">
        <v>8210</v>
      </c>
      <c r="R1876" s="6" t="s">
        <v>8211</v>
      </c>
      <c r="AG1876" s="14" t="s">
        <v>55</v>
      </c>
      <c r="AH1876" s="14" t="s">
        <v>1603</v>
      </c>
      <c r="AI1876" s="14" t="s">
        <v>1603</v>
      </c>
    </row>
    <row r="1877" spans="1:37">
      <c r="A1877" s="5" t="s">
        <v>8212</v>
      </c>
      <c r="B1877" s="5" t="s">
        <v>8213</v>
      </c>
      <c r="C1877" s="6" t="s">
        <v>8214</v>
      </c>
      <c r="D1877" s="6" t="s">
        <v>1645</v>
      </c>
      <c r="E1877" s="6" t="s">
        <v>2015</v>
      </c>
      <c r="F1877" s="6" t="s">
        <v>46</v>
      </c>
      <c r="G1877" s="6" t="s">
        <v>8169</v>
      </c>
      <c r="H1877" s="7">
        <v>44.97</v>
      </c>
      <c r="I1877" s="19" t="s">
        <v>2283</v>
      </c>
      <c r="J1877" s="19" t="s">
        <v>2636</v>
      </c>
      <c r="K1877" s="5" t="s">
        <v>7596</v>
      </c>
      <c r="L1877" s="5" t="s">
        <v>7597</v>
      </c>
      <c r="M1877" s="5" t="s">
        <v>7598</v>
      </c>
      <c r="N1877" s="5" t="s">
        <v>7599</v>
      </c>
      <c r="O1877" s="5" t="s">
        <v>8215</v>
      </c>
      <c r="P1877" s="5" t="s">
        <v>8216</v>
      </c>
      <c r="Q1877" s="5" t="s">
        <v>8217</v>
      </c>
      <c r="R1877" s="5" t="s">
        <v>8218</v>
      </c>
      <c r="AG1877" s="14" t="s">
        <v>55</v>
      </c>
      <c r="AH1877" s="14" t="s">
        <v>1603</v>
      </c>
      <c r="AI1877" s="14" t="s">
        <v>1603</v>
      </c>
    </row>
    <row r="1878" spans="1:37">
      <c r="A1878" s="5" t="s">
        <v>8219</v>
      </c>
      <c r="B1878" s="5" t="s">
        <v>8220</v>
      </c>
      <c r="C1878" s="6" t="s">
        <v>43</v>
      </c>
      <c r="D1878" s="6" t="s">
        <v>1645</v>
      </c>
      <c r="E1878" s="6" t="s">
        <v>2015</v>
      </c>
      <c r="F1878" s="6" t="s">
        <v>46</v>
      </c>
      <c r="G1878" s="6" t="s">
        <v>8221</v>
      </c>
      <c r="H1878" s="7">
        <v>44.97</v>
      </c>
      <c r="I1878" s="19" t="s">
        <v>2283</v>
      </c>
      <c r="J1878" s="19" t="s">
        <v>2636</v>
      </c>
      <c r="K1878" s="5" t="s">
        <v>8222</v>
      </c>
      <c r="L1878" s="5" t="s">
        <v>8223</v>
      </c>
      <c r="M1878" s="5" t="s">
        <v>8224</v>
      </c>
      <c r="N1878" s="5" t="s">
        <v>8225</v>
      </c>
      <c r="O1878" s="5" t="s">
        <v>8226</v>
      </c>
      <c r="P1878" s="5" t="s">
        <v>8227</v>
      </c>
      <c r="Q1878" s="5" t="s">
        <v>8228</v>
      </c>
      <c r="R1878" s="5" t="s">
        <v>8229</v>
      </c>
      <c r="AG1878" s="14" t="s">
        <v>55</v>
      </c>
      <c r="AH1878" s="14" t="s">
        <v>1603</v>
      </c>
      <c r="AI1878" s="14" t="s">
        <v>1603</v>
      </c>
    </row>
    <row r="1879" spans="1:37">
      <c r="A1879" s="5" t="s">
        <v>8230</v>
      </c>
      <c r="B1879" s="5" t="s">
        <v>8231</v>
      </c>
      <c r="C1879" s="6" t="s">
        <v>43</v>
      </c>
      <c r="D1879" s="6" t="s">
        <v>1645</v>
      </c>
      <c r="E1879" s="6" t="s">
        <v>2139</v>
      </c>
      <c r="F1879" s="6" t="s">
        <v>46</v>
      </c>
      <c r="G1879" s="6" t="s">
        <v>7780</v>
      </c>
      <c r="H1879" s="7">
        <v>48.48</v>
      </c>
      <c r="I1879" s="19" t="s">
        <v>2283</v>
      </c>
      <c r="J1879" s="19" t="s">
        <v>2636</v>
      </c>
      <c r="K1879" s="5" t="s">
        <v>6993</v>
      </c>
      <c r="L1879" s="5" t="s">
        <v>6994</v>
      </c>
      <c r="M1879" s="5" t="s">
        <v>6995</v>
      </c>
      <c r="N1879" s="5" t="s">
        <v>6996</v>
      </c>
      <c r="O1879" s="5" t="s">
        <v>8232</v>
      </c>
      <c r="P1879" s="5" t="s">
        <v>8233</v>
      </c>
      <c r="Q1879" s="5" t="s">
        <v>8234</v>
      </c>
      <c r="R1879" s="5" t="s">
        <v>8235</v>
      </c>
      <c r="AG1879" s="14" t="s">
        <v>55</v>
      </c>
      <c r="AH1879" s="14" t="s">
        <v>1603</v>
      </c>
      <c r="AI1879" s="14" t="s">
        <v>1603</v>
      </c>
    </row>
    <row r="1880" spans="1:37">
      <c r="A1880" s="5" t="s">
        <v>8236</v>
      </c>
      <c r="B1880" s="5" t="s">
        <v>8231</v>
      </c>
      <c r="C1880" s="6" t="s">
        <v>8237</v>
      </c>
      <c r="D1880" s="6" t="s">
        <v>1645</v>
      </c>
      <c r="E1880" s="6" t="s">
        <v>1386</v>
      </c>
      <c r="F1880" s="6" t="s">
        <v>46</v>
      </c>
      <c r="G1880" s="6" t="s">
        <v>3044</v>
      </c>
      <c r="H1880" s="7">
        <v>48.48</v>
      </c>
      <c r="I1880" s="19" t="s">
        <v>2283</v>
      </c>
      <c r="J1880" s="19" t="s">
        <v>2636</v>
      </c>
      <c r="K1880" s="5" t="s">
        <v>6993</v>
      </c>
      <c r="L1880" s="5" t="s">
        <v>6994</v>
      </c>
      <c r="M1880" s="5" t="s">
        <v>6995</v>
      </c>
      <c r="N1880" s="5" t="s">
        <v>6996</v>
      </c>
      <c r="O1880" s="5" t="s">
        <v>8232</v>
      </c>
      <c r="P1880" s="5" t="s">
        <v>8233</v>
      </c>
      <c r="Q1880" s="5" t="s">
        <v>8234</v>
      </c>
      <c r="R1880" s="5" t="s">
        <v>8235</v>
      </c>
      <c r="AG1880" s="14" t="s">
        <v>55</v>
      </c>
      <c r="AH1880" s="14" t="s">
        <v>1603</v>
      </c>
      <c r="AI1880" s="14" t="s">
        <v>1603</v>
      </c>
    </row>
    <row r="1881" spans="1:37">
      <c r="A1881" s="5" t="s">
        <v>8238</v>
      </c>
      <c r="B1881" s="5" t="s">
        <v>8231</v>
      </c>
      <c r="C1881" s="6" t="s">
        <v>43</v>
      </c>
      <c r="D1881" s="6" t="s">
        <v>1645</v>
      </c>
      <c r="E1881" s="6" t="s">
        <v>2015</v>
      </c>
      <c r="F1881" s="6" t="s">
        <v>46</v>
      </c>
      <c r="G1881" s="6" t="s">
        <v>2808</v>
      </c>
      <c r="H1881" s="7">
        <v>48.48</v>
      </c>
      <c r="I1881" s="19" t="s">
        <v>2283</v>
      </c>
      <c r="J1881" s="19" t="s">
        <v>2636</v>
      </c>
      <c r="K1881" s="6" t="s">
        <v>6993</v>
      </c>
      <c r="L1881" s="6" t="s">
        <v>6994</v>
      </c>
      <c r="M1881" s="6" t="s">
        <v>6995</v>
      </c>
      <c r="N1881" s="6" t="s">
        <v>6996</v>
      </c>
      <c r="O1881" s="6" t="s">
        <v>8232</v>
      </c>
      <c r="P1881" s="6" t="s">
        <v>8233</v>
      </c>
      <c r="Q1881" s="6" t="s">
        <v>8234</v>
      </c>
      <c r="R1881" s="6" t="s">
        <v>8235</v>
      </c>
      <c r="AG1881" s="14" t="s">
        <v>55</v>
      </c>
      <c r="AH1881" s="14" t="s">
        <v>1603</v>
      </c>
      <c r="AI1881" s="14" t="s">
        <v>1603</v>
      </c>
    </row>
    <row r="1882" spans="1:37">
      <c r="A1882" s="6" t="s">
        <v>8239</v>
      </c>
      <c r="B1882" s="6" t="s">
        <v>8231</v>
      </c>
      <c r="C1882" s="6" t="s">
        <v>43</v>
      </c>
      <c r="D1882" s="6" t="s">
        <v>1645</v>
      </c>
      <c r="E1882" s="6" t="s">
        <v>1671</v>
      </c>
      <c r="F1882" s="6" t="s">
        <v>46</v>
      </c>
      <c r="G1882" s="6" t="s">
        <v>8240</v>
      </c>
      <c r="I1882" s="19" t="s">
        <v>48</v>
      </c>
      <c r="J1882" s="19" t="s">
        <v>48</v>
      </c>
      <c r="K1882" s="6"/>
      <c r="L1882" s="6"/>
      <c r="M1882" s="6"/>
      <c r="N1882" s="6"/>
      <c r="O1882" s="6"/>
      <c r="P1882" s="6"/>
      <c r="Q1882" s="6"/>
      <c r="R1882" s="6"/>
      <c r="S1882" s="6"/>
      <c r="T1882" s="6"/>
      <c r="U1882" s="6"/>
      <c r="V1882" s="6"/>
      <c r="W1882" s="6"/>
      <c r="X1882" s="6"/>
      <c r="Y1882" s="6"/>
      <c r="Z1882" s="6"/>
      <c r="AA1882" s="6"/>
      <c r="AB1882" s="6"/>
      <c r="AC1882" s="6"/>
      <c r="AD1882" s="6"/>
      <c r="AE1882" s="6"/>
      <c r="AF1882" s="6"/>
      <c r="AG1882" s="15" t="s">
        <v>55</v>
      </c>
      <c r="AH1882" s="15"/>
      <c r="AI1882" s="15"/>
      <c r="AJ1882" s="6"/>
      <c r="AK1882" s="6"/>
    </row>
    <row r="1883" spans="1:37" s="6" customFormat="1">
      <c r="A1883" s="5" t="s">
        <v>8241</v>
      </c>
      <c r="B1883" s="5" t="s">
        <v>8231</v>
      </c>
      <c r="C1883" s="6" t="s">
        <v>43</v>
      </c>
      <c r="D1883" s="6" t="s">
        <v>1645</v>
      </c>
      <c r="E1883" s="6" t="s">
        <v>2065</v>
      </c>
      <c r="F1883" s="6" t="s">
        <v>46</v>
      </c>
      <c r="G1883" s="6" t="s">
        <v>2956</v>
      </c>
      <c r="H1883" s="7">
        <v>48.48</v>
      </c>
      <c r="I1883" s="19" t="s">
        <v>2283</v>
      </c>
      <c r="J1883" s="19" t="s">
        <v>2636</v>
      </c>
      <c r="K1883" s="5" t="s">
        <v>6993</v>
      </c>
      <c r="L1883" s="5" t="s">
        <v>6994</v>
      </c>
      <c r="M1883" s="5" t="s">
        <v>6995</v>
      </c>
      <c r="N1883" s="5" t="s">
        <v>6996</v>
      </c>
      <c r="O1883" s="5" t="s">
        <v>8232</v>
      </c>
      <c r="P1883" s="5" t="s">
        <v>8233</v>
      </c>
      <c r="Q1883" s="5" t="s">
        <v>8234</v>
      </c>
      <c r="R1883" s="5" t="s">
        <v>8235</v>
      </c>
      <c r="S1883" s="5"/>
      <c r="T1883" s="5"/>
      <c r="U1883" s="5"/>
      <c r="V1883" s="5"/>
      <c r="W1883" s="5"/>
      <c r="X1883" s="5"/>
      <c r="Y1883" s="5"/>
      <c r="Z1883" s="5"/>
      <c r="AA1883" s="5"/>
      <c r="AB1883" s="5"/>
      <c r="AC1883" s="5"/>
      <c r="AD1883" s="5"/>
      <c r="AE1883" s="5"/>
      <c r="AF1883" s="5"/>
      <c r="AG1883" s="14" t="s">
        <v>55</v>
      </c>
      <c r="AH1883" s="14" t="s">
        <v>1603</v>
      </c>
      <c r="AI1883" s="14" t="s">
        <v>1603</v>
      </c>
      <c r="AJ1883" s="5"/>
      <c r="AK1883" s="5"/>
    </row>
    <row r="1884" spans="1:37">
      <c r="A1884" s="5" t="s">
        <v>8242</v>
      </c>
      <c r="B1884" s="5" t="s">
        <v>8243</v>
      </c>
      <c r="C1884" s="6" t="s">
        <v>8237</v>
      </c>
      <c r="D1884" s="6" t="s">
        <v>1645</v>
      </c>
      <c r="E1884" s="6" t="s">
        <v>1386</v>
      </c>
      <c r="F1884" s="6" t="s">
        <v>46</v>
      </c>
      <c r="G1884" s="6" t="s">
        <v>3044</v>
      </c>
      <c r="H1884" s="7">
        <v>48.48</v>
      </c>
      <c r="I1884" s="19" t="s">
        <v>2283</v>
      </c>
      <c r="J1884" s="19" t="s">
        <v>2636</v>
      </c>
      <c r="K1884" s="5" t="s">
        <v>8244</v>
      </c>
      <c r="L1884" s="5" t="s">
        <v>8245</v>
      </c>
      <c r="M1884" s="5" t="s">
        <v>8246</v>
      </c>
      <c r="N1884" s="5" t="s">
        <v>8247</v>
      </c>
      <c r="O1884" s="5" t="s">
        <v>8248</v>
      </c>
      <c r="P1884" s="5" t="s">
        <v>8249</v>
      </c>
      <c r="Q1884" s="5" t="s">
        <v>8250</v>
      </c>
      <c r="R1884" s="5" t="s">
        <v>8251</v>
      </c>
      <c r="AG1884" s="14" t="s">
        <v>55</v>
      </c>
      <c r="AH1884" s="14" t="s">
        <v>1603</v>
      </c>
      <c r="AI1884" s="14" t="s">
        <v>1603</v>
      </c>
    </row>
    <row r="1885" spans="1:37">
      <c r="A1885" s="5" t="s">
        <v>8252</v>
      </c>
      <c r="B1885" s="5" t="s">
        <v>8243</v>
      </c>
      <c r="C1885" s="6" t="s">
        <v>8237</v>
      </c>
      <c r="D1885" s="6" t="s">
        <v>1645</v>
      </c>
      <c r="E1885" s="6" t="s">
        <v>2015</v>
      </c>
      <c r="F1885" s="6" t="s">
        <v>46</v>
      </c>
      <c r="G1885" s="6" t="s">
        <v>8253</v>
      </c>
      <c r="H1885" s="7">
        <v>48.48</v>
      </c>
      <c r="I1885" s="19" t="s">
        <v>2283</v>
      </c>
      <c r="J1885" s="19" t="s">
        <v>2636</v>
      </c>
      <c r="K1885" s="5" t="s">
        <v>8244</v>
      </c>
      <c r="L1885" s="5" t="s">
        <v>8245</v>
      </c>
      <c r="M1885" s="5" t="s">
        <v>8246</v>
      </c>
      <c r="N1885" s="5" t="s">
        <v>8247</v>
      </c>
      <c r="O1885" s="5" t="s">
        <v>8248</v>
      </c>
      <c r="P1885" s="5" t="s">
        <v>8249</v>
      </c>
      <c r="Q1885" s="5" t="s">
        <v>8250</v>
      </c>
      <c r="R1885" s="5" t="s">
        <v>8251</v>
      </c>
      <c r="AG1885" s="14" t="s">
        <v>55</v>
      </c>
      <c r="AH1885" s="14" t="s">
        <v>1603</v>
      </c>
      <c r="AI1885" s="14" t="s">
        <v>1603</v>
      </c>
    </row>
    <row r="1886" spans="1:37">
      <c r="A1886" s="5" t="s">
        <v>8254</v>
      </c>
      <c r="B1886" s="5" t="s">
        <v>8255</v>
      </c>
      <c r="C1886" s="6" t="s">
        <v>43</v>
      </c>
      <c r="D1886" s="6" t="s">
        <v>1390</v>
      </c>
      <c r="E1886" s="6" t="s">
        <v>1386</v>
      </c>
      <c r="F1886" s="6" t="s">
        <v>46</v>
      </c>
      <c r="G1886" s="6" t="s">
        <v>7290</v>
      </c>
      <c r="H1886" s="7">
        <v>21.42</v>
      </c>
      <c r="I1886" s="19" t="s">
        <v>1589</v>
      </c>
      <c r="J1886" s="19" t="s">
        <v>2650</v>
      </c>
      <c r="K1886" s="20" t="s">
        <v>2651</v>
      </c>
      <c r="L1886" s="20" t="s">
        <v>2652</v>
      </c>
      <c r="M1886" s="20" t="s">
        <v>2653</v>
      </c>
      <c r="N1886" s="20" t="s">
        <v>2654</v>
      </c>
      <c r="O1886" s="20" t="s">
        <v>8256</v>
      </c>
      <c r="P1886" s="20" t="s">
        <v>8257</v>
      </c>
      <c r="Q1886" s="20" t="s">
        <v>8258</v>
      </c>
      <c r="R1886" s="5" t="s">
        <v>8259</v>
      </c>
      <c r="W1886" s="20" t="s">
        <v>2010</v>
      </c>
      <c r="X1886" s="20" t="s">
        <v>2011</v>
      </c>
      <c r="Y1886" s="20" t="s">
        <v>2012</v>
      </c>
      <c r="Z1886" s="20" t="s">
        <v>2013</v>
      </c>
      <c r="AG1886" s="14" t="s">
        <v>55</v>
      </c>
      <c r="AH1886" s="14" t="s">
        <v>1603</v>
      </c>
      <c r="AI1886" s="14" t="s">
        <v>124</v>
      </c>
    </row>
    <row r="1887" spans="1:37">
      <c r="A1887" s="5" t="s">
        <v>8260</v>
      </c>
      <c r="B1887" s="5" t="s">
        <v>8261</v>
      </c>
      <c r="C1887" s="6" t="s">
        <v>43</v>
      </c>
      <c r="D1887" s="6" t="s">
        <v>1390</v>
      </c>
      <c r="E1887" s="6" t="s">
        <v>1386</v>
      </c>
      <c r="F1887" s="6" t="s">
        <v>46</v>
      </c>
      <c r="G1887" s="6" t="s">
        <v>8262</v>
      </c>
      <c r="H1887" s="7">
        <v>28.07</v>
      </c>
      <c r="I1887" s="19" t="s">
        <v>1589</v>
      </c>
      <c r="J1887" s="19" t="s">
        <v>2650</v>
      </c>
      <c r="K1887" s="20" t="s">
        <v>2662</v>
      </c>
      <c r="L1887" s="20" t="s">
        <v>2663</v>
      </c>
      <c r="M1887" s="20" t="s">
        <v>2664</v>
      </c>
      <c r="N1887" s="20" t="s">
        <v>2665</v>
      </c>
      <c r="O1887" s="20" t="s">
        <v>8263</v>
      </c>
      <c r="P1887" s="20" t="s">
        <v>8264</v>
      </c>
      <c r="Q1887" s="20" t="s">
        <v>8265</v>
      </c>
      <c r="R1887" s="5" t="s">
        <v>8266</v>
      </c>
      <c r="W1887" s="20" t="s">
        <v>2010</v>
      </c>
      <c r="X1887" s="20" t="s">
        <v>2011</v>
      </c>
      <c r="Y1887" s="20" t="s">
        <v>2012</v>
      </c>
      <c r="Z1887" s="20" t="s">
        <v>2013</v>
      </c>
      <c r="AG1887" s="14" t="s">
        <v>55</v>
      </c>
      <c r="AH1887" s="14" t="s">
        <v>1603</v>
      </c>
      <c r="AI1887" s="14" t="s">
        <v>124</v>
      </c>
    </row>
    <row r="1888" spans="1:37">
      <c r="A1888" s="5" t="s">
        <v>8267</v>
      </c>
      <c r="B1888" s="5" t="s">
        <v>8268</v>
      </c>
      <c r="C1888" s="6" t="s">
        <v>8269</v>
      </c>
      <c r="D1888" s="6" t="s">
        <v>1390</v>
      </c>
      <c r="E1888" s="6" t="s">
        <v>1386</v>
      </c>
      <c r="F1888" s="6" t="s">
        <v>46</v>
      </c>
      <c r="G1888" s="6" t="s">
        <v>8270</v>
      </c>
      <c r="H1888" s="7">
        <v>26.96</v>
      </c>
      <c r="I1888" s="19" t="s">
        <v>1589</v>
      </c>
      <c r="J1888" s="19" t="s">
        <v>2650</v>
      </c>
      <c r="K1888" s="5" t="s">
        <v>2674</v>
      </c>
      <c r="L1888" s="5" t="s">
        <v>2675</v>
      </c>
      <c r="M1888" s="5" t="s">
        <v>2676</v>
      </c>
      <c r="N1888" s="5" t="s">
        <v>2677</v>
      </c>
      <c r="O1888" s="5" t="s">
        <v>8271</v>
      </c>
      <c r="P1888" s="5" t="s">
        <v>8272</v>
      </c>
      <c r="Q1888" s="5" t="s">
        <v>8273</v>
      </c>
      <c r="R1888" s="5" t="s">
        <v>8274</v>
      </c>
      <c r="AG1888" s="14" t="s">
        <v>55</v>
      </c>
      <c r="AH1888" s="14" t="s">
        <v>1603</v>
      </c>
      <c r="AI1888" s="14" t="s">
        <v>2087</v>
      </c>
    </row>
    <row r="1889" spans="1:37">
      <c r="A1889" s="5" t="s">
        <v>8275</v>
      </c>
      <c r="B1889" s="5" t="s">
        <v>8276</v>
      </c>
      <c r="C1889" s="6" t="s">
        <v>43</v>
      </c>
      <c r="D1889" s="6" t="s">
        <v>1390</v>
      </c>
      <c r="E1889" s="6" t="s">
        <v>1386</v>
      </c>
      <c r="F1889" s="6" t="s">
        <v>46</v>
      </c>
      <c r="G1889" s="6" t="s">
        <v>8277</v>
      </c>
      <c r="H1889" s="7">
        <v>32.79</v>
      </c>
      <c r="I1889" s="19" t="s">
        <v>1589</v>
      </c>
      <c r="J1889" s="19" t="s">
        <v>2650</v>
      </c>
      <c r="K1889" s="5" t="s">
        <v>2685</v>
      </c>
      <c r="L1889" s="5" t="s">
        <v>2686</v>
      </c>
      <c r="M1889" s="5" t="s">
        <v>2687</v>
      </c>
      <c r="N1889" s="5" t="s">
        <v>2688</v>
      </c>
      <c r="O1889" s="5" t="s">
        <v>8278</v>
      </c>
      <c r="P1889" s="5" t="s">
        <v>8279</v>
      </c>
      <c r="Q1889" s="5" t="s">
        <v>8280</v>
      </c>
      <c r="R1889" s="5" t="s">
        <v>8281</v>
      </c>
      <c r="AG1889" s="14" t="s">
        <v>55</v>
      </c>
      <c r="AH1889" s="14" t="s">
        <v>1603</v>
      </c>
      <c r="AI1889" s="14" t="s">
        <v>2087</v>
      </c>
    </row>
    <row r="1890" spans="1:37">
      <c r="A1890" s="5" t="s">
        <v>8282</v>
      </c>
      <c r="B1890" s="5" t="s">
        <v>8283</v>
      </c>
      <c r="C1890" s="6" t="s">
        <v>43</v>
      </c>
      <c r="D1890" s="6" t="s">
        <v>1390</v>
      </c>
      <c r="E1890" s="6" t="s">
        <v>1386</v>
      </c>
      <c r="F1890" s="6" t="s">
        <v>46</v>
      </c>
      <c r="G1890" s="6" t="s">
        <v>8284</v>
      </c>
      <c r="H1890" s="7">
        <v>31.85</v>
      </c>
      <c r="I1890" s="19" t="s">
        <v>1589</v>
      </c>
      <c r="J1890" s="19" t="s">
        <v>2650</v>
      </c>
      <c r="K1890" s="5" t="s">
        <v>2685</v>
      </c>
      <c r="L1890" s="5" t="s">
        <v>2686</v>
      </c>
      <c r="M1890" s="5" t="s">
        <v>2687</v>
      </c>
      <c r="N1890" s="5" t="s">
        <v>2688</v>
      </c>
      <c r="O1890" s="5" t="s">
        <v>8278</v>
      </c>
      <c r="P1890" s="5" t="s">
        <v>8285</v>
      </c>
      <c r="Q1890" s="5" t="s">
        <v>8280</v>
      </c>
      <c r="R1890" s="5" t="s">
        <v>8281</v>
      </c>
      <c r="AG1890" s="14" t="s">
        <v>55</v>
      </c>
      <c r="AH1890" s="14" t="s">
        <v>1603</v>
      </c>
      <c r="AI1890" s="14" t="s">
        <v>2087</v>
      </c>
    </row>
    <row r="1891" spans="1:37">
      <c r="A1891" s="6" t="s">
        <v>8286</v>
      </c>
      <c r="B1891" s="6" t="s">
        <v>8287</v>
      </c>
      <c r="C1891" s="6" t="s">
        <v>2831</v>
      </c>
      <c r="D1891" s="6" t="s">
        <v>239</v>
      </c>
      <c r="E1891" s="6" t="s">
        <v>2047</v>
      </c>
      <c r="F1891" s="6" t="s">
        <v>46</v>
      </c>
      <c r="G1891" s="6" t="s">
        <v>8288</v>
      </c>
      <c r="I1891" s="6" t="s">
        <v>48</v>
      </c>
      <c r="J1891" s="6" t="s">
        <v>48</v>
      </c>
      <c r="K1891" s="6"/>
      <c r="L1891" s="6"/>
      <c r="M1891" s="6"/>
      <c r="N1891" s="6"/>
      <c r="O1891" s="6"/>
      <c r="P1891" s="6"/>
      <c r="Q1891" s="6"/>
      <c r="R1891" s="6"/>
      <c r="S1891" s="6"/>
      <c r="T1891" s="6"/>
      <c r="U1891" s="6"/>
      <c r="V1891" s="6"/>
      <c r="W1891" s="6"/>
      <c r="X1891" s="6"/>
      <c r="Y1891" s="6"/>
      <c r="Z1891" s="6"/>
      <c r="AA1891" s="6"/>
      <c r="AB1891" s="6"/>
      <c r="AC1891" s="6"/>
      <c r="AD1891" s="6"/>
      <c r="AE1891" s="6"/>
      <c r="AF1891" s="6"/>
      <c r="AG1891" s="15" t="s">
        <v>55</v>
      </c>
      <c r="AH1891" s="15"/>
      <c r="AI1891" s="15"/>
      <c r="AJ1891" s="6"/>
      <c r="AK1891" s="6"/>
    </row>
    <row r="1892" spans="1:37" s="6" customFormat="1">
      <c r="A1892" s="6" t="s">
        <v>8289</v>
      </c>
      <c r="B1892" s="6" t="s">
        <v>8290</v>
      </c>
      <c r="C1892" s="6" t="s">
        <v>43</v>
      </c>
      <c r="D1892" s="6" t="s">
        <v>239</v>
      </c>
      <c r="E1892" s="6" t="s">
        <v>1540</v>
      </c>
      <c r="F1892" s="6" t="s">
        <v>46</v>
      </c>
      <c r="G1892" s="6" t="s">
        <v>7247</v>
      </c>
      <c r="H1892" s="7"/>
      <c r="I1892" s="6" t="s">
        <v>48</v>
      </c>
      <c r="J1892" s="6" t="s">
        <v>48</v>
      </c>
      <c r="AG1892" s="15" t="s">
        <v>55</v>
      </c>
      <c r="AH1892" s="15"/>
      <c r="AI1892" s="15"/>
    </row>
    <row r="1893" spans="1:37" s="6" customFormat="1">
      <c r="A1893" s="6" t="s">
        <v>8291</v>
      </c>
      <c r="B1893" s="6" t="s">
        <v>8292</v>
      </c>
      <c r="C1893" s="6" t="s">
        <v>43</v>
      </c>
      <c r="D1893" s="6" t="s">
        <v>239</v>
      </c>
      <c r="E1893" s="6" t="s">
        <v>2047</v>
      </c>
      <c r="F1893" s="6" t="s">
        <v>46</v>
      </c>
      <c r="G1893" s="6" t="s">
        <v>8293</v>
      </c>
      <c r="H1893" s="7"/>
      <c r="I1893" s="6" t="s">
        <v>48</v>
      </c>
      <c r="J1893" s="6" t="s">
        <v>48</v>
      </c>
      <c r="AG1893" s="15" t="s">
        <v>55</v>
      </c>
      <c r="AH1893" s="15"/>
      <c r="AI1893" s="15"/>
    </row>
    <row r="1894" spans="1:37" s="6" customFormat="1">
      <c r="A1894" s="5" t="s">
        <v>8294</v>
      </c>
      <c r="B1894" s="5" t="s">
        <v>8295</v>
      </c>
      <c r="C1894" s="6" t="s">
        <v>8296</v>
      </c>
      <c r="D1894" s="6" t="s">
        <v>239</v>
      </c>
      <c r="E1894" s="6" t="s">
        <v>1386</v>
      </c>
      <c r="F1894" s="6" t="s">
        <v>46</v>
      </c>
      <c r="G1894" s="6" t="s">
        <v>8297</v>
      </c>
      <c r="H1894" s="7">
        <v>16.7</v>
      </c>
      <c r="I1894" s="19" t="s">
        <v>1589</v>
      </c>
      <c r="J1894" s="19" t="s">
        <v>2696</v>
      </c>
      <c r="K1894" s="5" t="s">
        <v>2733</v>
      </c>
      <c r="L1894" s="5" t="s">
        <v>2734</v>
      </c>
      <c r="M1894" s="5" t="s">
        <v>2735</v>
      </c>
      <c r="N1894" s="5" t="s">
        <v>2736</v>
      </c>
      <c r="O1894" s="5" t="s">
        <v>8298</v>
      </c>
      <c r="P1894" s="5" t="s">
        <v>8299</v>
      </c>
      <c r="Q1894" s="5" t="s">
        <v>8300</v>
      </c>
      <c r="R1894" s="5" t="s">
        <v>8301</v>
      </c>
      <c r="S1894" s="5"/>
      <c r="T1894" s="5"/>
      <c r="U1894" s="5"/>
      <c r="V1894" s="5"/>
      <c r="W1894" s="5"/>
      <c r="X1894" s="5"/>
      <c r="Y1894" s="5"/>
      <c r="Z1894" s="5"/>
      <c r="AA1894" s="5"/>
      <c r="AB1894" s="5"/>
      <c r="AC1894" s="5"/>
      <c r="AD1894" s="5"/>
      <c r="AE1894" s="5"/>
      <c r="AF1894" s="5"/>
      <c r="AG1894" s="14" t="s">
        <v>55</v>
      </c>
      <c r="AH1894" s="14" t="s">
        <v>1603</v>
      </c>
      <c r="AI1894" s="14" t="s">
        <v>1604</v>
      </c>
      <c r="AJ1894" s="5"/>
      <c r="AK1894" s="5"/>
    </row>
    <row r="1895" spans="1:37">
      <c r="A1895" s="5" t="s">
        <v>8302</v>
      </c>
      <c r="B1895" s="5" t="s">
        <v>8295</v>
      </c>
      <c r="C1895" s="6" t="s">
        <v>8296</v>
      </c>
      <c r="D1895" s="6" t="s">
        <v>239</v>
      </c>
      <c r="E1895" s="6" t="s">
        <v>2047</v>
      </c>
      <c r="F1895" s="6" t="s">
        <v>46</v>
      </c>
      <c r="G1895" s="6" t="s">
        <v>1227</v>
      </c>
      <c r="H1895" s="7">
        <v>16.7</v>
      </c>
      <c r="I1895" s="19" t="s">
        <v>1589</v>
      </c>
      <c r="J1895" s="19" t="s">
        <v>2696</v>
      </c>
      <c r="K1895" s="5" t="s">
        <v>2733</v>
      </c>
      <c r="L1895" s="5" t="s">
        <v>2734</v>
      </c>
      <c r="M1895" s="5" t="s">
        <v>2735</v>
      </c>
      <c r="N1895" s="5" t="s">
        <v>2736</v>
      </c>
      <c r="O1895" s="5" t="s">
        <v>8298</v>
      </c>
      <c r="P1895" s="5" t="s">
        <v>8299</v>
      </c>
      <c r="Q1895" s="5" t="s">
        <v>8300</v>
      </c>
      <c r="R1895" s="5" t="s">
        <v>8301</v>
      </c>
      <c r="AG1895" s="14" t="s">
        <v>55</v>
      </c>
      <c r="AH1895" s="14" t="s">
        <v>1603</v>
      </c>
      <c r="AI1895" s="14" t="s">
        <v>1604</v>
      </c>
    </row>
    <row r="1896" spans="1:37">
      <c r="A1896" s="5" t="s">
        <v>8303</v>
      </c>
      <c r="B1896" s="5" t="s">
        <v>7653</v>
      </c>
      <c r="C1896" s="6" t="s">
        <v>43</v>
      </c>
      <c r="D1896" s="6" t="s">
        <v>239</v>
      </c>
      <c r="E1896" s="6" t="s">
        <v>503</v>
      </c>
      <c r="F1896" s="6" t="s">
        <v>46</v>
      </c>
      <c r="G1896" s="6" t="s">
        <v>7093</v>
      </c>
      <c r="H1896" s="7">
        <v>16.7</v>
      </c>
      <c r="I1896" s="19" t="s">
        <v>1589</v>
      </c>
      <c r="J1896" s="19" t="s">
        <v>2696</v>
      </c>
      <c r="K1896" s="5" t="s">
        <v>2733</v>
      </c>
      <c r="L1896" s="5" t="s">
        <v>2734</v>
      </c>
      <c r="M1896" s="5" t="s">
        <v>2735</v>
      </c>
      <c r="N1896" s="5" t="s">
        <v>2736</v>
      </c>
      <c r="O1896" s="5" t="s">
        <v>8298</v>
      </c>
      <c r="P1896" s="5" t="s">
        <v>8299</v>
      </c>
      <c r="Q1896" s="5" t="s">
        <v>8300</v>
      </c>
      <c r="R1896" s="5" t="s">
        <v>8301</v>
      </c>
      <c r="AG1896" s="14" t="s">
        <v>55</v>
      </c>
      <c r="AH1896" s="14" t="s">
        <v>1603</v>
      </c>
      <c r="AI1896" s="14" t="s">
        <v>1604</v>
      </c>
    </row>
    <row r="1897" spans="1:37">
      <c r="A1897" s="6" t="s">
        <v>8304</v>
      </c>
      <c r="B1897" s="6" t="s">
        <v>8305</v>
      </c>
      <c r="C1897" s="6" t="s">
        <v>43</v>
      </c>
      <c r="D1897" s="6" t="s">
        <v>239</v>
      </c>
      <c r="E1897" s="6" t="s">
        <v>2065</v>
      </c>
      <c r="F1897" s="6" t="s">
        <v>46</v>
      </c>
      <c r="G1897" s="6" t="s">
        <v>8306</v>
      </c>
      <c r="I1897" s="19" t="s">
        <v>48</v>
      </c>
      <c r="J1897" s="19" t="s">
        <v>48</v>
      </c>
      <c r="K1897" s="6"/>
      <c r="L1897" s="6"/>
      <c r="M1897" s="6"/>
      <c r="N1897" s="6"/>
      <c r="O1897" s="6"/>
      <c r="P1897" s="6"/>
      <c r="Q1897" s="6"/>
      <c r="R1897" s="6"/>
      <c r="S1897" s="6"/>
      <c r="T1897" s="6"/>
      <c r="U1897" s="6"/>
      <c r="V1897" s="6"/>
      <c r="W1897" s="6"/>
      <c r="X1897" s="6"/>
      <c r="Y1897" s="6"/>
      <c r="Z1897" s="6"/>
      <c r="AA1897" s="6"/>
      <c r="AB1897" s="6"/>
      <c r="AC1897" s="6"/>
      <c r="AD1897" s="6"/>
      <c r="AE1897" s="6"/>
      <c r="AF1897" s="6"/>
      <c r="AG1897" s="15" t="s">
        <v>55</v>
      </c>
      <c r="AH1897" s="15"/>
      <c r="AI1897" s="15"/>
      <c r="AJ1897" s="6"/>
      <c r="AK1897" s="6"/>
    </row>
    <row r="1898" spans="1:37" s="6" customFormat="1">
      <c r="A1898" s="6" t="s">
        <v>8307</v>
      </c>
      <c r="B1898" s="6" t="s">
        <v>8308</v>
      </c>
      <c r="C1898" s="6" t="s">
        <v>43</v>
      </c>
      <c r="D1898" s="6" t="s">
        <v>239</v>
      </c>
      <c r="E1898" s="6" t="s">
        <v>2065</v>
      </c>
      <c r="F1898" s="6" t="s">
        <v>46</v>
      </c>
      <c r="G1898" s="6" t="s">
        <v>8309</v>
      </c>
      <c r="H1898" s="7"/>
      <c r="I1898" s="19" t="s">
        <v>48</v>
      </c>
      <c r="J1898" s="19" t="s">
        <v>48</v>
      </c>
      <c r="AG1898" s="15" t="s">
        <v>55</v>
      </c>
      <c r="AH1898" s="15"/>
      <c r="AI1898" s="15"/>
    </row>
    <row r="1899" spans="1:37" s="6" customFormat="1">
      <c r="A1899" s="5" t="s">
        <v>8310</v>
      </c>
      <c r="B1899" s="5" t="s">
        <v>8311</v>
      </c>
      <c r="C1899" s="6" t="s">
        <v>8312</v>
      </c>
      <c r="D1899" s="6" t="s">
        <v>239</v>
      </c>
      <c r="E1899" s="6" t="s">
        <v>1386</v>
      </c>
      <c r="F1899" s="6" t="s">
        <v>46</v>
      </c>
      <c r="G1899" s="6" t="s">
        <v>8313</v>
      </c>
      <c r="H1899" s="7">
        <v>19.27</v>
      </c>
      <c r="I1899" s="19" t="s">
        <v>1589</v>
      </c>
      <c r="J1899" s="19" t="s">
        <v>2696</v>
      </c>
      <c r="K1899" s="5" t="s">
        <v>2757</v>
      </c>
      <c r="L1899" s="5" t="s">
        <v>2758</v>
      </c>
      <c r="M1899" s="5" t="s">
        <v>2759</v>
      </c>
      <c r="N1899" s="5" t="s">
        <v>2760</v>
      </c>
      <c r="O1899" s="5" t="s">
        <v>8314</v>
      </c>
      <c r="P1899" s="5" t="s">
        <v>8315</v>
      </c>
      <c r="Q1899" s="5" t="s">
        <v>8316</v>
      </c>
      <c r="R1899" s="5" t="s">
        <v>8317</v>
      </c>
      <c r="S1899" s="5"/>
      <c r="T1899" s="5"/>
      <c r="U1899" s="5"/>
      <c r="V1899" s="5"/>
      <c r="W1899" s="5"/>
      <c r="X1899" s="5"/>
      <c r="Y1899" s="5"/>
      <c r="Z1899" s="5"/>
      <c r="AA1899" s="5"/>
      <c r="AB1899" s="5"/>
      <c r="AC1899" s="5"/>
      <c r="AD1899" s="5"/>
      <c r="AE1899" s="5"/>
      <c r="AF1899" s="5"/>
      <c r="AG1899" s="14" t="s">
        <v>55</v>
      </c>
      <c r="AH1899" s="14" t="s">
        <v>1603</v>
      </c>
      <c r="AI1899" s="14" t="s">
        <v>1604</v>
      </c>
      <c r="AJ1899" s="5"/>
      <c r="AK1899" s="5"/>
    </row>
    <row r="1900" spans="1:37">
      <c r="A1900" s="5" t="s">
        <v>8318</v>
      </c>
      <c r="B1900" s="5" t="s">
        <v>8311</v>
      </c>
      <c r="C1900" s="6" t="s">
        <v>8312</v>
      </c>
      <c r="D1900" s="6" t="s">
        <v>239</v>
      </c>
      <c r="E1900" s="6" t="s">
        <v>2047</v>
      </c>
      <c r="F1900" s="6" t="s">
        <v>46</v>
      </c>
      <c r="G1900" s="6" t="s">
        <v>7132</v>
      </c>
      <c r="H1900" s="7">
        <v>19.27</v>
      </c>
      <c r="I1900" s="19" t="s">
        <v>1589</v>
      </c>
      <c r="J1900" s="19" t="s">
        <v>2696</v>
      </c>
      <c r="K1900" s="5" t="s">
        <v>2757</v>
      </c>
      <c r="L1900" s="5" t="s">
        <v>2758</v>
      </c>
      <c r="M1900" s="5" t="s">
        <v>2759</v>
      </c>
      <c r="N1900" s="5" t="s">
        <v>2760</v>
      </c>
      <c r="O1900" s="5" t="s">
        <v>8314</v>
      </c>
      <c r="P1900" s="5" t="s">
        <v>8315</v>
      </c>
      <c r="Q1900" s="5" t="s">
        <v>8316</v>
      </c>
      <c r="R1900" s="5" t="s">
        <v>8317</v>
      </c>
      <c r="AG1900" s="14" t="s">
        <v>55</v>
      </c>
      <c r="AH1900" s="14" t="s">
        <v>1603</v>
      </c>
      <c r="AI1900" s="14" t="s">
        <v>1604</v>
      </c>
    </row>
    <row r="1901" spans="1:37">
      <c r="A1901" s="5" t="s">
        <v>8319</v>
      </c>
      <c r="B1901" s="5" t="s">
        <v>8311</v>
      </c>
      <c r="C1901" s="6" t="s">
        <v>8312</v>
      </c>
      <c r="D1901" s="6" t="s">
        <v>239</v>
      </c>
      <c r="E1901" s="6" t="s">
        <v>2065</v>
      </c>
      <c r="F1901" s="6" t="s">
        <v>46</v>
      </c>
      <c r="G1901" s="6" t="s">
        <v>8320</v>
      </c>
      <c r="H1901" s="7">
        <v>19.27</v>
      </c>
      <c r="I1901" s="19" t="s">
        <v>1589</v>
      </c>
      <c r="J1901" s="19" t="s">
        <v>2696</v>
      </c>
      <c r="K1901" s="5" t="s">
        <v>2757</v>
      </c>
      <c r="L1901" s="5" t="s">
        <v>2758</v>
      </c>
      <c r="M1901" s="5" t="s">
        <v>2759</v>
      </c>
      <c r="N1901" s="5" t="s">
        <v>2760</v>
      </c>
      <c r="O1901" s="5" t="s">
        <v>8314</v>
      </c>
      <c r="P1901" s="5" t="s">
        <v>8315</v>
      </c>
      <c r="Q1901" s="5" t="s">
        <v>8316</v>
      </c>
      <c r="R1901" s="5" t="s">
        <v>8317</v>
      </c>
      <c r="AG1901" s="14" t="s">
        <v>55</v>
      </c>
      <c r="AH1901" s="14" t="s">
        <v>1603</v>
      </c>
      <c r="AI1901" s="14" t="s">
        <v>1604</v>
      </c>
    </row>
    <row r="1902" spans="1:37">
      <c r="A1902" s="5" t="s">
        <v>8321</v>
      </c>
      <c r="B1902" s="5" t="s">
        <v>8322</v>
      </c>
      <c r="C1902" s="6" t="s">
        <v>6661</v>
      </c>
      <c r="D1902" s="6" t="s">
        <v>239</v>
      </c>
      <c r="E1902" s="6" t="s">
        <v>2047</v>
      </c>
      <c r="F1902" s="6" t="s">
        <v>46</v>
      </c>
      <c r="G1902" s="6" t="s">
        <v>8323</v>
      </c>
      <c r="H1902" s="7">
        <v>22.95</v>
      </c>
      <c r="I1902" s="19" t="s">
        <v>1589</v>
      </c>
      <c r="J1902" s="19" t="s">
        <v>2696</v>
      </c>
      <c r="K1902" s="5" t="s">
        <v>6540</v>
      </c>
      <c r="L1902" s="5" t="s">
        <v>6541</v>
      </c>
      <c r="M1902" s="5" t="s">
        <v>6542</v>
      </c>
      <c r="N1902" s="5" t="s">
        <v>6543</v>
      </c>
      <c r="O1902" s="5" t="s">
        <v>8324</v>
      </c>
      <c r="P1902" s="5" t="s">
        <v>8325</v>
      </c>
      <c r="Q1902" s="5" t="s">
        <v>8326</v>
      </c>
      <c r="R1902" s="5" t="s">
        <v>8327</v>
      </c>
      <c r="AG1902" s="14" t="s">
        <v>55</v>
      </c>
      <c r="AH1902" s="14" t="s">
        <v>1603</v>
      </c>
      <c r="AI1902" s="14" t="s">
        <v>1604</v>
      </c>
    </row>
    <row r="1903" spans="1:37">
      <c r="A1903" s="5" t="s">
        <v>8328</v>
      </c>
      <c r="B1903" s="5" t="s">
        <v>8322</v>
      </c>
      <c r="C1903" s="6" t="s">
        <v>6661</v>
      </c>
      <c r="D1903" s="6" t="s">
        <v>239</v>
      </c>
      <c r="E1903" s="6" t="s">
        <v>2065</v>
      </c>
      <c r="F1903" s="6" t="s">
        <v>46</v>
      </c>
      <c r="G1903" s="6" t="s">
        <v>8329</v>
      </c>
      <c r="H1903" s="7">
        <v>22.95</v>
      </c>
      <c r="I1903" s="19" t="s">
        <v>1589</v>
      </c>
      <c r="J1903" s="19" t="s">
        <v>2696</v>
      </c>
      <c r="K1903" s="5" t="s">
        <v>6540</v>
      </c>
      <c r="L1903" s="5" t="s">
        <v>6541</v>
      </c>
      <c r="M1903" s="5" t="s">
        <v>6542</v>
      </c>
      <c r="N1903" s="5" t="s">
        <v>6543</v>
      </c>
      <c r="O1903" s="5" t="s">
        <v>8330</v>
      </c>
      <c r="P1903" s="5" t="s">
        <v>8325</v>
      </c>
      <c r="Q1903" s="5" t="s">
        <v>8326</v>
      </c>
      <c r="R1903" s="5" t="s">
        <v>8327</v>
      </c>
      <c r="AG1903" s="14" t="s">
        <v>55</v>
      </c>
      <c r="AH1903" s="14" t="s">
        <v>1603</v>
      </c>
      <c r="AI1903" s="14" t="s">
        <v>1604</v>
      </c>
    </row>
    <row r="1904" spans="1:37">
      <c r="A1904" s="6" t="s">
        <v>8331</v>
      </c>
      <c r="B1904" s="6" t="s">
        <v>8332</v>
      </c>
      <c r="C1904" s="6" t="s">
        <v>43</v>
      </c>
      <c r="D1904" s="6" t="s">
        <v>239</v>
      </c>
      <c r="E1904" s="6" t="s">
        <v>1653</v>
      </c>
      <c r="F1904" s="6" t="s">
        <v>46</v>
      </c>
      <c r="G1904" s="6" t="s">
        <v>8333</v>
      </c>
      <c r="I1904" s="19" t="s">
        <v>48</v>
      </c>
      <c r="J1904" s="19" t="s">
        <v>48</v>
      </c>
      <c r="K1904" s="6"/>
      <c r="L1904" s="6"/>
      <c r="M1904" s="6"/>
      <c r="N1904" s="6"/>
      <c r="O1904" s="6"/>
      <c r="P1904" s="6"/>
      <c r="Q1904" s="6"/>
      <c r="R1904" s="6"/>
      <c r="S1904" s="6"/>
      <c r="T1904" s="6"/>
      <c r="U1904" s="6"/>
      <c r="V1904" s="6"/>
      <c r="W1904" s="6"/>
      <c r="X1904" s="6"/>
      <c r="Y1904" s="6"/>
      <c r="Z1904" s="6"/>
      <c r="AA1904" s="6"/>
      <c r="AB1904" s="6"/>
      <c r="AC1904" s="6"/>
      <c r="AD1904" s="6"/>
      <c r="AE1904" s="6"/>
      <c r="AF1904" s="6"/>
      <c r="AG1904" s="15" t="s">
        <v>55</v>
      </c>
      <c r="AH1904" s="15"/>
      <c r="AI1904" s="15"/>
      <c r="AJ1904" s="6"/>
      <c r="AK1904" s="6"/>
    </row>
    <row r="1905" spans="1:37" s="6" customFormat="1">
      <c r="A1905" s="6" t="s">
        <v>8334</v>
      </c>
      <c r="B1905" s="6" t="s">
        <v>8335</v>
      </c>
      <c r="C1905" s="6" t="s">
        <v>43</v>
      </c>
      <c r="D1905" s="6" t="s">
        <v>239</v>
      </c>
      <c r="E1905" s="6" t="s">
        <v>1653</v>
      </c>
      <c r="F1905" s="6" t="s">
        <v>46</v>
      </c>
      <c r="G1905" s="6" t="s">
        <v>8336</v>
      </c>
      <c r="H1905" s="7"/>
      <c r="I1905" s="19" t="s">
        <v>48</v>
      </c>
      <c r="J1905" s="19" t="s">
        <v>48</v>
      </c>
      <c r="AG1905" s="15" t="s">
        <v>55</v>
      </c>
      <c r="AH1905" s="15"/>
      <c r="AI1905" s="15"/>
    </row>
    <row r="1906" spans="1:37" s="6" customFormat="1">
      <c r="A1906" s="5" t="s">
        <v>8337</v>
      </c>
      <c r="B1906" s="5" t="s">
        <v>7072</v>
      </c>
      <c r="C1906" s="6" t="s">
        <v>43</v>
      </c>
      <c r="D1906" s="6" t="s">
        <v>239</v>
      </c>
      <c r="E1906" s="6" t="s">
        <v>2015</v>
      </c>
      <c r="F1906" s="6" t="s">
        <v>46</v>
      </c>
      <c r="G1906" s="6" t="s">
        <v>6767</v>
      </c>
      <c r="H1906" s="7">
        <v>19.170000000000002</v>
      </c>
      <c r="I1906" s="19" t="s">
        <v>1589</v>
      </c>
      <c r="J1906" s="19" t="s">
        <v>2696</v>
      </c>
      <c r="K1906" s="5" t="s">
        <v>2774</v>
      </c>
      <c r="L1906" s="5" t="s">
        <v>2775</v>
      </c>
      <c r="M1906" s="5" t="s">
        <v>2776</v>
      </c>
      <c r="N1906" s="5" t="s">
        <v>2777</v>
      </c>
      <c r="O1906" s="5" t="s">
        <v>8338</v>
      </c>
      <c r="P1906" s="5" t="s">
        <v>8339</v>
      </c>
      <c r="Q1906" s="5" t="s">
        <v>8340</v>
      </c>
      <c r="R1906" s="5" t="s">
        <v>8341</v>
      </c>
      <c r="S1906" s="5"/>
      <c r="T1906" s="5"/>
      <c r="U1906" s="5"/>
      <c r="V1906" s="5"/>
      <c r="W1906" s="5"/>
      <c r="X1906" s="5"/>
      <c r="Y1906" s="5"/>
      <c r="Z1906" s="5"/>
      <c r="AA1906" s="5"/>
      <c r="AB1906" s="5"/>
      <c r="AC1906" s="5"/>
      <c r="AD1906" s="5"/>
      <c r="AE1906" s="5"/>
      <c r="AF1906" s="5"/>
      <c r="AG1906" s="14" t="s">
        <v>55</v>
      </c>
      <c r="AH1906" s="14" t="s">
        <v>1603</v>
      </c>
      <c r="AI1906" s="14" t="s">
        <v>1604</v>
      </c>
      <c r="AJ1906" s="5"/>
      <c r="AK1906" s="5"/>
    </row>
    <row r="1907" spans="1:37">
      <c r="A1907" s="5" t="s">
        <v>8342</v>
      </c>
      <c r="B1907" s="5" t="s">
        <v>8343</v>
      </c>
      <c r="C1907" s="6" t="s">
        <v>8344</v>
      </c>
      <c r="D1907" s="6" t="s">
        <v>239</v>
      </c>
      <c r="E1907" s="6" t="s">
        <v>2047</v>
      </c>
      <c r="F1907" s="6" t="s">
        <v>46</v>
      </c>
      <c r="G1907" s="6" t="s">
        <v>8345</v>
      </c>
      <c r="H1907" s="7">
        <v>24.92</v>
      </c>
      <c r="I1907" s="19" t="s">
        <v>1589</v>
      </c>
      <c r="J1907" s="19" t="s">
        <v>2696</v>
      </c>
      <c r="K1907" s="5" t="s">
        <v>2774</v>
      </c>
      <c r="L1907" s="5" t="s">
        <v>2775</v>
      </c>
      <c r="M1907" s="5" t="s">
        <v>2776</v>
      </c>
      <c r="N1907" s="5" t="s">
        <v>2777</v>
      </c>
      <c r="O1907" s="5" t="s">
        <v>8338</v>
      </c>
      <c r="P1907" s="5" t="s">
        <v>8339</v>
      </c>
      <c r="Q1907" s="5" t="s">
        <v>8340</v>
      </c>
      <c r="R1907" s="5" t="s">
        <v>8341</v>
      </c>
      <c r="AG1907" s="14" t="s">
        <v>55</v>
      </c>
      <c r="AH1907" s="14" t="s">
        <v>1603</v>
      </c>
      <c r="AI1907" s="14" t="s">
        <v>1604</v>
      </c>
    </row>
    <row r="1908" spans="1:37">
      <c r="A1908" s="5" t="s">
        <v>8346</v>
      </c>
      <c r="B1908" s="5" t="s">
        <v>8343</v>
      </c>
      <c r="C1908" s="6" t="s">
        <v>43</v>
      </c>
      <c r="D1908" s="6" t="s">
        <v>239</v>
      </c>
      <c r="E1908" s="6" t="s">
        <v>2065</v>
      </c>
      <c r="F1908" s="6" t="s">
        <v>46</v>
      </c>
      <c r="G1908" s="6" t="s">
        <v>6763</v>
      </c>
      <c r="H1908" s="7">
        <v>24.92</v>
      </c>
      <c r="I1908" s="19" t="s">
        <v>1589</v>
      </c>
      <c r="J1908" s="19" t="s">
        <v>2696</v>
      </c>
      <c r="K1908" s="5" t="s">
        <v>2774</v>
      </c>
      <c r="L1908" s="5" t="s">
        <v>2775</v>
      </c>
      <c r="M1908" s="5" t="s">
        <v>2776</v>
      </c>
      <c r="N1908" s="5" t="s">
        <v>2777</v>
      </c>
      <c r="O1908" s="5" t="s">
        <v>8338</v>
      </c>
      <c r="P1908" s="5" t="s">
        <v>8339</v>
      </c>
      <c r="Q1908" s="5" t="s">
        <v>8340</v>
      </c>
      <c r="R1908" s="5" t="s">
        <v>8341</v>
      </c>
      <c r="AG1908" s="14" t="s">
        <v>55</v>
      </c>
      <c r="AH1908" s="14" t="s">
        <v>1603</v>
      </c>
      <c r="AI1908" s="14" t="s">
        <v>1604</v>
      </c>
    </row>
    <row r="1909" spans="1:37">
      <c r="A1909" s="6" t="s">
        <v>8347</v>
      </c>
      <c r="B1909" s="6" t="s">
        <v>8348</v>
      </c>
      <c r="C1909" s="6" t="s">
        <v>43</v>
      </c>
      <c r="D1909" s="6" t="s">
        <v>239</v>
      </c>
      <c r="E1909" s="6" t="s">
        <v>2047</v>
      </c>
      <c r="F1909" s="6" t="s">
        <v>46</v>
      </c>
      <c r="G1909" s="6" t="s">
        <v>8349</v>
      </c>
      <c r="I1909" s="6" t="s">
        <v>48</v>
      </c>
      <c r="J1909" s="6" t="s">
        <v>48</v>
      </c>
      <c r="K1909" s="6"/>
      <c r="L1909" s="6"/>
      <c r="M1909" s="6"/>
      <c r="N1909" s="6"/>
      <c r="O1909" s="6"/>
      <c r="P1909" s="6"/>
      <c r="Q1909" s="6"/>
      <c r="R1909" s="6"/>
      <c r="S1909" s="6"/>
      <c r="T1909" s="6"/>
      <c r="U1909" s="6"/>
      <c r="V1909" s="6"/>
      <c r="W1909" s="6"/>
      <c r="X1909" s="6"/>
      <c r="Y1909" s="6"/>
      <c r="Z1909" s="6"/>
      <c r="AA1909" s="6"/>
      <c r="AB1909" s="6"/>
      <c r="AC1909" s="6"/>
      <c r="AD1909" s="6"/>
      <c r="AE1909" s="6"/>
      <c r="AF1909" s="6"/>
      <c r="AG1909" s="15" t="s">
        <v>55</v>
      </c>
      <c r="AH1909" s="15"/>
      <c r="AI1909" s="15"/>
      <c r="AJ1909" s="6"/>
      <c r="AK1909" s="6"/>
    </row>
    <row r="1910" spans="1:37" s="6" customFormat="1">
      <c r="A1910" s="6" t="s">
        <v>8350</v>
      </c>
      <c r="B1910" s="6" t="s">
        <v>8351</v>
      </c>
      <c r="C1910" s="6" t="s">
        <v>43</v>
      </c>
      <c r="D1910" s="6" t="s">
        <v>239</v>
      </c>
      <c r="E1910" s="6" t="s">
        <v>2047</v>
      </c>
      <c r="F1910" s="6" t="s">
        <v>46</v>
      </c>
      <c r="G1910" s="6" t="s">
        <v>8352</v>
      </c>
      <c r="H1910" s="7"/>
      <c r="I1910" s="19" t="s">
        <v>48</v>
      </c>
      <c r="J1910" s="19" t="s">
        <v>48</v>
      </c>
      <c r="AG1910" s="15" t="s">
        <v>55</v>
      </c>
      <c r="AH1910" s="15"/>
      <c r="AI1910" s="15"/>
    </row>
    <row r="1911" spans="1:37" s="6" customFormat="1">
      <c r="A1911" s="5" t="s">
        <v>8353</v>
      </c>
      <c r="B1911" s="5" t="s">
        <v>8354</v>
      </c>
      <c r="C1911" s="6" t="s">
        <v>43</v>
      </c>
      <c r="D1911" s="6" t="s">
        <v>239</v>
      </c>
      <c r="E1911" s="6" t="s">
        <v>2047</v>
      </c>
      <c r="F1911" s="6" t="s">
        <v>46</v>
      </c>
      <c r="G1911" s="6" t="s">
        <v>8355</v>
      </c>
      <c r="H1911" s="7">
        <v>25.45</v>
      </c>
      <c r="I1911" s="19" t="s">
        <v>1589</v>
      </c>
      <c r="J1911" s="19" t="s">
        <v>2696</v>
      </c>
      <c r="K1911" s="5" t="s">
        <v>2790</v>
      </c>
      <c r="L1911" s="5" t="s">
        <v>2791</v>
      </c>
      <c r="M1911" s="5" t="s">
        <v>2792</v>
      </c>
      <c r="N1911" s="5" t="s">
        <v>2793</v>
      </c>
      <c r="O1911" s="5" t="s">
        <v>8356</v>
      </c>
      <c r="P1911" s="5" t="s">
        <v>8357</v>
      </c>
      <c r="Q1911" s="5" t="s">
        <v>8358</v>
      </c>
      <c r="R1911" s="5" t="s">
        <v>8359</v>
      </c>
      <c r="S1911" s="5"/>
      <c r="T1911" s="5"/>
      <c r="U1911" s="5"/>
      <c r="V1911" s="5"/>
      <c r="W1911" s="5"/>
      <c r="X1911" s="5"/>
      <c r="Y1911" s="5"/>
      <c r="Z1911" s="5"/>
      <c r="AA1911" s="5"/>
      <c r="AB1911" s="5"/>
      <c r="AC1911" s="5"/>
      <c r="AD1911" s="5"/>
      <c r="AE1911" s="5"/>
      <c r="AF1911" s="5"/>
      <c r="AG1911" s="14" t="s">
        <v>55</v>
      </c>
      <c r="AH1911" s="14" t="s">
        <v>1603</v>
      </c>
      <c r="AI1911" s="14" t="s">
        <v>1604</v>
      </c>
      <c r="AJ1911" s="5"/>
      <c r="AK1911" s="5"/>
    </row>
    <row r="1912" spans="1:37">
      <c r="A1912" s="5" t="s">
        <v>8360</v>
      </c>
      <c r="B1912" s="5" t="s">
        <v>8354</v>
      </c>
      <c r="C1912" s="6" t="s">
        <v>43</v>
      </c>
      <c r="D1912" s="6" t="s">
        <v>239</v>
      </c>
      <c r="E1912" s="6" t="s">
        <v>2065</v>
      </c>
      <c r="F1912" s="6" t="s">
        <v>46</v>
      </c>
      <c r="G1912" s="6" t="s">
        <v>8361</v>
      </c>
      <c r="H1912" s="7">
        <v>25.45</v>
      </c>
      <c r="I1912" s="19" t="s">
        <v>1589</v>
      </c>
      <c r="J1912" s="19" t="s">
        <v>2696</v>
      </c>
      <c r="K1912" s="5" t="s">
        <v>2790</v>
      </c>
      <c r="L1912" s="5" t="s">
        <v>2791</v>
      </c>
      <c r="M1912" s="5" t="s">
        <v>2792</v>
      </c>
      <c r="N1912" s="5" t="s">
        <v>2793</v>
      </c>
      <c r="O1912" s="5" t="s">
        <v>8356</v>
      </c>
      <c r="P1912" s="5" t="s">
        <v>8357</v>
      </c>
      <c r="Q1912" s="5" t="s">
        <v>8358</v>
      </c>
      <c r="R1912" s="5" t="s">
        <v>8359</v>
      </c>
      <c r="AG1912" s="14" t="s">
        <v>55</v>
      </c>
      <c r="AH1912" s="14" t="s">
        <v>1603</v>
      </c>
      <c r="AI1912" s="14" t="s">
        <v>1604</v>
      </c>
    </row>
    <row r="1913" spans="1:37">
      <c r="A1913" s="5" t="s">
        <v>8362</v>
      </c>
      <c r="B1913" s="5" t="s">
        <v>8363</v>
      </c>
      <c r="C1913" s="6" t="s">
        <v>43</v>
      </c>
      <c r="D1913" s="6" t="s">
        <v>239</v>
      </c>
      <c r="E1913" s="6" t="s">
        <v>1386</v>
      </c>
      <c r="F1913" s="6" t="s">
        <v>46</v>
      </c>
      <c r="G1913" s="6" t="s">
        <v>8364</v>
      </c>
      <c r="H1913" s="7">
        <v>25.45</v>
      </c>
      <c r="I1913" s="19" t="s">
        <v>1589</v>
      </c>
      <c r="J1913" s="19" t="s">
        <v>2696</v>
      </c>
      <c r="K1913" s="5" t="s">
        <v>2790</v>
      </c>
      <c r="L1913" s="5" t="s">
        <v>2791</v>
      </c>
      <c r="M1913" s="5" t="s">
        <v>2792</v>
      </c>
      <c r="N1913" s="5" t="s">
        <v>2793</v>
      </c>
      <c r="O1913" s="5" t="s">
        <v>8356</v>
      </c>
      <c r="P1913" s="5" t="s">
        <v>8357</v>
      </c>
      <c r="Q1913" s="5" t="s">
        <v>8358</v>
      </c>
      <c r="R1913" s="5" t="s">
        <v>8359</v>
      </c>
      <c r="AG1913" s="14" t="s">
        <v>55</v>
      </c>
      <c r="AH1913" s="14" t="s">
        <v>1603</v>
      </c>
      <c r="AI1913" s="14" t="s">
        <v>1604</v>
      </c>
    </row>
    <row r="1914" spans="1:37">
      <c r="A1914" s="5" t="s">
        <v>8365</v>
      </c>
      <c r="B1914" s="5" t="s">
        <v>8363</v>
      </c>
      <c r="C1914" s="6" t="s">
        <v>43</v>
      </c>
      <c r="D1914" s="6" t="s">
        <v>239</v>
      </c>
      <c r="E1914" s="6" t="s">
        <v>2047</v>
      </c>
      <c r="F1914" s="6" t="s">
        <v>46</v>
      </c>
      <c r="G1914" s="6" t="s">
        <v>8366</v>
      </c>
      <c r="H1914" s="7">
        <v>25.45</v>
      </c>
      <c r="I1914" s="19" t="s">
        <v>1589</v>
      </c>
      <c r="J1914" s="19" t="s">
        <v>2696</v>
      </c>
      <c r="K1914" s="5" t="s">
        <v>2790</v>
      </c>
      <c r="L1914" s="5" t="s">
        <v>2791</v>
      </c>
      <c r="M1914" s="5" t="s">
        <v>2792</v>
      </c>
      <c r="N1914" s="5" t="s">
        <v>2793</v>
      </c>
      <c r="O1914" s="5" t="s">
        <v>8356</v>
      </c>
      <c r="P1914" s="5" t="s">
        <v>8357</v>
      </c>
      <c r="Q1914" s="5" t="s">
        <v>8358</v>
      </c>
      <c r="R1914" s="5" t="s">
        <v>8359</v>
      </c>
      <c r="AG1914" s="14" t="s">
        <v>55</v>
      </c>
      <c r="AH1914" s="14" t="s">
        <v>1603</v>
      </c>
      <c r="AI1914" s="14" t="s">
        <v>1604</v>
      </c>
    </row>
    <row r="1915" spans="1:37">
      <c r="A1915" s="6" t="s">
        <v>8367</v>
      </c>
      <c r="B1915" s="6" t="s">
        <v>8368</v>
      </c>
      <c r="C1915" s="6" t="s">
        <v>43</v>
      </c>
      <c r="D1915" s="6" t="s">
        <v>239</v>
      </c>
      <c r="E1915" s="6" t="s">
        <v>2065</v>
      </c>
      <c r="F1915" s="6" t="s">
        <v>46</v>
      </c>
      <c r="G1915" s="6" t="s">
        <v>8369</v>
      </c>
      <c r="I1915" s="6" t="s">
        <v>48</v>
      </c>
      <c r="J1915" s="6" t="s">
        <v>48</v>
      </c>
      <c r="K1915" s="6"/>
      <c r="L1915" s="6"/>
      <c r="M1915" s="6"/>
      <c r="N1915" s="6"/>
      <c r="O1915" s="6"/>
      <c r="P1915" s="6"/>
      <c r="Q1915" s="6"/>
      <c r="R1915" s="6"/>
      <c r="S1915" s="6"/>
      <c r="T1915" s="6"/>
      <c r="U1915" s="6"/>
      <c r="V1915" s="6"/>
      <c r="W1915" s="6"/>
      <c r="X1915" s="6"/>
      <c r="Y1915" s="6"/>
      <c r="Z1915" s="6"/>
      <c r="AA1915" s="6"/>
      <c r="AB1915" s="6"/>
      <c r="AC1915" s="6"/>
      <c r="AD1915" s="6"/>
      <c r="AE1915" s="6"/>
      <c r="AF1915" s="6"/>
      <c r="AG1915" s="15" t="s">
        <v>55</v>
      </c>
      <c r="AH1915" s="15"/>
      <c r="AI1915" s="15"/>
      <c r="AJ1915" s="6"/>
      <c r="AK1915" s="6"/>
    </row>
    <row r="1916" spans="1:37" s="6" customFormat="1">
      <c r="A1916" s="6" t="s">
        <v>8370</v>
      </c>
      <c r="B1916" s="6" t="s">
        <v>8371</v>
      </c>
      <c r="C1916" s="6" t="s">
        <v>43</v>
      </c>
      <c r="D1916" s="6" t="s">
        <v>239</v>
      </c>
      <c r="E1916" s="6" t="s">
        <v>2065</v>
      </c>
      <c r="F1916" s="6" t="s">
        <v>46</v>
      </c>
      <c r="G1916" s="6" t="s">
        <v>8270</v>
      </c>
      <c r="H1916" s="7"/>
      <c r="I1916" s="19" t="s">
        <v>48</v>
      </c>
      <c r="J1916" s="19" t="s">
        <v>48</v>
      </c>
      <c r="AG1916" s="15" t="s">
        <v>55</v>
      </c>
      <c r="AH1916" s="15"/>
      <c r="AI1916" s="15"/>
    </row>
    <row r="1917" spans="1:37" s="6" customFormat="1">
      <c r="A1917" s="6" t="s">
        <v>8372</v>
      </c>
      <c r="B1917" s="6" t="s">
        <v>8373</v>
      </c>
      <c r="C1917" s="6" t="s">
        <v>7084</v>
      </c>
      <c r="D1917" s="6" t="s">
        <v>239</v>
      </c>
      <c r="E1917" s="6" t="s">
        <v>2065</v>
      </c>
      <c r="F1917" s="6" t="s">
        <v>46</v>
      </c>
      <c r="G1917" s="6" t="s">
        <v>8374</v>
      </c>
      <c r="H1917" s="7"/>
      <c r="I1917" s="19" t="s">
        <v>48</v>
      </c>
      <c r="J1917" s="19" t="s">
        <v>48</v>
      </c>
      <c r="AG1917" s="15" t="s">
        <v>55</v>
      </c>
      <c r="AH1917" s="15"/>
      <c r="AI1917" s="15"/>
    </row>
    <row r="1918" spans="1:37" s="6" customFormat="1">
      <c r="A1918" s="5" t="s">
        <v>8375</v>
      </c>
      <c r="B1918" s="5" t="s">
        <v>8376</v>
      </c>
      <c r="C1918" s="6" t="s">
        <v>2831</v>
      </c>
      <c r="D1918" s="6" t="s">
        <v>239</v>
      </c>
      <c r="E1918" s="6" t="s">
        <v>1587</v>
      </c>
      <c r="F1918" s="6" t="s">
        <v>46</v>
      </c>
      <c r="G1918" s="6" t="s">
        <v>8377</v>
      </c>
      <c r="H1918" s="7">
        <v>26.24</v>
      </c>
      <c r="I1918" s="19" t="s">
        <v>1589</v>
      </c>
      <c r="J1918" s="19" t="s">
        <v>2696</v>
      </c>
      <c r="K1918" s="5" t="s">
        <v>2809</v>
      </c>
      <c r="L1918" s="5" t="s">
        <v>2810</v>
      </c>
      <c r="M1918" s="5" t="s">
        <v>2811</v>
      </c>
      <c r="N1918" s="5" t="s">
        <v>2812</v>
      </c>
      <c r="O1918" s="5" t="s">
        <v>8378</v>
      </c>
      <c r="P1918" s="5" t="s">
        <v>8379</v>
      </c>
      <c r="Q1918" s="5" t="s">
        <v>8380</v>
      </c>
      <c r="R1918" s="5" t="s">
        <v>8381</v>
      </c>
      <c r="S1918" s="5"/>
      <c r="T1918" s="5"/>
      <c r="U1918" s="5"/>
      <c r="V1918" s="5"/>
      <c r="W1918" s="5"/>
      <c r="X1918" s="5"/>
      <c r="Y1918" s="5"/>
      <c r="Z1918" s="5"/>
      <c r="AA1918" s="5"/>
      <c r="AB1918" s="5"/>
      <c r="AC1918" s="5"/>
      <c r="AD1918" s="5"/>
      <c r="AE1918" s="5"/>
      <c r="AF1918" s="5"/>
      <c r="AG1918" s="14" t="s">
        <v>55</v>
      </c>
      <c r="AH1918" s="14" t="s">
        <v>1603</v>
      </c>
      <c r="AI1918" s="14" t="s">
        <v>1604</v>
      </c>
      <c r="AJ1918" s="5"/>
      <c r="AK1918" s="5"/>
    </row>
    <row r="1919" spans="1:37">
      <c r="A1919" s="6" t="s">
        <v>8382</v>
      </c>
      <c r="B1919" s="6" t="s">
        <v>8383</v>
      </c>
      <c r="C1919" s="6" t="s">
        <v>43</v>
      </c>
      <c r="D1919" s="6" t="s">
        <v>239</v>
      </c>
      <c r="E1919" s="6" t="s">
        <v>2065</v>
      </c>
      <c r="F1919" s="6" t="s">
        <v>46</v>
      </c>
      <c r="G1919" s="6" t="s">
        <v>8384</v>
      </c>
      <c r="I1919" s="19" t="s">
        <v>48</v>
      </c>
      <c r="J1919" s="19" t="s">
        <v>48</v>
      </c>
      <c r="K1919" s="6"/>
      <c r="L1919" s="6"/>
      <c r="M1919" s="6"/>
      <c r="N1919" s="6"/>
      <c r="O1919" s="6"/>
      <c r="P1919" s="6"/>
      <c r="Q1919" s="6"/>
      <c r="R1919" s="6"/>
      <c r="S1919" s="6"/>
      <c r="T1919" s="6"/>
      <c r="U1919" s="6"/>
      <c r="V1919" s="6"/>
      <c r="W1919" s="6"/>
      <c r="X1919" s="6"/>
      <c r="Y1919" s="6"/>
      <c r="Z1919" s="6"/>
      <c r="AA1919" s="6"/>
      <c r="AB1919" s="6"/>
      <c r="AC1919" s="6"/>
      <c r="AD1919" s="6"/>
      <c r="AE1919" s="6"/>
      <c r="AF1919" s="6"/>
      <c r="AG1919" s="15" t="s">
        <v>55</v>
      </c>
      <c r="AH1919" s="15"/>
      <c r="AI1919" s="15"/>
      <c r="AJ1919" s="6"/>
      <c r="AK1919" s="6"/>
    </row>
    <row r="1920" spans="1:37" s="6" customFormat="1">
      <c r="A1920" s="5" t="s">
        <v>8385</v>
      </c>
      <c r="B1920" s="5" t="s">
        <v>8376</v>
      </c>
      <c r="C1920" s="6" t="s">
        <v>2831</v>
      </c>
      <c r="D1920" s="6" t="s">
        <v>239</v>
      </c>
      <c r="E1920" s="6" t="s">
        <v>2139</v>
      </c>
      <c r="F1920" s="6" t="s">
        <v>46</v>
      </c>
      <c r="G1920" s="6" t="s">
        <v>8386</v>
      </c>
      <c r="H1920" s="7">
        <v>26.24</v>
      </c>
      <c r="I1920" s="19" t="s">
        <v>1589</v>
      </c>
      <c r="J1920" s="19" t="s">
        <v>2696</v>
      </c>
      <c r="K1920" s="5" t="s">
        <v>2809</v>
      </c>
      <c r="L1920" s="5" t="s">
        <v>2810</v>
      </c>
      <c r="M1920" s="5" t="s">
        <v>2811</v>
      </c>
      <c r="N1920" s="5" t="s">
        <v>2812</v>
      </c>
      <c r="O1920" s="5" t="s">
        <v>8378</v>
      </c>
      <c r="P1920" s="5" t="s">
        <v>8379</v>
      </c>
      <c r="Q1920" s="5" t="s">
        <v>8380</v>
      </c>
      <c r="R1920" s="5" t="s">
        <v>8381</v>
      </c>
      <c r="S1920" s="5"/>
      <c r="T1920" s="5"/>
      <c r="U1920" s="5"/>
      <c r="V1920" s="5"/>
      <c r="W1920" s="5"/>
      <c r="X1920" s="5"/>
      <c r="Y1920" s="5"/>
      <c r="Z1920" s="5"/>
      <c r="AA1920" s="5"/>
      <c r="AB1920" s="5"/>
      <c r="AC1920" s="5"/>
      <c r="AD1920" s="5"/>
      <c r="AE1920" s="5"/>
      <c r="AF1920" s="5"/>
      <c r="AG1920" s="14" t="s">
        <v>55</v>
      </c>
      <c r="AH1920" s="14" t="s">
        <v>1603</v>
      </c>
      <c r="AI1920" s="14" t="s">
        <v>1604</v>
      </c>
      <c r="AJ1920" s="5"/>
      <c r="AK1920" s="5"/>
    </row>
    <row r="1921" spans="1:37">
      <c r="A1921" s="5" t="s">
        <v>8387</v>
      </c>
      <c r="B1921" s="5" t="s">
        <v>8376</v>
      </c>
      <c r="C1921" s="6" t="s">
        <v>2831</v>
      </c>
      <c r="D1921" s="6" t="s">
        <v>239</v>
      </c>
      <c r="E1921" s="6" t="s">
        <v>2827</v>
      </c>
      <c r="F1921" s="6" t="s">
        <v>46</v>
      </c>
      <c r="G1921" s="6" t="s">
        <v>7507</v>
      </c>
      <c r="H1921" s="7">
        <v>26.24</v>
      </c>
      <c r="I1921" s="19" t="s">
        <v>1589</v>
      </c>
      <c r="J1921" s="19" t="s">
        <v>2696</v>
      </c>
      <c r="K1921" s="5" t="s">
        <v>2809</v>
      </c>
      <c r="L1921" s="5" t="s">
        <v>2810</v>
      </c>
      <c r="M1921" s="5" t="s">
        <v>2811</v>
      </c>
      <c r="N1921" s="5" t="s">
        <v>2812</v>
      </c>
      <c r="O1921" s="5" t="s">
        <v>8378</v>
      </c>
      <c r="P1921" s="5" t="s">
        <v>8379</v>
      </c>
      <c r="Q1921" s="5" t="s">
        <v>8380</v>
      </c>
      <c r="R1921" s="5" t="s">
        <v>8381</v>
      </c>
      <c r="AG1921" s="14" t="s">
        <v>55</v>
      </c>
      <c r="AH1921" s="14" t="s">
        <v>1603</v>
      </c>
      <c r="AI1921" s="14" t="s">
        <v>1604</v>
      </c>
    </row>
    <row r="1922" spans="1:37">
      <c r="A1922" s="5" t="s">
        <v>8388</v>
      </c>
      <c r="B1922" s="5" t="s">
        <v>8376</v>
      </c>
      <c r="C1922" s="6" t="s">
        <v>2831</v>
      </c>
      <c r="D1922" s="6" t="s">
        <v>239</v>
      </c>
      <c r="E1922" s="6" t="s">
        <v>1386</v>
      </c>
      <c r="F1922" s="6" t="s">
        <v>46</v>
      </c>
      <c r="G1922" s="6" t="s">
        <v>8389</v>
      </c>
      <c r="H1922" s="7">
        <v>26.24</v>
      </c>
      <c r="I1922" s="19" t="s">
        <v>1589</v>
      </c>
      <c r="J1922" s="19" t="s">
        <v>2696</v>
      </c>
      <c r="K1922" s="5" t="s">
        <v>2809</v>
      </c>
      <c r="L1922" s="5" t="s">
        <v>2810</v>
      </c>
      <c r="M1922" s="5" t="s">
        <v>2811</v>
      </c>
      <c r="N1922" s="5" t="s">
        <v>2812</v>
      </c>
      <c r="O1922" s="5" t="s">
        <v>8378</v>
      </c>
      <c r="P1922" s="5" t="s">
        <v>8379</v>
      </c>
      <c r="Q1922" s="5" t="s">
        <v>8380</v>
      </c>
      <c r="R1922" s="5" t="s">
        <v>8381</v>
      </c>
      <c r="AG1922" s="14" t="s">
        <v>55</v>
      </c>
      <c r="AH1922" s="14" t="s">
        <v>1603</v>
      </c>
      <c r="AI1922" s="14" t="s">
        <v>1604</v>
      </c>
    </row>
    <row r="1923" spans="1:37">
      <c r="A1923" s="5" t="s">
        <v>8390</v>
      </c>
      <c r="B1923" s="5" t="s">
        <v>8376</v>
      </c>
      <c r="C1923" s="6" t="s">
        <v>2831</v>
      </c>
      <c r="D1923" s="6" t="s">
        <v>239</v>
      </c>
      <c r="E1923" s="6" t="s">
        <v>2015</v>
      </c>
      <c r="F1923" s="6" t="s">
        <v>46</v>
      </c>
      <c r="G1923" s="6" t="s">
        <v>8391</v>
      </c>
      <c r="H1923" s="7">
        <v>26.24</v>
      </c>
      <c r="I1923" s="19" t="s">
        <v>1589</v>
      </c>
      <c r="J1923" s="19" t="s">
        <v>2696</v>
      </c>
      <c r="K1923" s="5" t="s">
        <v>2809</v>
      </c>
      <c r="L1923" s="5" t="s">
        <v>2810</v>
      </c>
      <c r="M1923" s="5" t="s">
        <v>2811</v>
      </c>
      <c r="N1923" s="5" t="s">
        <v>2812</v>
      </c>
      <c r="O1923" s="5" t="s">
        <v>8378</v>
      </c>
      <c r="P1923" s="5" t="s">
        <v>8379</v>
      </c>
      <c r="Q1923" s="5" t="s">
        <v>8380</v>
      </c>
      <c r="R1923" s="5" t="s">
        <v>8381</v>
      </c>
      <c r="AG1923" s="14" t="s">
        <v>55</v>
      </c>
      <c r="AH1923" s="14" t="s">
        <v>1603</v>
      </c>
      <c r="AI1923" s="14" t="s">
        <v>1604</v>
      </c>
    </row>
    <row r="1924" spans="1:37">
      <c r="A1924" s="5" t="s">
        <v>8392</v>
      </c>
      <c r="B1924" s="5" t="s">
        <v>8376</v>
      </c>
      <c r="C1924" s="6" t="s">
        <v>2831</v>
      </c>
      <c r="D1924" s="6" t="s">
        <v>239</v>
      </c>
      <c r="E1924" s="6" t="s">
        <v>2047</v>
      </c>
      <c r="F1924" s="6" t="s">
        <v>46</v>
      </c>
      <c r="G1924" s="6" t="s">
        <v>8393</v>
      </c>
      <c r="H1924" s="7">
        <v>26.24</v>
      </c>
      <c r="I1924" s="19" t="s">
        <v>1589</v>
      </c>
      <c r="J1924" s="19" t="s">
        <v>2696</v>
      </c>
      <c r="K1924" s="5" t="s">
        <v>2809</v>
      </c>
      <c r="L1924" s="5" t="s">
        <v>2810</v>
      </c>
      <c r="M1924" s="5" t="s">
        <v>2811</v>
      </c>
      <c r="N1924" s="5" t="s">
        <v>2812</v>
      </c>
      <c r="O1924" s="5" t="s">
        <v>8378</v>
      </c>
      <c r="P1924" s="5" t="s">
        <v>8379</v>
      </c>
      <c r="Q1924" s="5" t="s">
        <v>8380</v>
      </c>
      <c r="R1924" s="5" t="s">
        <v>8381</v>
      </c>
      <c r="AG1924" s="14" t="s">
        <v>55</v>
      </c>
      <c r="AH1924" s="14" t="s">
        <v>1603</v>
      </c>
      <c r="AI1924" s="14" t="s">
        <v>1604</v>
      </c>
    </row>
    <row r="1925" spans="1:37">
      <c r="A1925" s="5" t="s">
        <v>8394</v>
      </c>
      <c r="B1925" s="5" t="s">
        <v>8376</v>
      </c>
      <c r="C1925" s="6" t="s">
        <v>2831</v>
      </c>
      <c r="D1925" s="6" t="s">
        <v>239</v>
      </c>
      <c r="E1925" s="6" t="s">
        <v>2836</v>
      </c>
      <c r="F1925" s="6" t="s">
        <v>46</v>
      </c>
      <c r="G1925" s="6" t="s">
        <v>8395</v>
      </c>
      <c r="H1925" s="7">
        <v>26.24</v>
      </c>
      <c r="I1925" s="19" t="s">
        <v>1589</v>
      </c>
      <c r="J1925" s="19" t="s">
        <v>2696</v>
      </c>
      <c r="K1925" s="5" t="s">
        <v>2809</v>
      </c>
      <c r="L1925" s="5" t="s">
        <v>2810</v>
      </c>
      <c r="M1925" s="5" t="s">
        <v>2811</v>
      </c>
      <c r="N1925" s="5" t="s">
        <v>2812</v>
      </c>
      <c r="O1925" s="5" t="s">
        <v>8378</v>
      </c>
      <c r="P1925" s="5" t="s">
        <v>8379</v>
      </c>
      <c r="Q1925" s="5" t="s">
        <v>8380</v>
      </c>
      <c r="R1925" s="5" t="s">
        <v>8381</v>
      </c>
      <c r="AG1925" s="14" t="s">
        <v>55</v>
      </c>
      <c r="AH1925" s="14" t="s">
        <v>1603</v>
      </c>
      <c r="AI1925" s="14" t="s">
        <v>1604</v>
      </c>
    </row>
    <row r="1926" spans="1:37">
      <c r="A1926" s="5" t="s">
        <v>8396</v>
      </c>
      <c r="B1926" s="5" t="s">
        <v>8376</v>
      </c>
      <c r="C1926" s="6" t="s">
        <v>2831</v>
      </c>
      <c r="D1926" s="6" t="s">
        <v>239</v>
      </c>
      <c r="E1926" s="6" t="s">
        <v>2070</v>
      </c>
      <c r="F1926" s="6" t="s">
        <v>46</v>
      </c>
      <c r="G1926" s="6" t="s">
        <v>8397</v>
      </c>
      <c r="H1926" s="7">
        <v>26.24</v>
      </c>
      <c r="I1926" s="19" t="s">
        <v>1589</v>
      </c>
      <c r="J1926" s="19" t="s">
        <v>2696</v>
      </c>
      <c r="K1926" s="5" t="s">
        <v>2809</v>
      </c>
      <c r="L1926" s="5" t="s">
        <v>2810</v>
      </c>
      <c r="M1926" s="5" t="s">
        <v>2811</v>
      </c>
      <c r="N1926" s="5" t="s">
        <v>2812</v>
      </c>
      <c r="O1926" s="5" t="s">
        <v>8378</v>
      </c>
      <c r="P1926" s="5" t="s">
        <v>8379</v>
      </c>
      <c r="Q1926" s="5" t="s">
        <v>8380</v>
      </c>
      <c r="R1926" s="5" t="s">
        <v>8381</v>
      </c>
      <c r="AG1926" s="14" t="s">
        <v>55</v>
      </c>
      <c r="AH1926" s="14" t="s">
        <v>1603</v>
      </c>
      <c r="AI1926" s="14" t="s">
        <v>1604</v>
      </c>
    </row>
    <row r="1927" spans="1:37">
      <c r="A1927" s="5" t="s">
        <v>8398</v>
      </c>
      <c r="B1927" s="5" t="s">
        <v>8376</v>
      </c>
      <c r="C1927" s="6" t="s">
        <v>2831</v>
      </c>
      <c r="D1927" s="6" t="s">
        <v>239</v>
      </c>
      <c r="E1927" s="6" t="s">
        <v>2839</v>
      </c>
      <c r="F1927" s="6" t="s">
        <v>46</v>
      </c>
      <c r="G1927" s="6" t="s">
        <v>8399</v>
      </c>
      <c r="H1927" s="7">
        <v>26.24</v>
      </c>
      <c r="I1927" s="19" t="s">
        <v>1589</v>
      </c>
      <c r="J1927" s="19" t="s">
        <v>2696</v>
      </c>
      <c r="K1927" s="5" t="s">
        <v>2809</v>
      </c>
      <c r="L1927" s="5" t="s">
        <v>2810</v>
      </c>
      <c r="M1927" s="5" t="s">
        <v>2811</v>
      </c>
      <c r="N1927" s="5" t="s">
        <v>2812</v>
      </c>
      <c r="O1927" s="5" t="s">
        <v>8378</v>
      </c>
      <c r="P1927" s="5" t="s">
        <v>8379</v>
      </c>
      <c r="Q1927" s="5" t="s">
        <v>8380</v>
      </c>
      <c r="R1927" s="5" t="s">
        <v>8381</v>
      </c>
      <c r="AG1927" s="14" t="s">
        <v>55</v>
      </c>
      <c r="AH1927" s="14" t="s">
        <v>1603</v>
      </c>
      <c r="AI1927" s="14" t="s">
        <v>1604</v>
      </c>
    </row>
    <row r="1928" spans="1:37">
      <c r="A1928" s="5" t="s">
        <v>8400</v>
      </c>
      <c r="B1928" s="5" t="s">
        <v>8376</v>
      </c>
      <c r="C1928" s="6" t="s">
        <v>2831</v>
      </c>
      <c r="D1928" s="6" t="s">
        <v>239</v>
      </c>
      <c r="E1928" s="6" t="s">
        <v>1693</v>
      </c>
      <c r="F1928" s="6" t="s">
        <v>46</v>
      </c>
      <c r="G1928" s="6" t="s">
        <v>7379</v>
      </c>
      <c r="H1928" s="7">
        <v>26.24</v>
      </c>
      <c r="I1928" s="19" t="s">
        <v>1589</v>
      </c>
      <c r="J1928" s="19" t="s">
        <v>2696</v>
      </c>
      <c r="K1928" s="5" t="s">
        <v>2809</v>
      </c>
      <c r="L1928" s="5" t="s">
        <v>2810</v>
      </c>
      <c r="M1928" s="5" t="s">
        <v>2811</v>
      </c>
      <c r="N1928" s="5" t="s">
        <v>2812</v>
      </c>
      <c r="O1928" s="5" t="s">
        <v>8378</v>
      </c>
      <c r="P1928" s="5" t="s">
        <v>8379</v>
      </c>
      <c r="Q1928" s="5" t="s">
        <v>8380</v>
      </c>
      <c r="R1928" s="5" t="s">
        <v>8381</v>
      </c>
      <c r="AG1928" s="14" t="s">
        <v>55</v>
      </c>
      <c r="AH1928" s="14" t="s">
        <v>1603</v>
      </c>
      <c r="AI1928" s="14" t="s">
        <v>1604</v>
      </c>
    </row>
    <row r="1929" spans="1:37">
      <c r="A1929" s="5" t="s">
        <v>8401</v>
      </c>
      <c r="B1929" s="5" t="s">
        <v>8376</v>
      </c>
      <c r="C1929" s="6" t="s">
        <v>43</v>
      </c>
      <c r="D1929" s="6" t="s">
        <v>239</v>
      </c>
      <c r="E1929" s="6" t="s">
        <v>1540</v>
      </c>
      <c r="F1929" s="6" t="s">
        <v>46</v>
      </c>
      <c r="G1929" s="6" t="s">
        <v>8402</v>
      </c>
      <c r="H1929" s="7">
        <v>26.24</v>
      </c>
      <c r="I1929" s="19" t="s">
        <v>1589</v>
      </c>
      <c r="J1929" s="19" t="s">
        <v>2696</v>
      </c>
      <c r="K1929" s="5" t="s">
        <v>2809</v>
      </c>
      <c r="L1929" s="5" t="s">
        <v>2810</v>
      </c>
      <c r="M1929" s="5" t="s">
        <v>2811</v>
      </c>
      <c r="N1929" s="5" t="s">
        <v>2812</v>
      </c>
      <c r="O1929" s="5" t="s">
        <v>8378</v>
      </c>
      <c r="P1929" s="5" t="s">
        <v>8379</v>
      </c>
      <c r="Q1929" s="5" t="s">
        <v>8380</v>
      </c>
      <c r="R1929" s="5" t="s">
        <v>8381</v>
      </c>
      <c r="AG1929" s="14" t="s">
        <v>55</v>
      </c>
      <c r="AH1929" s="14" t="s">
        <v>1603</v>
      </c>
      <c r="AI1929" s="14" t="s">
        <v>1604</v>
      </c>
    </row>
    <row r="1930" spans="1:37">
      <c r="A1930" s="5" t="s">
        <v>8403</v>
      </c>
      <c r="B1930" s="5" t="s">
        <v>8376</v>
      </c>
      <c r="C1930" s="6" t="s">
        <v>2831</v>
      </c>
      <c r="D1930" s="6" t="s">
        <v>239</v>
      </c>
      <c r="E1930" s="6" t="s">
        <v>2065</v>
      </c>
      <c r="F1930" s="6" t="s">
        <v>46</v>
      </c>
      <c r="G1930" s="6" t="s">
        <v>8404</v>
      </c>
      <c r="H1930" s="7">
        <v>26.24</v>
      </c>
      <c r="I1930" s="19" t="s">
        <v>1589</v>
      </c>
      <c r="J1930" s="19" t="s">
        <v>2696</v>
      </c>
      <c r="K1930" s="5" t="s">
        <v>2809</v>
      </c>
      <c r="L1930" s="5" t="s">
        <v>2810</v>
      </c>
      <c r="M1930" s="5" t="s">
        <v>2811</v>
      </c>
      <c r="N1930" s="5" t="s">
        <v>2812</v>
      </c>
      <c r="O1930" s="5" t="s">
        <v>8378</v>
      </c>
      <c r="P1930" s="5" t="s">
        <v>8379</v>
      </c>
      <c r="Q1930" s="5" t="s">
        <v>8380</v>
      </c>
      <c r="R1930" s="5" t="s">
        <v>8381</v>
      </c>
      <c r="AG1930" s="14" t="s">
        <v>55</v>
      </c>
      <c r="AH1930" s="14" t="s">
        <v>1603</v>
      </c>
      <c r="AI1930" s="14" t="s">
        <v>1604</v>
      </c>
    </row>
    <row r="1931" spans="1:37">
      <c r="A1931" s="5" t="s">
        <v>8405</v>
      </c>
      <c r="B1931" s="5" t="s">
        <v>8376</v>
      </c>
      <c r="C1931" s="6" t="s">
        <v>2831</v>
      </c>
      <c r="D1931" s="6" t="s">
        <v>239</v>
      </c>
      <c r="E1931" s="6" t="s">
        <v>4069</v>
      </c>
      <c r="F1931" s="6" t="s">
        <v>46</v>
      </c>
      <c r="G1931" s="6" t="s">
        <v>8406</v>
      </c>
      <c r="H1931" s="7">
        <v>26.24</v>
      </c>
      <c r="I1931" s="19" t="s">
        <v>1589</v>
      </c>
      <c r="J1931" s="19" t="s">
        <v>2696</v>
      </c>
      <c r="K1931" s="5" t="s">
        <v>2809</v>
      </c>
      <c r="L1931" s="5" t="s">
        <v>2810</v>
      </c>
      <c r="M1931" s="5" t="s">
        <v>2811</v>
      </c>
      <c r="N1931" s="5" t="s">
        <v>2812</v>
      </c>
      <c r="O1931" s="5" t="s">
        <v>8378</v>
      </c>
      <c r="P1931" s="5" t="s">
        <v>8379</v>
      </c>
      <c r="Q1931" s="5" t="s">
        <v>8380</v>
      </c>
      <c r="R1931" s="5" t="s">
        <v>8381</v>
      </c>
      <c r="AG1931" s="14" t="s">
        <v>55</v>
      </c>
      <c r="AH1931" s="14" t="s">
        <v>1603</v>
      </c>
      <c r="AI1931" s="14" t="s">
        <v>1604</v>
      </c>
    </row>
    <row r="1932" spans="1:37">
      <c r="A1932" s="5" t="s">
        <v>8407</v>
      </c>
      <c r="B1932" s="5" t="s">
        <v>8376</v>
      </c>
      <c r="C1932" s="6" t="s">
        <v>2831</v>
      </c>
      <c r="D1932" s="6" t="s">
        <v>239</v>
      </c>
      <c r="E1932" s="6" t="s">
        <v>503</v>
      </c>
      <c r="F1932" s="6" t="s">
        <v>46</v>
      </c>
      <c r="G1932" s="6" t="s">
        <v>2769</v>
      </c>
      <c r="H1932" s="7">
        <v>26.24</v>
      </c>
      <c r="I1932" s="19" t="s">
        <v>1589</v>
      </c>
      <c r="J1932" s="19" t="s">
        <v>2696</v>
      </c>
      <c r="K1932" s="5" t="s">
        <v>2809</v>
      </c>
      <c r="L1932" s="5" t="s">
        <v>2810</v>
      </c>
      <c r="M1932" s="5" t="s">
        <v>2811</v>
      </c>
      <c r="N1932" s="5" t="s">
        <v>2812</v>
      </c>
      <c r="O1932" s="5" t="s">
        <v>8378</v>
      </c>
      <c r="P1932" s="5" t="s">
        <v>8379</v>
      </c>
      <c r="Q1932" s="5" t="s">
        <v>8380</v>
      </c>
      <c r="R1932" s="5" t="s">
        <v>8381</v>
      </c>
      <c r="AG1932" s="14" t="s">
        <v>55</v>
      </c>
      <c r="AH1932" s="14" t="s">
        <v>1603</v>
      </c>
      <c r="AI1932" s="14" t="s">
        <v>1604</v>
      </c>
    </row>
    <row r="1933" spans="1:37">
      <c r="A1933" s="6" t="s">
        <v>8408</v>
      </c>
      <c r="B1933" s="6" t="s">
        <v>8409</v>
      </c>
      <c r="C1933" s="6" t="s">
        <v>43</v>
      </c>
      <c r="D1933" s="6" t="s">
        <v>239</v>
      </c>
      <c r="E1933" s="6" t="s">
        <v>2047</v>
      </c>
      <c r="F1933" s="6" t="s">
        <v>46</v>
      </c>
      <c r="G1933" s="6" t="s">
        <v>8410</v>
      </c>
      <c r="I1933" s="6" t="s">
        <v>48</v>
      </c>
      <c r="J1933" s="6" t="s">
        <v>48</v>
      </c>
      <c r="K1933" s="6"/>
      <c r="L1933" s="6"/>
      <c r="M1933" s="6"/>
      <c r="N1933" s="6"/>
      <c r="O1933" s="6"/>
      <c r="P1933" s="6"/>
      <c r="Q1933" s="6"/>
      <c r="R1933" s="6"/>
      <c r="S1933" s="6"/>
      <c r="T1933" s="6"/>
      <c r="U1933" s="6"/>
      <c r="V1933" s="6"/>
      <c r="W1933" s="6"/>
      <c r="X1933" s="6"/>
      <c r="Y1933" s="6"/>
      <c r="Z1933" s="6"/>
      <c r="AA1933" s="6"/>
      <c r="AB1933" s="6"/>
      <c r="AC1933" s="6"/>
      <c r="AD1933" s="6"/>
      <c r="AE1933" s="6"/>
      <c r="AF1933" s="6"/>
      <c r="AG1933" s="15" t="s">
        <v>55</v>
      </c>
      <c r="AH1933" s="15"/>
      <c r="AI1933" s="15"/>
      <c r="AJ1933" s="6"/>
      <c r="AK1933" s="6"/>
    </row>
    <row r="1934" spans="1:37" s="6" customFormat="1">
      <c r="A1934" s="6" t="s">
        <v>8411</v>
      </c>
      <c r="B1934" s="6" t="s">
        <v>8412</v>
      </c>
      <c r="C1934" s="6" t="s">
        <v>43</v>
      </c>
      <c r="D1934" s="6" t="s">
        <v>239</v>
      </c>
      <c r="E1934" s="6" t="s">
        <v>2047</v>
      </c>
      <c r="F1934" s="6" t="s">
        <v>46</v>
      </c>
      <c r="G1934" s="6" t="s">
        <v>7179</v>
      </c>
      <c r="H1934" s="7"/>
      <c r="I1934" s="6" t="s">
        <v>48</v>
      </c>
      <c r="J1934" s="6" t="s">
        <v>48</v>
      </c>
      <c r="AG1934" s="15" t="s">
        <v>55</v>
      </c>
      <c r="AH1934" s="15"/>
      <c r="AI1934" s="15"/>
    </row>
    <row r="1935" spans="1:37" s="6" customFormat="1">
      <c r="A1935" s="6" t="s">
        <v>8413</v>
      </c>
      <c r="B1935" s="6" t="s">
        <v>8414</v>
      </c>
      <c r="C1935" s="6" t="s">
        <v>43</v>
      </c>
      <c r="D1935" s="6" t="s">
        <v>239</v>
      </c>
      <c r="E1935" s="6" t="s">
        <v>2047</v>
      </c>
      <c r="F1935" s="6" t="s">
        <v>46</v>
      </c>
      <c r="G1935" s="6" t="s">
        <v>8415</v>
      </c>
      <c r="H1935" s="7"/>
      <c r="I1935" s="19" t="s">
        <v>48</v>
      </c>
      <c r="J1935" s="19" t="s">
        <v>48</v>
      </c>
      <c r="AG1935" s="15" t="s">
        <v>55</v>
      </c>
      <c r="AH1935" s="15"/>
      <c r="AI1935" s="15"/>
    </row>
    <row r="1936" spans="1:37" s="6" customFormat="1">
      <c r="A1936" s="6" t="s">
        <v>8416</v>
      </c>
      <c r="B1936" s="6" t="s">
        <v>8414</v>
      </c>
      <c r="C1936" s="6" t="s">
        <v>43</v>
      </c>
      <c r="D1936" s="6" t="s">
        <v>239</v>
      </c>
      <c r="E1936" s="6" t="s">
        <v>2065</v>
      </c>
      <c r="F1936" s="6" t="s">
        <v>46</v>
      </c>
      <c r="G1936" s="6" t="s">
        <v>7084</v>
      </c>
      <c r="H1936" s="7"/>
      <c r="I1936" s="19" t="s">
        <v>48</v>
      </c>
      <c r="J1936" s="19" t="s">
        <v>48</v>
      </c>
      <c r="AG1936" s="15" t="s">
        <v>55</v>
      </c>
      <c r="AH1936" s="15"/>
      <c r="AI1936" s="15"/>
    </row>
    <row r="1937" spans="1:37" s="6" customFormat="1">
      <c r="A1937" s="5" t="s">
        <v>8417</v>
      </c>
      <c r="B1937" s="5" t="s">
        <v>8418</v>
      </c>
      <c r="C1937" s="6" t="s">
        <v>43</v>
      </c>
      <c r="D1937" s="6" t="s">
        <v>239</v>
      </c>
      <c r="E1937" s="6" t="s">
        <v>2139</v>
      </c>
      <c r="F1937" s="6" t="s">
        <v>46</v>
      </c>
      <c r="G1937" s="6" t="s">
        <v>8419</v>
      </c>
      <c r="H1937" s="7">
        <v>32.46</v>
      </c>
      <c r="I1937" s="19" t="s">
        <v>1589</v>
      </c>
      <c r="J1937" s="19" t="s">
        <v>2696</v>
      </c>
      <c r="K1937" s="5" t="s">
        <v>2857</v>
      </c>
      <c r="L1937" s="5" t="s">
        <v>2858</v>
      </c>
      <c r="M1937" s="5" t="s">
        <v>2859</v>
      </c>
      <c r="N1937" s="5" t="s">
        <v>2860</v>
      </c>
      <c r="O1937" s="5" t="s">
        <v>8420</v>
      </c>
      <c r="P1937" s="5" t="s">
        <v>8421</v>
      </c>
      <c r="Q1937" s="5" t="s">
        <v>8422</v>
      </c>
      <c r="R1937" s="5" t="s">
        <v>8423</v>
      </c>
      <c r="S1937" s="5"/>
      <c r="T1937" s="5"/>
      <c r="U1937" s="5"/>
      <c r="V1937" s="5"/>
      <c r="W1937" s="5"/>
      <c r="X1937" s="5"/>
      <c r="Y1937" s="5"/>
      <c r="Z1937" s="5"/>
      <c r="AA1937" s="5"/>
      <c r="AB1937" s="5"/>
      <c r="AC1937" s="5"/>
      <c r="AD1937" s="5"/>
      <c r="AE1937" s="5"/>
      <c r="AF1937" s="5"/>
      <c r="AG1937" s="14" t="s">
        <v>55</v>
      </c>
      <c r="AH1937" s="14" t="s">
        <v>1603</v>
      </c>
      <c r="AI1937" s="14" t="s">
        <v>1604</v>
      </c>
      <c r="AJ1937" s="5"/>
      <c r="AK1937" s="5"/>
    </row>
    <row r="1938" spans="1:37">
      <c r="A1938" s="5" t="s">
        <v>8424</v>
      </c>
      <c r="B1938" s="5" t="s">
        <v>8418</v>
      </c>
      <c r="C1938" s="6" t="s">
        <v>43</v>
      </c>
      <c r="D1938" s="6" t="s">
        <v>239</v>
      </c>
      <c r="E1938" s="6" t="s">
        <v>1386</v>
      </c>
      <c r="F1938" s="6" t="s">
        <v>46</v>
      </c>
      <c r="G1938" s="6" t="s">
        <v>8425</v>
      </c>
      <c r="H1938" s="7">
        <v>32.46</v>
      </c>
      <c r="I1938" s="19" t="s">
        <v>1589</v>
      </c>
      <c r="J1938" s="19" t="s">
        <v>2696</v>
      </c>
      <c r="K1938" s="5" t="s">
        <v>2857</v>
      </c>
      <c r="L1938" s="5" t="s">
        <v>2858</v>
      </c>
      <c r="M1938" s="5" t="s">
        <v>2859</v>
      </c>
      <c r="N1938" s="5" t="s">
        <v>2860</v>
      </c>
      <c r="O1938" s="5" t="s">
        <v>8420</v>
      </c>
      <c r="P1938" s="5" t="s">
        <v>8421</v>
      </c>
      <c r="Q1938" s="5" t="s">
        <v>8422</v>
      </c>
      <c r="R1938" s="5" t="s">
        <v>8423</v>
      </c>
      <c r="AG1938" s="14" t="s">
        <v>55</v>
      </c>
      <c r="AH1938" s="14" t="s">
        <v>1603</v>
      </c>
      <c r="AI1938" s="14" t="s">
        <v>1604</v>
      </c>
    </row>
    <row r="1939" spans="1:37">
      <c r="A1939" s="5" t="s">
        <v>8426</v>
      </c>
      <c r="B1939" s="5" t="s">
        <v>8418</v>
      </c>
      <c r="C1939" s="6" t="s">
        <v>43</v>
      </c>
      <c r="D1939" s="6" t="s">
        <v>239</v>
      </c>
      <c r="E1939" s="6" t="s">
        <v>2015</v>
      </c>
      <c r="F1939" s="6" t="s">
        <v>46</v>
      </c>
      <c r="G1939" s="6" t="s">
        <v>8427</v>
      </c>
      <c r="H1939" s="7">
        <v>32.46</v>
      </c>
      <c r="I1939" s="19" t="s">
        <v>1589</v>
      </c>
      <c r="J1939" s="19" t="s">
        <v>2696</v>
      </c>
      <c r="K1939" s="5" t="s">
        <v>2857</v>
      </c>
      <c r="L1939" s="5" t="s">
        <v>2858</v>
      </c>
      <c r="M1939" s="5" t="s">
        <v>2859</v>
      </c>
      <c r="N1939" s="5" t="s">
        <v>2860</v>
      </c>
      <c r="O1939" s="5" t="s">
        <v>8420</v>
      </c>
      <c r="P1939" s="5" t="s">
        <v>8421</v>
      </c>
      <c r="Q1939" s="5" t="s">
        <v>8422</v>
      </c>
      <c r="R1939" s="5" t="s">
        <v>8423</v>
      </c>
      <c r="AG1939" s="14" t="s">
        <v>55</v>
      </c>
      <c r="AH1939" s="14" t="s">
        <v>1603</v>
      </c>
      <c r="AI1939" s="14" t="s">
        <v>1604</v>
      </c>
    </row>
    <row r="1940" spans="1:37">
      <c r="A1940" s="5" t="s">
        <v>8428</v>
      </c>
      <c r="B1940" s="5" t="s">
        <v>8418</v>
      </c>
      <c r="C1940" s="6" t="s">
        <v>43</v>
      </c>
      <c r="D1940" s="6" t="s">
        <v>239</v>
      </c>
      <c r="E1940" s="6" t="s">
        <v>2047</v>
      </c>
      <c r="F1940" s="6" t="s">
        <v>46</v>
      </c>
      <c r="G1940" s="6" t="s">
        <v>8429</v>
      </c>
      <c r="H1940" s="7">
        <v>32.46</v>
      </c>
      <c r="I1940" s="19" t="s">
        <v>1589</v>
      </c>
      <c r="J1940" s="19" t="s">
        <v>2696</v>
      </c>
      <c r="K1940" s="5" t="s">
        <v>2857</v>
      </c>
      <c r="L1940" s="5" t="s">
        <v>2858</v>
      </c>
      <c r="M1940" s="5" t="s">
        <v>2859</v>
      </c>
      <c r="N1940" s="5" t="s">
        <v>2860</v>
      </c>
      <c r="O1940" s="5" t="s">
        <v>8420</v>
      </c>
      <c r="P1940" s="5" t="s">
        <v>8421</v>
      </c>
      <c r="Q1940" s="5" t="s">
        <v>8422</v>
      </c>
      <c r="R1940" s="5" t="s">
        <v>8423</v>
      </c>
      <c r="AG1940" s="14" t="s">
        <v>55</v>
      </c>
      <c r="AH1940" s="14" t="s">
        <v>1603</v>
      </c>
      <c r="AI1940" s="14" t="s">
        <v>1604</v>
      </c>
    </row>
    <row r="1941" spans="1:37">
      <c r="A1941" s="5" t="s">
        <v>8430</v>
      </c>
      <c r="B1941" s="5" t="s">
        <v>8418</v>
      </c>
      <c r="C1941" s="6" t="s">
        <v>43</v>
      </c>
      <c r="D1941" s="6" t="s">
        <v>239</v>
      </c>
      <c r="E1941" s="6" t="s">
        <v>1693</v>
      </c>
      <c r="F1941" s="6" t="s">
        <v>46</v>
      </c>
      <c r="G1941" s="6" t="s">
        <v>7580</v>
      </c>
      <c r="H1941" s="7">
        <v>32.46</v>
      </c>
      <c r="I1941" s="19" t="s">
        <v>1589</v>
      </c>
      <c r="J1941" s="19" t="s">
        <v>2696</v>
      </c>
      <c r="K1941" s="5" t="s">
        <v>2857</v>
      </c>
      <c r="L1941" s="5" t="s">
        <v>2858</v>
      </c>
      <c r="M1941" s="5" t="s">
        <v>2859</v>
      </c>
      <c r="N1941" s="5" t="s">
        <v>2860</v>
      </c>
      <c r="O1941" s="5" t="s">
        <v>8420</v>
      </c>
      <c r="P1941" s="5" t="s">
        <v>8421</v>
      </c>
      <c r="Q1941" s="5" t="s">
        <v>8422</v>
      </c>
      <c r="R1941" s="5" t="s">
        <v>8423</v>
      </c>
      <c r="AG1941" s="14" t="s">
        <v>55</v>
      </c>
      <c r="AH1941" s="14" t="s">
        <v>1603</v>
      </c>
      <c r="AI1941" s="14" t="s">
        <v>1604</v>
      </c>
    </row>
    <row r="1942" spans="1:37">
      <c r="A1942" s="5" t="s">
        <v>8431</v>
      </c>
      <c r="B1942" s="5" t="s">
        <v>8418</v>
      </c>
      <c r="C1942" s="6" t="s">
        <v>43</v>
      </c>
      <c r="D1942" s="6" t="s">
        <v>239</v>
      </c>
      <c r="E1942" s="6" t="s">
        <v>1540</v>
      </c>
      <c r="F1942" s="6" t="s">
        <v>46</v>
      </c>
      <c r="G1942" s="6" t="s">
        <v>8432</v>
      </c>
      <c r="H1942" s="7">
        <v>32.46</v>
      </c>
      <c r="I1942" s="19" t="s">
        <v>1589</v>
      </c>
      <c r="J1942" s="19" t="s">
        <v>2696</v>
      </c>
      <c r="K1942" s="5" t="s">
        <v>2857</v>
      </c>
      <c r="L1942" s="5" t="s">
        <v>2858</v>
      </c>
      <c r="M1942" s="5" t="s">
        <v>2859</v>
      </c>
      <c r="N1942" s="5" t="s">
        <v>2860</v>
      </c>
      <c r="O1942" s="5" t="s">
        <v>8420</v>
      </c>
      <c r="P1942" s="5" t="s">
        <v>8421</v>
      </c>
      <c r="Q1942" s="5" t="s">
        <v>8422</v>
      </c>
      <c r="R1942" s="5" t="s">
        <v>8423</v>
      </c>
      <c r="AG1942" s="14" t="s">
        <v>55</v>
      </c>
      <c r="AH1942" s="14" t="s">
        <v>1603</v>
      </c>
      <c r="AI1942" s="14" t="s">
        <v>1604</v>
      </c>
    </row>
    <row r="1943" spans="1:37">
      <c r="A1943" s="5" t="s">
        <v>8433</v>
      </c>
      <c r="B1943" s="5" t="s">
        <v>8418</v>
      </c>
      <c r="C1943" s="6" t="s">
        <v>43</v>
      </c>
      <c r="D1943" s="6" t="s">
        <v>239</v>
      </c>
      <c r="E1943" s="6" t="s">
        <v>2065</v>
      </c>
      <c r="F1943" s="6" t="s">
        <v>46</v>
      </c>
      <c r="G1943" s="6" t="s">
        <v>8434</v>
      </c>
      <c r="H1943" s="7">
        <v>32.46</v>
      </c>
      <c r="I1943" s="19" t="s">
        <v>1589</v>
      </c>
      <c r="J1943" s="19" t="s">
        <v>2696</v>
      </c>
      <c r="K1943" s="5" t="s">
        <v>2857</v>
      </c>
      <c r="L1943" s="5" t="s">
        <v>2858</v>
      </c>
      <c r="M1943" s="5" t="s">
        <v>2859</v>
      </c>
      <c r="N1943" s="5" t="s">
        <v>2860</v>
      </c>
      <c r="O1943" s="5" t="s">
        <v>8420</v>
      </c>
      <c r="P1943" s="5" t="s">
        <v>8421</v>
      </c>
      <c r="Q1943" s="5" t="s">
        <v>8422</v>
      </c>
      <c r="R1943" s="5" t="s">
        <v>8423</v>
      </c>
      <c r="AG1943" s="14" t="s">
        <v>55</v>
      </c>
      <c r="AH1943" s="14" t="s">
        <v>1603</v>
      </c>
      <c r="AI1943" s="14" t="s">
        <v>1604</v>
      </c>
    </row>
    <row r="1944" spans="1:37">
      <c r="A1944" s="5" t="s">
        <v>8435</v>
      </c>
      <c r="B1944" s="5" t="s">
        <v>8418</v>
      </c>
      <c r="C1944" s="6" t="s">
        <v>43</v>
      </c>
      <c r="D1944" s="6" t="s">
        <v>239</v>
      </c>
      <c r="E1944" s="6" t="s">
        <v>4069</v>
      </c>
      <c r="F1944" s="6" t="s">
        <v>46</v>
      </c>
      <c r="G1944" s="6" t="s">
        <v>5710</v>
      </c>
      <c r="H1944" s="7">
        <v>32.46</v>
      </c>
      <c r="I1944" s="19" t="s">
        <v>1589</v>
      </c>
      <c r="J1944" s="19" t="s">
        <v>2696</v>
      </c>
      <c r="K1944" s="5" t="s">
        <v>2857</v>
      </c>
      <c r="L1944" s="5" t="s">
        <v>2858</v>
      </c>
      <c r="M1944" s="5" t="s">
        <v>2859</v>
      </c>
      <c r="N1944" s="5" t="s">
        <v>2860</v>
      </c>
      <c r="O1944" s="5" t="s">
        <v>8420</v>
      </c>
      <c r="P1944" s="5" t="s">
        <v>8421</v>
      </c>
      <c r="Q1944" s="5" t="s">
        <v>8422</v>
      </c>
      <c r="R1944" s="5" t="s">
        <v>8423</v>
      </c>
      <c r="AG1944" s="14" t="s">
        <v>55</v>
      </c>
      <c r="AH1944" s="14" t="s">
        <v>1603</v>
      </c>
      <c r="AI1944" s="14" t="s">
        <v>1604</v>
      </c>
    </row>
    <row r="1945" spans="1:37">
      <c r="A1945" s="5" t="s">
        <v>8436</v>
      </c>
      <c r="B1945" s="5" t="s">
        <v>8418</v>
      </c>
      <c r="C1945" s="6" t="s">
        <v>43</v>
      </c>
      <c r="D1945" s="6" t="s">
        <v>239</v>
      </c>
      <c r="E1945" s="6" t="s">
        <v>240</v>
      </c>
      <c r="F1945" s="6" t="s">
        <v>46</v>
      </c>
      <c r="G1945" s="6" t="s">
        <v>8437</v>
      </c>
      <c r="H1945" s="7">
        <v>32.46</v>
      </c>
      <c r="I1945" s="19" t="s">
        <v>1589</v>
      </c>
      <c r="J1945" s="19" t="s">
        <v>2696</v>
      </c>
      <c r="K1945" s="5" t="s">
        <v>2857</v>
      </c>
      <c r="L1945" s="5" t="s">
        <v>2858</v>
      </c>
      <c r="M1945" s="5" t="s">
        <v>2859</v>
      </c>
      <c r="N1945" s="5" t="s">
        <v>2860</v>
      </c>
      <c r="O1945" s="5" t="s">
        <v>8420</v>
      </c>
      <c r="P1945" s="5" t="s">
        <v>8421</v>
      </c>
      <c r="Q1945" s="5" t="s">
        <v>8422</v>
      </c>
      <c r="R1945" s="5" t="s">
        <v>8423</v>
      </c>
      <c r="AG1945" s="14" t="s">
        <v>55</v>
      </c>
      <c r="AH1945" s="14" t="s">
        <v>1603</v>
      </c>
      <c r="AI1945" s="14" t="s">
        <v>1604</v>
      </c>
    </row>
    <row r="1946" spans="1:37">
      <c r="A1946" s="6" t="s">
        <v>8438</v>
      </c>
      <c r="B1946" s="6" t="s">
        <v>8439</v>
      </c>
      <c r="C1946" s="6" t="s">
        <v>43</v>
      </c>
      <c r="D1946" s="6" t="s">
        <v>239</v>
      </c>
      <c r="E1946" s="6" t="s">
        <v>2047</v>
      </c>
      <c r="F1946" s="6" t="s">
        <v>46</v>
      </c>
      <c r="G1946" s="6" t="s">
        <v>8440</v>
      </c>
      <c r="I1946" s="6" t="s">
        <v>48</v>
      </c>
      <c r="J1946" s="6" t="s">
        <v>48</v>
      </c>
      <c r="K1946" s="6"/>
      <c r="L1946" s="6"/>
      <c r="M1946" s="6"/>
      <c r="N1946" s="6"/>
      <c r="O1946" s="6"/>
      <c r="P1946" s="6"/>
      <c r="Q1946" s="6"/>
      <c r="R1946" s="6"/>
      <c r="S1946" s="6"/>
      <c r="T1946" s="6"/>
      <c r="U1946" s="6"/>
      <c r="V1946" s="6"/>
      <c r="W1946" s="6"/>
      <c r="X1946" s="6"/>
      <c r="Y1946" s="6"/>
      <c r="Z1946" s="6"/>
      <c r="AA1946" s="6"/>
      <c r="AB1946" s="6"/>
      <c r="AC1946" s="6"/>
      <c r="AD1946" s="6"/>
      <c r="AE1946" s="6"/>
      <c r="AF1946" s="6"/>
      <c r="AG1946" s="15" t="s">
        <v>55</v>
      </c>
      <c r="AH1946" s="15"/>
      <c r="AI1946" s="15"/>
      <c r="AJ1946" s="6"/>
      <c r="AK1946" s="6"/>
    </row>
    <row r="1947" spans="1:37" s="6" customFormat="1">
      <c r="A1947" s="5" t="s">
        <v>8441</v>
      </c>
      <c r="B1947" s="5" t="s">
        <v>8442</v>
      </c>
      <c r="C1947" s="6" t="s">
        <v>43</v>
      </c>
      <c r="D1947" s="6" t="s">
        <v>239</v>
      </c>
      <c r="E1947" s="6" t="s">
        <v>2015</v>
      </c>
      <c r="F1947" s="6" t="s">
        <v>46</v>
      </c>
      <c r="G1947" s="6" t="s">
        <v>7262</v>
      </c>
      <c r="H1947" s="7">
        <v>33.03</v>
      </c>
      <c r="I1947" s="19" t="s">
        <v>1589</v>
      </c>
      <c r="J1947" s="19" t="s">
        <v>2696</v>
      </c>
      <c r="K1947" s="5" t="s">
        <v>2878</v>
      </c>
      <c r="L1947" s="5" t="s">
        <v>2879</v>
      </c>
      <c r="M1947" s="5" t="s">
        <v>2880</v>
      </c>
      <c r="N1947" s="5" t="s">
        <v>2881</v>
      </c>
      <c r="O1947" s="5" t="s">
        <v>8443</v>
      </c>
      <c r="P1947" s="5" t="s">
        <v>8444</v>
      </c>
      <c r="Q1947" s="5" t="s">
        <v>8445</v>
      </c>
      <c r="R1947" s="5" t="s">
        <v>8446</v>
      </c>
      <c r="S1947" s="5"/>
      <c r="T1947" s="5"/>
      <c r="U1947" s="5"/>
      <c r="V1947" s="5"/>
      <c r="W1947" s="5"/>
      <c r="X1947" s="5"/>
      <c r="Y1947" s="5"/>
      <c r="Z1947" s="5"/>
      <c r="AA1947" s="5"/>
      <c r="AB1947" s="5"/>
      <c r="AC1947" s="5"/>
      <c r="AD1947" s="5"/>
      <c r="AE1947" s="5"/>
      <c r="AF1947" s="5"/>
      <c r="AG1947" s="14" t="s">
        <v>55</v>
      </c>
      <c r="AH1947" s="14" t="s">
        <v>1603</v>
      </c>
      <c r="AI1947" s="14" t="s">
        <v>1604</v>
      </c>
      <c r="AJ1947" s="5"/>
      <c r="AK1947" s="5"/>
    </row>
    <row r="1948" spans="1:37">
      <c r="A1948" s="5" t="s">
        <v>8447</v>
      </c>
      <c r="B1948" s="5" t="s">
        <v>8442</v>
      </c>
      <c r="C1948" s="6" t="s">
        <v>43</v>
      </c>
      <c r="D1948" s="6" t="s">
        <v>239</v>
      </c>
      <c r="E1948" s="6" t="s">
        <v>2047</v>
      </c>
      <c r="F1948" s="6" t="s">
        <v>46</v>
      </c>
      <c r="G1948" s="6" t="s">
        <v>8448</v>
      </c>
      <c r="H1948" s="7">
        <v>33.03</v>
      </c>
      <c r="I1948" s="19" t="s">
        <v>1589</v>
      </c>
      <c r="J1948" s="19" t="s">
        <v>2696</v>
      </c>
      <c r="K1948" s="5" t="s">
        <v>2878</v>
      </c>
      <c r="L1948" s="5" t="s">
        <v>2879</v>
      </c>
      <c r="M1948" s="5" t="s">
        <v>2880</v>
      </c>
      <c r="N1948" s="5" t="s">
        <v>2881</v>
      </c>
      <c r="O1948" s="5" t="s">
        <v>8443</v>
      </c>
      <c r="P1948" s="5" t="s">
        <v>8444</v>
      </c>
      <c r="Q1948" s="5" t="s">
        <v>8445</v>
      </c>
      <c r="R1948" s="5" t="s">
        <v>8446</v>
      </c>
      <c r="AG1948" s="14" t="s">
        <v>55</v>
      </c>
      <c r="AH1948" s="14" t="s">
        <v>1603</v>
      </c>
      <c r="AI1948" s="14" t="s">
        <v>1604</v>
      </c>
    </row>
    <row r="1949" spans="1:37">
      <c r="A1949" s="6" t="s">
        <v>8449</v>
      </c>
      <c r="B1949" s="6" t="s">
        <v>8450</v>
      </c>
      <c r="C1949" s="6" t="s">
        <v>43</v>
      </c>
      <c r="D1949" s="6" t="s">
        <v>239</v>
      </c>
      <c r="E1949" s="6" t="s">
        <v>2015</v>
      </c>
      <c r="F1949" s="6" t="s">
        <v>46</v>
      </c>
      <c r="G1949" s="6" t="s">
        <v>8451</v>
      </c>
      <c r="I1949" s="6" t="s">
        <v>48</v>
      </c>
      <c r="J1949" s="6" t="s">
        <v>48</v>
      </c>
      <c r="K1949" s="6"/>
      <c r="L1949" s="6"/>
      <c r="M1949" s="6"/>
      <c r="N1949" s="6"/>
      <c r="O1949" s="6"/>
      <c r="P1949" s="6"/>
      <c r="Q1949" s="6"/>
      <c r="R1949" s="6"/>
      <c r="S1949" s="6"/>
      <c r="T1949" s="6"/>
      <c r="U1949" s="6"/>
      <c r="V1949" s="6"/>
      <c r="W1949" s="6"/>
      <c r="X1949" s="6"/>
      <c r="Y1949" s="6"/>
      <c r="Z1949" s="6"/>
      <c r="AA1949" s="6"/>
      <c r="AB1949" s="6"/>
      <c r="AC1949" s="6"/>
      <c r="AD1949" s="6"/>
      <c r="AE1949" s="6"/>
      <c r="AF1949" s="6"/>
      <c r="AG1949" s="15" t="s">
        <v>55</v>
      </c>
      <c r="AH1949" s="15"/>
      <c r="AI1949" s="15"/>
      <c r="AJ1949" s="6"/>
      <c r="AK1949" s="6"/>
    </row>
    <row r="1950" spans="1:37" s="6" customFormat="1">
      <c r="A1950" s="6" t="s">
        <v>8452</v>
      </c>
      <c r="B1950" s="6" t="s">
        <v>8450</v>
      </c>
      <c r="C1950" s="6" t="s">
        <v>43</v>
      </c>
      <c r="D1950" s="6" t="s">
        <v>239</v>
      </c>
      <c r="E1950" s="6" t="s">
        <v>2047</v>
      </c>
      <c r="F1950" s="6" t="s">
        <v>46</v>
      </c>
      <c r="G1950" s="6" t="s">
        <v>8312</v>
      </c>
      <c r="H1950" s="7"/>
      <c r="I1950" s="6" t="s">
        <v>48</v>
      </c>
      <c r="J1950" s="6" t="s">
        <v>48</v>
      </c>
      <c r="AG1950" s="15" t="s">
        <v>55</v>
      </c>
      <c r="AH1950" s="15"/>
      <c r="AI1950" s="15"/>
    </row>
    <row r="1951" spans="1:37" s="6" customFormat="1">
      <c r="A1951" s="5" t="s">
        <v>8453</v>
      </c>
      <c r="B1951" s="5" t="s">
        <v>8454</v>
      </c>
      <c r="C1951" s="6" t="s">
        <v>43</v>
      </c>
      <c r="D1951" s="6" t="s">
        <v>239</v>
      </c>
      <c r="E1951" s="6" t="s">
        <v>2139</v>
      </c>
      <c r="F1951" s="6" t="s">
        <v>46</v>
      </c>
      <c r="G1951" s="6" t="s">
        <v>8455</v>
      </c>
      <c r="H1951" s="7">
        <v>34.75</v>
      </c>
      <c r="I1951" s="19" t="s">
        <v>1589</v>
      </c>
      <c r="J1951" s="19" t="s">
        <v>2696</v>
      </c>
      <c r="K1951" s="5" t="s">
        <v>2903</v>
      </c>
      <c r="L1951" s="5" t="s">
        <v>2904</v>
      </c>
      <c r="M1951" s="5" t="s">
        <v>2905</v>
      </c>
      <c r="N1951" s="5" t="s">
        <v>2906</v>
      </c>
      <c r="O1951" s="5" t="s">
        <v>8456</v>
      </c>
      <c r="P1951" s="5" t="s">
        <v>8457</v>
      </c>
      <c r="Q1951" s="5" t="s">
        <v>8458</v>
      </c>
      <c r="R1951" s="5" t="s">
        <v>8459</v>
      </c>
      <c r="S1951" s="5"/>
      <c r="T1951" s="5"/>
      <c r="U1951" s="5"/>
      <c r="V1951" s="5"/>
      <c r="W1951" s="5"/>
      <c r="X1951" s="5"/>
      <c r="Y1951" s="5"/>
      <c r="Z1951" s="5"/>
      <c r="AA1951" s="5"/>
      <c r="AB1951" s="5"/>
      <c r="AC1951" s="5"/>
      <c r="AD1951" s="5"/>
      <c r="AE1951" s="5"/>
      <c r="AF1951" s="5"/>
      <c r="AG1951" s="14" t="s">
        <v>55</v>
      </c>
      <c r="AH1951" s="14" t="s">
        <v>1603</v>
      </c>
      <c r="AI1951" s="14" t="s">
        <v>1604</v>
      </c>
      <c r="AJ1951" s="5"/>
      <c r="AK1951" s="5"/>
    </row>
    <row r="1952" spans="1:37">
      <c r="A1952" s="5" t="s">
        <v>8460</v>
      </c>
      <c r="B1952" s="5" t="s">
        <v>8454</v>
      </c>
      <c r="C1952" s="6" t="s">
        <v>43</v>
      </c>
      <c r="D1952" s="6" t="s">
        <v>239</v>
      </c>
      <c r="E1952" s="6" t="s">
        <v>2015</v>
      </c>
      <c r="F1952" s="6" t="s">
        <v>46</v>
      </c>
      <c r="G1952" s="6" t="s">
        <v>8461</v>
      </c>
      <c r="H1952" s="7">
        <v>34.75</v>
      </c>
      <c r="I1952" s="19" t="s">
        <v>1589</v>
      </c>
      <c r="J1952" s="19" t="s">
        <v>2696</v>
      </c>
      <c r="K1952" s="5" t="s">
        <v>2903</v>
      </c>
      <c r="L1952" s="5" t="s">
        <v>2904</v>
      </c>
      <c r="M1952" s="5" t="s">
        <v>2905</v>
      </c>
      <c r="N1952" s="5" t="s">
        <v>2906</v>
      </c>
      <c r="O1952" s="5" t="s">
        <v>8456</v>
      </c>
      <c r="P1952" s="5" t="s">
        <v>8457</v>
      </c>
      <c r="Q1952" s="5" t="s">
        <v>8458</v>
      </c>
      <c r="R1952" s="5" t="s">
        <v>8459</v>
      </c>
      <c r="AG1952" s="14" t="s">
        <v>55</v>
      </c>
      <c r="AH1952" s="14" t="s">
        <v>1603</v>
      </c>
      <c r="AI1952" s="14" t="s">
        <v>1604</v>
      </c>
    </row>
    <row r="1953" spans="1:37">
      <c r="A1953" s="5" t="s">
        <v>8462</v>
      </c>
      <c r="B1953" s="5" t="s">
        <v>8454</v>
      </c>
      <c r="C1953" s="6" t="s">
        <v>43</v>
      </c>
      <c r="D1953" s="6" t="s">
        <v>239</v>
      </c>
      <c r="E1953" s="6" t="s">
        <v>2047</v>
      </c>
      <c r="F1953" s="6" t="s">
        <v>46</v>
      </c>
      <c r="G1953" s="6" t="s">
        <v>8463</v>
      </c>
      <c r="H1953" s="7">
        <v>34.75</v>
      </c>
      <c r="I1953" s="19" t="s">
        <v>1589</v>
      </c>
      <c r="J1953" s="19" t="s">
        <v>2696</v>
      </c>
      <c r="K1953" s="5" t="s">
        <v>2903</v>
      </c>
      <c r="L1953" s="5" t="s">
        <v>2904</v>
      </c>
      <c r="M1953" s="5" t="s">
        <v>2905</v>
      </c>
      <c r="N1953" s="5" t="s">
        <v>2906</v>
      </c>
      <c r="O1953" s="5" t="s">
        <v>8456</v>
      </c>
      <c r="P1953" s="5" t="s">
        <v>8457</v>
      </c>
      <c r="Q1953" s="5" t="s">
        <v>8458</v>
      </c>
      <c r="R1953" s="5" t="s">
        <v>8459</v>
      </c>
      <c r="AG1953" s="14" t="s">
        <v>55</v>
      </c>
      <c r="AH1953" s="14" t="s">
        <v>1603</v>
      </c>
      <c r="AI1953" s="14" t="s">
        <v>1604</v>
      </c>
    </row>
    <row r="1954" spans="1:37">
      <c r="A1954" s="5" t="s">
        <v>8464</v>
      </c>
      <c r="B1954" s="5" t="s">
        <v>8454</v>
      </c>
      <c r="C1954" s="6" t="s">
        <v>43</v>
      </c>
      <c r="D1954" s="6" t="s">
        <v>239</v>
      </c>
      <c r="E1954" s="6" t="s">
        <v>2065</v>
      </c>
      <c r="F1954" s="6" t="s">
        <v>46</v>
      </c>
      <c r="G1954" s="6" t="s">
        <v>6960</v>
      </c>
      <c r="H1954" s="7">
        <v>34.75</v>
      </c>
      <c r="I1954" s="19" t="s">
        <v>1589</v>
      </c>
      <c r="J1954" s="19" t="s">
        <v>2696</v>
      </c>
      <c r="K1954" s="5" t="s">
        <v>2903</v>
      </c>
      <c r="L1954" s="5" t="s">
        <v>2904</v>
      </c>
      <c r="M1954" s="5" t="s">
        <v>2905</v>
      </c>
      <c r="N1954" s="5" t="s">
        <v>2906</v>
      </c>
      <c r="O1954" s="5" t="s">
        <v>8456</v>
      </c>
      <c r="P1954" s="5" t="s">
        <v>8457</v>
      </c>
      <c r="Q1954" s="5" t="s">
        <v>8458</v>
      </c>
      <c r="R1954" s="5" t="s">
        <v>8459</v>
      </c>
      <c r="AG1954" s="14" t="s">
        <v>55</v>
      </c>
      <c r="AH1954" s="14" t="s">
        <v>1603</v>
      </c>
      <c r="AI1954" s="14" t="s">
        <v>1604</v>
      </c>
    </row>
    <row r="1955" spans="1:37">
      <c r="A1955" s="5" t="s">
        <v>8465</v>
      </c>
      <c r="B1955" s="5" t="s">
        <v>8466</v>
      </c>
      <c r="C1955" s="6" t="s">
        <v>3161</v>
      </c>
      <c r="D1955" s="6" t="s">
        <v>239</v>
      </c>
      <c r="E1955" s="6" t="s">
        <v>2047</v>
      </c>
      <c r="F1955" s="6" t="s">
        <v>46</v>
      </c>
      <c r="G1955" s="6" t="s">
        <v>8467</v>
      </c>
      <c r="H1955" s="7">
        <v>32.89</v>
      </c>
      <c r="I1955" s="19" t="s">
        <v>1589</v>
      </c>
      <c r="J1955" s="19" t="s">
        <v>2696</v>
      </c>
      <c r="K1955" s="5" t="s">
        <v>2923</v>
      </c>
      <c r="L1955" s="5" t="s">
        <v>2924</v>
      </c>
      <c r="M1955" s="5" t="s">
        <v>2925</v>
      </c>
      <c r="N1955" s="5" t="s">
        <v>2926</v>
      </c>
      <c r="O1955" s="5" t="s">
        <v>8468</v>
      </c>
      <c r="P1955" s="5" t="s">
        <v>8469</v>
      </c>
      <c r="Q1955" s="5" t="s">
        <v>8470</v>
      </c>
      <c r="R1955" s="5" t="s">
        <v>8471</v>
      </c>
      <c r="AG1955" s="14" t="s">
        <v>55</v>
      </c>
      <c r="AH1955" s="14" t="s">
        <v>1603</v>
      </c>
      <c r="AI1955" s="14" t="s">
        <v>1604</v>
      </c>
    </row>
    <row r="1956" spans="1:37">
      <c r="A1956" s="5" t="s">
        <v>8472</v>
      </c>
      <c r="B1956" s="5" t="s">
        <v>8466</v>
      </c>
      <c r="C1956" s="6" t="s">
        <v>3161</v>
      </c>
      <c r="D1956" s="6" t="s">
        <v>239</v>
      </c>
      <c r="E1956" s="6" t="s">
        <v>2065</v>
      </c>
      <c r="F1956" s="6" t="s">
        <v>46</v>
      </c>
      <c r="G1956" s="6" t="s">
        <v>8473</v>
      </c>
      <c r="H1956" s="7">
        <v>32.89</v>
      </c>
      <c r="I1956" s="19" t="s">
        <v>1589</v>
      </c>
      <c r="J1956" s="19" t="s">
        <v>2696</v>
      </c>
      <c r="K1956" s="5" t="s">
        <v>2923</v>
      </c>
      <c r="L1956" s="5" t="s">
        <v>2924</v>
      </c>
      <c r="M1956" s="5" t="s">
        <v>2925</v>
      </c>
      <c r="N1956" s="5" t="s">
        <v>2926</v>
      </c>
      <c r="O1956" s="5" t="s">
        <v>8468</v>
      </c>
      <c r="P1956" s="5" t="s">
        <v>8469</v>
      </c>
      <c r="Q1956" s="5" t="s">
        <v>8470</v>
      </c>
      <c r="R1956" s="5" t="s">
        <v>8471</v>
      </c>
      <c r="AG1956" s="14" t="s">
        <v>55</v>
      </c>
      <c r="AH1956" s="14" t="s">
        <v>1603</v>
      </c>
      <c r="AI1956" s="14" t="s">
        <v>1604</v>
      </c>
    </row>
    <row r="1957" spans="1:37">
      <c r="A1957" s="5" t="s">
        <v>8474</v>
      </c>
      <c r="B1957" s="5" t="s">
        <v>8475</v>
      </c>
      <c r="C1957" s="6" t="s">
        <v>1944</v>
      </c>
      <c r="D1957" s="6" t="s">
        <v>239</v>
      </c>
      <c r="E1957" s="6" t="s">
        <v>2989</v>
      </c>
      <c r="F1957" s="6" t="s">
        <v>46</v>
      </c>
      <c r="G1957" s="6" t="s">
        <v>8476</v>
      </c>
      <c r="H1957" s="7">
        <v>34.75</v>
      </c>
      <c r="I1957" s="19" t="s">
        <v>1589</v>
      </c>
      <c r="J1957" s="19" t="s">
        <v>2696</v>
      </c>
      <c r="K1957" s="5" t="s">
        <v>2935</v>
      </c>
      <c r="L1957" s="5" t="s">
        <v>2936</v>
      </c>
      <c r="M1957" s="5" t="s">
        <v>2937</v>
      </c>
      <c r="N1957" s="5" t="s">
        <v>2938</v>
      </c>
      <c r="O1957" s="5" t="s">
        <v>8477</v>
      </c>
      <c r="P1957" s="5" t="s">
        <v>8478</v>
      </c>
      <c r="Q1957" s="5" t="s">
        <v>8479</v>
      </c>
      <c r="R1957" s="5" t="s">
        <v>8480</v>
      </c>
      <c r="AG1957" s="14" t="s">
        <v>55</v>
      </c>
      <c r="AH1957" s="14" t="s">
        <v>1603</v>
      </c>
      <c r="AI1957" s="14" t="s">
        <v>1604</v>
      </c>
    </row>
    <row r="1958" spans="1:37">
      <c r="A1958" s="5" t="s">
        <v>8481</v>
      </c>
      <c r="B1958" s="5" t="s">
        <v>8475</v>
      </c>
      <c r="C1958" s="6" t="s">
        <v>43</v>
      </c>
      <c r="D1958" s="6" t="s">
        <v>239</v>
      </c>
      <c r="E1958" s="6" t="s">
        <v>2139</v>
      </c>
      <c r="F1958" s="6" t="s">
        <v>46</v>
      </c>
      <c r="G1958" s="6" t="s">
        <v>8482</v>
      </c>
      <c r="H1958" s="7">
        <v>34.75</v>
      </c>
      <c r="I1958" s="19" t="s">
        <v>1589</v>
      </c>
      <c r="J1958" s="19" t="s">
        <v>2696</v>
      </c>
      <c r="K1958" s="5" t="s">
        <v>2935</v>
      </c>
      <c r="L1958" s="5" t="s">
        <v>2936</v>
      </c>
      <c r="M1958" s="5" t="s">
        <v>2937</v>
      </c>
      <c r="N1958" s="5" t="s">
        <v>2938</v>
      </c>
      <c r="O1958" s="5" t="s">
        <v>8477</v>
      </c>
      <c r="P1958" s="5" t="s">
        <v>8478</v>
      </c>
      <c r="Q1958" s="5" t="s">
        <v>8479</v>
      </c>
      <c r="R1958" s="5" t="s">
        <v>8480</v>
      </c>
      <c r="AG1958" s="14" t="s">
        <v>55</v>
      </c>
      <c r="AH1958" s="14" t="s">
        <v>1603</v>
      </c>
      <c r="AI1958" s="14" t="s">
        <v>1604</v>
      </c>
    </row>
    <row r="1959" spans="1:37">
      <c r="A1959" s="5" t="s">
        <v>8483</v>
      </c>
      <c r="B1959" s="5" t="s">
        <v>8475</v>
      </c>
      <c r="C1959" s="6" t="s">
        <v>43</v>
      </c>
      <c r="D1959" s="6" t="s">
        <v>239</v>
      </c>
      <c r="E1959" s="6" t="s">
        <v>2015</v>
      </c>
      <c r="F1959" s="6" t="s">
        <v>46</v>
      </c>
      <c r="G1959" s="6" t="s">
        <v>8484</v>
      </c>
      <c r="H1959" s="7">
        <v>34.75</v>
      </c>
      <c r="I1959" s="19" t="s">
        <v>1589</v>
      </c>
      <c r="J1959" s="19" t="s">
        <v>2696</v>
      </c>
      <c r="K1959" s="5" t="s">
        <v>2935</v>
      </c>
      <c r="L1959" s="5" t="s">
        <v>2936</v>
      </c>
      <c r="M1959" s="5" t="s">
        <v>2937</v>
      </c>
      <c r="N1959" s="5" t="s">
        <v>2938</v>
      </c>
      <c r="O1959" s="5" t="s">
        <v>8477</v>
      </c>
      <c r="P1959" s="5" t="s">
        <v>8478</v>
      </c>
      <c r="Q1959" s="5" t="s">
        <v>8479</v>
      </c>
      <c r="R1959" s="5" t="s">
        <v>8480</v>
      </c>
      <c r="AG1959" s="14" t="s">
        <v>55</v>
      </c>
      <c r="AH1959" s="14" t="s">
        <v>1603</v>
      </c>
      <c r="AI1959" s="14" t="s">
        <v>1604</v>
      </c>
    </row>
    <row r="1960" spans="1:37">
      <c r="A1960" s="5" t="s">
        <v>8485</v>
      </c>
      <c r="B1960" s="5" t="s">
        <v>8475</v>
      </c>
      <c r="C1960" s="6" t="s">
        <v>43</v>
      </c>
      <c r="D1960" s="6" t="s">
        <v>239</v>
      </c>
      <c r="E1960" s="6" t="s">
        <v>2047</v>
      </c>
      <c r="F1960" s="6" t="s">
        <v>46</v>
      </c>
      <c r="G1960" s="6" t="s">
        <v>8486</v>
      </c>
      <c r="H1960" s="7">
        <v>34.75</v>
      </c>
      <c r="I1960" s="19" t="s">
        <v>1589</v>
      </c>
      <c r="J1960" s="19" t="s">
        <v>2696</v>
      </c>
      <c r="K1960" s="5" t="s">
        <v>2935</v>
      </c>
      <c r="L1960" s="5" t="s">
        <v>2936</v>
      </c>
      <c r="M1960" s="5" t="s">
        <v>2937</v>
      </c>
      <c r="N1960" s="5" t="s">
        <v>2938</v>
      </c>
      <c r="O1960" s="5" t="s">
        <v>8477</v>
      </c>
      <c r="P1960" s="5" t="s">
        <v>8478</v>
      </c>
      <c r="Q1960" s="5" t="s">
        <v>8479</v>
      </c>
      <c r="R1960" s="5" t="s">
        <v>8480</v>
      </c>
      <c r="AG1960" s="14" t="s">
        <v>55</v>
      </c>
      <c r="AH1960" s="14" t="s">
        <v>1603</v>
      </c>
      <c r="AI1960" s="14" t="s">
        <v>1604</v>
      </c>
    </row>
    <row r="1961" spans="1:37">
      <c r="A1961" s="5" t="s">
        <v>8487</v>
      </c>
      <c r="B1961" s="5" t="s">
        <v>8475</v>
      </c>
      <c r="C1961" s="6" t="s">
        <v>43</v>
      </c>
      <c r="D1961" s="6" t="s">
        <v>239</v>
      </c>
      <c r="E1961" s="6" t="s">
        <v>2839</v>
      </c>
      <c r="F1961" s="6" t="s">
        <v>46</v>
      </c>
      <c r="G1961" s="6" t="s">
        <v>8488</v>
      </c>
      <c r="H1961" s="7">
        <v>34.75</v>
      </c>
      <c r="I1961" s="19" t="s">
        <v>1589</v>
      </c>
      <c r="J1961" s="19" t="s">
        <v>2696</v>
      </c>
      <c r="K1961" s="5" t="s">
        <v>2935</v>
      </c>
      <c r="L1961" s="5" t="s">
        <v>2936</v>
      </c>
      <c r="M1961" s="5" t="s">
        <v>2937</v>
      </c>
      <c r="N1961" s="5" t="s">
        <v>2938</v>
      </c>
      <c r="O1961" s="5" t="s">
        <v>8477</v>
      </c>
      <c r="P1961" s="5" t="s">
        <v>8478</v>
      </c>
      <c r="Q1961" s="5" t="s">
        <v>8479</v>
      </c>
      <c r="R1961" s="5" t="s">
        <v>8480</v>
      </c>
      <c r="AG1961" s="14" t="s">
        <v>55</v>
      </c>
      <c r="AH1961" s="14" t="s">
        <v>1603</v>
      </c>
      <c r="AI1961" s="14" t="s">
        <v>1604</v>
      </c>
    </row>
    <row r="1962" spans="1:37">
      <c r="A1962" s="5" t="s">
        <v>8489</v>
      </c>
      <c r="B1962" s="5" t="s">
        <v>8475</v>
      </c>
      <c r="C1962" s="6" t="s">
        <v>43</v>
      </c>
      <c r="D1962" s="6" t="s">
        <v>239</v>
      </c>
      <c r="E1962" s="6" t="s">
        <v>2065</v>
      </c>
      <c r="F1962" s="6" t="s">
        <v>46</v>
      </c>
      <c r="G1962" s="6" t="s">
        <v>8364</v>
      </c>
      <c r="H1962" s="7">
        <v>34.75</v>
      </c>
      <c r="I1962" s="19" t="s">
        <v>1589</v>
      </c>
      <c r="J1962" s="19" t="s">
        <v>2696</v>
      </c>
      <c r="K1962" s="5" t="s">
        <v>2935</v>
      </c>
      <c r="L1962" s="5" t="s">
        <v>2936</v>
      </c>
      <c r="M1962" s="5" t="s">
        <v>2937</v>
      </c>
      <c r="N1962" s="5" t="s">
        <v>2938</v>
      </c>
      <c r="O1962" s="5" t="s">
        <v>8477</v>
      </c>
      <c r="P1962" s="5" t="s">
        <v>8478</v>
      </c>
      <c r="Q1962" s="5" t="s">
        <v>8479</v>
      </c>
      <c r="R1962" s="5" t="s">
        <v>8480</v>
      </c>
      <c r="AG1962" s="14" t="s">
        <v>55</v>
      </c>
      <c r="AH1962" s="14" t="s">
        <v>1603</v>
      </c>
      <c r="AI1962" s="14" t="s">
        <v>1604</v>
      </c>
    </row>
    <row r="1963" spans="1:37">
      <c r="A1963" s="6" t="s">
        <v>8490</v>
      </c>
      <c r="B1963" s="6" t="s">
        <v>8491</v>
      </c>
      <c r="C1963" s="6" t="s">
        <v>2951</v>
      </c>
      <c r="D1963" s="6" t="s">
        <v>239</v>
      </c>
      <c r="E1963" s="6" t="s">
        <v>2139</v>
      </c>
      <c r="F1963" s="6" t="s">
        <v>46</v>
      </c>
      <c r="G1963" s="6" t="s">
        <v>8492</v>
      </c>
      <c r="I1963" s="16" t="s">
        <v>48</v>
      </c>
      <c r="J1963" s="16" t="s">
        <v>48</v>
      </c>
      <c r="K1963" s="6"/>
      <c r="L1963" s="6"/>
      <c r="M1963" s="6"/>
      <c r="N1963" s="6"/>
      <c r="O1963" s="6"/>
      <c r="P1963" s="6"/>
      <c r="Q1963" s="6"/>
      <c r="R1963" s="6"/>
      <c r="S1963" s="6"/>
      <c r="T1963" s="6"/>
      <c r="U1963" s="6"/>
      <c r="V1963" s="6"/>
      <c r="W1963" s="6"/>
      <c r="X1963" s="6"/>
      <c r="Y1963" s="6"/>
      <c r="Z1963" s="6"/>
      <c r="AA1963" s="6"/>
      <c r="AB1963" s="6"/>
      <c r="AC1963" s="6"/>
      <c r="AD1963" s="6"/>
      <c r="AE1963" s="6"/>
      <c r="AF1963" s="6"/>
      <c r="AG1963" s="15" t="s">
        <v>55</v>
      </c>
      <c r="AH1963" s="15"/>
      <c r="AI1963" s="15"/>
      <c r="AJ1963" s="6"/>
      <c r="AK1963" s="6"/>
    </row>
    <row r="1964" spans="1:37" s="6" customFormat="1">
      <c r="A1964" s="6" t="s">
        <v>8493</v>
      </c>
      <c r="B1964" s="6" t="s">
        <v>8491</v>
      </c>
      <c r="C1964" s="6" t="s">
        <v>2951</v>
      </c>
      <c r="D1964" s="6" t="s">
        <v>239</v>
      </c>
      <c r="E1964" s="6" t="s">
        <v>2047</v>
      </c>
      <c r="F1964" s="6" t="s">
        <v>46</v>
      </c>
      <c r="G1964" s="6" t="s">
        <v>8494</v>
      </c>
      <c r="H1964" s="7"/>
      <c r="I1964" s="16" t="s">
        <v>48</v>
      </c>
      <c r="J1964" s="16" t="s">
        <v>48</v>
      </c>
      <c r="AG1964" s="15" t="s">
        <v>55</v>
      </c>
      <c r="AH1964" s="15"/>
      <c r="AI1964" s="15"/>
    </row>
    <row r="1965" spans="1:37" s="6" customFormat="1">
      <c r="A1965" s="6" t="s">
        <v>8495</v>
      </c>
      <c r="B1965" s="6" t="s">
        <v>8491</v>
      </c>
      <c r="C1965" s="6" t="s">
        <v>2951</v>
      </c>
      <c r="D1965" s="6" t="s">
        <v>239</v>
      </c>
      <c r="E1965" s="6" t="s">
        <v>2065</v>
      </c>
      <c r="F1965" s="6" t="s">
        <v>46</v>
      </c>
      <c r="G1965" s="6" t="s">
        <v>8496</v>
      </c>
      <c r="H1965" s="7"/>
      <c r="I1965" s="16" t="s">
        <v>48</v>
      </c>
      <c r="J1965" s="16" t="s">
        <v>48</v>
      </c>
      <c r="AG1965" s="15" t="s">
        <v>55</v>
      </c>
      <c r="AH1965" s="15"/>
      <c r="AI1965" s="15"/>
    </row>
    <row r="1966" spans="1:37" s="6" customFormat="1">
      <c r="A1966" s="5" t="s">
        <v>8497</v>
      </c>
      <c r="B1966" s="5" t="s">
        <v>8498</v>
      </c>
      <c r="C1966" s="6" t="s">
        <v>43</v>
      </c>
      <c r="D1966" s="6" t="s">
        <v>239</v>
      </c>
      <c r="E1966" s="6" t="s">
        <v>2139</v>
      </c>
      <c r="F1966" s="6" t="s">
        <v>46</v>
      </c>
      <c r="G1966" s="6" t="s">
        <v>7230</v>
      </c>
      <c r="H1966" s="7">
        <v>35.39</v>
      </c>
      <c r="I1966" s="19" t="s">
        <v>1589</v>
      </c>
      <c r="J1966" s="19" t="s">
        <v>2696</v>
      </c>
      <c r="K1966" s="5" t="s">
        <v>2960</v>
      </c>
      <c r="L1966" s="5" t="s">
        <v>2961</v>
      </c>
      <c r="M1966" s="5" t="s">
        <v>2962</v>
      </c>
      <c r="N1966" s="5" t="s">
        <v>2963</v>
      </c>
      <c r="O1966" s="5" t="s">
        <v>8499</v>
      </c>
      <c r="P1966" s="5" t="s">
        <v>8500</v>
      </c>
      <c r="Q1966" s="5" t="s">
        <v>8501</v>
      </c>
      <c r="R1966" s="5" t="s">
        <v>8502</v>
      </c>
      <c r="S1966" s="5"/>
      <c r="T1966" s="5"/>
      <c r="U1966" s="5"/>
      <c r="V1966" s="5"/>
      <c r="W1966" s="5"/>
      <c r="X1966" s="5"/>
      <c r="Y1966" s="5"/>
      <c r="Z1966" s="5"/>
      <c r="AA1966" s="5"/>
      <c r="AB1966" s="5"/>
      <c r="AC1966" s="5"/>
      <c r="AD1966" s="5"/>
      <c r="AE1966" s="5"/>
      <c r="AF1966" s="5"/>
      <c r="AG1966" s="14" t="s">
        <v>55</v>
      </c>
      <c r="AH1966" s="14" t="s">
        <v>1603</v>
      </c>
      <c r="AI1966" s="14" t="s">
        <v>1604</v>
      </c>
      <c r="AJ1966" s="5"/>
      <c r="AK1966" s="5"/>
    </row>
    <row r="1967" spans="1:37">
      <c r="A1967" s="5" t="s">
        <v>8503</v>
      </c>
      <c r="B1967" s="5" t="s">
        <v>8498</v>
      </c>
      <c r="C1967" s="6" t="s">
        <v>43</v>
      </c>
      <c r="D1967" s="6" t="s">
        <v>239</v>
      </c>
      <c r="E1967" s="6" t="s">
        <v>2047</v>
      </c>
      <c r="F1967" s="6" t="s">
        <v>46</v>
      </c>
      <c r="G1967" s="6" t="s">
        <v>8504</v>
      </c>
      <c r="H1967" s="7">
        <v>35.39</v>
      </c>
      <c r="I1967" s="19" t="s">
        <v>1589</v>
      </c>
      <c r="J1967" s="19" t="s">
        <v>2696</v>
      </c>
      <c r="K1967" s="5" t="s">
        <v>2960</v>
      </c>
      <c r="L1967" s="5" t="s">
        <v>2961</v>
      </c>
      <c r="M1967" s="5" t="s">
        <v>2962</v>
      </c>
      <c r="N1967" s="5" t="s">
        <v>2963</v>
      </c>
      <c r="O1967" s="5" t="s">
        <v>8499</v>
      </c>
      <c r="P1967" s="5" t="s">
        <v>8500</v>
      </c>
      <c r="Q1967" s="5" t="s">
        <v>8501</v>
      </c>
      <c r="R1967" s="5" t="s">
        <v>8502</v>
      </c>
      <c r="AG1967" s="14" t="s">
        <v>55</v>
      </c>
      <c r="AH1967" s="14" t="s">
        <v>1603</v>
      </c>
      <c r="AI1967" s="14" t="s">
        <v>1604</v>
      </c>
    </row>
    <row r="1968" spans="1:37">
      <c r="A1968" s="6" t="s">
        <v>8505</v>
      </c>
      <c r="B1968" s="6" t="s">
        <v>8506</v>
      </c>
      <c r="C1968" s="6" t="s">
        <v>43</v>
      </c>
      <c r="D1968" s="6" t="s">
        <v>239</v>
      </c>
      <c r="E1968" s="6" t="s">
        <v>2047</v>
      </c>
      <c r="F1968" s="6" t="s">
        <v>46</v>
      </c>
      <c r="G1968" s="6" t="s">
        <v>8507</v>
      </c>
      <c r="I1968" s="6" t="s">
        <v>48</v>
      </c>
      <c r="J1968" s="6" t="s">
        <v>48</v>
      </c>
      <c r="K1968" s="6"/>
      <c r="L1968" s="6"/>
      <c r="M1968" s="6"/>
      <c r="N1968" s="6"/>
      <c r="O1968" s="6"/>
      <c r="P1968" s="6"/>
      <c r="Q1968" s="6"/>
      <c r="R1968" s="6"/>
      <c r="S1968" s="6"/>
      <c r="T1968" s="6"/>
      <c r="U1968" s="6"/>
      <c r="V1968" s="6"/>
      <c r="W1968" s="6"/>
      <c r="X1968" s="6"/>
      <c r="Y1968" s="6"/>
      <c r="Z1968" s="6"/>
      <c r="AA1968" s="6"/>
      <c r="AB1968" s="6"/>
      <c r="AC1968" s="6"/>
      <c r="AD1968" s="6"/>
      <c r="AE1968" s="6"/>
      <c r="AF1968" s="6"/>
      <c r="AG1968" s="15" t="s">
        <v>55</v>
      </c>
      <c r="AH1968" s="15"/>
      <c r="AI1968" s="15"/>
      <c r="AJ1968" s="6"/>
      <c r="AK1968" s="6"/>
    </row>
    <row r="1969" spans="1:37" s="6" customFormat="1">
      <c r="A1969" s="6" t="s">
        <v>8508</v>
      </c>
      <c r="B1969" s="6" t="s">
        <v>8509</v>
      </c>
      <c r="C1969" s="6" t="s">
        <v>43</v>
      </c>
      <c r="D1969" s="6" t="s">
        <v>239</v>
      </c>
      <c r="E1969" s="6" t="s">
        <v>2065</v>
      </c>
      <c r="F1969" s="6" t="s">
        <v>46</v>
      </c>
      <c r="G1969" s="6" t="s">
        <v>8510</v>
      </c>
      <c r="H1969" s="7"/>
      <c r="I1969" s="16" t="s">
        <v>48</v>
      </c>
      <c r="J1969" s="16" t="s">
        <v>48</v>
      </c>
      <c r="AG1969" s="15" t="s">
        <v>55</v>
      </c>
      <c r="AH1969" s="15"/>
      <c r="AI1969" s="15"/>
    </row>
    <row r="1970" spans="1:37" s="6" customFormat="1">
      <c r="A1970" s="5" t="s">
        <v>8511</v>
      </c>
      <c r="B1970" s="5" t="s">
        <v>8512</v>
      </c>
      <c r="C1970" s="6" t="s">
        <v>3900</v>
      </c>
      <c r="D1970" s="6" t="s">
        <v>239</v>
      </c>
      <c r="E1970" s="6" t="s">
        <v>2139</v>
      </c>
      <c r="F1970" s="6" t="s">
        <v>46</v>
      </c>
      <c r="G1970" s="6" t="s">
        <v>7236</v>
      </c>
      <c r="H1970" s="7">
        <v>38.75</v>
      </c>
      <c r="I1970" s="19" t="s">
        <v>1589</v>
      </c>
      <c r="J1970" s="19" t="s">
        <v>2696</v>
      </c>
      <c r="K1970" s="5" t="s">
        <v>2991</v>
      </c>
      <c r="L1970" s="5" t="s">
        <v>2992</v>
      </c>
      <c r="M1970" s="5" t="s">
        <v>2993</v>
      </c>
      <c r="N1970" s="5" t="s">
        <v>2994</v>
      </c>
      <c r="O1970" s="5" t="s">
        <v>8513</v>
      </c>
      <c r="P1970" s="5" t="s">
        <v>8514</v>
      </c>
      <c r="Q1970" s="5" t="s">
        <v>8515</v>
      </c>
      <c r="R1970" s="5" t="s">
        <v>8516</v>
      </c>
      <c r="S1970" s="5"/>
      <c r="T1970" s="5"/>
      <c r="U1970" s="5"/>
      <c r="V1970" s="5"/>
      <c r="W1970" s="5"/>
      <c r="X1970" s="5"/>
      <c r="Y1970" s="5"/>
      <c r="Z1970" s="5"/>
      <c r="AA1970" s="5"/>
      <c r="AB1970" s="5"/>
      <c r="AC1970" s="5"/>
      <c r="AD1970" s="5"/>
      <c r="AE1970" s="5"/>
      <c r="AF1970" s="5"/>
      <c r="AG1970" s="14" t="s">
        <v>55</v>
      </c>
      <c r="AH1970" s="14" t="s">
        <v>1603</v>
      </c>
      <c r="AI1970" s="14" t="s">
        <v>1604</v>
      </c>
      <c r="AJ1970" s="5"/>
      <c r="AK1970" s="5"/>
    </row>
    <row r="1971" spans="1:37">
      <c r="A1971" s="5" t="s">
        <v>8517</v>
      </c>
      <c r="B1971" s="5" t="s">
        <v>8512</v>
      </c>
      <c r="C1971" s="6" t="s">
        <v>3900</v>
      </c>
      <c r="D1971" s="6" t="s">
        <v>239</v>
      </c>
      <c r="E1971" s="6" t="s">
        <v>2015</v>
      </c>
      <c r="F1971" s="6" t="s">
        <v>46</v>
      </c>
      <c r="G1971" s="6" t="s">
        <v>2918</v>
      </c>
      <c r="H1971" s="7">
        <v>38.75</v>
      </c>
      <c r="I1971" s="19" t="s">
        <v>1589</v>
      </c>
      <c r="J1971" s="19" t="s">
        <v>2696</v>
      </c>
      <c r="K1971" s="5" t="s">
        <v>2991</v>
      </c>
      <c r="L1971" s="5" t="s">
        <v>2992</v>
      </c>
      <c r="M1971" s="5" t="s">
        <v>2993</v>
      </c>
      <c r="N1971" s="5" t="s">
        <v>2994</v>
      </c>
      <c r="O1971" s="5" t="s">
        <v>8513</v>
      </c>
      <c r="P1971" s="5" t="s">
        <v>8514</v>
      </c>
      <c r="Q1971" s="5" t="s">
        <v>8515</v>
      </c>
      <c r="R1971" s="5" t="s">
        <v>8516</v>
      </c>
      <c r="AG1971" s="14" t="s">
        <v>55</v>
      </c>
      <c r="AH1971" s="14" t="s">
        <v>1603</v>
      </c>
      <c r="AI1971" s="14" t="s">
        <v>1604</v>
      </c>
    </row>
    <row r="1972" spans="1:37">
      <c r="A1972" s="5" t="s">
        <v>8518</v>
      </c>
      <c r="B1972" s="5" t="s">
        <v>8512</v>
      </c>
      <c r="C1972" s="6" t="s">
        <v>3900</v>
      </c>
      <c r="D1972" s="6" t="s">
        <v>239</v>
      </c>
      <c r="E1972" s="6" t="s">
        <v>2047</v>
      </c>
      <c r="F1972" s="6" t="s">
        <v>46</v>
      </c>
      <c r="G1972" s="6" t="s">
        <v>8519</v>
      </c>
      <c r="H1972" s="7">
        <v>38.75</v>
      </c>
      <c r="I1972" s="19" t="s">
        <v>1589</v>
      </c>
      <c r="J1972" s="19" t="s">
        <v>2696</v>
      </c>
      <c r="K1972" s="5" t="s">
        <v>2991</v>
      </c>
      <c r="L1972" s="5" t="s">
        <v>2992</v>
      </c>
      <c r="M1972" s="5" t="s">
        <v>2993</v>
      </c>
      <c r="N1972" s="5" t="s">
        <v>2994</v>
      </c>
      <c r="O1972" s="5" t="s">
        <v>8513</v>
      </c>
      <c r="P1972" s="5" t="s">
        <v>8514</v>
      </c>
      <c r="Q1972" s="5" t="s">
        <v>8515</v>
      </c>
      <c r="R1972" s="5" t="s">
        <v>8516</v>
      </c>
      <c r="AG1972" s="14" t="s">
        <v>55</v>
      </c>
      <c r="AH1972" s="14" t="s">
        <v>1603</v>
      </c>
      <c r="AI1972" s="14" t="s">
        <v>1604</v>
      </c>
    </row>
    <row r="1973" spans="1:37">
      <c r="A1973" s="5" t="s">
        <v>8520</v>
      </c>
      <c r="B1973" s="5" t="s">
        <v>8512</v>
      </c>
      <c r="C1973" s="6" t="s">
        <v>3900</v>
      </c>
      <c r="D1973" s="6" t="s">
        <v>239</v>
      </c>
      <c r="E1973" s="6" t="s">
        <v>1693</v>
      </c>
      <c r="F1973" s="6" t="s">
        <v>46</v>
      </c>
      <c r="G1973" s="6" t="s">
        <v>8521</v>
      </c>
      <c r="H1973" s="7">
        <v>38.75</v>
      </c>
      <c r="I1973" s="19" t="s">
        <v>1589</v>
      </c>
      <c r="J1973" s="19" t="s">
        <v>2696</v>
      </c>
      <c r="K1973" s="5" t="s">
        <v>2991</v>
      </c>
      <c r="L1973" s="5" t="s">
        <v>2992</v>
      </c>
      <c r="M1973" s="5" t="s">
        <v>2993</v>
      </c>
      <c r="N1973" s="5" t="s">
        <v>2994</v>
      </c>
      <c r="O1973" s="5" t="s">
        <v>8513</v>
      </c>
      <c r="P1973" s="5" t="s">
        <v>8514</v>
      </c>
      <c r="Q1973" s="5" t="s">
        <v>8515</v>
      </c>
      <c r="R1973" s="5" t="s">
        <v>8516</v>
      </c>
      <c r="AG1973" s="14" t="s">
        <v>55</v>
      </c>
      <c r="AH1973" s="14" t="s">
        <v>1603</v>
      </c>
      <c r="AI1973" s="14" t="s">
        <v>1604</v>
      </c>
    </row>
    <row r="1974" spans="1:37">
      <c r="A1974" s="5" t="s">
        <v>8522</v>
      </c>
      <c r="B1974" s="5" t="s">
        <v>8512</v>
      </c>
      <c r="C1974" s="6" t="s">
        <v>3900</v>
      </c>
      <c r="D1974" s="6" t="s">
        <v>239</v>
      </c>
      <c r="E1974" s="6" t="s">
        <v>2065</v>
      </c>
      <c r="F1974" s="6" t="s">
        <v>46</v>
      </c>
      <c r="G1974" s="6" t="s">
        <v>8142</v>
      </c>
      <c r="H1974" s="7">
        <v>38.75</v>
      </c>
      <c r="I1974" s="19" t="s">
        <v>1589</v>
      </c>
      <c r="J1974" s="19" t="s">
        <v>2696</v>
      </c>
      <c r="K1974" s="5" t="s">
        <v>2991</v>
      </c>
      <c r="L1974" s="5" t="s">
        <v>2992</v>
      </c>
      <c r="M1974" s="5" t="s">
        <v>2993</v>
      </c>
      <c r="N1974" s="5" t="s">
        <v>2994</v>
      </c>
      <c r="O1974" s="5" t="s">
        <v>8513</v>
      </c>
      <c r="P1974" s="5" t="s">
        <v>8514</v>
      </c>
      <c r="Q1974" s="5" t="s">
        <v>8515</v>
      </c>
      <c r="R1974" s="5" t="s">
        <v>8516</v>
      </c>
      <c r="AG1974" s="14" t="s">
        <v>55</v>
      </c>
      <c r="AH1974" s="14" t="s">
        <v>1603</v>
      </c>
      <c r="AI1974" s="14" t="s">
        <v>1604</v>
      </c>
    </row>
    <row r="1975" spans="1:37">
      <c r="A1975" s="5" t="s">
        <v>8523</v>
      </c>
      <c r="B1975" s="5" t="s">
        <v>8524</v>
      </c>
      <c r="C1975" s="6" t="s">
        <v>43</v>
      </c>
      <c r="D1975" s="6" t="s">
        <v>239</v>
      </c>
      <c r="E1975" s="6" t="s">
        <v>2047</v>
      </c>
      <c r="F1975" s="6" t="s">
        <v>46</v>
      </c>
      <c r="G1975" s="6" t="s">
        <v>3805</v>
      </c>
      <c r="H1975" s="7">
        <v>47.33</v>
      </c>
      <c r="I1975" s="19" t="s">
        <v>1589</v>
      </c>
      <c r="J1975" s="19" t="s">
        <v>2696</v>
      </c>
      <c r="K1975" s="5" t="s">
        <v>3023</v>
      </c>
      <c r="L1975" s="5" t="s">
        <v>3024</v>
      </c>
      <c r="M1975" s="5" t="s">
        <v>3025</v>
      </c>
      <c r="N1975" s="5" t="s">
        <v>3026</v>
      </c>
      <c r="O1975" s="5" t="s">
        <v>8525</v>
      </c>
      <c r="P1975" s="5" t="s">
        <v>8526</v>
      </c>
      <c r="Q1975" s="5" t="s">
        <v>8527</v>
      </c>
      <c r="R1975" s="5" t="s">
        <v>8528</v>
      </c>
      <c r="AG1975" s="14" t="s">
        <v>55</v>
      </c>
      <c r="AH1975" s="14" t="s">
        <v>1603</v>
      </c>
      <c r="AI1975" s="14" t="s">
        <v>1604</v>
      </c>
    </row>
    <row r="1976" spans="1:37">
      <c r="A1976" s="6" t="s">
        <v>8529</v>
      </c>
      <c r="B1976" s="6" t="s">
        <v>8530</v>
      </c>
      <c r="C1976" s="6" t="s">
        <v>43</v>
      </c>
      <c r="D1976" s="6" t="s">
        <v>239</v>
      </c>
      <c r="E1976" s="6" t="s">
        <v>1540</v>
      </c>
      <c r="F1976" s="6" t="s">
        <v>46</v>
      </c>
      <c r="G1976" s="6" t="s">
        <v>7868</v>
      </c>
      <c r="I1976" s="16" t="s">
        <v>48</v>
      </c>
      <c r="J1976" s="16" t="s">
        <v>48</v>
      </c>
      <c r="K1976" s="6"/>
      <c r="L1976" s="6"/>
      <c r="M1976" s="6"/>
      <c r="N1976" s="6"/>
      <c r="O1976" s="6"/>
      <c r="P1976" s="6"/>
      <c r="Q1976" s="6"/>
      <c r="R1976" s="6"/>
      <c r="S1976" s="6"/>
      <c r="T1976" s="6"/>
      <c r="U1976" s="6"/>
      <c r="V1976" s="6"/>
      <c r="W1976" s="6"/>
      <c r="X1976" s="6"/>
      <c r="Y1976" s="6"/>
      <c r="Z1976" s="6"/>
      <c r="AA1976" s="6"/>
      <c r="AB1976" s="6"/>
      <c r="AC1976" s="6"/>
      <c r="AD1976" s="6"/>
      <c r="AE1976" s="6"/>
      <c r="AF1976" s="6"/>
      <c r="AG1976" s="15" t="s">
        <v>55</v>
      </c>
      <c r="AH1976" s="15"/>
      <c r="AI1976" s="15"/>
      <c r="AJ1976" s="6"/>
      <c r="AK1976" s="6"/>
    </row>
    <row r="1977" spans="1:37" s="6" customFormat="1">
      <c r="A1977" s="6" t="s">
        <v>8531</v>
      </c>
      <c r="B1977" s="6" t="s">
        <v>8532</v>
      </c>
      <c r="C1977" s="6" t="s">
        <v>43</v>
      </c>
      <c r="D1977" s="6" t="s">
        <v>239</v>
      </c>
      <c r="E1977" s="6" t="s">
        <v>1540</v>
      </c>
      <c r="F1977" s="6" t="s">
        <v>46</v>
      </c>
      <c r="G1977" s="6" t="s">
        <v>7400</v>
      </c>
      <c r="H1977" s="7"/>
      <c r="I1977" s="16" t="s">
        <v>48</v>
      </c>
      <c r="J1977" s="16" t="s">
        <v>48</v>
      </c>
      <c r="AG1977" s="15" t="s">
        <v>55</v>
      </c>
      <c r="AH1977" s="15"/>
      <c r="AI1977" s="15"/>
    </row>
    <row r="1978" spans="1:37" s="6" customFormat="1">
      <c r="A1978" s="6" t="s">
        <v>8533</v>
      </c>
      <c r="B1978" s="6" t="s">
        <v>8534</v>
      </c>
      <c r="C1978" s="6" t="s">
        <v>43</v>
      </c>
      <c r="D1978" s="6" t="s">
        <v>239</v>
      </c>
      <c r="E1978" s="6" t="s">
        <v>1540</v>
      </c>
      <c r="F1978" s="6" t="s">
        <v>46</v>
      </c>
      <c r="G1978" s="6" t="s">
        <v>4070</v>
      </c>
      <c r="H1978" s="7"/>
      <c r="I1978" s="16" t="s">
        <v>48</v>
      </c>
      <c r="J1978" s="16" t="s">
        <v>48</v>
      </c>
      <c r="AG1978" s="15" t="s">
        <v>55</v>
      </c>
      <c r="AH1978" s="15"/>
      <c r="AI1978" s="15"/>
    </row>
    <row r="1979" spans="1:37" s="6" customFormat="1">
      <c r="A1979" s="6" t="s">
        <v>8535</v>
      </c>
      <c r="B1979" s="6" t="s">
        <v>8536</v>
      </c>
      <c r="C1979" s="6" t="s">
        <v>7347</v>
      </c>
      <c r="D1979" s="6" t="s">
        <v>2114</v>
      </c>
      <c r="E1979" s="6" t="s">
        <v>503</v>
      </c>
      <c r="F1979" s="6" t="s">
        <v>46</v>
      </c>
      <c r="G1979" s="6" t="s">
        <v>8537</v>
      </c>
      <c r="H1979" s="7"/>
      <c r="I1979" s="16" t="s">
        <v>48</v>
      </c>
      <c r="J1979" s="16" t="s">
        <v>48</v>
      </c>
      <c r="AG1979" s="15" t="s">
        <v>55</v>
      </c>
      <c r="AH1979" s="15"/>
      <c r="AI1979" s="15"/>
    </row>
    <row r="1980" spans="1:37" s="6" customFormat="1">
      <c r="A1980" s="6" t="s">
        <v>8538</v>
      </c>
      <c r="B1980" s="6" t="s">
        <v>8539</v>
      </c>
      <c r="C1980" s="6" t="s">
        <v>43</v>
      </c>
      <c r="D1980" s="6" t="s">
        <v>239</v>
      </c>
      <c r="E1980" s="6" t="s">
        <v>1540</v>
      </c>
      <c r="F1980" s="6" t="s">
        <v>46</v>
      </c>
      <c r="G1980" s="6" t="s">
        <v>8540</v>
      </c>
      <c r="H1980" s="7"/>
      <c r="I1980" s="6" t="s">
        <v>48</v>
      </c>
      <c r="J1980" s="6" t="s">
        <v>48</v>
      </c>
      <c r="AG1980" s="15" t="s">
        <v>55</v>
      </c>
      <c r="AH1980" s="15"/>
      <c r="AI1980" s="15"/>
    </row>
    <row r="1981" spans="1:37" s="6" customFormat="1">
      <c r="A1981" s="6" t="s">
        <v>8541</v>
      </c>
      <c r="B1981" s="6" t="s">
        <v>8542</v>
      </c>
      <c r="C1981" s="6" t="s">
        <v>43</v>
      </c>
      <c r="D1981" s="6" t="s">
        <v>239</v>
      </c>
      <c r="E1981" s="6" t="s">
        <v>1540</v>
      </c>
      <c r="F1981" s="6" t="s">
        <v>46</v>
      </c>
      <c r="G1981" s="6" t="s">
        <v>7883</v>
      </c>
      <c r="H1981" s="7"/>
      <c r="I1981" s="16" t="s">
        <v>48</v>
      </c>
      <c r="J1981" s="16" t="s">
        <v>48</v>
      </c>
      <c r="AG1981" s="15" t="s">
        <v>55</v>
      </c>
      <c r="AH1981" s="15"/>
      <c r="AI1981" s="15"/>
    </row>
    <row r="1982" spans="1:37" s="6" customFormat="1">
      <c r="A1982" s="5" t="s">
        <v>8543</v>
      </c>
      <c r="B1982" s="5" t="s">
        <v>8544</v>
      </c>
      <c r="C1982" s="6" t="s">
        <v>8545</v>
      </c>
      <c r="D1982" s="6" t="s">
        <v>1977</v>
      </c>
      <c r="E1982" s="6" t="s">
        <v>2015</v>
      </c>
      <c r="F1982" s="6" t="s">
        <v>46</v>
      </c>
      <c r="G1982" s="6" t="s">
        <v>1157</v>
      </c>
      <c r="H1982" s="7">
        <v>20.41</v>
      </c>
      <c r="I1982" s="19" t="s">
        <v>1589</v>
      </c>
      <c r="J1982" s="19" t="s">
        <v>2001</v>
      </c>
      <c r="K1982" s="20" t="s">
        <v>2002</v>
      </c>
      <c r="L1982" s="20" t="s">
        <v>2003</v>
      </c>
      <c r="M1982" s="20" t="s">
        <v>2004</v>
      </c>
      <c r="N1982" s="20" t="s">
        <v>2005</v>
      </c>
      <c r="O1982" s="20" t="s">
        <v>8546</v>
      </c>
      <c r="P1982" s="20" t="s">
        <v>8547</v>
      </c>
      <c r="Q1982" s="20" t="s">
        <v>8548</v>
      </c>
      <c r="R1982" s="5" t="s">
        <v>8549</v>
      </c>
      <c r="S1982" s="5"/>
      <c r="T1982" s="5"/>
      <c r="U1982" s="5"/>
      <c r="V1982" s="5"/>
      <c r="W1982" s="20" t="s">
        <v>2010</v>
      </c>
      <c r="X1982" s="20" t="s">
        <v>2011</v>
      </c>
      <c r="Y1982" s="20" t="s">
        <v>2012</v>
      </c>
      <c r="Z1982" s="20" t="s">
        <v>2013</v>
      </c>
      <c r="AA1982" s="5"/>
      <c r="AB1982" s="5"/>
      <c r="AC1982" s="5"/>
      <c r="AD1982" s="5"/>
      <c r="AE1982" s="5"/>
      <c r="AF1982" s="5"/>
      <c r="AG1982" s="14" t="s">
        <v>55</v>
      </c>
      <c r="AH1982" s="14" t="s">
        <v>1603</v>
      </c>
      <c r="AI1982" s="14" t="s">
        <v>124</v>
      </c>
      <c r="AJ1982" s="5"/>
      <c r="AK1982" s="5"/>
    </row>
    <row r="1983" spans="1:37">
      <c r="A1983" s="5" t="s">
        <v>8550</v>
      </c>
      <c r="B1983" s="5" t="s">
        <v>8551</v>
      </c>
      <c r="C1983" s="6" t="s">
        <v>43</v>
      </c>
      <c r="D1983" s="6" t="s">
        <v>239</v>
      </c>
      <c r="E1983" s="6" t="s">
        <v>8552</v>
      </c>
      <c r="F1983" s="6" t="s">
        <v>46</v>
      </c>
      <c r="G1983" s="6" t="s">
        <v>8553</v>
      </c>
      <c r="H1983" s="7">
        <v>42.5</v>
      </c>
      <c r="I1983" s="19" t="s">
        <v>1589</v>
      </c>
      <c r="J1983" s="19" t="s">
        <v>2254</v>
      </c>
      <c r="K1983" s="5" t="s">
        <v>2255</v>
      </c>
      <c r="L1983" s="5" t="s">
        <v>2256</v>
      </c>
      <c r="M1983" s="5" t="s">
        <v>2257</v>
      </c>
      <c r="N1983" s="5" t="s">
        <v>2258</v>
      </c>
      <c r="O1983" s="5" t="s">
        <v>8554</v>
      </c>
      <c r="P1983" s="5" t="s">
        <v>8555</v>
      </c>
      <c r="Q1983" s="5" t="s">
        <v>8556</v>
      </c>
      <c r="R1983" s="5" t="s">
        <v>8557</v>
      </c>
      <c r="AG1983" s="14" t="s">
        <v>55</v>
      </c>
      <c r="AH1983" s="14" t="s">
        <v>1603</v>
      </c>
      <c r="AI1983" s="14" t="s">
        <v>2264</v>
      </c>
    </row>
    <row r="1984" spans="1:37">
      <c r="A1984" s="5" t="s">
        <v>8558</v>
      </c>
      <c r="B1984" s="5" t="s">
        <v>8559</v>
      </c>
      <c r="C1984" s="6" t="s">
        <v>43</v>
      </c>
      <c r="D1984" s="6" t="s">
        <v>239</v>
      </c>
      <c r="E1984" s="6" t="s">
        <v>8552</v>
      </c>
      <c r="F1984" s="6" t="s">
        <v>46</v>
      </c>
      <c r="G1984" s="6" t="s">
        <v>8560</v>
      </c>
      <c r="H1984" s="7">
        <v>44.37</v>
      </c>
      <c r="I1984" s="19" t="s">
        <v>1589</v>
      </c>
      <c r="J1984" s="19" t="s">
        <v>2254</v>
      </c>
      <c r="K1984" s="5" t="s">
        <v>2271</v>
      </c>
      <c r="L1984" s="5" t="s">
        <v>2272</v>
      </c>
      <c r="M1984" s="5" t="s">
        <v>2273</v>
      </c>
      <c r="N1984" s="5" t="s">
        <v>2274</v>
      </c>
      <c r="O1984" s="5" t="s">
        <v>8561</v>
      </c>
      <c r="P1984" s="5" t="s">
        <v>8562</v>
      </c>
      <c r="Q1984" s="5" t="s">
        <v>8563</v>
      </c>
      <c r="R1984" s="5" t="s">
        <v>8557</v>
      </c>
      <c r="Y1984" s="5" t="s">
        <v>2263</v>
      </c>
      <c r="AG1984" s="14" t="s">
        <v>55</v>
      </c>
      <c r="AH1984" s="14" t="s">
        <v>1603</v>
      </c>
      <c r="AI1984" s="14" t="s">
        <v>2264</v>
      </c>
    </row>
    <row r="1985" spans="1:37">
      <c r="A1985" s="5" t="s">
        <v>8564</v>
      </c>
      <c r="B1985" s="5" t="s">
        <v>8565</v>
      </c>
      <c r="C1985" s="6" t="s">
        <v>2281</v>
      </c>
      <c r="D1985" s="6" t="s">
        <v>1645</v>
      </c>
      <c r="E1985" s="6" t="s">
        <v>1386</v>
      </c>
      <c r="F1985" s="6" t="s">
        <v>46</v>
      </c>
      <c r="G1985" s="6" t="s">
        <v>8566</v>
      </c>
      <c r="H1985" s="7">
        <v>57.56</v>
      </c>
      <c r="I1985" s="19" t="s">
        <v>2283</v>
      </c>
      <c r="J1985" s="19" t="s">
        <v>2284</v>
      </c>
      <c r="K1985" s="6" t="s">
        <v>2366</v>
      </c>
      <c r="L1985" s="6" t="s">
        <v>2367</v>
      </c>
      <c r="M1985" s="6" t="s">
        <v>2368</v>
      </c>
      <c r="N1985" s="6" t="s">
        <v>2369</v>
      </c>
      <c r="O1985" s="6" t="s">
        <v>8567</v>
      </c>
      <c r="P1985" s="6" t="s">
        <v>8568</v>
      </c>
      <c r="Q1985" s="6" t="s">
        <v>8569</v>
      </c>
      <c r="R1985" s="6" t="s">
        <v>8570</v>
      </c>
      <c r="AG1985" s="14" t="s">
        <v>55</v>
      </c>
      <c r="AH1985" s="14" t="s">
        <v>1603</v>
      </c>
      <c r="AI1985" s="14" t="s">
        <v>1603</v>
      </c>
    </row>
    <row r="1986" spans="1:37">
      <c r="A1986" s="5" t="s">
        <v>8571</v>
      </c>
      <c r="B1986" s="5" t="s">
        <v>8565</v>
      </c>
      <c r="C1986" s="6" t="s">
        <v>2281</v>
      </c>
      <c r="D1986" s="6" t="s">
        <v>1645</v>
      </c>
      <c r="E1986" s="6" t="s">
        <v>2065</v>
      </c>
      <c r="F1986" s="6" t="s">
        <v>46</v>
      </c>
      <c r="G1986" s="6" t="s">
        <v>8572</v>
      </c>
      <c r="H1986" s="7">
        <v>57.56</v>
      </c>
      <c r="I1986" s="19" t="s">
        <v>2283</v>
      </c>
      <c r="J1986" s="19" t="s">
        <v>2284</v>
      </c>
      <c r="K1986" s="6" t="s">
        <v>2366</v>
      </c>
      <c r="L1986" s="6" t="s">
        <v>2367</v>
      </c>
      <c r="M1986" s="6" t="s">
        <v>2368</v>
      </c>
      <c r="N1986" s="6" t="s">
        <v>2369</v>
      </c>
      <c r="O1986" s="6" t="s">
        <v>8567</v>
      </c>
      <c r="P1986" s="6" t="s">
        <v>8568</v>
      </c>
      <c r="Q1986" s="6" t="s">
        <v>8569</v>
      </c>
      <c r="R1986" s="6" t="s">
        <v>8570</v>
      </c>
      <c r="AG1986" s="14" t="s">
        <v>55</v>
      </c>
      <c r="AH1986" s="14" t="s">
        <v>1603</v>
      </c>
      <c r="AI1986" s="14" t="s">
        <v>1603</v>
      </c>
    </row>
    <row r="1987" spans="1:37">
      <c r="A1987" s="5" t="s">
        <v>8573</v>
      </c>
      <c r="B1987" s="5" t="s">
        <v>8574</v>
      </c>
      <c r="C1987" s="6" t="s">
        <v>8575</v>
      </c>
      <c r="D1987" s="6" t="s">
        <v>1645</v>
      </c>
      <c r="E1987" s="6" t="s">
        <v>503</v>
      </c>
      <c r="F1987" s="6" t="s">
        <v>46</v>
      </c>
      <c r="G1987" s="6" t="s">
        <v>43</v>
      </c>
      <c r="H1987" s="7">
        <v>38.11</v>
      </c>
      <c r="I1987" s="19" t="s">
        <v>2283</v>
      </c>
      <c r="J1987" s="19" t="s">
        <v>2481</v>
      </c>
      <c r="K1987" s="5" t="s">
        <v>8109</v>
      </c>
      <c r="L1987" s="5" t="s">
        <v>8110</v>
      </c>
      <c r="M1987" s="5" t="s">
        <v>8111</v>
      </c>
      <c r="N1987" s="5" t="s">
        <v>8112</v>
      </c>
      <c r="O1987" s="5" t="s">
        <v>8576</v>
      </c>
      <c r="P1987" s="5" t="s">
        <v>8577</v>
      </c>
      <c r="Q1987" s="5" t="s">
        <v>8578</v>
      </c>
      <c r="R1987" s="5" t="s">
        <v>8579</v>
      </c>
      <c r="AG1987" s="14" t="s">
        <v>55</v>
      </c>
      <c r="AH1987" s="14" t="s">
        <v>1603</v>
      </c>
      <c r="AI1987" s="14" t="s">
        <v>1603</v>
      </c>
    </row>
    <row r="1988" spans="1:37">
      <c r="A1988" s="5" t="s">
        <v>8580</v>
      </c>
      <c r="B1988" s="5" t="s">
        <v>8581</v>
      </c>
      <c r="C1988" s="6" t="s">
        <v>2281</v>
      </c>
      <c r="D1988" s="6" t="s">
        <v>1645</v>
      </c>
      <c r="E1988" s="6" t="s">
        <v>2065</v>
      </c>
      <c r="F1988" s="6" t="s">
        <v>46</v>
      </c>
      <c r="G1988" s="6" t="s">
        <v>8207</v>
      </c>
      <c r="H1988" s="7">
        <v>50.51</v>
      </c>
      <c r="I1988" s="19" t="s">
        <v>2283</v>
      </c>
      <c r="J1988" s="19" t="s">
        <v>2512</v>
      </c>
      <c r="K1988" s="6" t="s">
        <v>2616</v>
      </c>
      <c r="L1988" s="6" t="s">
        <v>2617</v>
      </c>
      <c r="M1988" s="6" t="s">
        <v>2618</v>
      </c>
      <c r="N1988" s="6" t="s">
        <v>2619</v>
      </c>
      <c r="O1988" s="6" t="s">
        <v>8582</v>
      </c>
      <c r="P1988" s="6" t="s">
        <v>8583</v>
      </c>
      <c r="Q1988" s="6" t="s">
        <v>8584</v>
      </c>
      <c r="R1988" s="6" t="s">
        <v>8585</v>
      </c>
      <c r="AG1988" s="14" t="s">
        <v>55</v>
      </c>
      <c r="AH1988" s="14" t="s">
        <v>1603</v>
      </c>
      <c r="AI1988" s="14" t="s">
        <v>1603</v>
      </c>
    </row>
    <row r="1989" spans="1:37">
      <c r="A1989" s="5" t="s">
        <v>8586</v>
      </c>
      <c r="B1989" s="5" t="s">
        <v>8587</v>
      </c>
      <c r="C1989" s="6" t="s">
        <v>43</v>
      </c>
      <c r="D1989" s="6" t="s">
        <v>1390</v>
      </c>
      <c r="E1989" s="6" t="s">
        <v>1386</v>
      </c>
      <c r="F1989" s="6" t="s">
        <v>46</v>
      </c>
      <c r="G1989" s="6" t="s">
        <v>8588</v>
      </c>
      <c r="H1989" s="7">
        <v>23.06</v>
      </c>
      <c r="I1989" s="19" t="s">
        <v>1589</v>
      </c>
      <c r="J1989" s="19" t="s">
        <v>2650</v>
      </c>
      <c r="K1989" s="20" t="s">
        <v>2651</v>
      </c>
      <c r="L1989" s="20" t="s">
        <v>2652</v>
      </c>
      <c r="M1989" s="20" t="s">
        <v>2653</v>
      </c>
      <c r="N1989" s="20" t="s">
        <v>2654</v>
      </c>
      <c r="O1989" s="20" t="s">
        <v>8589</v>
      </c>
      <c r="P1989" s="20" t="s">
        <v>8590</v>
      </c>
      <c r="Q1989" s="20" t="s">
        <v>8591</v>
      </c>
      <c r="R1989" s="5" t="s">
        <v>8592</v>
      </c>
      <c r="W1989" s="20" t="s">
        <v>2010</v>
      </c>
      <c r="X1989" s="20" t="s">
        <v>2011</v>
      </c>
      <c r="Y1989" s="20" t="s">
        <v>2012</v>
      </c>
      <c r="Z1989" s="20" t="s">
        <v>2013</v>
      </c>
      <c r="AG1989" s="14" t="s">
        <v>55</v>
      </c>
      <c r="AH1989" s="14" t="s">
        <v>1603</v>
      </c>
      <c r="AI1989" s="14" t="s">
        <v>124</v>
      </c>
    </row>
    <row r="1990" spans="1:37">
      <c r="A1990" s="5" t="s">
        <v>8593</v>
      </c>
      <c r="B1990" s="5" t="s">
        <v>8594</v>
      </c>
      <c r="C1990" s="6" t="s">
        <v>43</v>
      </c>
      <c r="D1990" s="6" t="s">
        <v>239</v>
      </c>
      <c r="E1990" s="6" t="s">
        <v>2015</v>
      </c>
      <c r="F1990" s="6" t="s">
        <v>46</v>
      </c>
      <c r="G1990" s="6" t="s">
        <v>8595</v>
      </c>
      <c r="H1990" s="7">
        <v>28.26</v>
      </c>
      <c r="I1990" s="19" t="s">
        <v>1589</v>
      </c>
      <c r="J1990" s="19" t="s">
        <v>2696</v>
      </c>
      <c r="K1990" s="5" t="s">
        <v>2809</v>
      </c>
      <c r="L1990" s="5" t="s">
        <v>2810</v>
      </c>
      <c r="M1990" s="5" t="s">
        <v>2811</v>
      </c>
      <c r="N1990" s="5" t="s">
        <v>2812</v>
      </c>
      <c r="O1990" s="5" t="s">
        <v>8596</v>
      </c>
      <c r="P1990" s="5" t="s">
        <v>8597</v>
      </c>
      <c r="Q1990" s="5" t="s">
        <v>8598</v>
      </c>
      <c r="R1990" s="5" t="s">
        <v>8599</v>
      </c>
      <c r="AG1990" s="14" t="s">
        <v>55</v>
      </c>
      <c r="AH1990" s="14" t="s">
        <v>1603</v>
      </c>
      <c r="AI1990" s="14" t="s">
        <v>1604</v>
      </c>
    </row>
    <row r="1991" spans="1:37">
      <c r="A1991" s="5" t="s">
        <v>8600</v>
      </c>
      <c r="B1991" s="5" t="s">
        <v>8594</v>
      </c>
      <c r="C1991" s="6" t="s">
        <v>43</v>
      </c>
      <c r="D1991" s="6" t="s">
        <v>239</v>
      </c>
      <c r="E1991" s="6" t="s">
        <v>2047</v>
      </c>
      <c r="F1991" s="6" t="s">
        <v>46</v>
      </c>
      <c r="G1991" s="6" t="s">
        <v>8601</v>
      </c>
      <c r="H1991" s="7">
        <v>28.26</v>
      </c>
      <c r="I1991" s="19" t="s">
        <v>1589</v>
      </c>
      <c r="J1991" s="19" t="s">
        <v>2696</v>
      </c>
      <c r="K1991" s="5" t="s">
        <v>2809</v>
      </c>
      <c r="L1991" s="5" t="s">
        <v>2810</v>
      </c>
      <c r="M1991" s="5" t="s">
        <v>2811</v>
      </c>
      <c r="N1991" s="5" t="s">
        <v>2812</v>
      </c>
      <c r="O1991" s="5" t="s">
        <v>8596</v>
      </c>
      <c r="P1991" s="5" t="s">
        <v>8597</v>
      </c>
      <c r="Q1991" s="5" t="s">
        <v>8598</v>
      </c>
      <c r="R1991" s="5" t="s">
        <v>8599</v>
      </c>
      <c r="AG1991" s="14" t="s">
        <v>55</v>
      </c>
      <c r="AH1991" s="14" t="s">
        <v>1603</v>
      </c>
      <c r="AI1991" s="14" t="s">
        <v>1604</v>
      </c>
    </row>
    <row r="1992" spans="1:37">
      <c r="A1992" s="5" t="s">
        <v>8602</v>
      </c>
      <c r="B1992" s="5" t="s">
        <v>8594</v>
      </c>
      <c r="C1992" s="6" t="s">
        <v>43</v>
      </c>
      <c r="D1992" s="6" t="s">
        <v>239</v>
      </c>
      <c r="E1992" s="6" t="s">
        <v>2065</v>
      </c>
      <c r="F1992" s="6" t="s">
        <v>46</v>
      </c>
      <c r="G1992" s="6" t="s">
        <v>8603</v>
      </c>
      <c r="H1992" s="7">
        <v>28.26</v>
      </c>
      <c r="I1992" s="19" t="s">
        <v>1589</v>
      </c>
      <c r="J1992" s="19" t="s">
        <v>2696</v>
      </c>
      <c r="K1992" s="5" t="s">
        <v>2809</v>
      </c>
      <c r="L1992" s="5" t="s">
        <v>2810</v>
      </c>
      <c r="M1992" s="5" t="s">
        <v>2811</v>
      </c>
      <c r="N1992" s="5" t="s">
        <v>2812</v>
      </c>
      <c r="O1992" s="5" t="s">
        <v>8596</v>
      </c>
      <c r="P1992" s="5" t="s">
        <v>8597</v>
      </c>
      <c r="Q1992" s="5" t="s">
        <v>8598</v>
      </c>
      <c r="R1992" s="5" t="s">
        <v>8599</v>
      </c>
      <c r="AG1992" s="14" t="s">
        <v>55</v>
      </c>
      <c r="AH1992" s="14" t="s">
        <v>1603</v>
      </c>
      <c r="AI1992" s="14" t="s">
        <v>1604</v>
      </c>
    </row>
    <row r="1993" spans="1:37">
      <c r="A1993" s="5" t="s">
        <v>8604</v>
      </c>
      <c r="B1993" s="5" t="s">
        <v>8605</v>
      </c>
      <c r="C1993" s="6" t="s">
        <v>43</v>
      </c>
      <c r="D1993" s="6" t="s">
        <v>239</v>
      </c>
      <c r="E1993" s="6" t="s">
        <v>1540</v>
      </c>
      <c r="F1993" s="6" t="s">
        <v>46</v>
      </c>
      <c r="G1993" s="6" t="s">
        <v>7883</v>
      </c>
      <c r="H1993" s="7">
        <v>40.700000000000003</v>
      </c>
      <c r="I1993" s="19" t="s">
        <v>1589</v>
      </c>
      <c r="J1993" s="19" t="s">
        <v>2254</v>
      </c>
      <c r="K1993" s="5" t="s">
        <v>2972</v>
      </c>
      <c r="L1993" s="5" t="s">
        <v>2973</v>
      </c>
      <c r="M1993" s="5" t="s">
        <v>2974</v>
      </c>
      <c r="N1993" s="5" t="s">
        <v>2975</v>
      </c>
      <c r="O1993" s="5" t="s">
        <v>8606</v>
      </c>
      <c r="P1993" s="5" t="s">
        <v>8607</v>
      </c>
      <c r="Q1993" s="5" t="s">
        <v>8608</v>
      </c>
      <c r="R1993" s="5" t="s">
        <v>8609</v>
      </c>
      <c r="Y1993" s="5" t="s">
        <v>2980</v>
      </c>
      <c r="AG1993" s="14" t="s">
        <v>55</v>
      </c>
      <c r="AH1993" s="14" t="s">
        <v>1603</v>
      </c>
      <c r="AI1993" s="14" t="s">
        <v>2264</v>
      </c>
    </row>
    <row r="1994" spans="1:37">
      <c r="A1994" s="5" t="s">
        <v>8610</v>
      </c>
      <c r="B1994" s="5" t="s">
        <v>8611</v>
      </c>
      <c r="C1994" s="6" t="s">
        <v>43</v>
      </c>
      <c r="D1994" s="6" t="s">
        <v>239</v>
      </c>
      <c r="E1994" s="6" t="s">
        <v>1540</v>
      </c>
      <c r="F1994" s="6" t="s">
        <v>46</v>
      </c>
      <c r="G1994" s="6" t="s">
        <v>8612</v>
      </c>
      <c r="H1994" s="7">
        <v>42.81</v>
      </c>
      <c r="I1994" s="19" t="s">
        <v>1589</v>
      </c>
      <c r="J1994" s="19" t="s">
        <v>2254</v>
      </c>
      <c r="K1994" s="5" t="s">
        <v>3069</v>
      </c>
      <c r="L1994" s="5" t="s">
        <v>3070</v>
      </c>
      <c r="M1994" s="5" t="s">
        <v>3071</v>
      </c>
      <c r="N1994" s="5" t="s">
        <v>3072</v>
      </c>
      <c r="O1994" s="5" t="s">
        <v>8613</v>
      </c>
      <c r="P1994" s="5" t="s">
        <v>8614</v>
      </c>
      <c r="Q1994" s="5" t="s">
        <v>8615</v>
      </c>
      <c r="R1994" s="5" t="s">
        <v>8616</v>
      </c>
      <c r="Y1994" s="5" t="s">
        <v>2980</v>
      </c>
      <c r="AG1994" s="14" t="s">
        <v>55</v>
      </c>
      <c r="AH1994" s="14" t="s">
        <v>1603</v>
      </c>
      <c r="AI1994" s="14" t="s">
        <v>2264</v>
      </c>
    </row>
    <row r="1995" spans="1:37">
      <c r="A1995" s="6" t="s">
        <v>8617</v>
      </c>
      <c r="B1995" s="6" t="s">
        <v>8618</v>
      </c>
      <c r="C1995" s="6" t="s">
        <v>43</v>
      </c>
      <c r="D1995" s="6" t="s">
        <v>239</v>
      </c>
      <c r="E1995" s="6" t="s">
        <v>1540</v>
      </c>
      <c r="F1995" s="6" t="s">
        <v>46</v>
      </c>
      <c r="G1995" s="6" t="s">
        <v>8619</v>
      </c>
      <c r="I1995" s="6" t="s">
        <v>48</v>
      </c>
      <c r="J1995" s="6" t="s">
        <v>48</v>
      </c>
      <c r="K1995" s="6"/>
      <c r="L1995" s="6"/>
      <c r="M1995" s="6"/>
      <c r="N1995" s="6"/>
      <c r="O1995" s="6"/>
      <c r="P1995" s="6"/>
      <c r="Q1995" s="6"/>
      <c r="R1995" s="6"/>
      <c r="S1995" s="6"/>
      <c r="T1995" s="6"/>
      <c r="U1995" s="6"/>
      <c r="V1995" s="6"/>
      <c r="W1995" s="6"/>
      <c r="X1995" s="6"/>
      <c r="Y1995" s="6"/>
      <c r="Z1995" s="6"/>
      <c r="AA1995" s="6"/>
      <c r="AB1995" s="6"/>
      <c r="AC1995" s="6"/>
      <c r="AD1995" s="6"/>
      <c r="AE1995" s="6"/>
      <c r="AF1995" s="6"/>
      <c r="AG1995" s="15" t="s">
        <v>55</v>
      </c>
      <c r="AH1995" s="15"/>
      <c r="AI1995" s="15"/>
      <c r="AJ1995" s="6"/>
      <c r="AK1995" s="6"/>
    </row>
    <row r="1996" spans="1:37" s="6" customFormat="1">
      <c r="A1996" s="6" t="s">
        <v>8620</v>
      </c>
      <c r="B1996" s="6" t="s">
        <v>8621</v>
      </c>
      <c r="C1996" s="6" t="s">
        <v>43</v>
      </c>
      <c r="D1996" s="6" t="s">
        <v>239</v>
      </c>
      <c r="E1996" s="6" t="s">
        <v>1540</v>
      </c>
      <c r="F1996" s="6" t="s">
        <v>46</v>
      </c>
      <c r="G1996" s="6" t="s">
        <v>7883</v>
      </c>
      <c r="H1996" s="7"/>
      <c r="I1996" s="16" t="s">
        <v>48</v>
      </c>
      <c r="J1996" s="16" t="s">
        <v>48</v>
      </c>
      <c r="AG1996" s="15" t="s">
        <v>55</v>
      </c>
      <c r="AH1996" s="15"/>
      <c r="AI1996" s="15"/>
    </row>
    <row r="1997" spans="1:37" s="6" customFormat="1">
      <c r="A1997" s="6" t="s">
        <v>8622</v>
      </c>
      <c r="B1997" s="6" t="s">
        <v>8623</v>
      </c>
      <c r="C1997" s="6" t="s">
        <v>43</v>
      </c>
      <c r="D1997" s="6" t="s">
        <v>239</v>
      </c>
      <c r="E1997" s="6" t="s">
        <v>1540</v>
      </c>
      <c r="F1997" s="6" t="s">
        <v>46</v>
      </c>
      <c r="G1997" s="6" t="s">
        <v>8624</v>
      </c>
      <c r="H1997" s="7"/>
      <c r="I1997" s="16" t="s">
        <v>48</v>
      </c>
      <c r="J1997" s="16" t="s">
        <v>48</v>
      </c>
      <c r="AG1997" s="15" t="s">
        <v>55</v>
      </c>
      <c r="AH1997" s="15"/>
      <c r="AI1997" s="15"/>
    </row>
    <row r="1998" spans="1:37" s="6" customFormat="1">
      <c r="A1998" s="5" t="s">
        <v>8625</v>
      </c>
      <c r="B1998" s="5" t="s">
        <v>8626</v>
      </c>
      <c r="C1998" s="6" t="s">
        <v>43</v>
      </c>
      <c r="D1998" s="6" t="s">
        <v>2189</v>
      </c>
      <c r="E1998" s="6" t="s">
        <v>2015</v>
      </c>
      <c r="F1998" s="6" t="s">
        <v>46</v>
      </c>
      <c r="G1998" s="6" t="s">
        <v>8627</v>
      </c>
      <c r="H1998" s="7">
        <v>31.97</v>
      </c>
      <c r="I1998" s="19" t="s">
        <v>1589</v>
      </c>
      <c r="J1998" s="19" t="s">
        <v>2191</v>
      </c>
      <c r="K1998" s="5" t="s">
        <v>2192</v>
      </c>
      <c r="L1998" s="5" t="s">
        <v>2193</v>
      </c>
      <c r="M1998" s="5" t="s">
        <v>2194</v>
      </c>
      <c r="N1998" s="5" t="s">
        <v>2195</v>
      </c>
      <c r="O1998" s="5" t="s">
        <v>8628</v>
      </c>
      <c r="P1998" s="5" t="s">
        <v>8629</v>
      </c>
      <c r="Q1998" s="5" t="s">
        <v>8630</v>
      </c>
      <c r="R1998" s="5"/>
      <c r="S1998" s="5"/>
      <c r="T1998" s="5"/>
      <c r="U1998" s="5"/>
      <c r="V1998" s="5"/>
      <c r="W1998" s="5"/>
      <c r="X1998" s="5"/>
      <c r="Y1998" s="5" t="s">
        <v>2086</v>
      </c>
      <c r="Z1998" s="5"/>
      <c r="AA1998" s="5"/>
      <c r="AB1998" s="5"/>
      <c r="AC1998" s="5"/>
      <c r="AD1998" s="5"/>
      <c r="AE1998" s="5"/>
      <c r="AF1998" s="5"/>
      <c r="AG1998" s="14" t="s">
        <v>55</v>
      </c>
      <c r="AH1998" s="14" t="s">
        <v>1603</v>
      </c>
      <c r="AI1998" s="14" t="s">
        <v>2087</v>
      </c>
      <c r="AJ1998" s="5"/>
      <c r="AK1998" s="5"/>
    </row>
    <row r="1999" spans="1:37">
      <c r="A1999" s="6" t="s">
        <v>8631</v>
      </c>
      <c r="B1999" s="6" t="s">
        <v>8632</v>
      </c>
      <c r="C1999" s="6" t="s">
        <v>43</v>
      </c>
      <c r="D1999" s="6" t="s">
        <v>239</v>
      </c>
      <c r="E1999" s="6" t="s">
        <v>1540</v>
      </c>
      <c r="F1999" s="6" t="s">
        <v>46</v>
      </c>
      <c r="G1999" s="6" t="s">
        <v>3751</v>
      </c>
      <c r="I1999" s="16" t="s">
        <v>48</v>
      </c>
      <c r="J1999" s="16" t="s">
        <v>48</v>
      </c>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15" t="s">
        <v>55</v>
      </c>
      <c r="AH1999" s="15"/>
      <c r="AI1999" s="15"/>
      <c r="AJ1999" s="6"/>
      <c r="AK1999" s="6"/>
    </row>
    <row r="2000" spans="1:37" s="6" customFormat="1">
      <c r="A2000" s="6" t="s">
        <v>8633</v>
      </c>
      <c r="B2000" s="6" t="s">
        <v>8634</v>
      </c>
      <c r="C2000" s="6" t="s">
        <v>43</v>
      </c>
      <c r="D2000" s="6" t="s">
        <v>239</v>
      </c>
      <c r="E2000" s="6" t="s">
        <v>1540</v>
      </c>
      <c r="F2000" s="6" t="s">
        <v>46</v>
      </c>
      <c r="G2000" s="6" t="s">
        <v>8635</v>
      </c>
      <c r="H2000" s="7"/>
      <c r="I2000" s="16" t="s">
        <v>48</v>
      </c>
      <c r="J2000" s="16" t="s">
        <v>48</v>
      </c>
      <c r="AG2000" s="15" t="s">
        <v>55</v>
      </c>
      <c r="AH2000" s="15"/>
      <c r="AI2000" s="15"/>
    </row>
    <row r="2001" spans="1:37" s="6" customFormat="1">
      <c r="A2001" s="6" t="s">
        <v>8636</v>
      </c>
      <c r="B2001" s="6" t="s">
        <v>8637</v>
      </c>
      <c r="C2001" s="6" t="s">
        <v>2281</v>
      </c>
      <c r="D2001" s="6" t="s">
        <v>1645</v>
      </c>
      <c r="E2001" s="6" t="s">
        <v>1386</v>
      </c>
      <c r="F2001" s="6" t="s">
        <v>46</v>
      </c>
      <c r="G2001" s="6" t="s">
        <v>8638</v>
      </c>
      <c r="H2001" s="7"/>
      <c r="I2001" s="16" t="s">
        <v>48</v>
      </c>
      <c r="J2001" s="16" t="s">
        <v>48</v>
      </c>
      <c r="AG2001" s="15" t="s">
        <v>55</v>
      </c>
      <c r="AH2001" s="15"/>
      <c r="AI2001" s="15"/>
    </row>
    <row r="2002" spans="1:37" s="6" customFormat="1">
      <c r="A2002" s="6" t="s">
        <v>8639</v>
      </c>
      <c r="B2002" s="6" t="s">
        <v>8637</v>
      </c>
      <c r="C2002" s="6" t="s">
        <v>2281</v>
      </c>
      <c r="D2002" s="6" t="s">
        <v>1645</v>
      </c>
      <c r="E2002" s="6" t="s">
        <v>2065</v>
      </c>
      <c r="F2002" s="6" t="s">
        <v>46</v>
      </c>
      <c r="G2002" s="6" t="s">
        <v>8640</v>
      </c>
      <c r="H2002" s="7"/>
      <c r="I2002" s="16" t="s">
        <v>48</v>
      </c>
      <c r="J2002" s="16" t="s">
        <v>48</v>
      </c>
      <c r="AG2002" s="15" t="s">
        <v>55</v>
      </c>
      <c r="AH2002" s="15"/>
      <c r="AI2002" s="15"/>
    </row>
    <row r="2003" spans="1:37" s="6" customFormat="1">
      <c r="A2003" s="6" t="s">
        <v>8641</v>
      </c>
      <c r="B2003" s="6" t="s">
        <v>8642</v>
      </c>
      <c r="C2003" s="6" t="s">
        <v>2281</v>
      </c>
      <c r="D2003" s="6" t="s">
        <v>1645</v>
      </c>
      <c r="E2003" s="6" t="s">
        <v>2065</v>
      </c>
      <c r="F2003" s="6" t="s">
        <v>46</v>
      </c>
      <c r="G2003" s="6" t="s">
        <v>8643</v>
      </c>
      <c r="H2003" s="7"/>
      <c r="I2003" s="16" t="s">
        <v>48</v>
      </c>
      <c r="J2003" s="16" t="s">
        <v>48</v>
      </c>
      <c r="AG2003" s="15" t="s">
        <v>55</v>
      </c>
      <c r="AH2003" s="15"/>
      <c r="AI2003" s="15"/>
    </row>
    <row r="2004" spans="1:37" s="6" customFormat="1">
      <c r="A2004" s="6" t="s">
        <v>8644</v>
      </c>
      <c r="B2004" s="6" t="s">
        <v>8645</v>
      </c>
      <c r="C2004" s="6" t="s">
        <v>43</v>
      </c>
      <c r="D2004" s="6" t="s">
        <v>239</v>
      </c>
      <c r="E2004" s="6" t="s">
        <v>1540</v>
      </c>
      <c r="F2004" s="6" t="s">
        <v>46</v>
      </c>
      <c r="G2004" s="6" t="s">
        <v>7247</v>
      </c>
      <c r="H2004" s="7"/>
      <c r="I2004" s="6" t="s">
        <v>48</v>
      </c>
      <c r="J2004" s="6" t="s">
        <v>48</v>
      </c>
      <c r="AG2004" s="15" t="s">
        <v>55</v>
      </c>
      <c r="AH2004" s="15"/>
      <c r="AI2004" s="15"/>
    </row>
    <row r="2005" spans="1:37" s="6" customFormat="1">
      <c r="A2005" s="5" t="s">
        <v>8646</v>
      </c>
      <c r="B2005" s="5" t="s">
        <v>8647</v>
      </c>
      <c r="C2005" s="6" t="s">
        <v>43</v>
      </c>
      <c r="D2005" s="6" t="s">
        <v>239</v>
      </c>
      <c r="E2005" s="6" t="s">
        <v>1386</v>
      </c>
      <c r="F2005" s="6" t="s">
        <v>46</v>
      </c>
      <c r="G2005" s="6" t="s">
        <v>6867</v>
      </c>
      <c r="H2005" s="7">
        <v>22.24</v>
      </c>
      <c r="I2005" s="19" t="s">
        <v>1589</v>
      </c>
      <c r="J2005" s="19" t="s">
        <v>2696</v>
      </c>
      <c r="K2005" s="5" t="s">
        <v>2757</v>
      </c>
      <c r="L2005" s="5" t="s">
        <v>2758</v>
      </c>
      <c r="M2005" s="5" t="s">
        <v>2759</v>
      </c>
      <c r="N2005" s="5" t="s">
        <v>2760</v>
      </c>
      <c r="O2005" s="5" t="s">
        <v>8648</v>
      </c>
      <c r="P2005" s="5" t="s">
        <v>8649</v>
      </c>
      <c r="Q2005" s="5" t="s">
        <v>8650</v>
      </c>
      <c r="R2005" s="5" t="s">
        <v>8651</v>
      </c>
      <c r="S2005" s="5"/>
      <c r="T2005" s="5"/>
      <c r="U2005" s="5"/>
      <c r="V2005" s="5"/>
      <c r="W2005" s="5"/>
      <c r="X2005" s="5"/>
      <c r="Y2005" s="5"/>
      <c r="Z2005" s="5"/>
      <c r="AA2005" s="5"/>
      <c r="AB2005" s="5"/>
      <c r="AC2005" s="5"/>
      <c r="AD2005" s="5"/>
      <c r="AE2005" s="5"/>
      <c r="AF2005" s="5"/>
      <c r="AG2005" s="14" t="s">
        <v>55</v>
      </c>
      <c r="AH2005" s="14" t="s">
        <v>1603</v>
      </c>
      <c r="AI2005" s="14" t="s">
        <v>1604</v>
      </c>
      <c r="AJ2005" s="5"/>
      <c r="AK2005" s="5"/>
    </row>
    <row r="2006" spans="1:37">
      <c r="A2006" s="6" t="s">
        <v>8652</v>
      </c>
      <c r="B2006" s="6" t="s">
        <v>8653</v>
      </c>
      <c r="C2006" s="6" t="s">
        <v>43</v>
      </c>
      <c r="D2006" s="6" t="s">
        <v>239</v>
      </c>
      <c r="E2006" s="6" t="s">
        <v>240</v>
      </c>
      <c r="F2006" s="6" t="s">
        <v>46</v>
      </c>
      <c r="G2006" s="6" t="s">
        <v>6279</v>
      </c>
      <c r="I2006" s="6" t="s">
        <v>48</v>
      </c>
      <c r="J2006" s="6" t="s">
        <v>48</v>
      </c>
      <c r="K2006" s="6"/>
      <c r="L2006" s="6"/>
      <c r="M2006" s="6"/>
      <c r="N2006" s="6"/>
      <c r="O2006" s="6"/>
      <c r="P2006" s="6"/>
      <c r="Q2006" s="6"/>
      <c r="R2006" s="6"/>
      <c r="S2006" s="6"/>
      <c r="T2006" s="6"/>
      <c r="U2006" s="6"/>
      <c r="V2006" s="6"/>
      <c r="W2006" s="6"/>
      <c r="X2006" s="6"/>
      <c r="Y2006" s="6"/>
      <c r="Z2006" s="6"/>
      <c r="AA2006" s="6"/>
      <c r="AB2006" s="6"/>
      <c r="AC2006" s="6"/>
      <c r="AD2006" s="6"/>
      <c r="AE2006" s="6"/>
      <c r="AF2006" s="6"/>
      <c r="AG2006" s="15" t="s">
        <v>55</v>
      </c>
      <c r="AH2006" s="15"/>
      <c r="AI2006" s="15"/>
      <c r="AJ2006" s="6"/>
      <c r="AK2006" s="6"/>
    </row>
    <row r="2007" spans="1:37" s="6" customFormat="1">
      <c r="A2007" s="5" t="s">
        <v>8654</v>
      </c>
      <c r="B2007" s="5" t="s">
        <v>8655</v>
      </c>
      <c r="C2007" s="6" t="s">
        <v>43</v>
      </c>
      <c r="D2007" s="6" t="s">
        <v>239</v>
      </c>
      <c r="E2007" s="6" t="s">
        <v>2047</v>
      </c>
      <c r="F2007" s="6" t="s">
        <v>46</v>
      </c>
      <c r="G2007" s="6" t="s">
        <v>8071</v>
      </c>
      <c r="H2007" s="7">
        <v>38.119999999999997</v>
      </c>
      <c r="I2007" s="19" t="s">
        <v>1589</v>
      </c>
      <c r="J2007" s="19" t="s">
        <v>2696</v>
      </c>
      <c r="K2007" s="5" t="s">
        <v>2878</v>
      </c>
      <c r="L2007" s="5" t="s">
        <v>2879</v>
      </c>
      <c r="M2007" s="5" t="s">
        <v>2880</v>
      </c>
      <c r="N2007" s="5" t="s">
        <v>2881</v>
      </c>
      <c r="O2007" s="5" t="s">
        <v>8656</v>
      </c>
      <c r="P2007" s="5" t="s">
        <v>8657</v>
      </c>
      <c r="Q2007" s="5" t="s">
        <v>8658</v>
      </c>
      <c r="R2007" s="5" t="s">
        <v>8659</v>
      </c>
      <c r="S2007" s="5"/>
      <c r="T2007" s="5"/>
      <c r="U2007" s="5"/>
      <c r="V2007" s="5"/>
      <c r="W2007" s="5"/>
      <c r="X2007" s="5"/>
      <c r="Y2007" s="5"/>
      <c r="Z2007" s="5"/>
      <c r="AA2007" s="5"/>
      <c r="AB2007" s="5"/>
      <c r="AC2007" s="5"/>
      <c r="AD2007" s="5"/>
      <c r="AE2007" s="5"/>
      <c r="AF2007" s="5"/>
      <c r="AG2007" s="14" t="s">
        <v>55</v>
      </c>
      <c r="AH2007" s="14" t="s">
        <v>1603</v>
      </c>
      <c r="AI2007" s="14" t="s">
        <v>1604</v>
      </c>
      <c r="AJ2007" s="5"/>
      <c r="AK2007" s="5"/>
    </row>
    <row r="2008" spans="1:37">
      <c r="A2008" s="6" t="s">
        <v>8660</v>
      </c>
      <c r="B2008" s="6" t="s">
        <v>8661</v>
      </c>
      <c r="C2008" s="6" t="s">
        <v>43</v>
      </c>
      <c r="D2008" s="6" t="s">
        <v>239</v>
      </c>
      <c r="E2008" s="6" t="s">
        <v>2047</v>
      </c>
      <c r="F2008" s="6" t="s">
        <v>46</v>
      </c>
      <c r="G2008" s="6" t="s">
        <v>8160</v>
      </c>
      <c r="I2008" s="6" t="s">
        <v>48</v>
      </c>
      <c r="J2008" s="6" t="s">
        <v>48</v>
      </c>
      <c r="K2008" s="6"/>
      <c r="L2008" s="6"/>
      <c r="M2008" s="6"/>
      <c r="N2008" s="6"/>
      <c r="O2008" s="6"/>
      <c r="P2008" s="6"/>
      <c r="Q2008" s="6"/>
      <c r="R2008" s="6"/>
      <c r="S2008" s="6"/>
      <c r="T2008" s="6"/>
      <c r="U2008" s="6"/>
      <c r="V2008" s="6"/>
      <c r="W2008" s="6"/>
      <c r="X2008" s="6"/>
      <c r="Y2008" s="6"/>
      <c r="Z2008" s="6"/>
      <c r="AA2008" s="6"/>
      <c r="AB2008" s="6"/>
      <c r="AC2008" s="6"/>
      <c r="AD2008" s="6"/>
      <c r="AE2008" s="6"/>
      <c r="AF2008" s="6"/>
      <c r="AG2008" s="15" t="s">
        <v>55</v>
      </c>
      <c r="AH2008" s="15"/>
      <c r="AI2008" s="15"/>
      <c r="AJ2008" s="6"/>
      <c r="AK2008" s="6"/>
    </row>
    <row r="2009" spans="1:37" s="6" customFormat="1">
      <c r="A2009" s="6" t="s">
        <v>8662</v>
      </c>
      <c r="B2009" s="6" t="s">
        <v>8663</v>
      </c>
      <c r="C2009" s="6" t="s">
        <v>43</v>
      </c>
      <c r="D2009" s="6" t="s">
        <v>239</v>
      </c>
      <c r="E2009" s="6" t="s">
        <v>1540</v>
      </c>
      <c r="F2009" s="6" t="s">
        <v>46</v>
      </c>
      <c r="G2009" s="6" t="s">
        <v>8624</v>
      </c>
      <c r="H2009" s="7"/>
      <c r="I2009" s="16" t="s">
        <v>48</v>
      </c>
      <c r="J2009" s="16" t="s">
        <v>48</v>
      </c>
      <c r="AG2009" s="15" t="s">
        <v>55</v>
      </c>
      <c r="AH2009" s="15"/>
      <c r="AI2009" s="15"/>
    </row>
    <row r="2010" spans="1:37" s="6" customFormat="1">
      <c r="A2010" s="6" t="s">
        <v>8664</v>
      </c>
      <c r="B2010" s="6" t="s">
        <v>8665</v>
      </c>
      <c r="C2010" s="6" t="s">
        <v>43</v>
      </c>
      <c r="D2010" s="6" t="s">
        <v>2114</v>
      </c>
      <c r="E2010" s="6" t="s">
        <v>1386</v>
      </c>
      <c r="F2010" s="6" t="s">
        <v>46</v>
      </c>
      <c r="G2010" s="6" t="s">
        <v>8666</v>
      </c>
      <c r="H2010" s="7"/>
      <c r="I2010" s="19" t="s">
        <v>48</v>
      </c>
      <c r="J2010" s="19" t="s">
        <v>48</v>
      </c>
      <c r="AG2010" s="15" t="s">
        <v>55</v>
      </c>
      <c r="AH2010" s="15"/>
      <c r="AI2010" s="15"/>
    </row>
    <row r="2011" spans="1:37" s="6" customFormat="1">
      <c r="A2011" s="6" t="s">
        <v>8667</v>
      </c>
      <c r="B2011" s="6" t="s">
        <v>8668</v>
      </c>
      <c r="C2011" s="6" t="s">
        <v>43</v>
      </c>
      <c r="D2011" s="6" t="s">
        <v>239</v>
      </c>
      <c r="E2011" s="6" t="s">
        <v>1540</v>
      </c>
      <c r="F2011" s="6" t="s">
        <v>46</v>
      </c>
      <c r="G2011" s="6" t="s">
        <v>6744</v>
      </c>
      <c r="H2011" s="7"/>
      <c r="I2011" s="16" t="s">
        <v>48</v>
      </c>
      <c r="J2011" s="16" t="s">
        <v>48</v>
      </c>
      <c r="AG2011" s="15" t="s">
        <v>55</v>
      </c>
      <c r="AH2011" s="15"/>
      <c r="AI2011" s="15"/>
    </row>
    <row r="2012" spans="1:37" s="6" customFormat="1">
      <c r="A2012" s="6" t="s">
        <v>8669</v>
      </c>
      <c r="B2012" s="6" t="s">
        <v>8670</v>
      </c>
      <c r="C2012" s="6" t="s">
        <v>43</v>
      </c>
      <c r="D2012" s="6" t="s">
        <v>239</v>
      </c>
      <c r="E2012" s="6" t="s">
        <v>1540</v>
      </c>
      <c r="F2012" s="6" t="s">
        <v>46</v>
      </c>
      <c r="G2012" s="6" t="s">
        <v>8671</v>
      </c>
      <c r="H2012" s="7"/>
      <c r="I2012" s="16" t="s">
        <v>48</v>
      </c>
      <c r="J2012" s="16" t="s">
        <v>48</v>
      </c>
      <c r="AG2012" s="15" t="s">
        <v>55</v>
      </c>
      <c r="AH2012" s="15"/>
      <c r="AI2012" s="15"/>
    </row>
    <row r="2013" spans="1:37" s="6" customFormat="1">
      <c r="A2013" s="6" t="s">
        <v>8672</v>
      </c>
      <c r="B2013" s="6" t="s">
        <v>8673</v>
      </c>
      <c r="C2013" s="6" t="s">
        <v>43</v>
      </c>
      <c r="D2013" s="6" t="s">
        <v>239</v>
      </c>
      <c r="E2013" s="6" t="s">
        <v>1540</v>
      </c>
      <c r="F2013" s="6" t="s">
        <v>46</v>
      </c>
      <c r="G2013" s="6" t="s">
        <v>2951</v>
      </c>
      <c r="H2013" s="7"/>
      <c r="I2013" s="16" t="s">
        <v>48</v>
      </c>
      <c r="J2013" s="16" t="s">
        <v>48</v>
      </c>
      <c r="AG2013" s="15" t="s">
        <v>55</v>
      </c>
      <c r="AH2013" s="15"/>
      <c r="AI2013" s="15"/>
    </row>
    <row r="2014" spans="1:37" s="6" customFormat="1">
      <c r="A2014" s="6" t="s">
        <v>8674</v>
      </c>
      <c r="B2014" s="6" t="s">
        <v>8675</v>
      </c>
      <c r="C2014" s="6" t="s">
        <v>43</v>
      </c>
      <c r="D2014" s="6" t="s">
        <v>239</v>
      </c>
      <c r="E2014" s="6" t="s">
        <v>1540</v>
      </c>
      <c r="F2014" s="6" t="s">
        <v>46</v>
      </c>
      <c r="G2014" s="6" t="s">
        <v>8676</v>
      </c>
      <c r="H2014" s="7"/>
      <c r="I2014" s="16" t="s">
        <v>48</v>
      </c>
      <c r="J2014" s="16" t="s">
        <v>48</v>
      </c>
      <c r="AG2014" s="15" t="s">
        <v>55</v>
      </c>
      <c r="AH2014" s="15"/>
      <c r="AI2014" s="15"/>
    </row>
    <row r="2015" spans="1:37" s="6" customFormat="1">
      <c r="A2015" s="6" t="s">
        <v>8677</v>
      </c>
      <c r="B2015" s="6" t="s">
        <v>8678</v>
      </c>
      <c r="C2015" s="6" t="s">
        <v>43</v>
      </c>
      <c r="D2015" s="6" t="s">
        <v>239</v>
      </c>
      <c r="E2015" s="6" t="s">
        <v>1540</v>
      </c>
      <c r="F2015" s="6" t="s">
        <v>46</v>
      </c>
      <c r="G2015" s="6" t="s">
        <v>8679</v>
      </c>
      <c r="H2015" s="7"/>
      <c r="I2015" s="16" t="s">
        <v>48</v>
      </c>
      <c r="J2015" s="16" t="s">
        <v>48</v>
      </c>
      <c r="AG2015" s="15" t="s">
        <v>55</v>
      </c>
      <c r="AH2015" s="15"/>
      <c r="AI2015" s="15"/>
    </row>
    <row r="2016" spans="1:37" s="6" customFormat="1">
      <c r="A2016" s="6" t="s">
        <v>8680</v>
      </c>
      <c r="B2016" s="6" t="s">
        <v>8681</v>
      </c>
      <c r="C2016" s="6" t="s">
        <v>43</v>
      </c>
      <c r="D2016" s="6" t="s">
        <v>239</v>
      </c>
      <c r="E2016" s="6" t="s">
        <v>1540</v>
      </c>
      <c r="F2016" s="6" t="s">
        <v>46</v>
      </c>
      <c r="G2016" s="6" t="s">
        <v>8553</v>
      </c>
      <c r="H2016" s="7"/>
      <c r="I2016" s="16" t="s">
        <v>48</v>
      </c>
      <c r="J2016" s="16" t="s">
        <v>48</v>
      </c>
      <c r="AG2016" s="15" t="s">
        <v>55</v>
      </c>
      <c r="AH2016" s="15"/>
      <c r="AI2016" s="15"/>
    </row>
    <row r="2017" spans="1:37" s="6" customFormat="1">
      <c r="A2017" s="5" t="s">
        <v>8682</v>
      </c>
      <c r="B2017" s="5" t="s">
        <v>8683</v>
      </c>
      <c r="C2017" s="6" t="s">
        <v>8545</v>
      </c>
      <c r="D2017" s="6" t="s">
        <v>1977</v>
      </c>
      <c r="E2017" s="6" t="s">
        <v>1386</v>
      </c>
      <c r="F2017" s="6" t="s">
        <v>46</v>
      </c>
      <c r="G2017" s="6" t="s">
        <v>2742</v>
      </c>
      <c r="H2017" s="7">
        <v>23.32</v>
      </c>
      <c r="I2017" s="19" t="s">
        <v>1589</v>
      </c>
      <c r="J2017" s="19" t="s">
        <v>2001</v>
      </c>
      <c r="K2017" s="20" t="s">
        <v>2002</v>
      </c>
      <c r="L2017" s="20" t="s">
        <v>2003</v>
      </c>
      <c r="M2017" s="20" t="s">
        <v>2004</v>
      </c>
      <c r="N2017" s="20" t="s">
        <v>2005</v>
      </c>
      <c r="O2017" s="20" t="s">
        <v>8684</v>
      </c>
      <c r="P2017" s="20" t="s">
        <v>8685</v>
      </c>
      <c r="Q2017" s="20" t="s">
        <v>8686</v>
      </c>
      <c r="R2017" s="5" t="s">
        <v>8687</v>
      </c>
      <c r="S2017" s="5"/>
      <c r="T2017" s="5"/>
      <c r="U2017" s="5"/>
      <c r="V2017" s="5"/>
      <c r="W2017" s="20" t="s">
        <v>2010</v>
      </c>
      <c r="X2017" s="20" t="s">
        <v>2011</v>
      </c>
      <c r="Y2017" s="20" t="s">
        <v>2012</v>
      </c>
      <c r="Z2017" s="20" t="s">
        <v>2013</v>
      </c>
      <c r="AA2017" s="5"/>
      <c r="AB2017" s="5"/>
      <c r="AC2017" s="5"/>
      <c r="AD2017" s="5"/>
      <c r="AE2017" s="5"/>
      <c r="AF2017" s="5"/>
      <c r="AG2017" s="14" t="s">
        <v>55</v>
      </c>
      <c r="AH2017" s="14" t="s">
        <v>1603</v>
      </c>
      <c r="AI2017" s="14" t="s">
        <v>124</v>
      </c>
      <c r="AJ2017" s="5"/>
      <c r="AK2017" s="5"/>
    </row>
    <row r="2018" spans="1:37">
      <c r="A2018" s="5" t="s">
        <v>8688</v>
      </c>
      <c r="B2018" s="5" t="s">
        <v>8683</v>
      </c>
      <c r="C2018" s="6" t="s">
        <v>8545</v>
      </c>
      <c r="D2018" s="6" t="s">
        <v>1977</v>
      </c>
      <c r="E2018" s="6" t="s">
        <v>2015</v>
      </c>
      <c r="F2018" s="6" t="s">
        <v>46</v>
      </c>
      <c r="G2018" s="6" t="s">
        <v>8689</v>
      </c>
      <c r="H2018" s="7">
        <v>32.32</v>
      </c>
      <c r="I2018" s="19" t="s">
        <v>1589</v>
      </c>
      <c r="J2018" s="19" t="s">
        <v>2001</v>
      </c>
      <c r="K2018" s="20" t="s">
        <v>2002</v>
      </c>
      <c r="L2018" s="20" t="s">
        <v>2003</v>
      </c>
      <c r="M2018" s="20" t="s">
        <v>2004</v>
      </c>
      <c r="N2018" s="20" t="s">
        <v>2005</v>
      </c>
      <c r="O2018" s="20" t="s">
        <v>8684</v>
      </c>
      <c r="P2018" s="20" t="s">
        <v>8685</v>
      </c>
      <c r="Q2018" s="20" t="s">
        <v>8686</v>
      </c>
      <c r="R2018" s="5" t="s">
        <v>8687</v>
      </c>
      <c r="W2018" s="20" t="s">
        <v>2010</v>
      </c>
      <c r="X2018" s="20" t="s">
        <v>2011</v>
      </c>
      <c r="Y2018" s="20" t="s">
        <v>2012</v>
      </c>
      <c r="Z2018" s="20" t="s">
        <v>2013</v>
      </c>
      <c r="AG2018" s="14" t="s">
        <v>55</v>
      </c>
      <c r="AH2018" s="14" t="s">
        <v>1603</v>
      </c>
      <c r="AI2018" s="14" t="s">
        <v>124</v>
      </c>
    </row>
    <row r="2019" spans="1:37">
      <c r="A2019" s="5" t="s">
        <v>8690</v>
      </c>
      <c r="B2019" s="5" t="s">
        <v>8683</v>
      </c>
      <c r="C2019" s="6" t="s">
        <v>8545</v>
      </c>
      <c r="D2019" s="6" t="s">
        <v>1977</v>
      </c>
      <c r="E2019" s="6" t="s">
        <v>503</v>
      </c>
      <c r="F2019" s="6" t="s">
        <v>46</v>
      </c>
      <c r="G2019" s="6" t="s">
        <v>8691</v>
      </c>
      <c r="H2019" s="7">
        <v>23.32</v>
      </c>
      <c r="I2019" s="19" t="s">
        <v>1589</v>
      </c>
      <c r="J2019" s="19" t="s">
        <v>2001</v>
      </c>
      <c r="K2019" s="20" t="s">
        <v>2002</v>
      </c>
      <c r="L2019" s="20" t="s">
        <v>2003</v>
      </c>
      <c r="M2019" s="20" t="s">
        <v>2004</v>
      </c>
      <c r="N2019" s="20" t="s">
        <v>2005</v>
      </c>
      <c r="O2019" s="20" t="s">
        <v>8684</v>
      </c>
      <c r="P2019" s="20" t="s">
        <v>8685</v>
      </c>
      <c r="Q2019" s="20" t="s">
        <v>8686</v>
      </c>
      <c r="R2019" s="5" t="s">
        <v>8687</v>
      </c>
      <c r="W2019" s="20" t="s">
        <v>2010</v>
      </c>
      <c r="X2019" s="20" t="s">
        <v>2011</v>
      </c>
      <c r="Y2019" s="20" t="s">
        <v>2012</v>
      </c>
      <c r="Z2019" s="20" t="s">
        <v>2013</v>
      </c>
      <c r="AG2019" s="14" t="s">
        <v>55</v>
      </c>
      <c r="AH2019" s="14" t="s">
        <v>1603</v>
      </c>
      <c r="AI2019" s="14" t="s">
        <v>124</v>
      </c>
    </row>
    <row r="2020" spans="1:37">
      <c r="A2020" s="5" t="s">
        <v>8692</v>
      </c>
      <c r="B2020" s="5" t="s">
        <v>8693</v>
      </c>
      <c r="C2020" s="6" t="s">
        <v>43</v>
      </c>
      <c r="D2020" s="6" t="s">
        <v>1977</v>
      </c>
      <c r="E2020" s="6" t="s">
        <v>1386</v>
      </c>
      <c r="F2020" s="6" t="s">
        <v>46</v>
      </c>
      <c r="G2020" s="6" t="s">
        <v>8419</v>
      </c>
      <c r="H2020" s="7">
        <v>29.39</v>
      </c>
      <c r="I2020" s="19" t="s">
        <v>1589</v>
      </c>
      <c r="J2020" s="19" t="s">
        <v>2001</v>
      </c>
      <c r="K2020" s="20" t="s">
        <v>2023</v>
      </c>
      <c r="L2020" s="20" t="s">
        <v>2024</v>
      </c>
      <c r="M2020" s="20" t="s">
        <v>2025</v>
      </c>
      <c r="N2020" s="20" t="s">
        <v>2026</v>
      </c>
      <c r="O2020" s="20" t="s">
        <v>8694</v>
      </c>
      <c r="P2020" s="20" t="s">
        <v>8695</v>
      </c>
      <c r="Q2020" s="20" t="s">
        <v>8696</v>
      </c>
      <c r="R2020" s="5" t="s">
        <v>8697</v>
      </c>
      <c r="W2020" s="20" t="s">
        <v>2010</v>
      </c>
      <c r="X2020" s="20" t="s">
        <v>2011</v>
      </c>
      <c r="Y2020" s="20" t="s">
        <v>2012</v>
      </c>
      <c r="Z2020" s="20" t="s">
        <v>2013</v>
      </c>
      <c r="AG2020" s="14" t="s">
        <v>55</v>
      </c>
      <c r="AH2020" s="14" t="s">
        <v>1603</v>
      </c>
      <c r="AI2020" s="14" t="s">
        <v>124</v>
      </c>
    </row>
    <row r="2021" spans="1:37">
      <c r="A2021" s="5" t="s">
        <v>8698</v>
      </c>
      <c r="B2021" s="5" t="s">
        <v>8693</v>
      </c>
      <c r="C2021" s="6" t="s">
        <v>43</v>
      </c>
      <c r="D2021" s="6" t="s">
        <v>1977</v>
      </c>
      <c r="E2021" s="6" t="s">
        <v>2015</v>
      </c>
      <c r="F2021" s="6" t="s">
        <v>46</v>
      </c>
      <c r="G2021" s="6" t="s">
        <v>8699</v>
      </c>
      <c r="H2021" s="7">
        <v>29.39</v>
      </c>
      <c r="I2021" s="19" t="s">
        <v>1589</v>
      </c>
      <c r="J2021" s="19" t="s">
        <v>2001</v>
      </c>
      <c r="K2021" s="20" t="s">
        <v>2023</v>
      </c>
      <c r="L2021" s="20" t="s">
        <v>2024</v>
      </c>
      <c r="M2021" s="20" t="s">
        <v>2025</v>
      </c>
      <c r="N2021" s="20" t="s">
        <v>2026</v>
      </c>
      <c r="O2021" s="20" t="s">
        <v>8694</v>
      </c>
      <c r="P2021" s="20" t="s">
        <v>8695</v>
      </c>
      <c r="Q2021" s="20" t="s">
        <v>8696</v>
      </c>
      <c r="R2021" s="5" t="s">
        <v>8697</v>
      </c>
      <c r="W2021" s="20" t="s">
        <v>2010</v>
      </c>
      <c r="X2021" s="20" t="s">
        <v>2011</v>
      </c>
      <c r="Y2021" s="20" t="s">
        <v>2012</v>
      </c>
      <c r="Z2021" s="20" t="s">
        <v>2013</v>
      </c>
      <c r="AG2021" s="14" t="s">
        <v>55</v>
      </c>
      <c r="AH2021" s="14" t="s">
        <v>1603</v>
      </c>
      <c r="AI2021" s="14" t="s">
        <v>124</v>
      </c>
    </row>
    <row r="2022" spans="1:37">
      <c r="A2022" s="5" t="s">
        <v>8700</v>
      </c>
      <c r="B2022" s="5" t="s">
        <v>8701</v>
      </c>
      <c r="C2022" s="6" t="s">
        <v>6870</v>
      </c>
      <c r="D2022" s="6" t="s">
        <v>1977</v>
      </c>
      <c r="E2022" s="6" t="s">
        <v>1386</v>
      </c>
      <c r="F2022" s="6" t="s">
        <v>46</v>
      </c>
      <c r="G2022" s="6" t="s">
        <v>8702</v>
      </c>
      <c r="H2022" s="7">
        <v>30.98</v>
      </c>
      <c r="I2022" s="19" t="s">
        <v>1589</v>
      </c>
      <c r="J2022" s="19" t="s">
        <v>2001</v>
      </c>
      <c r="K2022" s="20" t="s">
        <v>2036</v>
      </c>
      <c r="L2022" s="20" t="s">
        <v>2037</v>
      </c>
      <c r="M2022" s="20" t="s">
        <v>2038</v>
      </c>
      <c r="N2022" s="20" t="s">
        <v>2039</v>
      </c>
      <c r="O2022" s="20" t="s">
        <v>8703</v>
      </c>
      <c r="P2022" s="20" t="s">
        <v>8704</v>
      </c>
      <c r="Q2022" s="20" t="s">
        <v>8705</v>
      </c>
      <c r="R2022" s="5" t="s">
        <v>8706</v>
      </c>
      <c r="W2022" s="20" t="s">
        <v>2010</v>
      </c>
      <c r="X2022" s="20" t="s">
        <v>2011</v>
      </c>
      <c r="Y2022" s="20" t="s">
        <v>2012</v>
      </c>
      <c r="Z2022" s="20" t="s">
        <v>2013</v>
      </c>
      <c r="AG2022" s="14" t="s">
        <v>55</v>
      </c>
      <c r="AH2022" s="14" t="s">
        <v>1603</v>
      </c>
      <c r="AI2022" s="14" t="s">
        <v>124</v>
      </c>
    </row>
    <row r="2023" spans="1:37">
      <c r="A2023" s="5" t="s">
        <v>8707</v>
      </c>
      <c r="B2023" s="5" t="s">
        <v>8701</v>
      </c>
      <c r="C2023" s="6" t="s">
        <v>6870</v>
      </c>
      <c r="D2023" s="6" t="s">
        <v>1977</v>
      </c>
      <c r="E2023" s="6" t="s">
        <v>2015</v>
      </c>
      <c r="F2023" s="6" t="s">
        <v>46</v>
      </c>
      <c r="G2023" s="6" t="s">
        <v>8708</v>
      </c>
      <c r="H2023" s="7">
        <v>30.98</v>
      </c>
      <c r="I2023" s="19" t="s">
        <v>1589</v>
      </c>
      <c r="J2023" s="19" t="s">
        <v>2001</v>
      </c>
      <c r="K2023" s="20" t="s">
        <v>2036</v>
      </c>
      <c r="L2023" s="20" t="s">
        <v>2037</v>
      </c>
      <c r="M2023" s="20" t="s">
        <v>2038</v>
      </c>
      <c r="N2023" s="20" t="s">
        <v>2039</v>
      </c>
      <c r="O2023" s="20" t="s">
        <v>8703</v>
      </c>
      <c r="P2023" s="20" t="s">
        <v>8704</v>
      </c>
      <c r="Q2023" s="20" t="s">
        <v>8705</v>
      </c>
      <c r="R2023" s="5" t="s">
        <v>8706</v>
      </c>
      <c r="W2023" s="20" t="s">
        <v>2010</v>
      </c>
      <c r="X2023" s="20" t="s">
        <v>2011</v>
      </c>
      <c r="Y2023" s="20" t="s">
        <v>2012</v>
      </c>
      <c r="Z2023" s="20" t="s">
        <v>2013</v>
      </c>
      <c r="AG2023" s="14" t="s">
        <v>55</v>
      </c>
      <c r="AH2023" s="14" t="s">
        <v>1603</v>
      </c>
      <c r="AI2023" s="14" t="s">
        <v>124</v>
      </c>
    </row>
    <row r="2024" spans="1:37">
      <c r="A2024" s="5" t="s">
        <v>8709</v>
      </c>
      <c r="B2024" s="5" t="s">
        <v>8710</v>
      </c>
      <c r="C2024" s="6" t="s">
        <v>43</v>
      </c>
      <c r="D2024" s="6" t="s">
        <v>1977</v>
      </c>
      <c r="E2024" s="6" t="s">
        <v>1386</v>
      </c>
      <c r="F2024" s="6" t="s">
        <v>46</v>
      </c>
      <c r="G2024" s="6" t="s">
        <v>8711</v>
      </c>
      <c r="H2024" s="7">
        <v>53.5</v>
      </c>
      <c r="I2024" s="19" t="s">
        <v>1589</v>
      </c>
      <c r="J2024" s="19" t="s">
        <v>2001</v>
      </c>
      <c r="K2024" s="20" t="s">
        <v>2054</v>
      </c>
      <c r="L2024" s="20" t="s">
        <v>2055</v>
      </c>
      <c r="M2024" s="20" t="s">
        <v>2056</v>
      </c>
      <c r="N2024" s="20" t="s">
        <v>2057</v>
      </c>
      <c r="O2024" s="20" t="s">
        <v>8712</v>
      </c>
      <c r="P2024" s="20" t="s">
        <v>8713</v>
      </c>
      <c r="Q2024" s="20" t="s">
        <v>8714</v>
      </c>
      <c r="R2024" s="5" t="s">
        <v>8715</v>
      </c>
      <c r="W2024" s="20" t="s">
        <v>2010</v>
      </c>
      <c r="X2024" s="20" t="s">
        <v>2011</v>
      </c>
      <c r="Y2024" s="20" t="s">
        <v>2012</v>
      </c>
      <c r="Z2024" s="20" t="s">
        <v>2013</v>
      </c>
      <c r="AG2024" s="14" t="s">
        <v>55</v>
      </c>
      <c r="AH2024" s="14" t="s">
        <v>1603</v>
      </c>
      <c r="AI2024" s="14" t="s">
        <v>124</v>
      </c>
    </row>
    <row r="2025" spans="1:37">
      <c r="A2025" s="5" t="s">
        <v>8716</v>
      </c>
      <c r="B2025" s="5" t="s">
        <v>8710</v>
      </c>
      <c r="C2025" s="6" t="s">
        <v>43</v>
      </c>
      <c r="D2025" s="6" t="s">
        <v>1977</v>
      </c>
      <c r="E2025" s="6" t="s">
        <v>2015</v>
      </c>
      <c r="F2025" s="6" t="s">
        <v>46</v>
      </c>
      <c r="G2025" s="6" t="s">
        <v>8717</v>
      </c>
      <c r="H2025" s="7">
        <v>53.5</v>
      </c>
      <c r="I2025" s="19" t="s">
        <v>1589</v>
      </c>
      <c r="J2025" s="19" t="s">
        <v>2001</v>
      </c>
      <c r="K2025" s="20" t="s">
        <v>2054</v>
      </c>
      <c r="L2025" s="20" t="s">
        <v>2055</v>
      </c>
      <c r="M2025" s="20" t="s">
        <v>2056</v>
      </c>
      <c r="N2025" s="20" t="s">
        <v>2057</v>
      </c>
      <c r="O2025" s="20" t="s">
        <v>8712</v>
      </c>
      <c r="P2025" s="20" t="s">
        <v>8713</v>
      </c>
      <c r="Q2025" s="20" t="s">
        <v>8714</v>
      </c>
      <c r="R2025" s="5" t="s">
        <v>8715</v>
      </c>
      <c r="W2025" s="20" t="s">
        <v>2010</v>
      </c>
      <c r="X2025" s="20" t="s">
        <v>2011</v>
      </c>
      <c r="Y2025" s="20" t="s">
        <v>2012</v>
      </c>
      <c r="Z2025" s="20" t="s">
        <v>2013</v>
      </c>
      <c r="AG2025" s="14" t="s">
        <v>55</v>
      </c>
      <c r="AH2025" s="14" t="s">
        <v>1603</v>
      </c>
      <c r="AI2025" s="14" t="s">
        <v>124</v>
      </c>
    </row>
    <row r="2026" spans="1:37">
      <c r="A2026" s="6" t="s">
        <v>8718</v>
      </c>
      <c r="B2026" s="6" t="s">
        <v>8719</v>
      </c>
      <c r="C2026" s="6" t="s">
        <v>43</v>
      </c>
      <c r="D2026" s="6" t="s">
        <v>2069</v>
      </c>
      <c r="E2026" s="6" t="s">
        <v>2092</v>
      </c>
      <c r="F2026" s="6" t="s">
        <v>46</v>
      </c>
      <c r="G2026" s="6" t="s">
        <v>8720</v>
      </c>
      <c r="I2026" s="6" t="s">
        <v>48</v>
      </c>
      <c r="J2026" s="6" t="s">
        <v>48</v>
      </c>
      <c r="K2026" s="6"/>
      <c r="L2026" s="6"/>
      <c r="M2026" s="6"/>
      <c r="N2026" s="6"/>
      <c r="O2026" s="6"/>
      <c r="P2026" s="6"/>
      <c r="Q2026" s="6"/>
      <c r="R2026" s="6"/>
      <c r="S2026" s="6"/>
      <c r="T2026" s="6"/>
      <c r="U2026" s="6"/>
      <c r="V2026" s="6"/>
      <c r="W2026" s="6"/>
      <c r="X2026" s="6"/>
      <c r="Y2026" s="6"/>
      <c r="Z2026" s="6"/>
      <c r="AA2026" s="6"/>
      <c r="AB2026" s="6"/>
      <c r="AC2026" s="6"/>
      <c r="AD2026" s="6"/>
      <c r="AE2026" s="6"/>
      <c r="AF2026" s="6"/>
      <c r="AG2026" s="15" t="s">
        <v>55</v>
      </c>
      <c r="AH2026" s="15"/>
      <c r="AI2026" s="15"/>
      <c r="AJ2026" s="6"/>
      <c r="AK2026" s="6"/>
    </row>
    <row r="2027" spans="1:37" s="6" customFormat="1">
      <c r="A2027" s="5" t="s">
        <v>8721</v>
      </c>
      <c r="B2027" s="5" t="s">
        <v>8722</v>
      </c>
      <c r="C2027" s="6" t="s">
        <v>43</v>
      </c>
      <c r="D2027" s="6" t="s">
        <v>2069</v>
      </c>
      <c r="E2027" s="6" t="s">
        <v>2015</v>
      </c>
      <c r="F2027" s="6" t="s">
        <v>46</v>
      </c>
      <c r="G2027" s="6" t="s">
        <v>8723</v>
      </c>
      <c r="H2027" s="7">
        <v>47.66</v>
      </c>
      <c r="I2027" s="19" t="s">
        <v>1589</v>
      </c>
      <c r="J2027" s="19" t="s">
        <v>2078</v>
      </c>
      <c r="K2027" s="5" t="s">
        <v>2079</v>
      </c>
      <c r="L2027" s="5" t="s">
        <v>2080</v>
      </c>
      <c r="M2027" s="5" t="s">
        <v>2081</v>
      </c>
      <c r="N2027" s="5" t="s">
        <v>2082</v>
      </c>
      <c r="O2027" s="5" t="s">
        <v>8724</v>
      </c>
      <c r="P2027" s="5" t="s">
        <v>8725</v>
      </c>
      <c r="Q2027" s="5" t="s">
        <v>8726</v>
      </c>
      <c r="R2027" s="5"/>
      <c r="S2027" s="5"/>
      <c r="T2027" s="5"/>
      <c r="U2027" s="5"/>
      <c r="V2027" s="5"/>
      <c r="W2027" s="5"/>
      <c r="X2027" s="5"/>
      <c r="Y2027" s="5" t="s">
        <v>2086</v>
      </c>
      <c r="Z2027" s="5"/>
      <c r="AA2027" s="5"/>
      <c r="AB2027" s="5"/>
      <c r="AC2027" s="5"/>
      <c r="AD2027" s="5"/>
      <c r="AE2027" s="5"/>
      <c r="AF2027" s="5"/>
      <c r="AG2027" s="14" t="s">
        <v>55</v>
      </c>
      <c r="AH2027" s="14" t="s">
        <v>1603</v>
      </c>
      <c r="AI2027" s="14" t="s">
        <v>2087</v>
      </c>
      <c r="AJ2027" s="5"/>
      <c r="AK2027" s="5"/>
    </row>
    <row r="2028" spans="1:37">
      <c r="A2028" s="5" t="s">
        <v>8727</v>
      </c>
      <c r="B2028" s="5" t="s">
        <v>8722</v>
      </c>
      <c r="C2028" s="6" t="s">
        <v>43</v>
      </c>
      <c r="D2028" s="6" t="s">
        <v>2069</v>
      </c>
      <c r="E2028" s="6" t="s">
        <v>2836</v>
      </c>
      <c r="F2028" s="6" t="s">
        <v>46</v>
      </c>
      <c r="G2028" s="6" t="s">
        <v>8728</v>
      </c>
      <c r="H2028" s="7">
        <v>47.66</v>
      </c>
      <c r="I2028" s="19" t="s">
        <v>1589</v>
      </c>
      <c r="J2028" s="19" t="s">
        <v>2078</v>
      </c>
      <c r="K2028" s="5" t="s">
        <v>2079</v>
      </c>
      <c r="L2028" s="5" t="s">
        <v>2080</v>
      </c>
      <c r="M2028" s="5" t="s">
        <v>2081</v>
      </c>
      <c r="N2028" s="5" t="s">
        <v>2082</v>
      </c>
      <c r="O2028" s="5" t="s">
        <v>8724</v>
      </c>
      <c r="P2028" s="5" t="s">
        <v>8725</v>
      </c>
      <c r="Q2028" s="5" t="s">
        <v>8726</v>
      </c>
      <c r="R2028" s="5"/>
      <c r="Y2028" s="5" t="s">
        <v>2086</v>
      </c>
      <c r="AG2028" s="14" t="s">
        <v>55</v>
      </c>
      <c r="AH2028" s="14" t="s">
        <v>1603</v>
      </c>
      <c r="AI2028" s="14" t="s">
        <v>2087</v>
      </c>
    </row>
    <row r="2029" spans="1:37">
      <c r="A2029" s="5" t="s">
        <v>8729</v>
      </c>
      <c r="B2029" s="5" t="s">
        <v>8722</v>
      </c>
      <c r="C2029" s="6" t="s">
        <v>43</v>
      </c>
      <c r="D2029" s="6" t="s">
        <v>2069</v>
      </c>
      <c r="E2029" s="6" t="s">
        <v>2070</v>
      </c>
      <c r="F2029" s="6" t="s">
        <v>46</v>
      </c>
      <c r="G2029" s="6" t="s">
        <v>8730</v>
      </c>
      <c r="H2029" s="7">
        <v>47.66</v>
      </c>
      <c r="I2029" s="19" t="s">
        <v>1589</v>
      </c>
      <c r="J2029" s="19" t="s">
        <v>2078</v>
      </c>
      <c r="K2029" s="5" t="s">
        <v>2079</v>
      </c>
      <c r="L2029" s="5" t="s">
        <v>2080</v>
      </c>
      <c r="M2029" s="5" t="s">
        <v>2081</v>
      </c>
      <c r="N2029" s="5" t="s">
        <v>2082</v>
      </c>
      <c r="O2029" s="5" t="s">
        <v>8724</v>
      </c>
      <c r="P2029" s="5" t="s">
        <v>8725</v>
      </c>
      <c r="Q2029" s="5" t="s">
        <v>8726</v>
      </c>
      <c r="R2029" s="5"/>
      <c r="Y2029" s="5" t="s">
        <v>2086</v>
      </c>
      <c r="AG2029" s="14" t="s">
        <v>55</v>
      </c>
      <c r="AH2029" s="14" t="s">
        <v>1603</v>
      </c>
      <c r="AI2029" s="14" t="s">
        <v>2087</v>
      </c>
    </row>
    <row r="2030" spans="1:37">
      <c r="A2030" s="5" t="s">
        <v>8731</v>
      </c>
      <c r="B2030" s="5" t="s">
        <v>8722</v>
      </c>
      <c r="C2030" s="6" t="s">
        <v>43</v>
      </c>
      <c r="D2030" s="6" t="s">
        <v>2069</v>
      </c>
      <c r="E2030" s="6" t="s">
        <v>1540</v>
      </c>
      <c r="F2030" s="6" t="s">
        <v>46</v>
      </c>
      <c r="G2030" s="6" t="s">
        <v>8732</v>
      </c>
      <c r="H2030" s="7">
        <v>47.66</v>
      </c>
      <c r="I2030" s="19" t="s">
        <v>1589</v>
      </c>
      <c r="J2030" s="19" t="s">
        <v>2078</v>
      </c>
      <c r="K2030" s="5" t="s">
        <v>2079</v>
      </c>
      <c r="L2030" s="5" t="s">
        <v>2080</v>
      </c>
      <c r="M2030" s="5" t="s">
        <v>2081</v>
      </c>
      <c r="N2030" s="5" t="s">
        <v>2082</v>
      </c>
      <c r="O2030" s="5" t="s">
        <v>8724</v>
      </c>
      <c r="P2030" s="5" t="s">
        <v>8725</v>
      </c>
      <c r="Q2030" s="5" t="s">
        <v>8726</v>
      </c>
      <c r="R2030" s="5"/>
      <c r="Y2030" s="5" t="s">
        <v>2086</v>
      </c>
      <c r="AG2030" s="14" t="s">
        <v>55</v>
      </c>
      <c r="AH2030" s="14" t="s">
        <v>1603</v>
      </c>
      <c r="AI2030" s="14" t="s">
        <v>2087</v>
      </c>
    </row>
    <row r="2031" spans="1:37">
      <c r="A2031" s="5" t="s">
        <v>8733</v>
      </c>
      <c r="B2031" s="5" t="s">
        <v>8722</v>
      </c>
      <c r="C2031" s="6" t="s">
        <v>43</v>
      </c>
      <c r="D2031" s="6" t="s">
        <v>2069</v>
      </c>
      <c r="E2031" s="6" t="s">
        <v>2092</v>
      </c>
      <c r="F2031" s="6" t="s">
        <v>46</v>
      </c>
      <c r="G2031" s="6" t="s">
        <v>6802</v>
      </c>
      <c r="H2031" s="7">
        <v>47.66</v>
      </c>
      <c r="I2031" s="19" t="s">
        <v>1589</v>
      </c>
      <c r="J2031" s="19" t="s">
        <v>2078</v>
      </c>
      <c r="K2031" s="5" t="s">
        <v>2079</v>
      </c>
      <c r="L2031" s="5" t="s">
        <v>2080</v>
      </c>
      <c r="M2031" s="5" t="s">
        <v>2081</v>
      </c>
      <c r="N2031" s="5" t="s">
        <v>2082</v>
      </c>
      <c r="O2031" s="5" t="s">
        <v>8724</v>
      </c>
      <c r="P2031" s="5" t="s">
        <v>8725</v>
      </c>
      <c r="Q2031" s="5" t="s">
        <v>8726</v>
      </c>
      <c r="R2031" s="5"/>
      <c r="Y2031" s="5" t="s">
        <v>2086</v>
      </c>
      <c r="AG2031" s="14" t="s">
        <v>55</v>
      </c>
      <c r="AH2031" s="14" t="s">
        <v>1603</v>
      </c>
      <c r="AI2031" s="14" t="s">
        <v>2087</v>
      </c>
    </row>
    <row r="2032" spans="1:37">
      <c r="A2032" s="5" t="s">
        <v>8734</v>
      </c>
      <c r="B2032" s="5" t="s">
        <v>8735</v>
      </c>
      <c r="C2032" s="6" t="s">
        <v>43</v>
      </c>
      <c r="D2032" s="6" t="s">
        <v>2069</v>
      </c>
      <c r="E2032" s="6" t="s">
        <v>2070</v>
      </c>
      <c r="F2032" s="6" t="s">
        <v>46</v>
      </c>
      <c r="G2032" s="6" t="s">
        <v>8736</v>
      </c>
      <c r="H2032" s="7">
        <v>71.239999999999995</v>
      </c>
      <c r="I2032" s="19" t="s">
        <v>1589</v>
      </c>
      <c r="J2032" s="19" t="s">
        <v>2078</v>
      </c>
      <c r="K2032" s="5" t="s">
        <v>2097</v>
      </c>
      <c r="L2032" s="5" t="s">
        <v>2098</v>
      </c>
      <c r="M2032" s="5" t="s">
        <v>2099</v>
      </c>
      <c r="N2032" s="5" t="s">
        <v>2100</v>
      </c>
      <c r="O2032" s="5" t="s">
        <v>8737</v>
      </c>
      <c r="P2032" s="5" t="s">
        <v>8738</v>
      </c>
      <c r="Q2032" s="5" t="s">
        <v>8739</v>
      </c>
      <c r="R2032" s="5"/>
      <c r="Y2032" s="5" t="s">
        <v>2086</v>
      </c>
      <c r="AG2032" s="14" t="s">
        <v>55</v>
      </c>
      <c r="AH2032" s="14" t="s">
        <v>1603</v>
      </c>
      <c r="AI2032" s="14" t="s">
        <v>2087</v>
      </c>
    </row>
    <row r="2033" spans="1:37">
      <c r="A2033" s="5" t="s">
        <v>8740</v>
      </c>
      <c r="B2033" s="5" t="s">
        <v>8735</v>
      </c>
      <c r="C2033" s="6" t="s">
        <v>43</v>
      </c>
      <c r="D2033" s="6" t="s">
        <v>2069</v>
      </c>
      <c r="E2033" s="6" t="s">
        <v>1540</v>
      </c>
      <c r="F2033" s="6" t="s">
        <v>46</v>
      </c>
      <c r="G2033" s="6" t="s">
        <v>4100</v>
      </c>
      <c r="H2033" s="7">
        <v>71.239999999999995</v>
      </c>
      <c r="I2033" s="19" t="s">
        <v>1589</v>
      </c>
      <c r="J2033" s="19" t="s">
        <v>2078</v>
      </c>
      <c r="K2033" s="5" t="s">
        <v>2097</v>
      </c>
      <c r="L2033" s="5" t="s">
        <v>2098</v>
      </c>
      <c r="M2033" s="5" t="s">
        <v>2099</v>
      </c>
      <c r="N2033" s="5" t="s">
        <v>2100</v>
      </c>
      <c r="O2033" s="5" t="s">
        <v>8737</v>
      </c>
      <c r="P2033" s="5" t="s">
        <v>8738</v>
      </c>
      <c r="Q2033" s="5" t="s">
        <v>8739</v>
      </c>
      <c r="R2033" s="5"/>
      <c r="AG2033" s="14" t="s">
        <v>55</v>
      </c>
      <c r="AH2033" s="14" t="s">
        <v>1603</v>
      </c>
      <c r="AI2033" s="14" t="s">
        <v>2087</v>
      </c>
    </row>
    <row r="2034" spans="1:37">
      <c r="A2034" s="5" t="s">
        <v>8741</v>
      </c>
      <c r="B2034" s="5" t="s">
        <v>8742</v>
      </c>
      <c r="C2034" s="6" t="s">
        <v>5663</v>
      </c>
      <c r="D2034" s="6" t="s">
        <v>2114</v>
      </c>
      <c r="E2034" s="6" t="s">
        <v>2139</v>
      </c>
      <c r="F2034" s="6" t="s">
        <v>46</v>
      </c>
      <c r="G2034" s="6" t="s">
        <v>8743</v>
      </c>
      <c r="H2034" s="7">
        <v>26.62</v>
      </c>
      <c r="I2034" s="19" t="s">
        <v>1589</v>
      </c>
      <c r="J2034" s="19" t="s">
        <v>2001</v>
      </c>
      <c r="K2034" s="5" t="s">
        <v>2116</v>
      </c>
      <c r="L2034" s="5" t="s">
        <v>2117</v>
      </c>
      <c r="M2034" s="5" t="s">
        <v>2118</v>
      </c>
      <c r="N2034" s="5" t="s">
        <v>2119</v>
      </c>
      <c r="O2034" s="5" t="s">
        <v>8744</v>
      </c>
      <c r="P2034" s="5" t="s">
        <v>8745</v>
      </c>
      <c r="Q2034" s="5" t="s">
        <v>8746</v>
      </c>
      <c r="R2034" s="5"/>
      <c r="W2034" s="5" t="s">
        <v>2123</v>
      </c>
      <c r="X2034" s="5" t="s">
        <v>2011</v>
      </c>
      <c r="Y2034" s="5" t="s">
        <v>2012</v>
      </c>
      <c r="Z2034" s="5" t="s">
        <v>2013</v>
      </c>
      <c r="AG2034" s="14" t="s">
        <v>55</v>
      </c>
      <c r="AH2034" s="14" t="s">
        <v>1603</v>
      </c>
      <c r="AI2034" s="14" t="s">
        <v>124</v>
      </c>
    </row>
    <row r="2035" spans="1:37">
      <c r="A2035" s="5" t="s">
        <v>8747</v>
      </c>
      <c r="B2035" s="5" t="s">
        <v>8742</v>
      </c>
      <c r="C2035" s="6" t="s">
        <v>5663</v>
      </c>
      <c r="D2035" s="6" t="s">
        <v>2114</v>
      </c>
      <c r="E2035" s="6" t="s">
        <v>1386</v>
      </c>
      <c r="F2035" s="6" t="s">
        <v>46</v>
      </c>
      <c r="G2035" s="6" t="s">
        <v>8748</v>
      </c>
      <c r="H2035" s="7">
        <v>26.62</v>
      </c>
      <c r="I2035" s="19" t="s">
        <v>1589</v>
      </c>
      <c r="J2035" s="19" t="s">
        <v>2001</v>
      </c>
      <c r="K2035" s="5" t="s">
        <v>2116</v>
      </c>
      <c r="L2035" s="5" t="s">
        <v>2117</v>
      </c>
      <c r="M2035" s="5" t="s">
        <v>2118</v>
      </c>
      <c r="N2035" s="5" t="s">
        <v>2119</v>
      </c>
      <c r="O2035" s="5" t="s">
        <v>8744</v>
      </c>
      <c r="P2035" s="5" t="s">
        <v>8745</v>
      </c>
      <c r="Q2035" s="5" t="s">
        <v>8746</v>
      </c>
      <c r="R2035" s="5"/>
      <c r="W2035" s="5" t="s">
        <v>2123</v>
      </c>
      <c r="X2035" s="5" t="s">
        <v>2011</v>
      </c>
      <c r="Y2035" s="5" t="s">
        <v>2012</v>
      </c>
      <c r="Z2035" s="5" t="s">
        <v>2013</v>
      </c>
      <c r="AG2035" s="14" t="s">
        <v>55</v>
      </c>
      <c r="AH2035" s="14" t="s">
        <v>1603</v>
      </c>
      <c r="AI2035" s="14" t="s">
        <v>124</v>
      </c>
    </row>
    <row r="2036" spans="1:37">
      <c r="A2036" s="5" t="s">
        <v>8749</v>
      </c>
      <c r="B2036" s="5" t="s">
        <v>8742</v>
      </c>
      <c r="C2036" s="6" t="s">
        <v>5663</v>
      </c>
      <c r="D2036" s="6" t="s">
        <v>2114</v>
      </c>
      <c r="E2036" s="6" t="s">
        <v>2015</v>
      </c>
      <c r="F2036" s="6" t="s">
        <v>46</v>
      </c>
      <c r="G2036" s="6" t="s">
        <v>2745</v>
      </c>
      <c r="H2036" s="7">
        <v>26.62</v>
      </c>
      <c r="I2036" s="19" t="s">
        <v>1589</v>
      </c>
      <c r="J2036" s="19" t="s">
        <v>2001</v>
      </c>
      <c r="K2036" s="5" t="s">
        <v>2116</v>
      </c>
      <c r="L2036" s="5" t="s">
        <v>2117</v>
      </c>
      <c r="M2036" s="5" t="s">
        <v>2118</v>
      </c>
      <c r="N2036" s="5" t="s">
        <v>2119</v>
      </c>
      <c r="O2036" s="5" t="s">
        <v>8744</v>
      </c>
      <c r="P2036" s="5" t="s">
        <v>8745</v>
      </c>
      <c r="Q2036" s="5" t="s">
        <v>8746</v>
      </c>
      <c r="R2036" s="5"/>
      <c r="W2036" s="5" t="s">
        <v>2123</v>
      </c>
      <c r="X2036" s="5" t="s">
        <v>2011</v>
      </c>
      <c r="Y2036" s="5" t="s">
        <v>2012</v>
      </c>
      <c r="Z2036" s="5" t="s">
        <v>2013</v>
      </c>
      <c r="AG2036" s="14" t="s">
        <v>55</v>
      </c>
      <c r="AH2036" s="14" t="s">
        <v>1603</v>
      </c>
      <c r="AI2036" s="14" t="s">
        <v>124</v>
      </c>
    </row>
    <row r="2037" spans="1:37">
      <c r="A2037" s="6" t="s">
        <v>8750</v>
      </c>
      <c r="B2037" s="6" t="s">
        <v>8751</v>
      </c>
      <c r="C2037" s="6" t="s">
        <v>5663</v>
      </c>
      <c r="D2037" s="6" t="s">
        <v>2114</v>
      </c>
      <c r="E2037" s="6" t="s">
        <v>1386</v>
      </c>
      <c r="F2037" s="6" t="s">
        <v>46</v>
      </c>
      <c r="G2037" s="6" t="s">
        <v>8752</v>
      </c>
      <c r="I2037" s="19" t="s">
        <v>48</v>
      </c>
      <c r="J2037" s="19" t="s">
        <v>48</v>
      </c>
      <c r="K2037" s="6"/>
      <c r="L2037" s="6"/>
      <c r="M2037" s="6"/>
      <c r="N2037" s="6"/>
      <c r="O2037" s="6"/>
      <c r="P2037" s="6"/>
      <c r="Q2037" s="6"/>
      <c r="R2037" s="6"/>
      <c r="S2037" s="6"/>
      <c r="T2037" s="6"/>
      <c r="U2037" s="6"/>
      <c r="V2037" s="6"/>
      <c r="W2037" s="6"/>
      <c r="X2037" s="6"/>
      <c r="Y2037" s="6"/>
      <c r="Z2037" s="6"/>
      <c r="AA2037" s="6"/>
      <c r="AB2037" s="6"/>
      <c r="AC2037" s="6"/>
      <c r="AD2037" s="6"/>
      <c r="AE2037" s="6"/>
      <c r="AF2037" s="6"/>
      <c r="AG2037" s="15" t="s">
        <v>55</v>
      </c>
      <c r="AH2037" s="15"/>
      <c r="AI2037" s="15"/>
      <c r="AJ2037" s="6"/>
      <c r="AK2037" s="6"/>
    </row>
    <row r="2038" spans="1:37" s="6" customFormat="1">
      <c r="A2038" s="5" t="s">
        <v>8753</v>
      </c>
      <c r="B2038" s="5" t="s">
        <v>8742</v>
      </c>
      <c r="C2038" s="6" t="s">
        <v>5663</v>
      </c>
      <c r="D2038" s="6" t="s">
        <v>2114</v>
      </c>
      <c r="E2038" s="6" t="s">
        <v>2139</v>
      </c>
      <c r="F2038" s="6" t="s">
        <v>46</v>
      </c>
      <c r="G2038" s="6" t="s">
        <v>8754</v>
      </c>
      <c r="H2038" s="7">
        <v>26.62</v>
      </c>
      <c r="I2038" s="19" t="s">
        <v>1589</v>
      </c>
      <c r="J2038" s="19" t="s">
        <v>2001</v>
      </c>
      <c r="K2038" s="5" t="s">
        <v>2116</v>
      </c>
      <c r="L2038" s="5" t="s">
        <v>2117</v>
      </c>
      <c r="M2038" s="5" t="s">
        <v>2118</v>
      </c>
      <c r="N2038" s="5" t="s">
        <v>2119</v>
      </c>
      <c r="O2038" s="5" t="s">
        <v>8744</v>
      </c>
      <c r="P2038" s="5" t="s">
        <v>8745</v>
      </c>
      <c r="Q2038" s="5" t="s">
        <v>8746</v>
      </c>
      <c r="R2038" s="5"/>
      <c r="S2038" s="5"/>
      <c r="T2038" s="5"/>
      <c r="U2038" s="5"/>
      <c r="V2038" s="5"/>
      <c r="W2038" s="5" t="s">
        <v>2123</v>
      </c>
      <c r="X2038" s="5" t="s">
        <v>2011</v>
      </c>
      <c r="Y2038" s="5" t="s">
        <v>2012</v>
      </c>
      <c r="Z2038" s="5" t="s">
        <v>2013</v>
      </c>
      <c r="AA2038" s="5"/>
      <c r="AB2038" s="5"/>
      <c r="AC2038" s="5"/>
      <c r="AD2038" s="5"/>
      <c r="AE2038" s="5"/>
      <c r="AF2038" s="5"/>
      <c r="AG2038" s="14" t="s">
        <v>55</v>
      </c>
      <c r="AH2038" s="14" t="s">
        <v>1603</v>
      </c>
      <c r="AI2038" s="14" t="s">
        <v>124</v>
      </c>
      <c r="AJ2038" s="5"/>
      <c r="AK2038" s="5"/>
    </row>
    <row r="2039" spans="1:37">
      <c r="A2039" s="5" t="s">
        <v>8755</v>
      </c>
      <c r="B2039" s="5" t="s">
        <v>8756</v>
      </c>
      <c r="C2039" s="6" t="s">
        <v>43</v>
      </c>
      <c r="D2039" s="6" t="s">
        <v>2114</v>
      </c>
      <c r="E2039" s="6" t="s">
        <v>2129</v>
      </c>
      <c r="F2039" s="6" t="s">
        <v>46</v>
      </c>
      <c r="G2039" s="6" t="s">
        <v>4070</v>
      </c>
      <c r="H2039" s="7">
        <v>34.67</v>
      </c>
      <c r="I2039" s="19" t="s">
        <v>1589</v>
      </c>
      <c r="J2039" s="19" t="s">
        <v>2001</v>
      </c>
      <c r="K2039" s="5" t="s">
        <v>2131</v>
      </c>
      <c r="L2039" s="5" t="s">
        <v>2132</v>
      </c>
      <c r="M2039" s="5" t="s">
        <v>2133</v>
      </c>
      <c r="N2039" s="5" t="s">
        <v>2134</v>
      </c>
      <c r="O2039" s="5" t="s">
        <v>8757</v>
      </c>
      <c r="P2039" s="5" t="s">
        <v>8758</v>
      </c>
      <c r="Q2039" s="5" t="s">
        <v>8759</v>
      </c>
      <c r="R2039" s="5"/>
      <c r="W2039" s="5" t="s">
        <v>2123</v>
      </c>
      <c r="X2039" s="5" t="s">
        <v>2011</v>
      </c>
      <c r="Y2039" s="5" t="s">
        <v>2012</v>
      </c>
      <c r="Z2039" s="5" t="s">
        <v>2013</v>
      </c>
      <c r="AG2039" s="14" t="s">
        <v>55</v>
      </c>
      <c r="AH2039" s="14" t="s">
        <v>1603</v>
      </c>
      <c r="AI2039" s="14" t="s">
        <v>124</v>
      </c>
    </row>
    <row r="2040" spans="1:37">
      <c r="A2040" s="5" t="s">
        <v>8760</v>
      </c>
      <c r="B2040" s="5" t="s">
        <v>8756</v>
      </c>
      <c r="C2040" s="6" t="s">
        <v>43</v>
      </c>
      <c r="D2040" s="6" t="s">
        <v>2114</v>
      </c>
      <c r="E2040" s="6" t="s">
        <v>1386</v>
      </c>
      <c r="F2040" s="6" t="s">
        <v>46</v>
      </c>
      <c r="G2040" s="6" t="s">
        <v>8761</v>
      </c>
      <c r="H2040" s="7">
        <v>34.67</v>
      </c>
      <c r="I2040" s="19" t="s">
        <v>1589</v>
      </c>
      <c r="J2040" s="19" t="s">
        <v>2001</v>
      </c>
      <c r="K2040" s="5" t="s">
        <v>2131</v>
      </c>
      <c r="L2040" s="5" t="s">
        <v>2132</v>
      </c>
      <c r="M2040" s="5" t="s">
        <v>2133</v>
      </c>
      <c r="N2040" s="5" t="s">
        <v>2134</v>
      </c>
      <c r="O2040" s="5" t="s">
        <v>8757</v>
      </c>
      <c r="P2040" s="5" t="s">
        <v>8758</v>
      </c>
      <c r="Q2040" s="5" t="s">
        <v>8759</v>
      </c>
      <c r="R2040" s="5"/>
      <c r="W2040" s="5" t="s">
        <v>2123</v>
      </c>
      <c r="X2040" s="5" t="s">
        <v>2011</v>
      </c>
      <c r="Y2040" s="5" t="s">
        <v>2012</v>
      </c>
      <c r="Z2040" s="5" t="s">
        <v>2013</v>
      </c>
      <c r="AG2040" s="14" t="s">
        <v>55</v>
      </c>
      <c r="AH2040" s="14" t="s">
        <v>1603</v>
      </c>
      <c r="AI2040" s="14" t="s">
        <v>124</v>
      </c>
    </row>
    <row r="2041" spans="1:37">
      <c r="A2041" s="5" t="s">
        <v>8762</v>
      </c>
      <c r="B2041" s="5" t="s">
        <v>8756</v>
      </c>
      <c r="C2041" s="6" t="s">
        <v>43</v>
      </c>
      <c r="D2041" s="6" t="s">
        <v>2114</v>
      </c>
      <c r="E2041" s="6" t="s">
        <v>2015</v>
      </c>
      <c r="F2041" s="6" t="s">
        <v>46</v>
      </c>
      <c r="G2041" s="6" t="s">
        <v>8763</v>
      </c>
      <c r="H2041" s="7">
        <v>34.67</v>
      </c>
      <c r="I2041" s="19" t="s">
        <v>1589</v>
      </c>
      <c r="J2041" s="19" t="s">
        <v>2001</v>
      </c>
      <c r="K2041" s="5" t="s">
        <v>2131</v>
      </c>
      <c r="L2041" s="5" t="s">
        <v>2132</v>
      </c>
      <c r="M2041" s="5" t="s">
        <v>2133</v>
      </c>
      <c r="N2041" s="5" t="s">
        <v>2134</v>
      </c>
      <c r="O2041" s="5" t="s">
        <v>8757</v>
      </c>
      <c r="P2041" s="5" t="s">
        <v>8758</v>
      </c>
      <c r="Q2041" s="5" t="s">
        <v>8759</v>
      </c>
      <c r="R2041" s="5"/>
      <c r="W2041" s="5" t="s">
        <v>2123</v>
      </c>
      <c r="X2041" s="5" t="s">
        <v>2011</v>
      </c>
      <c r="Y2041" s="5" t="s">
        <v>2012</v>
      </c>
      <c r="Z2041" s="5" t="s">
        <v>2013</v>
      </c>
      <c r="AG2041" s="14" t="s">
        <v>55</v>
      </c>
      <c r="AH2041" s="14" t="s">
        <v>1603</v>
      </c>
      <c r="AI2041" s="14" t="s">
        <v>124</v>
      </c>
    </row>
    <row r="2042" spans="1:37">
      <c r="A2042" s="5" t="s">
        <v>8764</v>
      </c>
      <c r="B2042" s="5" t="s">
        <v>8765</v>
      </c>
      <c r="C2042" s="6" t="s">
        <v>43</v>
      </c>
      <c r="D2042" s="6" t="s">
        <v>2114</v>
      </c>
      <c r="E2042" s="6" t="s">
        <v>1386</v>
      </c>
      <c r="F2042" s="6" t="s">
        <v>46</v>
      </c>
      <c r="G2042" s="6" t="s">
        <v>4340</v>
      </c>
      <c r="H2042" s="7">
        <v>36.61</v>
      </c>
      <c r="I2042" s="19" t="s">
        <v>1589</v>
      </c>
      <c r="J2042" s="19" t="s">
        <v>2001</v>
      </c>
      <c r="K2042" s="6" t="s">
        <v>2148</v>
      </c>
      <c r="L2042" s="6" t="s">
        <v>2149</v>
      </c>
      <c r="M2042" s="6" t="s">
        <v>2150</v>
      </c>
      <c r="N2042" s="6" t="s">
        <v>2151</v>
      </c>
      <c r="O2042" s="6" t="s">
        <v>8766</v>
      </c>
      <c r="P2042" s="6" t="s">
        <v>8767</v>
      </c>
      <c r="Q2042" s="6" t="s">
        <v>8768</v>
      </c>
      <c r="R2042" s="5"/>
      <c r="W2042" s="20" t="s">
        <v>2010</v>
      </c>
      <c r="X2042" s="20" t="s">
        <v>2011</v>
      </c>
      <c r="Y2042" s="20" t="s">
        <v>2012</v>
      </c>
      <c r="Z2042" s="20" t="s">
        <v>2013</v>
      </c>
      <c r="AG2042" s="14" t="s">
        <v>55</v>
      </c>
      <c r="AH2042" s="14" t="s">
        <v>1603</v>
      </c>
      <c r="AI2042" s="14" t="s">
        <v>124</v>
      </c>
    </row>
    <row r="2043" spans="1:37">
      <c r="A2043" s="5" t="s">
        <v>8769</v>
      </c>
      <c r="B2043" s="5" t="s">
        <v>8765</v>
      </c>
      <c r="C2043" s="6" t="s">
        <v>43</v>
      </c>
      <c r="D2043" s="6" t="s">
        <v>2114</v>
      </c>
      <c r="E2043" s="6" t="s">
        <v>2015</v>
      </c>
      <c r="F2043" s="6" t="s">
        <v>46</v>
      </c>
      <c r="G2043" s="6" t="s">
        <v>8770</v>
      </c>
      <c r="H2043" s="7">
        <v>36.61</v>
      </c>
      <c r="I2043" s="19" t="s">
        <v>1589</v>
      </c>
      <c r="J2043" s="19" t="s">
        <v>2001</v>
      </c>
      <c r="K2043" s="6" t="s">
        <v>2148</v>
      </c>
      <c r="L2043" s="6" t="s">
        <v>2149</v>
      </c>
      <c r="M2043" s="6" t="s">
        <v>2150</v>
      </c>
      <c r="N2043" s="6" t="s">
        <v>2151</v>
      </c>
      <c r="O2043" s="6" t="s">
        <v>8766</v>
      </c>
      <c r="P2043" s="6" t="s">
        <v>8767</v>
      </c>
      <c r="Q2043" s="6" t="s">
        <v>8768</v>
      </c>
      <c r="R2043" s="5"/>
      <c r="W2043" s="20" t="s">
        <v>2010</v>
      </c>
      <c r="X2043" s="20" t="s">
        <v>2011</v>
      </c>
      <c r="Y2043" s="20" t="s">
        <v>2012</v>
      </c>
      <c r="Z2043" s="20" t="s">
        <v>2013</v>
      </c>
      <c r="AG2043" s="14" t="s">
        <v>55</v>
      </c>
      <c r="AH2043" s="14" t="s">
        <v>1603</v>
      </c>
      <c r="AI2043" s="14" t="s">
        <v>124</v>
      </c>
    </row>
    <row r="2044" spans="1:37">
      <c r="A2044" s="5" t="s">
        <v>8771</v>
      </c>
      <c r="B2044" s="5" t="s">
        <v>8765</v>
      </c>
      <c r="C2044" s="6" t="s">
        <v>43</v>
      </c>
      <c r="D2044" s="6" t="s">
        <v>2114</v>
      </c>
      <c r="E2044" s="6" t="s">
        <v>1693</v>
      </c>
      <c r="F2044" s="6" t="s">
        <v>46</v>
      </c>
      <c r="G2044" s="6" t="s">
        <v>8772</v>
      </c>
      <c r="H2044" s="7">
        <v>36.61</v>
      </c>
      <c r="I2044" s="19" t="s">
        <v>1589</v>
      </c>
      <c r="J2044" s="19" t="s">
        <v>2001</v>
      </c>
      <c r="K2044" s="6" t="s">
        <v>2148</v>
      </c>
      <c r="L2044" s="6" t="s">
        <v>2149</v>
      </c>
      <c r="M2044" s="6" t="s">
        <v>2150</v>
      </c>
      <c r="N2044" s="6" t="s">
        <v>2151</v>
      </c>
      <c r="O2044" s="6" t="s">
        <v>8766</v>
      </c>
      <c r="P2044" s="6" t="s">
        <v>8767</v>
      </c>
      <c r="Q2044" s="6" t="s">
        <v>8768</v>
      </c>
      <c r="R2044" s="5"/>
      <c r="W2044" s="20" t="s">
        <v>2010</v>
      </c>
      <c r="X2044" s="20" t="s">
        <v>2011</v>
      </c>
      <c r="Y2044" s="20" t="s">
        <v>2012</v>
      </c>
      <c r="Z2044" s="20" t="s">
        <v>2013</v>
      </c>
      <c r="AG2044" s="14" t="s">
        <v>55</v>
      </c>
      <c r="AH2044" s="14" t="s">
        <v>1603</v>
      </c>
      <c r="AI2044" s="14" t="s">
        <v>124</v>
      </c>
    </row>
    <row r="2045" spans="1:37">
      <c r="A2045" s="5" t="s">
        <v>8773</v>
      </c>
      <c r="B2045" s="5" t="s">
        <v>8774</v>
      </c>
      <c r="C2045" s="6" t="s">
        <v>43</v>
      </c>
      <c r="D2045" s="6" t="s">
        <v>2114</v>
      </c>
      <c r="E2045" s="6" t="s">
        <v>1386</v>
      </c>
      <c r="F2045" s="6" t="s">
        <v>46</v>
      </c>
      <c r="G2045" s="6" t="s">
        <v>8775</v>
      </c>
      <c r="H2045" s="7">
        <v>43.56</v>
      </c>
      <c r="I2045" s="19" t="s">
        <v>1589</v>
      </c>
      <c r="J2045" s="19" t="s">
        <v>2162</v>
      </c>
      <c r="K2045" s="5" t="s">
        <v>2163</v>
      </c>
      <c r="L2045" s="5" t="s">
        <v>2164</v>
      </c>
      <c r="M2045" s="5" t="s">
        <v>2165</v>
      </c>
      <c r="N2045" s="5" t="s">
        <v>2166</v>
      </c>
      <c r="O2045" s="5" t="s">
        <v>8776</v>
      </c>
      <c r="P2045" s="5" t="s">
        <v>8777</v>
      </c>
      <c r="Q2045" s="5" t="s">
        <v>8778</v>
      </c>
      <c r="R2045" s="5"/>
      <c r="W2045" s="5" t="s">
        <v>2170</v>
      </c>
      <c r="X2045" s="5" t="s">
        <v>2171</v>
      </c>
      <c r="Y2045" s="5" t="s">
        <v>2172</v>
      </c>
      <c r="Z2045" s="5" t="s">
        <v>2173</v>
      </c>
      <c r="AG2045" s="14" t="s">
        <v>55</v>
      </c>
      <c r="AH2045" s="14" t="s">
        <v>1603</v>
      </c>
      <c r="AI2045" s="14" t="s">
        <v>124</v>
      </c>
    </row>
    <row r="2046" spans="1:37">
      <c r="A2046" s="5" t="s">
        <v>8779</v>
      </c>
      <c r="B2046" s="5" t="s">
        <v>8780</v>
      </c>
      <c r="C2046" s="6" t="s">
        <v>43</v>
      </c>
      <c r="D2046" s="6" t="s">
        <v>2114</v>
      </c>
      <c r="E2046" s="6" t="s">
        <v>2139</v>
      </c>
      <c r="F2046" s="6" t="s">
        <v>46</v>
      </c>
      <c r="G2046" s="6" t="s">
        <v>8781</v>
      </c>
      <c r="H2046" s="7">
        <v>52.27</v>
      </c>
      <c r="I2046" s="19" t="s">
        <v>1589</v>
      </c>
      <c r="J2046" s="19" t="s">
        <v>2001</v>
      </c>
      <c r="K2046" s="6" t="s">
        <v>2177</v>
      </c>
      <c r="L2046" s="6" t="s">
        <v>2178</v>
      </c>
      <c r="M2046" s="6" t="s">
        <v>2179</v>
      </c>
      <c r="N2046" s="6" t="s">
        <v>2180</v>
      </c>
      <c r="O2046" s="6" t="s">
        <v>8782</v>
      </c>
      <c r="P2046" s="6" t="s">
        <v>8783</v>
      </c>
      <c r="Q2046" s="6" t="s">
        <v>8784</v>
      </c>
      <c r="R2046" s="5"/>
      <c r="S2046" s="6"/>
      <c r="T2046" s="6"/>
      <c r="U2046" s="6"/>
      <c r="W2046" s="20" t="s">
        <v>2010</v>
      </c>
      <c r="X2046" s="20" t="s">
        <v>2011</v>
      </c>
      <c r="Y2046" s="20" t="s">
        <v>2012</v>
      </c>
      <c r="Z2046" s="20" t="s">
        <v>2013</v>
      </c>
      <c r="AG2046" s="14" t="s">
        <v>55</v>
      </c>
      <c r="AH2046" s="14" t="s">
        <v>1603</v>
      </c>
      <c r="AI2046" s="14" t="s">
        <v>124</v>
      </c>
    </row>
    <row r="2047" spans="1:37">
      <c r="A2047" s="5" t="s">
        <v>8785</v>
      </c>
      <c r="B2047" s="5" t="s">
        <v>8780</v>
      </c>
      <c r="C2047" s="6" t="s">
        <v>43</v>
      </c>
      <c r="D2047" s="6" t="s">
        <v>2114</v>
      </c>
      <c r="E2047" s="6" t="s">
        <v>1386</v>
      </c>
      <c r="F2047" s="6" t="s">
        <v>46</v>
      </c>
      <c r="G2047" s="6" t="s">
        <v>8786</v>
      </c>
      <c r="H2047" s="7">
        <v>52.27</v>
      </c>
      <c r="I2047" s="19" t="s">
        <v>1589</v>
      </c>
      <c r="J2047" s="19" t="s">
        <v>2001</v>
      </c>
      <c r="K2047" s="6" t="s">
        <v>2177</v>
      </c>
      <c r="L2047" s="6" t="s">
        <v>2178</v>
      </c>
      <c r="M2047" s="6" t="s">
        <v>2179</v>
      </c>
      <c r="N2047" s="6" t="s">
        <v>2180</v>
      </c>
      <c r="O2047" s="6" t="s">
        <v>8782</v>
      </c>
      <c r="P2047" s="6" t="s">
        <v>8783</v>
      </c>
      <c r="Q2047" s="6" t="s">
        <v>8784</v>
      </c>
      <c r="R2047" s="5"/>
      <c r="S2047" s="6"/>
      <c r="T2047" s="6"/>
      <c r="U2047" s="6"/>
      <c r="W2047" s="20" t="s">
        <v>2010</v>
      </c>
      <c r="X2047" s="20" t="s">
        <v>2011</v>
      </c>
      <c r="Y2047" s="20" t="s">
        <v>2012</v>
      </c>
      <c r="Z2047" s="20" t="s">
        <v>2013</v>
      </c>
      <c r="AG2047" s="14" t="s">
        <v>55</v>
      </c>
      <c r="AH2047" s="14" t="s">
        <v>1603</v>
      </c>
      <c r="AI2047" s="14" t="s">
        <v>124</v>
      </c>
    </row>
    <row r="2048" spans="1:37">
      <c r="A2048" s="5" t="s">
        <v>8787</v>
      </c>
      <c r="B2048" s="5" t="s">
        <v>8780</v>
      </c>
      <c r="C2048" s="6" t="s">
        <v>43</v>
      </c>
      <c r="D2048" s="6" t="s">
        <v>2114</v>
      </c>
      <c r="E2048" s="6" t="s">
        <v>2015</v>
      </c>
      <c r="F2048" s="6" t="s">
        <v>46</v>
      </c>
      <c r="G2048" s="6" t="s">
        <v>3418</v>
      </c>
      <c r="H2048" s="7">
        <v>52.27</v>
      </c>
      <c r="I2048" s="19" t="s">
        <v>1589</v>
      </c>
      <c r="J2048" s="19" t="s">
        <v>2001</v>
      </c>
      <c r="K2048" s="6" t="s">
        <v>2177</v>
      </c>
      <c r="L2048" s="6" t="s">
        <v>2178</v>
      </c>
      <c r="M2048" s="6" t="s">
        <v>2179</v>
      </c>
      <c r="N2048" s="6" t="s">
        <v>2180</v>
      </c>
      <c r="O2048" s="6" t="s">
        <v>8782</v>
      </c>
      <c r="P2048" s="6" t="s">
        <v>8783</v>
      </c>
      <c r="Q2048" s="6" t="s">
        <v>8784</v>
      </c>
      <c r="R2048" s="5"/>
      <c r="S2048" s="6"/>
      <c r="T2048" s="6"/>
      <c r="U2048" s="6"/>
      <c r="W2048" s="20" t="s">
        <v>2010</v>
      </c>
      <c r="X2048" s="20" t="s">
        <v>2011</v>
      </c>
      <c r="Y2048" s="20" t="s">
        <v>2012</v>
      </c>
      <c r="Z2048" s="20" t="s">
        <v>2013</v>
      </c>
      <c r="AG2048" s="14" t="s">
        <v>55</v>
      </c>
      <c r="AH2048" s="14" t="s">
        <v>1603</v>
      </c>
      <c r="AI2048" s="14" t="s">
        <v>124</v>
      </c>
    </row>
    <row r="2049" spans="1:37">
      <c r="A2049" s="5" t="s">
        <v>8788</v>
      </c>
      <c r="B2049" s="5" t="s">
        <v>8789</v>
      </c>
      <c r="C2049" s="6" t="s">
        <v>43</v>
      </c>
      <c r="D2049" s="6" t="s">
        <v>2114</v>
      </c>
      <c r="E2049" s="6" t="s">
        <v>2015</v>
      </c>
      <c r="F2049" s="6" t="s">
        <v>46</v>
      </c>
      <c r="G2049" s="6" t="s">
        <v>8790</v>
      </c>
      <c r="H2049" s="7">
        <v>75.760000000000005</v>
      </c>
      <c r="I2049" s="19" t="s">
        <v>1589</v>
      </c>
      <c r="J2049" s="19" t="s">
        <v>2001</v>
      </c>
      <c r="K2049" s="6" t="s">
        <v>4178</v>
      </c>
      <c r="L2049" s="6" t="s">
        <v>4179</v>
      </c>
      <c r="M2049" s="6" t="s">
        <v>4180</v>
      </c>
      <c r="N2049" s="6" t="s">
        <v>4181</v>
      </c>
      <c r="O2049" s="6" t="s">
        <v>7366</v>
      </c>
      <c r="P2049" s="6" t="s">
        <v>7367</v>
      </c>
      <c r="Q2049" s="6" t="s">
        <v>8791</v>
      </c>
      <c r="R2049" s="5"/>
      <c r="AG2049" s="14" t="s">
        <v>55</v>
      </c>
      <c r="AH2049" s="14" t="s">
        <v>1603</v>
      </c>
      <c r="AI2049" s="14" t="s">
        <v>124</v>
      </c>
    </row>
    <row r="2050" spans="1:37">
      <c r="A2050" s="5" t="s">
        <v>8792</v>
      </c>
      <c r="B2050" s="5" t="s">
        <v>8793</v>
      </c>
      <c r="C2050" s="6" t="s">
        <v>43</v>
      </c>
      <c r="D2050" s="6" t="s">
        <v>2114</v>
      </c>
      <c r="E2050" s="6" t="s">
        <v>53</v>
      </c>
      <c r="F2050" s="6" t="s">
        <v>46</v>
      </c>
      <c r="G2050" s="6" t="s">
        <v>8794</v>
      </c>
      <c r="H2050" s="7">
        <v>64</v>
      </c>
      <c r="I2050" s="19" t="s">
        <v>1589</v>
      </c>
      <c r="J2050" s="19" t="s">
        <v>2001</v>
      </c>
      <c r="K2050" s="6" t="s">
        <v>8795</v>
      </c>
      <c r="L2050" s="6" t="s">
        <v>8796</v>
      </c>
      <c r="M2050" s="6" t="s">
        <v>8797</v>
      </c>
      <c r="N2050" s="6" t="s">
        <v>8798</v>
      </c>
      <c r="O2050" s="6" t="s">
        <v>8799</v>
      </c>
      <c r="P2050" s="6" t="s">
        <v>8800</v>
      </c>
      <c r="Q2050" s="6" t="s">
        <v>8801</v>
      </c>
      <c r="R2050" s="5"/>
      <c r="AG2050" s="14" t="s">
        <v>55</v>
      </c>
      <c r="AH2050" s="14" t="s">
        <v>1603</v>
      </c>
      <c r="AI2050" s="14" t="s">
        <v>124</v>
      </c>
    </row>
    <row r="2051" spans="1:37">
      <c r="A2051" s="5" t="s">
        <v>8802</v>
      </c>
      <c r="B2051" s="5" t="s">
        <v>8803</v>
      </c>
      <c r="C2051" s="6" t="s">
        <v>43</v>
      </c>
      <c r="D2051" s="6" t="s">
        <v>2189</v>
      </c>
      <c r="E2051" s="6" t="s">
        <v>1386</v>
      </c>
      <c r="F2051" s="6" t="s">
        <v>46</v>
      </c>
      <c r="G2051" s="6" t="s">
        <v>8804</v>
      </c>
      <c r="H2051" s="7">
        <v>34.1</v>
      </c>
      <c r="I2051" s="19" t="s">
        <v>1589</v>
      </c>
      <c r="J2051" s="19" t="s">
        <v>2191</v>
      </c>
      <c r="K2051" s="5" t="s">
        <v>2192</v>
      </c>
      <c r="L2051" s="5" t="s">
        <v>2193</v>
      </c>
      <c r="M2051" s="5" t="s">
        <v>2194</v>
      </c>
      <c r="N2051" s="5" t="s">
        <v>2195</v>
      </c>
      <c r="O2051" s="5" t="s">
        <v>8805</v>
      </c>
      <c r="P2051" s="5" t="s">
        <v>8806</v>
      </c>
      <c r="Q2051" s="5" t="s">
        <v>8807</v>
      </c>
      <c r="R2051" s="5"/>
      <c r="Y2051" s="5" t="s">
        <v>2086</v>
      </c>
      <c r="AG2051" s="14" t="s">
        <v>55</v>
      </c>
      <c r="AH2051" s="14" t="s">
        <v>1603</v>
      </c>
      <c r="AI2051" s="14" t="s">
        <v>2087</v>
      </c>
    </row>
    <row r="2052" spans="1:37">
      <c r="A2052" s="5" t="s">
        <v>8808</v>
      </c>
      <c r="B2052" s="5" t="s">
        <v>8803</v>
      </c>
      <c r="C2052" s="6" t="s">
        <v>43</v>
      </c>
      <c r="D2052" s="6" t="s">
        <v>2189</v>
      </c>
      <c r="E2052" s="6" t="s">
        <v>2015</v>
      </c>
      <c r="F2052" s="6" t="s">
        <v>46</v>
      </c>
      <c r="G2052" s="6" t="s">
        <v>8809</v>
      </c>
      <c r="H2052" s="7">
        <v>34.1</v>
      </c>
      <c r="I2052" s="19" t="s">
        <v>1589</v>
      </c>
      <c r="J2052" s="19" t="s">
        <v>2191</v>
      </c>
      <c r="K2052" s="5" t="s">
        <v>2192</v>
      </c>
      <c r="L2052" s="5" t="s">
        <v>2193</v>
      </c>
      <c r="M2052" s="5" t="s">
        <v>2194</v>
      </c>
      <c r="N2052" s="5" t="s">
        <v>2195</v>
      </c>
      <c r="O2052" s="5" t="s">
        <v>8805</v>
      </c>
      <c r="P2052" s="5" t="s">
        <v>8806</v>
      </c>
      <c r="Q2052" s="5" t="s">
        <v>8807</v>
      </c>
      <c r="R2052" s="5"/>
      <c r="Y2052" s="5" t="s">
        <v>2086</v>
      </c>
      <c r="AG2052" s="14" t="s">
        <v>55</v>
      </c>
      <c r="AH2052" s="14" t="s">
        <v>1603</v>
      </c>
      <c r="AI2052" s="14" t="s">
        <v>2087</v>
      </c>
    </row>
    <row r="2053" spans="1:37">
      <c r="A2053" s="6" t="s">
        <v>8810</v>
      </c>
      <c r="B2053" s="6" t="s">
        <v>8811</v>
      </c>
      <c r="C2053" s="6" t="s">
        <v>43</v>
      </c>
      <c r="D2053" s="6" t="s">
        <v>2189</v>
      </c>
      <c r="E2053" s="6" t="s">
        <v>2015</v>
      </c>
      <c r="F2053" s="6" t="s">
        <v>46</v>
      </c>
      <c r="G2053" s="6" t="s">
        <v>8812</v>
      </c>
      <c r="I2053" s="6" t="s">
        <v>48</v>
      </c>
      <c r="J2053" s="6" t="s">
        <v>48</v>
      </c>
      <c r="K2053" s="6"/>
      <c r="L2053" s="6"/>
      <c r="M2053" s="6"/>
      <c r="N2053" s="6"/>
      <c r="O2053" s="6"/>
      <c r="P2053" s="6"/>
      <c r="Q2053" s="6"/>
      <c r="R2053" s="6"/>
      <c r="S2053" s="6"/>
      <c r="T2053" s="6"/>
      <c r="U2053" s="6"/>
      <c r="V2053" s="6"/>
      <c r="W2053" s="6"/>
      <c r="X2053" s="6"/>
      <c r="Y2053" s="6"/>
      <c r="Z2053" s="6"/>
      <c r="AA2053" s="6"/>
      <c r="AB2053" s="6"/>
      <c r="AC2053" s="6"/>
      <c r="AD2053" s="6"/>
      <c r="AE2053" s="6"/>
      <c r="AF2053" s="6"/>
      <c r="AG2053" s="15" t="s">
        <v>55</v>
      </c>
      <c r="AH2053" s="15"/>
      <c r="AI2053" s="15"/>
      <c r="AJ2053" s="6"/>
      <c r="AK2053" s="6"/>
    </row>
    <row r="2054" spans="1:37" s="6" customFormat="1">
      <c r="A2054" s="6" t="s">
        <v>8813</v>
      </c>
      <c r="B2054" s="6" t="s">
        <v>8814</v>
      </c>
      <c r="C2054" s="6" t="s">
        <v>43</v>
      </c>
      <c r="D2054" s="6" t="s">
        <v>2189</v>
      </c>
      <c r="E2054" s="6" t="s">
        <v>2065</v>
      </c>
      <c r="F2054" s="6" t="s">
        <v>46</v>
      </c>
      <c r="G2054" s="6" t="s">
        <v>8815</v>
      </c>
      <c r="H2054" s="7"/>
      <c r="I2054" s="6" t="s">
        <v>48</v>
      </c>
      <c r="J2054" s="6" t="s">
        <v>48</v>
      </c>
      <c r="AG2054" s="15" t="s">
        <v>55</v>
      </c>
      <c r="AH2054" s="15"/>
      <c r="AI2054" s="15"/>
    </row>
    <row r="2055" spans="1:37" s="6" customFormat="1">
      <c r="A2055" s="5" t="s">
        <v>8816</v>
      </c>
      <c r="B2055" s="5" t="s">
        <v>8817</v>
      </c>
      <c r="C2055" s="6" t="s">
        <v>43</v>
      </c>
      <c r="D2055" s="6" t="s">
        <v>2189</v>
      </c>
      <c r="E2055" s="6" t="s">
        <v>2129</v>
      </c>
      <c r="F2055" s="6" t="s">
        <v>46</v>
      </c>
      <c r="G2055" s="6" t="s">
        <v>8818</v>
      </c>
      <c r="H2055" s="7">
        <v>40.299999999999997</v>
      </c>
      <c r="I2055" s="19" t="s">
        <v>1589</v>
      </c>
      <c r="J2055" s="19" t="s">
        <v>2191</v>
      </c>
      <c r="K2055" s="5" t="s">
        <v>2218</v>
      </c>
      <c r="L2055" s="5" t="s">
        <v>2219</v>
      </c>
      <c r="M2055" s="5" t="s">
        <v>2220</v>
      </c>
      <c r="N2055" s="5" t="s">
        <v>2221</v>
      </c>
      <c r="O2055" s="5" t="s">
        <v>8819</v>
      </c>
      <c r="P2055" s="5" t="s">
        <v>8820</v>
      </c>
      <c r="Q2055" s="5" t="s">
        <v>8821</v>
      </c>
      <c r="R2055" s="5"/>
      <c r="S2055" s="5"/>
      <c r="T2055" s="5"/>
      <c r="U2055" s="5"/>
      <c r="V2055" s="5"/>
      <c r="W2055" s="5"/>
      <c r="X2055" s="5"/>
      <c r="Y2055" s="5"/>
      <c r="Z2055" s="5"/>
      <c r="AA2055" s="5"/>
      <c r="AB2055" s="5"/>
      <c r="AC2055" s="5"/>
      <c r="AD2055" s="5"/>
      <c r="AE2055" s="5"/>
      <c r="AF2055" s="5"/>
      <c r="AG2055" s="14" t="s">
        <v>55</v>
      </c>
      <c r="AH2055" s="14" t="s">
        <v>1603</v>
      </c>
      <c r="AI2055" s="14" t="s">
        <v>2087</v>
      </c>
      <c r="AJ2055" s="5"/>
      <c r="AK2055" s="5"/>
    </row>
    <row r="2056" spans="1:37">
      <c r="A2056" s="5" t="s">
        <v>8822</v>
      </c>
      <c r="B2056" s="5" t="s">
        <v>8817</v>
      </c>
      <c r="C2056" s="6" t="s">
        <v>43</v>
      </c>
      <c r="D2056" s="6" t="s">
        <v>2189</v>
      </c>
      <c r="E2056" s="6" t="s">
        <v>2139</v>
      </c>
      <c r="F2056" s="6" t="s">
        <v>46</v>
      </c>
      <c r="G2056" s="6" t="s">
        <v>8823</v>
      </c>
      <c r="H2056" s="7">
        <v>40.299999999999997</v>
      </c>
      <c r="I2056" s="19" t="s">
        <v>1589</v>
      </c>
      <c r="J2056" s="19" t="s">
        <v>2191</v>
      </c>
      <c r="K2056" s="5" t="s">
        <v>2218</v>
      </c>
      <c r="L2056" s="5" t="s">
        <v>2219</v>
      </c>
      <c r="M2056" s="5" t="s">
        <v>2220</v>
      </c>
      <c r="N2056" s="5" t="s">
        <v>2221</v>
      </c>
      <c r="O2056" s="5" t="s">
        <v>8819</v>
      </c>
      <c r="P2056" s="5" t="s">
        <v>8820</v>
      </c>
      <c r="Q2056" s="5" t="s">
        <v>8821</v>
      </c>
      <c r="R2056" s="5"/>
      <c r="AG2056" s="14" t="s">
        <v>55</v>
      </c>
      <c r="AH2056" s="14" t="s">
        <v>1603</v>
      </c>
      <c r="AI2056" s="14" t="s">
        <v>2087</v>
      </c>
    </row>
    <row r="2057" spans="1:37">
      <c r="A2057" s="5" t="s">
        <v>8824</v>
      </c>
      <c r="B2057" s="5" t="s">
        <v>8817</v>
      </c>
      <c r="C2057" s="6" t="s">
        <v>43</v>
      </c>
      <c r="D2057" s="6" t="s">
        <v>2189</v>
      </c>
      <c r="E2057" s="6" t="s">
        <v>2015</v>
      </c>
      <c r="F2057" s="6" t="s">
        <v>46</v>
      </c>
      <c r="G2057" s="6" t="s">
        <v>8825</v>
      </c>
      <c r="H2057" s="7">
        <v>40.299999999999997</v>
      </c>
      <c r="I2057" s="19" t="s">
        <v>1589</v>
      </c>
      <c r="J2057" s="19" t="s">
        <v>2191</v>
      </c>
      <c r="K2057" s="5" t="s">
        <v>2218</v>
      </c>
      <c r="L2057" s="5" t="s">
        <v>2219</v>
      </c>
      <c r="M2057" s="5" t="s">
        <v>2220</v>
      </c>
      <c r="N2057" s="5" t="s">
        <v>2221</v>
      </c>
      <c r="O2057" s="5" t="s">
        <v>8819</v>
      </c>
      <c r="P2057" s="5" t="s">
        <v>8820</v>
      </c>
      <c r="Q2057" s="5" t="s">
        <v>8821</v>
      </c>
      <c r="R2057" s="5"/>
      <c r="AG2057" s="14" t="s">
        <v>55</v>
      </c>
      <c r="AH2057" s="14" t="s">
        <v>1603</v>
      </c>
      <c r="AI2057" s="14" t="s">
        <v>2087</v>
      </c>
    </row>
    <row r="2058" spans="1:37">
      <c r="A2058" s="5" t="s">
        <v>8826</v>
      </c>
      <c r="B2058" s="5" t="s">
        <v>8817</v>
      </c>
      <c r="C2058" s="6" t="s">
        <v>43</v>
      </c>
      <c r="D2058" s="6" t="s">
        <v>2189</v>
      </c>
      <c r="E2058" s="6" t="s">
        <v>2070</v>
      </c>
      <c r="F2058" s="6" t="s">
        <v>46</v>
      </c>
      <c r="G2058" s="6" t="s">
        <v>8827</v>
      </c>
      <c r="H2058" s="7">
        <v>40.299999999999997</v>
      </c>
      <c r="I2058" s="19" t="s">
        <v>1589</v>
      </c>
      <c r="J2058" s="19" t="s">
        <v>2191</v>
      </c>
      <c r="K2058" s="5" t="s">
        <v>2218</v>
      </c>
      <c r="L2058" s="5" t="s">
        <v>2219</v>
      </c>
      <c r="M2058" s="5" t="s">
        <v>2220</v>
      </c>
      <c r="N2058" s="5" t="s">
        <v>2221</v>
      </c>
      <c r="O2058" s="5" t="s">
        <v>8819</v>
      </c>
      <c r="P2058" s="5" t="s">
        <v>8820</v>
      </c>
      <c r="Q2058" s="5" t="s">
        <v>8821</v>
      </c>
      <c r="R2058" s="5"/>
      <c r="AG2058" s="14" t="s">
        <v>55</v>
      </c>
      <c r="AH2058" s="14" t="s">
        <v>1603</v>
      </c>
      <c r="AI2058" s="14" t="s">
        <v>2087</v>
      </c>
    </row>
    <row r="2059" spans="1:37">
      <c r="A2059" s="5" t="s">
        <v>8828</v>
      </c>
      <c r="B2059" s="5" t="s">
        <v>8817</v>
      </c>
      <c r="C2059" s="6" t="s">
        <v>43</v>
      </c>
      <c r="D2059" s="6" t="s">
        <v>2189</v>
      </c>
      <c r="E2059" s="6" t="s">
        <v>1693</v>
      </c>
      <c r="F2059" s="6" t="s">
        <v>46</v>
      </c>
      <c r="G2059" s="6" t="s">
        <v>8829</v>
      </c>
      <c r="H2059" s="7">
        <v>40.299999999999997</v>
      </c>
      <c r="I2059" s="19" t="s">
        <v>1589</v>
      </c>
      <c r="J2059" s="19" t="s">
        <v>2191</v>
      </c>
      <c r="K2059" s="5" t="s">
        <v>2218</v>
      </c>
      <c r="L2059" s="5" t="s">
        <v>2219</v>
      </c>
      <c r="M2059" s="5" t="s">
        <v>2220</v>
      </c>
      <c r="N2059" s="5" t="s">
        <v>2221</v>
      </c>
      <c r="O2059" s="5" t="s">
        <v>8819</v>
      </c>
      <c r="P2059" s="5" t="s">
        <v>8820</v>
      </c>
      <c r="Q2059" s="5" t="s">
        <v>8821</v>
      </c>
      <c r="R2059" s="5"/>
      <c r="AG2059" s="14" t="s">
        <v>55</v>
      </c>
      <c r="AH2059" s="14" t="s">
        <v>1603</v>
      </c>
      <c r="AI2059" s="14" t="s">
        <v>2087</v>
      </c>
    </row>
    <row r="2060" spans="1:37">
      <c r="A2060" s="5" t="s">
        <v>8830</v>
      </c>
      <c r="B2060" s="5" t="s">
        <v>8817</v>
      </c>
      <c r="C2060" s="6" t="s">
        <v>43</v>
      </c>
      <c r="D2060" s="6" t="s">
        <v>2189</v>
      </c>
      <c r="E2060" s="6" t="s">
        <v>1540</v>
      </c>
      <c r="F2060" s="6" t="s">
        <v>46</v>
      </c>
      <c r="G2060" s="6" t="s">
        <v>2035</v>
      </c>
      <c r="H2060" s="7">
        <v>40.299999999999997</v>
      </c>
      <c r="I2060" s="19" t="s">
        <v>1589</v>
      </c>
      <c r="J2060" s="19" t="s">
        <v>2191</v>
      </c>
      <c r="K2060" s="5" t="s">
        <v>2218</v>
      </c>
      <c r="L2060" s="5" t="s">
        <v>2219</v>
      </c>
      <c r="M2060" s="5" t="s">
        <v>2220</v>
      </c>
      <c r="N2060" s="5" t="s">
        <v>2221</v>
      </c>
      <c r="O2060" s="5" t="s">
        <v>8819</v>
      </c>
      <c r="P2060" s="5" t="s">
        <v>8820</v>
      </c>
      <c r="Q2060" s="5" t="s">
        <v>8821</v>
      </c>
      <c r="R2060" s="5"/>
      <c r="AG2060" s="14" t="s">
        <v>55</v>
      </c>
      <c r="AH2060" s="14" t="s">
        <v>1603</v>
      </c>
      <c r="AI2060" s="14" t="s">
        <v>2087</v>
      </c>
    </row>
    <row r="2061" spans="1:37">
      <c r="A2061" s="5" t="s">
        <v>8831</v>
      </c>
      <c r="B2061" s="5" t="s">
        <v>8817</v>
      </c>
      <c r="C2061" s="6" t="s">
        <v>43</v>
      </c>
      <c r="D2061" s="6" t="s">
        <v>2189</v>
      </c>
      <c r="E2061" s="6" t="s">
        <v>2065</v>
      </c>
      <c r="F2061" s="6" t="s">
        <v>46</v>
      </c>
      <c r="G2061" s="6" t="s">
        <v>8832</v>
      </c>
      <c r="H2061" s="7">
        <v>40.299999999999997</v>
      </c>
      <c r="I2061" s="19" t="s">
        <v>1589</v>
      </c>
      <c r="J2061" s="19" t="s">
        <v>2191</v>
      </c>
      <c r="K2061" s="5" t="s">
        <v>2218</v>
      </c>
      <c r="L2061" s="5" t="s">
        <v>2219</v>
      </c>
      <c r="M2061" s="5" t="s">
        <v>2220</v>
      </c>
      <c r="N2061" s="5" t="s">
        <v>2221</v>
      </c>
      <c r="O2061" s="5" t="s">
        <v>8819</v>
      </c>
      <c r="P2061" s="5" t="s">
        <v>8820</v>
      </c>
      <c r="Q2061" s="5" t="s">
        <v>8821</v>
      </c>
      <c r="R2061" s="5"/>
      <c r="AG2061" s="14" t="s">
        <v>55</v>
      </c>
      <c r="AH2061" s="14" t="s">
        <v>1603</v>
      </c>
      <c r="AI2061" s="14" t="s">
        <v>2087</v>
      </c>
    </row>
    <row r="2062" spans="1:37">
      <c r="A2062" s="5" t="s">
        <v>8833</v>
      </c>
      <c r="B2062" s="5" t="s">
        <v>8817</v>
      </c>
      <c r="C2062" s="6" t="s">
        <v>43</v>
      </c>
      <c r="D2062" s="6" t="s">
        <v>2189</v>
      </c>
      <c r="E2062" s="6" t="s">
        <v>2092</v>
      </c>
      <c r="F2062" s="6" t="s">
        <v>46</v>
      </c>
      <c r="G2062" s="6" t="s">
        <v>8834</v>
      </c>
      <c r="H2062" s="7">
        <v>40.299999999999997</v>
      </c>
      <c r="I2062" s="19" t="s">
        <v>1589</v>
      </c>
      <c r="J2062" s="19" t="s">
        <v>2191</v>
      </c>
      <c r="K2062" s="5" t="s">
        <v>2218</v>
      </c>
      <c r="L2062" s="5" t="s">
        <v>2219</v>
      </c>
      <c r="M2062" s="5" t="s">
        <v>2220</v>
      </c>
      <c r="N2062" s="5" t="s">
        <v>2221</v>
      </c>
      <c r="O2062" s="5" t="s">
        <v>8819</v>
      </c>
      <c r="P2062" s="5" t="s">
        <v>8820</v>
      </c>
      <c r="Q2062" s="5" t="s">
        <v>8821</v>
      </c>
      <c r="R2062" s="5"/>
      <c r="AG2062" s="14" t="s">
        <v>55</v>
      </c>
      <c r="AH2062" s="14" t="s">
        <v>1603</v>
      </c>
      <c r="AI2062" s="14" t="s">
        <v>2087</v>
      </c>
    </row>
    <row r="2063" spans="1:37">
      <c r="A2063" s="5" t="s">
        <v>8835</v>
      </c>
      <c r="B2063" s="5" t="s">
        <v>8817</v>
      </c>
      <c r="C2063" s="6" t="s">
        <v>43</v>
      </c>
      <c r="D2063" s="6" t="s">
        <v>2189</v>
      </c>
      <c r="E2063" s="6" t="s">
        <v>503</v>
      </c>
      <c r="F2063" s="6" t="s">
        <v>46</v>
      </c>
      <c r="G2063" s="6" t="s">
        <v>8832</v>
      </c>
      <c r="H2063" s="7">
        <v>40.299999999999997</v>
      </c>
      <c r="I2063" s="19" t="s">
        <v>1589</v>
      </c>
      <c r="J2063" s="19" t="s">
        <v>2191</v>
      </c>
      <c r="K2063" s="5" t="s">
        <v>2218</v>
      </c>
      <c r="L2063" s="5" t="s">
        <v>2219</v>
      </c>
      <c r="M2063" s="5" t="s">
        <v>2220</v>
      </c>
      <c r="N2063" s="5" t="s">
        <v>2221</v>
      </c>
      <c r="O2063" s="5" t="s">
        <v>8819</v>
      </c>
      <c r="P2063" s="5" t="s">
        <v>8820</v>
      </c>
      <c r="Q2063" s="5" t="s">
        <v>8821</v>
      </c>
      <c r="R2063" s="5"/>
      <c r="AG2063" s="14" t="s">
        <v>55</v>
      </c>
      <c r="AH2063" s="14" t="s">
        <v>1603</v>
      </c>
      <c r="AI2063" s="14" t="s">
        <v>2087</v>
      </c>
    </row>
    <row r="2064" spans="1:37">
      <c r="A2064" s="6" t="s">
        <v>8836</v>
      </c>
      <c r="B2064" s="6" t="s">
        <v>8837</v>
      </c>
      <c r="C2064" s="6" t="s">
        <v>43</v>
      </c>
      <c r="D2064" s="6" t="s">
        <v>2189</v>
      </c>
      <c r="E2064" s="6" t="s">
        <v>2065</v>
      </c>
      <c r="F2064" s="6" t="s">
        <v>46</v>
      </c>
      <c r="G2064" s="6" t="s">
        <v>8461</v>
      </c>
      <c r="I2064" s="6" t="s">
        <v>48</v>
      </c>
      <c r="J2064" s="6" t="s">
        <v>48</v>
      </c>
      <c r="K2064" s="6"/>
      <c r="L2064" s="6"/>
      <c r="M2064" s="6"/>
      <c r="N2064" s="6"/>
      <c r="O2064" s="6"/>
      <c r="P2064" s="6"/>
      <c r="Q2064" s="6"/>
      <c r="R2064" s="6"/>
      <c r="S2064" s="6"/>
      <c r="T2064" s="6"/>
      <c r="U2064" s="6"/>
      <c r="V2064" s="6"/>
      <c r="W2064" s="6"/>
      <c r="X2064" s="6"/>
      <c r="Y2064" s="6"/>
      <c r="Z2064" s="6"/>
      <c r="AA2064" s="6"/>
      <c r="AB2064" s="6"/>
      <c r="AC2064" s="6"/>
      <c r="AD2064" s="6"/>
      <c r="AE2064" s="6"/>
      <c r="AF2064" s="6"/>
      <c r="AG2064" s="15" t="s">
        <v>55</v>
      </c>
      <c r="AH2064" s="15"/>
      <c r="AI2064" s="15"/>
      <c r="AJ2064" s="6"/>
      <c r="AK2064" s="6"/>
    </row>
    <row r="2065" spans="1:50" s="6" customFormat="1">
      <c r="A2065" s="5" t="s">
        <v>8838</v>
      </c>
      <c r="B2065" s="5" t="s">
        <v>8839</v>
      </c>
      <c r="C2065" s="6" t="s">
        <v>43</v>
      </c>
      <c r="D2065" s="6" t="s">
        <v>2189</v>
      </c>
      <c r="E2065" s="6" t="s">
        <v>2070</v>
      </c>
      <c r="F2065" s="6" t="s">
        <v>46</v>
      </c>
      <c r="G2065" s="6" t="s">
        <v>8840</v>
      </c>
      <c r="H2065" s="7">
        <v>53.38</v>
      </c>
      <c r="I2065" s="19" t="s">
        <v>1589</v>
      </c>
      <c r="J2065" s="19" t="s">
        <v>2191</v>
      </c>
      <c r="K2065" s="5" t="s">
        <v>2242</v>
      </c>
      <c r="L2065" s="5" t="s">
        <v>2243</v>
      </c>
      <c r="M2065" s="5" t="s">
        <v>2244</v>
      </c>
      <c r="N2065" s="5" t="s">
        <v>2245</v>
      </c>
      <c r="O2065" s="5" t="s">
        <v>8841</v>
      </c>
      <c r="P2065" s="5" t="s">
        <v>8842</v>
      </c>
      <c r="Q2065" s="5" t="s">
        <v>8843</v>
      </c>
      <c r="R2065" s="5"/>
      <c r="S2065" s="5"/>
      <c r="T2065" s="5"/>
      <c r="U2065" s="5"/>
      <c r="V2065" s="5"/>
      <c r="W2065" s="5"/>
      <c r="X2065" s="5"/>
      <c r="Y2065" s="5" t="s">
        <v>2086</v>
      </c>
      <c r="Z2065" s="5"/>
      <c r="AA2065" s="5"/>
      <c r="AB2065" s="5"/>
      <c r="AC2065" s="5"/>
      <c r="AD2065" s="5"/>
      <c r="AE2065" s="5"/>
      <c r="AF2065" s="5"/>
      <c r="AG2065" s="14" t="s">
        <v>55</v>
      </c>
      <c r="AH2065" s="14" t="s">
        <v>1603</v>
      </c>
      <c r="AI2065" s="14" t="s">
        <v>2087</v>
      </c>
      <c r="AJ2065" s="5"/>
      <c r="AK2065" s="5"/>
    </row>
    <row r="2066" spans="1:50">
      <c r="A2066" s="5" t="s">
        <v>8844</v>
      </c>
      <c r="B2066" s="5" t="s">
        <v>8839</v>
      </c>
      <c r="C2066" s="6" t="s">
        <v>43</v>
      </c>
      <c r="D2066" s="6" t="s">
        <v>2189</v>
      </c>
      <c r="E2066" s="6" t="s">
        <v>1540</v>
      </c>
      <c r="F2066" s="6" t="s">
        <v>46</v>
      </c>
      <c r="G2066" s="6" t="s">
        <v>8845</v>
      </c>
      <c r="H2066" s="7">
        <v>53.38</v>
      </c>
      <c r="I2066" s="19" t="s">
        <v>1589</v>
      </c>
      <c r="J2066" s="19" t="s">
        <v>2191</v>
      </c>
      <c r="K2066" s="5" t="s">
        <v>2242</v>
      </c>
      <c r="L2066" s="5" t="s">
        <v>2243</v>
      </c>
      <c r="M2066" s="5" t="s">
        <v>2244</v>
      </c>
      <c r="N2066" s="5" t="s">
        <v>2245</v>
      </c>
      <c r="O2066" s="5" t="s">
        <v>2246</v>
      </c>
      <c r="P2066" s="5" t="s">
        <v>8842</v>
      </c>
      <c r="Q2066" s="5" t="s">
        <v>8843</v>
      </c>
      <c r="R2066" s="5"/>
      <c r="Y2066" s="5" t="s">
        <v>2086</v>
      </c>
      <c r="AG2066" s="14" t="s">
        <v>55</v>
      </c>
      <c r="AH2066" s="14" t="s">
        <v>1603</v>
      </c>
      <c r="AI2066" s="14" t="s">
        <v>2087</v>
      </c>
    </row>
    <row r="2067" spans="1:50">
      <c r="A2067" s="6" t="s">
        <v>8846</v>
      </c>
      <c r="B2067" s="6" t="s">
        <v>8847</v>
      </c>
      <c r="C2067" s="6" t="s">
        <v>43</v>
      </c>
      <c r="D2067" s="6" t="s">
        <v>2189</v>
      </c>
      <c r="E2067" s="6" t="s">
        <v>2070</v>
      </c>
      <c r="F2067" s="6" t="s">
        <v>46</v>
      </c>
      <c r="G2067" s="6" t="s">
        <v>8848</v>
      </c>
      <c r="I2067" s="16" t="s">
        <v>48</v>
      </c>
      <c r="J2067" s="16" t="s">
        <v>48</v>
      </c>
      <c r="K2067" s="6"/>
      <c r="L2067" s="6"/>
      <c r="M2067" s="6"/>
      <c r="N2067" s="6"/>
      <c r="O2067" s="6"/>
      <c r="P2067" s="6"/>
      <c r="Q2067" s="6"/>
      <c r="R2067" s="6"/>
      <c r="S2067" s="6"/>
      <c r="T2067" s="6"/>
      <c r="U2067" s="6"/>
      <c r="V2067" s="6"/>
      <c r="W2067" s="6"/>
      <c r="X2067" s="6"/>
      <c r="Y2067" s="6"/>
      <c r="Z2067" s="6"/>
      <c r="AA2067" s="6"/>
      <c r="AB2067" s="6"/>
      <c r="AC2067" s="6"/>
      <c r="AD2067" s="6"/>
      <c r="AE2067" s="6"/>
      <c r="AF2067" s="6"/>
      <c r="AG2067" s="15" t="s">
        <v>55</v>
      </c>
      <c r="AH2067" s="15"/>
      <c r="AI2067" s="15"/>
      <c r="AJ2067" s="6"/>
      <c r="AK2067" s="6"/>
    </row>
    <row r="2068" spans="1:50" s="6" customFormat="1">
      <c r="A2068" s="5" t="s">
        <v>8849</v>
      </c>
      <c r="B2068" s="5" t="s">
        <v>8850</v>
      </c>
      <c r="C2068" s="6" t="s">
        <v>43</v>
      </c>
      <c r="D2068" s="6" t="s">
        <v>239</v>
      </c>
      <c r="E2068" s="6" t="s">
        <v>1540</v>
      </c>
      <c r="F2068" s="6" t="s">
        <v>46</v>
      </c>
      <c r="G2068" s="6" t="s">
        <v>8851</v>
      </c>
      <c r="H2068" s="7">
        <v>50.71</v>
      </c>
      <c r="I2068" s="19" t="s">
        <v>1589</v>
      </c>
      <c r="J2068" s="19" t="s">
        <v>2254</v>
      </c>
      <c r="K2068" s="5" t="s">
        <v>2271</v>
      </c>
      <c r="L2068" s="5" t="s">
        <v>2272</v>
      </c>
      <c r="M2068" s="5" t="s">
        <v>2273</v>
      </c>
      <c r="N2068" s="5" t="s">
        <v>2274</v>
      </c>
      <c r="O2068" s="5" t="s">
        <v>8852</v>
      </c>
      <c r="P2068" s="5" t="s">
        <v>8853</v>
      </c>
      <c r="Q2068" s="5" t="s">
        <v>8854</v>
      </c>
      <c r="R2068" s="5" t="s">
        <v>8855</v>
      </c>
      <c r="S2068" s="5"/>
      <c r="T2068" s="5"/>
      <c r="U2068" s="5"/>
      <c r="V2068" s="5"/>
      <c r="W2068" s="5"/>
      <c r="X2068" s="5"/>
      <c r="Y2068" s="5" t="s">
        <v>2263</v>
      </c>
      <c r="Z2068" s="5"/>
      <c r="AA2068" s="5"/>
      <c r="AB2068" s="5"/>
      <c r="AC2068" s="5"/>
      <c r="AD2068" s="5"/>
      <c r="AE2068" s="5"/>
      <c r="AF2068" s="5"/>
      <c r="AG2068" s="14" t="s">
        <v>55</v>
      </c>
      <c r="AH2068" s="14" t="s">
        <v>1603</v>
      </c>
      <c r="AI2068" s="14" t="s">
        <v>2264</v>
      </c>
      <c r="AJ2068" s="5"/>
      <c r="AK2068" s="5"/>
    </row>
    <row r="2069" spans="1:50">
      <c r="A2069" s="5" t="s">
        <v>8856</v>
      </c>
      <c r="B2069" s="5" t="s">
        <v>8857</v>
      </c>
      <c r="C2069" s="6" t="s">
        <v>2281</v>
      </c>
      <c r="D2069" s="6" t="s">
        <v>1645</v>
      </c>
      <c r="E2069" s="6" t="s">
        <v>1386</v>
      </c>
      <c r="F2069" s="6" t="s">
        <v>46</v>
      </c>
      <c r="G2069" s="6" t="s">
        <v>8858</v>
      </c>
      <c r="H2069" s="7">
        <v>55.31</v>
      </c>
      <c r="I2069" s="19" t="s">
        <v>2283</v>
      </c>
      <c r="J2069" s="19" t="s">
        <v>2284</v>
      </c>
      <c r="K2069" s="6" t="s">
        <v>2285</v>
      </c>
      <c r="L2069" s="6" t="s">
        <v>2286</v>
      </c>
      <c r="M2069" s="6" t="s">
        <v>2287</v>
      </c>
      <c r="N2069" s="6" t="s">
        <v>2288</v>
      </c>
      <c r="O2069" s="6" t="s">
        <v>8859</v>
      </c>
      <c r="P2069" s="6" t="s">
        <v>8860</v>
      </c>
      <c r="Q2069" s="6" t="s">
        <v>8861</v>
      </c>
      <c r="R2069" s="6" t="s">
        <v>8862</v>
      </c>
      <c r="AG2069" s="14" t="s">
        <v>55</v>
      </c>
      <c r="AH2069" s="14" t="s">
        <v>1603</v>
      </c>
      <c r="AI2069" s="14" t="s">
        <v>1603</v>
      </c>
    </row>
    <row r="2070" spans="1:50">
      <c r="A2070" s="5" t="s">
        <v>8863</v>
      </c>
      <c r="B2070" s="5" t="s">
        <v>8864</v>
      </c>
      <c r="C2070" s="6" t="s">
        <v>8865</v>
      </c>
      <c r="D2070" s="6" t="s">
        <v>1645</v>
      </c>
      <c r="E2070" s="6" t="s">
        <v>1386</v>
      </c>
      <c r="F2070" s="6" t="s">
        <v>46</v>
      </c>
      <c r="G2070" s="6" t="s">
        <v>8866</v>
      </c>
      <c r="H2070" s="7">
        <v>75.349999999999994</v>
      </c>
      <c r="I2070" s="19" t="s">
        <v>2283</v>
      </c>
      <c r="J2070" s="19" t="s">
        <v>2284</v>
      </c>
      <c r="K2070" s="6" t="s">
        <v>2308</v>
      </c>
      <c r="L2070" s="6" t="s">
        <v>2309</v>
      </c>
      <c r="M2070" s="6" t="s">
        <v>2310</v>
      </c>
      <c r="N2070" s="6" t="s">
        <v>2311</v>
      </c>
      <c r="O2070" s="6" t="s">
        <v>8867</v>
      </c>
      <c r="P2070" s="6" t="s">
        <v>8868</v>
      </c>
      <c r="Q2070" s="6" t="s">
        <v>8869</v>
      </c>
      <c r="R2070" s="6" t="s">
        <v>8870</v>
      </c>
      <c r="AG2070" s="14" t="s">
        <v>55</v>
      </c>
      <c r="AH2070" s="14" t="s">
        <v>1603</v>
      </c>
      <c r="AI2070" s="14" t="s">
        <v>1603</v>
      </c>
    </row>
    <row r="2071" spans="1:50">
      <c r="A2071" s="5" t="s">
        <v>8871</v>
      </c>
      <c r="B2071" s="5" t="s">
        <v>8872</v>
      </c>
      <c r="C2071" s="6" t="s">
        <v>8873</v>
      </c>
      <c r="D2071" s="6" t="s">
        <v>1645</v>
      </c>
      <c r="E2071" s="6" t="s">
        <v>1386</v>
      </c>
      <c r="F2071" s="6" t="s">
        <v>46</v>
      </c>
      <c r="G2071" s="6" t="s">
        <v>8874</v>
      </c>
      <c r="H2071" s="7">
        <v>84.32</v>
      </c>
      <c r="I2071" s="19" t="s">
        <v>2283</v>
      </c>
      <c r="J2071" s="19" t="s">
        <v>2284</v>
      </c>
      <c r="K2071" s="6" t="s">
        <v>2297</v>
      </c>
      <c r="L2071" s="6" t="s">
        <v>2298</v>
      </c>
      <c r="M2071" s="6" t="s">
        <v>2299</v>
      </c>
      <c r="N2071" s="6" t="s">
        <v>2300</v>
      </c>
      <c r="O2071" s="6" t="s">
        <v>8875</v>
      </c>
      <c r="P2071" s="6" t="s">
        <v>8876</v>
      </c>
      <c r="Q2071" s="6" t="s">
        <v>8877</v>
      </c>
      <c r="R2071" s="6" t="s">
        <v>8878</v>
      </c>
      <c r="AG2071" s="14" t="s">
        <v>55</v>
      </c>
      <c r="AH2071" s="14" t="s">
        <v>1603</v>
      </c>
      <c r="AI2071" s="14" t="s">
        <v>1603</v>
      </c>
    </row>
    <row r="2072" spans="1:50">
      <c r="A2072" s="5" t="s">
        <v>8879</v>
      </c>
      <c r="B2072" s="5" t="s">
        <v>8880</v>
      </c>
      <c r="C2072" s="6" t="s">
        <v>2378</v>
      </c>
      <c r="D2072" s="6" t="s">
        <v>1645</v>
      </c>
      <c r="E2072" s="6" t="s">
        <v>1386</v>
      </c>
      <c r="F2072" s="6" t="s">
        <v>46</v>
      </c>
      <c r="G2072" s="6" t="s">
        <v>8881</v>
      </c>
      <c r="H2072" s="7">
        <v>89.32</v>
      </c>
      <c r="I2072" s="19" t="s">
        <v>2283</v>
      </c>
      <c r="J2072" s="19" t="s">
        <v>2284</v>
      </c>
      <c r="K2072" s="6" t="s">
        <v>8882</v>
      </c>
      <c r="L2072" s="6" t="s">
        <v>8883</v>
      </c>
      <c r="M2072" s="6" t="s">
        <v>8884</v>
      </c>
      <c r="N2072" s="6" t="s">
        <v>8885</v>
      </c>
      <c r="O2072" s="6" t="s">
        <v>8886</v>
      </c>
      <c r="P2072" s="6" t="s">
        <v>8887</v>
      </c>
      <c r="Q2072" s="6" t="s">
        <v>8888</v>
      </c>
      <c r="R2072" s="6" t="s">
        <v>8889</v>
      </c>
      <c r="AG2072" s="14" t="s">
        <v>55</v>
      </c>
      <c r="AH2072" s="14" t="s">
        <v>1603</v>
      </c>
      <c r="AI2072" s="14" t="s">
        <v>1603</v>
      </c>
    </row>
    <row r="2073" spans="1:50">
      <c r="A2073" s="5" t="s">
        <v>8890</v>
      </c>
      <c r="B2073" s="5" t="s">
        <v>8891</v>
      </c>
      <c r="C2073" s="6" t="s">
        <v>2318</v>
      </c>
      <c r="D2073" s="6" t="s">
        <v>1645</v>
      </c>
      <c r="E2073" s="6" t="s">
        <v>1386</v>
      </c>
      <c r="F2073" s="6" t="s">
        <v>46</v>
      </c>
      <c r="G2073" s="6" t="s">
        <v>8892</v>
      </c>
      <c r="H2073" s="7">
        <v>89.32</v>
      </c>
      <c r="I2073" s="19" t="s">
        <v>2283</v>
      </c>
      <c r="J2073" s="19" t="s">
        <v>2284</v>
      </c>
      <c r="K2073" s="6" t="s">
        <v>2321</v>
      </c>
      <c r="L2073" s="6" t="s">
        <v>2322</v>
      </c>
      <c r="M2073" s="6" t="s">
        <v>2323</v>
      </c>
      <c r="N2073" s="6" t="s">
        <v>2324</v>
      </c>
      <c r="O2073" s="6" t="s">
        <v>8893</v>
      </c>
      <c r="P2073" s="6" t="s">
        <v>8894</v>
      </c>
      <c r="Q2073" s="6" t="s">
        <v>8895</v>
      </c>
      <c r="R2073" s="6" t="s">
        <v>8896</v>
      </c>
      <c r="S2073" s="6"/>
      <c r="T2073" s="6"/>
      <c r="U2073" s="6"/>
      <c r="AG2073" s="14" t="s">
        <v>55</v>
      </c>
      <c r="AH2073" s="14" t="s">
        <v>1603</v>
      </c>
      <c r="AI2073" s="14" t="s">
        <v>1603</v>
      </c>
    </row>
    <row r="2074" spans="1:50">
      <c r="A2074" s="5" t="s">
        <v>8897</v>
      </c>
      <c r="B2074" s="5" t="s">
        <v>8898</v>
      </c>
      <c r="C2074" s="6" t="s">
        <v>8899</v>
      </c>
      <c r="D2074" s="6" t="s">
        <v>1645</v>
      </c>
      <c r="E2074" s="6" t="s">
        <v>1386</v>
      </c>
      <c r="F2074" s="6" t="s">
        <v>46</v>
      </c>
      <c r="G2074" s="6" t="s">
        <v>8900</v>
      </c>
      <c r="H2074" s="7">
        <v>76.12</v>
      </c>
      <c r="I2074" s="19" t="s">
        <v>2283</v>
      </c>
      <c r="J2074" s="19" t="s">
        <v>2284</v>
      </c>
      <c r="K2074" s="6" t="s">
        <v>2344</v>
      </c>
      <c r="L2074" s="6" t="s">
        <v>2345</v>
      </c>
      <c r="M2074" s="6" t="s">
        <v>2346</v>
      </c>
      <c r="N2074" s="6" t="s">
        <v>2347</v>
      </c>
      <c r="O2074" s="6" t="s">
        <v>8901</v>
      </c>
      <c r="P2074" s="6" t="s">
        <v>8902</v>
      </c>
      <c r="Q2074" s="6" t="s">
        <v>8903</v>
      </c>
      <c r="R2074" s="6" t="s">
        <v>8904</v>
      </c>
      <c r="AG2074" s="14" t="s">
        <v>55</v>
      </c>
      <c r="AH2074" s="14" t="s">
        <v>1603</v>
      </c>
      <c r="AI2074" s="14" t="s">
        <v>1603</v>
      </c>
    </row>
    <row r="2075" spans="1:50">
      <c r="A2075" s="5" t="s">
        <v>8905</v>
      </c>
      <c r="B2075" s="5" t="s">
        <v>8906</v>
      </c>
      <c r="C2075" s="6" t="s">
        <v>2281</v>
      </c>
      <c r="D2075" s="6" t="s">
        <v>1645</v>
      </c>
      <c r="E2075" s="6" t="s">
        <v>1386</v>
      </c>
      <c r="F2075" s="6" t="s">
        <v>46</v>
      </c>
      <c r="G2075" s="6" t="s">
        <v>8907</v>
      </c>
      <c r="H2075" s="7">
        <v>65.78</v>
      </c>
      <c r="I2075" s="19" t="s">
        <v>2283</v>
      </c>
      <c r="J2075" s="19" t="s">
        <v>2284</v>
      </c>
      <c r="K2075" s="6" t="s">
        <v>2366</v>
      </c>
      <c r="L2075" s="6" t="s">
        <v>2367</v>
      </c>
      <c r="M2075" s="6" t="s">
        <v>2368</v>
      </c>
      <c r="N2075" s="6" t="s">
        <v>2369</v>
      </c>
      <c r="O2075" s="6" t="s">
        <v>8908</v>
      </c>
      <c r="P2075" s="6" t="s">
        <v>8909</v>
      </c>
      <c r="Q2075" s="6" t="s">
        <v>8910</v>
      </c>
      <c r="R2075" s="6" t="s">
        <v>8911</v>
      </c>
      <c r="AG2075" s="14" t="s">
        <v>55</v>
      </c>
      <c r="AH2075" s="14" t="s">
        <v>1603</v>
      </c>
      <c r="AI2075" s="14" t="s">
        <v>1603</v>
      </c>
    </row>
    <row r="2076" spans="1:50">
      <c r="A2076" s="5" t="s">
        <v>8912</v>
      </c>
      <c r="B2076" s="5" t="s">
        <v>8906</v>
      </c>
      <c r="C2076" s="6" t="s">
        <v>2281</v>
      </c>
      <c r="D2076" s="6" t="s">
        <v>1645</v>
      </c>
      <c r="E2076" s="6" t="s">
        <v>2065</v>
      </c>
      <c r="F2076" s="6" t="s">
        <v>46</v>
      </c>
      <c r="G2076" s="6" t="s">
        <v>7607</v>
      </c>
      <c r="H2076" s="7">
        <v>65.78</v>
      </c>
      <c r="I2076" s="19" t="s">
        <v>2283</v>
      </c>
      <c r="J2076" s="19" t="s">
        <v>2284</v>
      </c>
      <c r="K2076" s="6" t="s">
        <v>2366</v>
      </c>
      <c r="L2076" s="6" t="s">
        <v>2367</v>
      </c>
      <c r="M2076" s="6" t="s">
        <v>2368</v>
      </c>
      <c r="N2076" s="6" t="s">
        <v>2369</v>
      </c>
      <c r="O2076" s="6" t="s">
        <v>8908</v>
      </c>
      <c r="P2076" s="6" t="s">
        <v>8909</v>
      </c>
      <c r="Q2076" s="6" t="s">
        <v>8910</v>
      </c>
      <c r="R2076" s="6" t="s">
        <v>8911</v>
      </c>
      <c r="AG2076" s="14" t="s">
        <v>55</v>
      </c>
      <c r="AH2076" s="14" t="s">
        <v>1603</v>
      </c>
      <c r="AI2076" s="14" t="s">
        <v>1603</v>
      </c>
    </row>
    <row r="2077" spans="1:50">
      <c r="A2077" s="5" t="s">
        <v>8913</v>
      </c>
      <c r="B2077" s="5" t="s">
        <v>8914</v>
      </c>
      <c r="C2077" s="6" t="s">
        <v>43</v>
      </c>
      <c r="D2077" s="6" t="s">
        <v>1645</v>
      </c>
      <c r="E2077" s="6" t="s">
        <v>1386</v>
      </c>
      <c r="F2077" s="6" t="s">
        <v>46</v>
      </c>
      <c r="G2077" s="6" t="s">
        <v>8915</v>
      </c>
      <c r="H2077" s="7">
        <v>83.07</v>
      </c>
      <c r="I2077" s="19" t="s">
        <v>2283</v>
      </c>
      <c r="J2077" s="19" t="s">
        <v>2380</v>
      </c>
      <c r="K2077" s="17" t="s">
        <v>8916</v>
      </c>
      <c r="L2077" s="23" t="s">
        <v>8917</v>
      </c>
      <c r="M2077" s="23" t="s">
        <v>8918</v>
      </c>
      <c r="N2077" s="23" t="s">
        <v>8919</v>
      </c>
      <c r="O2077" s="23" t="s">
        <v>8920</v>
      </c>
      <c r="P2077" s="23" t="s">
        <v>8921</v>
      </c>
      <c r="Q2077" s="23" t="s">
        <v>8922</v>
      </c>
      <c r="R2077" s="23" t="s">
        <v>8923</v>
      </c>
      <c r="S2077" s="23"/>
      <c r="T2077" s="23"/>
      <c r="U2077" s="23"/>
      <c r="V2077" s="23"/>
      <c r="W2077" s="23"/>
      <c r="X2077" s="23"/>
      <c r="Y2077" s="23"/>
      <c r="Z2077" s="23"/>
      <c r="AA2077" s="23"/>
      <c r="AB2077" s="23"/>
      <c r="AC2077" s="23"/>
      <c r="AD2077" s="23"/>
      <c r="AE2077" s="23"/>
      <c r="AF2077" s="23"/>
      <c r="AG2077" s="14" t="s">
        <v>55</v>
      </c>
      <c r="AH2077" s="14" t="s">
        <v>1603</v>
      </c>
      <c r="AI2077" s="14" t="s">
        <v>1603</v>
      </c>
      <c r="AJ2077" s="23"/>
      <c r="AK2077" s="23"/>
    </row>
    <row r="2078" spans="1:50">
      <c r="A2078" s="5" t="s">
        <v>8924</v>
      </c>
      <c r="B2078" s="5" t="s">
        <v>8925</v>
      </c>
      <c r="C2078" s="6" t="s">
        <v>8926</v>
      </c>
      <c r="D2078" s="6" t="s">
        <v>1645</v>
      </c>
      <c r="E2078" s="6" t="s">
        <v>1386</v>
      </c>
      <c r="F2078" s="6" t="s">
        <v>46</v>
      </c>
      <c r="G2078" s="6" t="s">
        <v>8927</v>
      </c>
      <c r="H2078" s="7">
        <v>53.11</v>
      </c>
      <c r="I2078" s="19" t="s">
        <v>2283</v>
      </c>
      <c r="J2078" s="19" t="s">
        <v>2380</v>
      </c>
      <c r="K2078" s="23" t="s">
        <v>8010</v>
      </c>
      <c r="L2078" s="23" t="s">
        <v>8011</v>
      </c>
      <c r="M2078" s="23" t="s">
        <v>8012</v>
      </c>
      <c r="N2078" s="23" t="s">
        <v>8013</v>
      </c>
      <c r="O2078" s="23" t="s">
        <v>8928</v>
      </c>
      <c r="P2078" s="23" t="s">
        <v>8929</v>
      </c>
      <c r="Q2078" s="23" t="s">
        <v>8930</v>
      </c>
      <c r="R2078" s="23" t="s">
        <v>8931</v>
      </c>
      <c r="S2078" s="23"/>
      <c r="T2078" s="23"/>
      <c r="U2078" s="23"/>
      <c r="V2078" s="23"/>
      <c r="W2078" s="23"/>
      <c r="X2078" s="23"/>
      <c r="Y2078" s="23"/>
      <c r="Z2078" s="23"/>
      <c r="AA2078" s="23"/>
      <c r="AB2078" s="23"/>
      <c r="AC2078" s="23"/>
      <c r="AD2078" s="23"/>
      <c r="AE2078" s="23"/>
      <c r="AF2078" s="23"/>
      <c r="AG2078" s="14" t="s">
        <v>55</v>
      </c>
      <c r="AH2078" s="14" t="s">
        <v>1603</v>
      </c>
      <c r="AI2078" s="14" t="s">
        <v>1603</v>
      </c>
      <c r="AJ2078" s="23"/>
      <c r="AK2078" s="23"/>
      <c r="AL2078" s="23"/>
      <c r="AM2078" s="23"/>
      <c r="AN2078" s="23"/>
      <c r="AO2078" s="23"/>
      <c r="AP2078" s="23"/>
      <c r="AQ2078" s="23"/>
      <c r="AR2078" s="23"/>
      <c r="AS2078" s="23"/>
      <c r="AT2078" s="23"/>
      <c r="AU2078" s="23"/>
      <c r="AV2078" s="23"/>
      <c r="AW2078" s="23"/>
      <c r="AX2078" s="23"/>
    </row>
    <row r="2079" spans="1:50">
      <c r="A2079" s="5" t="s">
        <v>8932</v>
      </c>
      <c r="B2079" s="5" t="s">
        <v>8933</v>
      </c>
      <c r="C2079" s="6" t="s">
        <v>8934</v>
      </c>
      <c r="D2079" s="6" t="s">
        <v>1645</v>
      </c>
      <c r="E2079" s="6" t="s">
        <v>2319</v>
      </c>
      <c r="F2079" s="6" t="s">
        <v>46</v>
      </c>
      <c r="G2079" s="6" t="s">
        <v>8935</v>
      </c>
      <c r="H2079" s="7">
        <v>53.11</v>
      </c>
      <c r="I2079" s="19" t="s">
        <v>2283</v>
      </c>
      <c r="J2079" s="19" t="s">
        <v>2380</v>
      </c>
      <c r="K2079" s="23" t="s">
        <v>8936</v>
      </c>
      <c r="L2079" s="23" t="s">
        <v>8937</v>
      </c>
      <c r="M2079" s="23" t="s">
        <v>8938</v>
      </c>
      <c r="N2079" s="23" t="s">
        <v>8939</v>
      </c>
      <c r="O2079" s="23" t="s">
        <v>8940</v>
      </c>
      <c r="P2079" s="23" t="s">
        <v>8941</v>
      </c>
      <c r="Q2079" s="23" t="s">
        <v>8942</v>
      </c>
      <c r="R2079" s="23" t="s">
        <v>8943</v>
      </c>
      <c r="S2079" s="23"/>
      <c r="T2079" s="23"/>
      <c r="U2079" s="23"/>
      <c r="V2079" s="23"/>
      <c r="W2079" s="23"/>
      <c r="X2079" s="23"/>
      <c r="Y2079" s="23"/>
      <c r="Z2079" s="23"/>
      <c r="AA2079" s="23"/>
      <c r="AB2079" s="23"/>
      <c r="AC2079" s="23"/>
      <c r="AD2079" s="23"/>
      <c r="AE2079" s="23"/>
      <c r="AF2079" s="23"/>
      <c r="AG2079" s="14" t="s">
        <v>55</v>
      </c>
      <c r="AH2079" s="14" t="s">
        <v>1603</v>
      </c>
      <c r="AI2079" s="14" t="s">
        <v>1603</v>
      </c>
      <c r="AJ2079" s="23"/>
      <c r="AK2079" s="23"/>
      <c r="AL2079" s="23"/>
      <c r="AM2079" s="23"/>
      <c r="AN2079" s="23"/>
      <c r="AO2079" s="23"/>
      <c r="AP2079" s="23"/>
      <c r="AQ2079" s="23"/>
      <c r="AR2079" s="23"/>
      <c r="AS2079" s="23"/>
      <c r="AT2079" s="23"/>
      <c r="AU2079" s="23"/>
      <c r="AV2079" s="23"/>
      <c r="AW2079" s="23"/>
      <c r="AX2079" s="23"/>
    </row>
    <row r="2080" spans="1:50">
      <c r="A2080" s="5" t="s">
        <v>8944</v>
      </c>
      <c r="B2080" s="5" t="s">
        <v>8933</v>
      </c>
      <c r="C2080" s="6" t="s">
        <v>8934</v>
      </c>
      <c r="D2080" s="6" t="s">
        <v>1645</v>
      </c>
      <c r="E2080" s="6" t="s">
        <v>1386</v>
      </c>
      <c r="F2080" s="6" t="s">
        <v>46</v>
      </c>
      <c r="G2080" s="6" t="s">
        <v>8927</v>
      </c>
      <c r="H2080" s="7">
        <v>53.11</v>
      </c>
      <c r="I2080" s="19" t="s">
        <v>2283</v>
      </c>
      <c r="J2080" s="19" t="s">
        <v>2380</v>
      </c>
      <c r="K2080" s="23" t="s">
        <v>8936</v>
      </c>
      <c r="L2080" s="23" t="s">
        <v>8937</v>
      </c>
      <c r="M2080" s="23" t="s">
        <v>8938</v>
      </c>
      <c r="N2080" s="23" t="s">
        <v>8939</v>
      </c>
      <c r="O2080" s="23" t="s">
        <v>8940</v>
      </c>
      <c r="P2080" s="23" t="s">
        <v>8941</v>
      </c>
      <c r="Q2080" s="23" t="s">
        <v>8942</v>
      </c>
      <c r="R2080" s="23" t="s">
        <v>8943</v>
      </c>
      <c r="S2080" s="23"/>
      <c r="T2080" s="23"/>
      <c r="U2080" s="23"/>
      <c r="V2080" s="23"/>
      <c r="W2080" s="23"/>
      <c r="X2080" s="23"/>
      <c r="Y2080" s="23"/>
      <c r="Z2080" s="23"/>
      <c r="AA2080" s="23"/>
      <c r="AB2080" s="23"/>
      <c r="AC2080" s="23"/>
      <c r="AD2080" s="23"/>
      <c r="AE2080" s="23"/>
      <c r="AF2080" s="23"/>
      <c r="AG2080" s="14" t="s">
        <v>55</v>
      </c>
      <c r="AH2080" s="14" t="s">
        <v>1603</v>
      </c>
      <c r="AI2080" s="14" t="s">
        <v>1603</v>
      </c>
      <c r="AJ2080" s="23"/>
      <c r="AK2080" s="23"/>
      <c r="AL2080" s="23"/>
      <c r="AM2080" s="23"/>
      <c r="AN2080" s="23"/>
      <c r="AO2080" s="23"/>
      <c r="AP2080" s="23"/>
      <c r="AQ2080" s="23"/>
      <c r="AR2080" s="23"/>
      <c r="AS2080" s="23"/>
      <c r="AT2080" s="23"/>
      <c r="AU2080" s="23"/>
      <c r="AV2080" s="23"/>
      <c r="AW2080" s="23"/>
      <c r="AX2080" s="23"/>
    </row>
    <row r="2081" spans="1:50">
      <c r="A2081" s="5" t="s">
        <v>8945</v>
      </c>
      <c r="B2081" s="5" t="s">
        <v>8933</v>
      </c>
      <c r="C2081" s="6" t="s">
        <v>8934</v>
      </c>
      <c r="D2081" s="6" t="s">
        <v>1645</v>
      </c>
      <c r="E2081" s="6" t="s">
        <v>503</v>
      </c>
      <c r="F2081" s="6" t="s">
        <v>46</v>
      </c>
      <c r="G2081" s="6" t="s">
        <v>43</v>
      </c>
      <c r="H2081" s="7">
        <v>53.11</v>
      </c>
      <c r="I2081" s="19" t="s">
        <v>2283</v>
      </c>
      <c r="J2081" s="19" t="s">
        <v>2380</v>
      </c>
      <c r="K2081" s="23" t="s">
        <v>8936</v>
      </c>
      <c r="L2081" s="23" t="s">
        <v>8937</v>
      </c>
      <c r="M2081" s="23" t="s">
        <v>8938</v>
      </c>
      <c r="N2081" s="23" t="s">
        <v>8939</v>
      </c>
      <c r="O2081" s="23" t="s">
        <v>8940</v>
      </c>
      <c r="P2081" s="23" t="s">
        <v>8941</v>
      </c>
      <c r="Q2081" s="23" t="s">
        <v>8942</v>
      </c>
      <c r="R2081" s="23" t="s">
        <v>8943</v>
      </c>
      <c r="S2081" s="23"/>
      <c r="T2081" s="23"/>
      <c r="U2081" s="23"/>
      <c r="V2081" s="23"/>
      <c r="W2081" s="23"/>
      <c r="X2081" s="23"/>
      <c r="Y2081" s="23"/>
      <c r="Z2081" s="23"/>
      <c r="AA2081" s="23"/>
      <c r="AB2081" s="23"/>
      <c r="AC2081" s="23"/>
      <c r="AD2081" s="23"/>
      <c r="AE2081" s="23"/>
      <c r="AF2081" s="23"/>
      <c r="AG2081" s="14" t="s">
        <v>55</v>
      </c>
      <c r="AH2081" s="14" t="s">
        <v>1603</v>
      </c>
      <c r="AI2081" s="14" t="s">
        <v>1603</v>
      </c>
      <c r="AJ2081" s="23"/>
      <c r="AK2081" s="23"/>
      <c r="AL2081" s="23"/>
      <c r="AM2081" s="23"/>
      <c r="AN2081" s="23"/>
      <c r="AO2081" s="23"/>
      <c r="AP2081" s="23"/>
      <c r="AQ2081" s="23"/>
      <c r="AR2081" s="23"/>
      <c r="AS2081" s="23"/>
      <c r="AT2081" s="23"/>
      <c r="AU2081" s="23"/>
      <c r="AV2081" s="23"/>
      <c r="AW2081" s="23"/>
      <c r="AX2081" s="23"/>
    </row>
    <row r="2082" spans="1:50">
      <c r="A2082" s="6" t="s">
        <v>8946</v>
      </c>
      <c r="B2082" s="6" t="s">
        <v>8947</v>
      </c>
      <c r="C2082" s="6" t="s">
        <v>2378</v>
      </c>
      <c r="D2082" s="6" t="s">
        <v>1645</v>
      </c>
      <c r="E2082" s="6" t="s">
        <v>1671</v>
      </c>
      <c r="F2082" s="6" t="s">
        <v>46</v>
      </c>
      <c r="G2082" s="6" t="s">
        <v>8948</v>
      </c>
      <c r="I2082" s="19" t="s">
        <v>48</v>
      </c>
      <c r="J2082" s="19" t="s">
        <v>48</v>
      </c>
      <c r="K2082" s="6"/>
      <c r="L2082" s="6"/>
      <c r="M2082" s="6"/>
      <c r="N2082" s="6"/>
      <c r="O2082" s="6"/>
      <c r="P2082" s="6"/>
      <c r="Q2082" s="6"/>
      <c r="R2082" s="6"/>
      <c r="S2082" s="6"/>
      <c r="T2082" s="6"/>
      <c r="U2082" s="6"/>
      <c r="V2082" s="6"/>
      <c r="W2082" s="6"/>
      <c r="X2082" s="6"/>
      <c r="Y2082" s="6"/>
      <c r="Z2082" s="6"/>
      <c r="AA2082" s="6"/>
      <c r="AB2082" s="6"/>
      <c r="AC2082" s="6"/>
      <c r="AD2082" s="6"/>
      <c r="AE2082" s="6"/>
      <c r="AF2082" s="6"/>
      <c r="AG2082" s="15" t="s">
        <v>55</v>
      </c>
      <c r="AH2082" s="15"/>
      <c r="AI2082" s="15"/>
      <c r="AJ2082" s="6"/>
      <c r="AK2082" s="6"/>
      <c r="AL2082" s="23"/>
      <c r="AM2082" s="23"/>
      <c r="AN2082" s="23"/>
      <c r="AO2082" s="23"/>
      <c r="AP2082" s="23"/>
      <c r="AQ2082" s="23"/>
      <c r="AR2082" s="23"/>
      <c r="AS2082" s="23"/>
      <c r="AT2082" s="23"/>
      <c r="AU2082" s="23"/>
      <c r="AV2082" s="23"/>
      <c r="AW2082" s="23"/>
      <c r="AX2082" s="23"/>
    </row>
    <row r="2083" spans="1:50" s="6" customFormat="1">
      <c r="A2083" s="6" t="s">
        <v>8949</v>
      </c>
      <c r="B2083" s="6" t="s">
        <v>8950</v>
      </c>
      <c r="C2083" s="6" t="s">
        <v>2378</v>
      </c>
      <c r="D2083" s="6" t="s">
        <v>1645</v>
      </c>
      <c r="E2083" s="6" t="s">
        <v>1671</v>
      </c>
      <c r="F2083" s="6" t="s">
        <v>46</v>
      </c>
      <c r="G2083" s="6" t="s">
        <v>8951</v>
      </c>
      <c r="H2083" s="7"/>
      <c r="I2083" s="19" t="s">
        <v>48</v>
      </c>
      <c r="J2083" s="19" t="s">
        <v>48</v>
      </c>
      <c r="AG2083" s="15" t="s">
        <v>55</v>
      </c>
      <c r="AH2083" s="15"/>
      <c r="AI2083" s="15"/>
    </row>
    <row r="2084" spans="1:50" s="6" customFormat="1">
      <c r="A2084" s="5" t="s">
        <v>8952</v>
      </c>
      <c r="B2084" s="5" t="s">
        <v>8953</v>
      </c>
      <c r="C2084" s="6" t="s">
        <v>2378</v>
      </c>
      <c r="D2084" s="6" t="s">
        <v>1645</v>
      </c>
      <c r="E2084" s="6" t="s">
        <v>1386</v>
      </c>
      <c r="F2084" s="6" t="s">
        <v>46</v>
      </c>
      <c r="G2084" s="6" t="s">
        <v>8954</v>
      </c>
      <c r="H2084" s="7">
        <v>61.38</v>
      </c>
      <c r="I2084" s="19" t="s">
        <v>2283</v>
      </c>
      <c r="J2084" s="19" t="s">
        <v>2380</v>
      </c>
      <c r="K2084" s="23" t="s">
        <v>7484</v>
      </c>
      <c r="L2084" s="23" t="s">
        <v>7485</v>
      </c>
      <c r="M2084" s="23" t="s">
        <v>7486</v>
      </c>
      <c r="N2084" s="23" t="s">
        <v>7487</v>
      </c>
      <c r="O2084" s="23" t="s">
        <v>8955</v>
      </c>
      <c r="P2084" s="23" t="s">
        <v>8956</v>
      </c>
      <c r="Q2084" s="23" t="s">
        <v>8957</v>
      </c>
      <c r="R2084" s="23" t="s">
        <v>8958</v>
      </c>
      <c r="S2084" s="23"/>
      <c r="T2084" s="23"/>
      <c r="U2084" s="23"/>
      <c r="V2084" s="23"/>
      <c r="W2084" s="23"/>
      <c r="X2084" s="23"/>
      <c r="Y2084" s="23"/>
      <c r="Z2084" s="23"/>
      <c r="AA2084" s="23"/>
      <c r="AB2084" s="23"/>
      <c r="AC2084" s="23"/>
      <c r="AD2084" s="23"/>
      <c r="AE2084" s="23"/>
      <c r="AF2084" s="23"/>
      <c r="AG2084" s="14" t="s">
        <v>55</v>
      </c>
      <c r="AH2084" s="14" t="s">
        <v>1603</v>
      </c>
      <c r="AI2084" s="14" t="s">
        <v>1603</v>
      </c>
      <c r="AJ2084" s="23"/>
      <c r="AK2084" s="23"/>
    </row>
    <row r="2085" spans="1:50">
      <c r="A2085" s="5" t="s">
        <v>8959</v>
      </c>
      <c r="B2085" s="5" t="s">
        <v>8953</v>
      </c>
      <c r="C2085" s="6" t="s">
        <v>2378</v>
      </c>
      <c r="D2085" s="6" t="s">
        <v>1645</v>
      </c>
      <c r="E2085" s="6" t="s">
        <v>8552</v>
      </c>
      <c r="F2085" s="6" t="s">
        <v>46</v>
      </c>
      <c r="G2085" s="6" t="s">
        <v>8960</v>
      </c>
      <c r="H2085" s="7">
        <v>61.38</v>
      </c>
      <c r="I2085" s="19" t="s">
        <v>2283</v>
      </c>
      <c r="J2085" s="19" t="s">
        <v>2380</v>
      </c>
      <c r="K2085" s="23" t="s">
        <v>7484</v>
      </c>
      <c r="L2085" s="23" t="s">
        <v>7485</v>
      </c>
      <c r="M2085" s="23" t="s">
        <v>7486</v>
      </c>
      <c r="N2085" s="23" t="s">
        <v>7487</v>
      </c>
      <c r="O2085" s="23" t="s">
        <v>8955</v>
      </c>
      <c r="P2085" s="23" t="s">
        <v>8956</v>
      </c>
      <c r="Q2085" s="23" t="s">
        <v>8957</v>
      </c>
      <c r="R2085" s="23" t="s">
        <v>8958</v>
      </c>
      <c r="S2085" s="23"/>
      <c r="T2085" s="23"/>
      <c r="U2085" s="23"/>
      <c r="V2085" s="23"/>
      <c r="W2085" s="23"/>
      <c r="X2085" s="23"/>
      <c r="Y2085" s="23"/>
      <c r="Z2085" s="23"/>
      <c r="AA2085" s="23"/>
      <c r="AB2085" s="23"/>
      <c r="AC2085" s="23"/>
      <c r="AD2085" s="23"/>
      <c r="AE2085" s="23"/>
      <c r="AF2085" s="23"/>
      <c r="AG2085" s="14" t="s">
        <v>55</v>
      </c>
      <c r="AH2085" s="14" t="s">
        <v>1603</v>
      </c>
      <c r="AI2085" s="14" t="s">
        <v>1603</v>
      </c>
      <c r="AJ2085" s="23"/>
      <c r="AK2085" s="23"/>
      <c r="AL2085" s="23"/>
      <c r="AM2085" s="23"/>
      <c r="AN2085" s="23"/>
      <c r="AO2085" s="23"/>
      <c r="AP2085" s="23"/>
      <c r="AQ2085" s="23"/>
      <c r="AR2085" s="23"/>
      <c r="AS2085" s="23"/>
      <c r="AT2085" s="23"/>
      <c r="AU2085" s="23"/>
      <c r="AV2085" s="23"/>
      <c r="AW2085" s="23"/>
      <c r="AX2085" s="23"/>
    </row>
    <row r="2086" spans="1:50">
      <c r="A2086" s="5" t="s">
        <v>8961</v>
      </c>
      <c r="B2086" s="5" t="s">
        <v>8962</v>
      </c>
      <c r="C2086" s="6" t="s">
        <v>2378</v>
      </c>
      <c r="D2086" s="6" t="s">
        <v>1645</v>
      </c>
      <c r="E2086" s="6" t="s">
        <v>1386</v>
      </c>
      <c r="F2086" s="6" t="s">
        <v>46</v>
      </c>
      <c r="G2086" s="6" t="s">
        <v>8963</v>
      </c>
      <c r="H2086" s="7">
        <v>61.38</v>
      </c>
      <c r="I2086" s="19" t="s">
        <v>2283</v>
      </c>
      <c r="J2086" s="19" t="s">
        <v>2380</v>
      </c>
      <c r="K2086" s="23" t="s">
        <v>2381</v>
      </c>
      <c r="L2086" s="23" t="s">
        <v>2382</v>
      </c>
      <c r="M2086" s="23" t="s">
        <v>2383</v>
      </c>
      <c r="N2086" s="23" t="s">
        <v>2384</v>
      </c>
      <c r="O2086" s="23" t="s">
        <v>8964</v>
      </c>
      <c r="P2086" s="23" t="s">
        <v>8965</v>
      </c>
      <c r="Q2086" s="23" t="s">
        <v>8966</v>
      </c>
      <c r="R2086" s="23" t="s">
        <v>8967</v>
      </c>
      <c r="S2086" s="23"/>
      <c r="T2086" s="23"/>
      <c r="U2086" s="23"/>
      <c r="V2086" s="23"/>
      <c r="W2086" s="23"/>
      <c r="X2086" s="23"/>
      <c r="Y2086" s="23"/>
      <c r="Z2086" s="23"/>
      <c r="AA2086" s="23"/>
      <c r="AB2086" s="23"/>
      <c r="AC2086" s="23"/>
      <c r="AD2086" s="23"/>
      <c r="AE2086" s="23"/>
      <c r="AF2086" s="23"/>
      <c r="AG2086" s="14" t="s">
        <v>55</v>
      </c>
      <c r="AH2086" s="14" t="s">
        <v>1603</v>
      </c>
      <c r="AI2086" s="14" t="s">
        <v>1603</v>
      </c>
      <c r="AJ2086" s="23"/>
      <c r="AK2086" s="23"/>
      <c r="AL2086" s="23"/>
      <c r="AM2086" s="23"/>
      <c r="AN2086" s="23"/>
      <c r="AO2086" s="23"/>
      <c r="AP2086" s="23"/>
      <c r="AQ2086" s="23"/>
      <c r="AR2086" s="23"/>
      <c r="AS2086" s="23"/>
      <c r="AT2086" s="23"/>
      <c r="AU2086" s="23"/>
      <c r="AV2086" s="23"/>
      <c r="AW2086" s="23"/>
      <c r="AX2086" s="23"/>
    </row>
    <row r="2087" spans="1:50">
      <c r="A2087" s="5" t="s">
        <v>8968</v>
      </c>
      <c r="B2087" s="5" t="s">
        <v>8969</v>
      </c>
      <c r="C2087" s="6" t="s">
        <v>2378</v>
      </c>
      <c r="D2087" s="6" t="s">
        <v>1645</v>
      </c>
      <c r="E2087" s="6" t="s">
        <v>1386</v>
      </c>
      <c r="F2087" s="6" t="s">
        <v>46</v>
      </c>
      <c r="G2087" s="6" t="s">
        <v>8970</v>
      </c>
      <c r="H2087" s="7">
        <v>61.38</v>
      </c>
      <c r="I2087" s="19" t="s">
        <v>2283</v>
      </c>
      <c r="J2087" s="19" t="s">
        <v>2380</v>
      </c>
      <c r="K2087" s="23" t="s">
        <v>2393</v>
      </c>
      <c r="L2087" s="23" t="s">
        <v>2394</v>
      </c>
      <c r="M2087" s="23" t="s">
        <v>2395</v>
      </c>
      <c r="N2087" s="23" t="s">
        <v>2396</v>
      </c>
      <c r="O2087" s="23" t="s">
        <v>8971</v>
      </c>
      <c r="P2087" s="23" t="s">
        <v>8972</v>
      </c>
      <c r="Q2087" s="23" t="s">
        <v>8973</v>
      </c>
      <c r="R2087" s="23" t="s">
        <v>8974</v>
      </c>
      <c r="S2087" s="23"/>
      <c r="T2087" s="23"/>
      <c r="U2087" s="23"/>
      <c r="V2087" s="23"/>
      <c r="W2087" s="23"/>
      <c r="X2087" s="23"/>
      <c r="Y2087" s="23"/>
      <c r="Z2087" s="23"/>
      <c r="AA2087" s="23"/>
      <c r="AB2087" s="23"/>
      <c r="AC2087" s="23"/>
      <c r="AD2087" s="23"/>
      <c r="AE2087" s="23"/>
      <c r="AF2087" s="23"/>
      <c r="AG2087" s="14" t="s">
        <v>55</v>
      </c>
      <c r="AH2087" s="14" t="s">
        <v>1603</v>
      </c>
      <c r="AI2087" s="14" t="s">
        <v>1603</v>
      </c>
      <c r="AJ2087" s="23"/>
      <c r="AK2087" s="23"/>
      <c r="AL2087" s="23"/>
      <c r="AM2087" s="23"/>
      <c r="AN2087" s="23"/>
      <c r="AO2087" s="23"/>
      <c r="AP2087" s="23"/>
      <c r="AQ2087" s="23"/>
      <c r="AR2087" s="23"/>
      <c r="AS2087" s="23"/>
      <c r="AT2087" s="23"/>
      <c r="AU2087" s="23"/>
      <c r="AV2087" s="23"/>
      <c r="AW2087" s="23"/>
      <c r="AX2087" s="23"/>
    </row>
    <row r="2088" spans="1:50">
      <c r="A2088" s="5" t="s">
        <v>8975</v>
      </c>
      <c r="B2088" s="5" t="s">
        <v>8976</v>
      </c>
      <c r="C2088" s="6" t="s">
        <v>43</v>
      </c>
      <c r="D2088" s="6" t="s">
        <v>1645</v>
      </c>
      <c r="E2088" s="6" t="s">
        <v>1386</v>
      </c>
      <c r="F2088" s="6" t="s">
        <v>46</v>
      </c>
      <c r="G2088" s="6" t="s">
        <v>8977</v>
      </c>
      <c r="H2088" s="7">
        <v>79.11</v>
      </c>
      <c r="I2088" s="19" t="s">
        <v>2283</v>
      </c>
      <c r="J2088" s="19" t="s">
        <v>2380</v>
      </c>
      <c r="K2088" s="23" t="s">
        <v>2406</v>
      </c>
      <c r="L2088" s="23" t="s">
        <v>2407</v>
      </c>
      <c r="M2088" s="23" t="s">
        <v>2408</v>
      </c>
      <c r="N2088" s="23" t="s">
        <v>2409</v>
      </c>
      <c r="O2088" s="23" t="s">
        <v>8978</v>
      </c>
      <c r="P2088" s="23" t="s">
        <v>8979</v>
      </c>
      <c r="Q2088" s="23" t="s">
        <v>8980</v>
      </c>
      <c r="R2088" s="23" t="s">
        <v>8981</v>
      </c>
      <c r="S2088" s="23"/>
      <c r="T2088" s="23"/>
      <c r="U2088" s="23"/>
      <c r="V2088" s="23"/>
      <c r="W2088" s="23"/>
      <c r="X2088" s="23"/>
      <c r="Y2088" s="23"/>
      <c r="Z2088" s="23"/>
      <c r="AA2088" s="23"/>
      <c r="AB2088" s="23"/>
      <c r="AC2088" s="23"/>
      <c r="AD2088" s="23"/>
      <c r="AE2088" s="23"/>
      <c r="AF2088" s="23"/>
      <c r="AG2088" s="14" t="s">
        <v>55</v>
      </c>
      <c r="AH2088" s="14" t="s">
        <v>1603</v>
      </c>
      <c r="AI2088" s="14" t="s">
        <v>1603</v>
      </c>
      <c r="AJ2088" s="23"/>
      <c r="AK2088" s="23"/>
      <c r="AL2088" s="23"/>
      <c r="AM2088" s="23"/>
      <c r="AN2088" s="23"/>
      <c r="AO2088" s="23"/>
      <c r="AP2088" s="23"/>
      <c r="AQ2088" s="23"/>
      <c r="AR2088" s="23"/>
      <c r="AS2088" s="23"/>
      <c r="AT2088" s="23"/>
      <c r="AU2088" s="23"/>
      <c r="AV2088" s="23"/>
      <c r="AW2088" s="23"/>
      <c r="AX2088" s="23"/>
    </row>
    <row r="2089" spans="1:50">
      <c r="A2089" s="5" t="s">
        <v>8982</v>
      </c>
      <c r="B2089" s="5" t="s">
        <v>8976</v>
      </c>
      <c r="C2089" s="6" t="s">
        <v>43</v>
      </c>
      <c r="D2089" s="6" t="s">
        <v>1645</v>
      </c>
      <c r="E2089" s="6" t="s">
        <v>2015</v>
      </c>
      <c r="F2089" s="6" t="s">
        <v>46</v>
      </c>
      <c r="G2089" s="6" t="s">
        <v>2600</v>
      </c>
      <c r="H2089" s="7">
        <v>79.11</v>
      </c>
      <c r="I2089" s="19" t="s">
        <v>2283</v>
      </c>
      <c r="J2089" s="19" t="s">
        <v>2380</v>
      </c>
      <c r="K2089" s="23" t="s">
        <v>2406</v>
      </c>
      <c r="L2089" s="23" t="s">
        <v>2407</v>
      </c>
      <c r="M2089" s="23" t="s">
        <v>2408</v>
      </c>
      <c r="N2089" s="23" t="s">
        <v>2409</v>
      </c>
      <c r="O2089" s="23" t="s">
        <v>8983</v>
      </c>
      <c r="P2089" s="23" t="s">
        <v>8984</v>
      </c>
      <c r="Q2089" s="23" t="s">
        <v>8985</v>
      </c>
      <c r="R2089" s="23" t="s">
        <v>8986</v>
      </c>
      <c r="S2089" s="23"/>
      <c r="T2089" s="23"/>
      <c r="U2089" s="23"/>
      <c r="V2089" s="23"/>
      <c r="W2089" s="23"/>
      <c r="X2089" s="23"/>
      <c r="Y2089" s="23"/>
      <c r="Z2089" s="23"/>
      <c r="AA2089" s="23"/>
      <c r="AB2089" s="23"/>
      <c r="AC2089" s="23"/>
      <c r="AD2089" s="23"/>
      <c r="AE2089" s="23"/>
      <c r="AF2089" s="23"/>
      <c r="AG2089" s="14" t="s">
        <v>55</v>
      </c>
      <c r="AH2089" s="14" t="s">
        <v>1603</v>
      </c>
      <c r="AI2089" s="14" t="s">
        <v>1603</v>
      </c>
      <c r="AJ2089" s="23"/>
      <c r="AK2089" s="23"/>
      <c r="AL2089" s="23"/>
      <c r="AM2089" s="23"/>
      <c r="AN2089" s="23"/>
      <c r="AO2089" s="23"/>
      <c r="AP2089" s="23"/>
      <c r="AQ2089" s="23"/>
      <c r="AR2089" s="23"/>
      <c r="AS2089" s="23"/>
      <c r="AT2089" s="23"/>
      <c r="AU2089" s="23"/>
      <c r="AV2089" s="23"/>
      <c r="AW2089" s="23"/>
      <c r="AX2089" s="23"/>
    </row>
    <row r="2090" spans="1:50">
      <c r="A2090" s="5" t="s">
        <v>8987</v>
      </c>
      <c r="B2090" s="5" t="s">
        <v>8988</v>
      </c>
      <c r="C2090" s="6" t="s">
        <v>43</v>
      </c>
      <c r="D2090" s="6" t="s">
        <v>1645</v>
      </c>
      <c r="E2090" s="6" t="s">
        <v>2015</v>
      </c>
      <c r="F2090" s="6" t="s">
        <v>46</v>
      </c>
      <c r="G2090" s="6" t="s">
        <v>8989</v>
      </c>
      <c r="H2090" s="7">
        <v>91.43</v>
      </c>
      <c r="I2090" s="19" t="s">
        <v>2283</v>
      </c>
      <c r="J2090" s="19" t="s">
        <v>2380</v>
      </c>
      <c r="K2090" s="23" t="s">
        <v>8990</v>
      </c>
      <c r="L2090" s="23" t="s">
        <v>8991</v>
      </c>
      <c r="M2090" s="23" t="s">
        <v>8992</v>
      </c>
      <c r="N2090" s="23" t="s">
        <v>8993</v>
      </c>
      <c r="O2090" s="23" t="s">
        <v>8994</v>
      </c>
      <c r="P2090" s="23" t="s">
        <v>8995</v>
      </c>
      <c r="Q2090" s="23" t="s">
        <v>8996</v>
      </c>
      <c r="R2090" s="23" t="s">
        <v>8997</v>
      </c>
      <c r="S2090" s="23"/>
      <c r="T2090" s="23"/>
      <c r="U2090" s="23"/>
      <c r="V2090" s="23"/>
      <c r="W2090" s="23"/>
      <c r="X2090" s="23"/>
      <c r="Y2090" s="23"/>
      <c r="Z2090" s="23"/>
      <c r="AA2090" s="23"/>
      <c r="AB2090" s="23"/>
      <c r="AC2090" s="23"/>
      <c r="AD2090" s="23"/>
      <c r="AE2090" s="23"/>
      <c r="AF2090" s="23"/>
      <c r="AG2090" s="14" t="s">
        <v>55</v>
      </c>
      <c r="AH2090" s="14" t="s">
        <v>1603</v>
      </c>
      <c r="AI2090" s="14" t="s">
        <v>1603</v>
      </c>
      <c r="AJ2090" s="23"/>
      <c r="AK2090" s="23"/>
      <c r="AL2090" s="23"/>
      <c r="AM2090" s="23"/>
      <c r="AN2090" s="23"/>
      <c r="AO2090" s="23"/>
      <c r="AP2090" s="23"/>
      <c r="AQ2090" s="23"/>
      <c r="AR2090" s="23"/>
      <c r="AS2090" s="23"/>
      <c r="AT2090" s="23"/>
      <c r="AU2090" s="23"/>
      <c r="AV2090" s="23"/>
      <c r="AW2090" s="23"/>
      <c r="AX2090" s="23"/>
    </row>
    <row r="2091" spans="1:50">
      <c r="A2091" s="5" t="s">
        <v>8998</v>
      </c>
      <c r="B2091" s="5" t="s">
        <v>8999</v>
      </c>
      <c r="C2091" s="6" t="s">
        <v>43</v>
      </c>
      <c r="D2091" s="6" t="s">
        <v>1645</v>
      </c>
      <c r="E2091" s="6" t="s">
        <v>1386</v>
      </c>
      <c r="F2091" s="6" t="s">
        <v>46</v>
      </c>
      <c r="G2091" s="6" t="s">
        <v>9000</v>
      </c>
      <c r="H2091" s="7">
        <v>91.43</v>
      </c>
      <c r="I2091" s="19" t="s">
        <v>2283</v>
      </c>
      <c r="J2091" s="19" t="s">
        <v>2380</v>
      </c>
      <c r="K2091" s="23" t="s">
        <v>9001</v>
      </c>
      <c r="L2091" s="23" t="s">
        <v>9002</v>
      </c>
      <c r="M2091" s="23" t="s">
        <v>9003</v>
      </c>
      <c r="N2091" s="23" t="s">
        <v>9004</v>
      </c>
      <c r="O2091" s="23" t="s">
        <v>9005</v>
      </c>
      <c r="P2091" s="23" t="s">
        <v>9006</v>
      </c>
      <c r="Q2091" s="23" t="s">
        <v>9007</v>
      </c>
      <c r="R2091" s="23" t="s">
        <v>9008</v>
      </c>
      <c r="S2091" s="23"/>
      <c r="T2091" s="23"/>
      <c r="U2091" s="23"/>
      <c r="V2091" s="23"/>
      <c r="W2091" s="23"/>
      <c r="X2091" s="23"/>
      <c r="Y2091" s="23"/>
      <c r="Z2091" s="23"/>
      <c r="AA2091" s="23"/>
      <c r="AB2091" s="23"/>
      <c r="AC2091" s="23"/>
      <c r="AD2091" s="23"/>
      <c r="AE2091" s="23"/>
      <c r="AF2091" s="23"/>
      <c r="AG2091" s="14" t="s">
        <v>55</v>
      </c>
      <c r="AH2091" s="14" t="s">
        <v>1603</v>
      </c>
      <c r="AI2091" s="14" t="s">
        <v>1603</v>
      </c>
      <c r="AJ2091" s="23"/>
      <c r="AK2091" s="23"/>
      <c r="AL2091" s="23"/>
      <c r="AM2091" s="23"/>
      <c r="AN2091" s="23"/>
      <c r="AO2091" s="23"/>
      <c r="AP2091" s="23"/>
      <c r="AQ2091" s="23"/>
      <c r="AR2091" s="23"/>
      <c r="AS2091" s="23"/>
      <c r="AT2091" s="23"/>
      <c r="AU2091" s="23"/>
      <c r="AV2091" s="23"/>
      <c r="AW2091" s="23"/>
      <c r="AX2091" s="23"/>
    </row>
    <row r="2092" spans="1:50">
      <c r="A2092" s="6" t="s">
        <v>9009</v>
      </c>
      <c r="B2092" s="6" t="s">
        <v>9010</v>
      </c>
      <c r="C2092" s="6" t="s">
        <v>1463</v>
      </c>
      <c r="D2092" s="6" t="s">
        <v>1645</v>
      </c>
      <c r="E2092" s="6" t="s">
        <v>2129</v>
      </c>
      <c r="F2092" s="6" t="s">
        <v>46</v>
      </c>
      <c r="G2092" s="6" t="s">
        <v>9011</v>
      </c>
      <c r="I2092" s="19" t="s">
        <v>48</v>
      </c>
      <c r="J2092" s="19" t="s">
        <v>48</v>
      </c>
      <c r="K2092" s="6"/>
      <c r="L2092" s="6"/>
      <c r="M2092" s="6"/>
      <c r="N2092" s="6"/>
      <c r="O2092" s="6"/>
      <c r="P2092" s="6"/>
      <c r="Q2092" s="6"/>
      <c r="R2092" s="6"/>
      <c r="S2092" s="6"/>
      <c r="T2092" s="6"/>
      <c r="U2092" s="6"/>
      <c r="V2092" s="6"/>
      <c r="W2092" s="6"/>
      <c r="X2092" s="6"/>
      <c r="Y2092" s="6"/>
      <c r="Z2092" s="6"/>
      <c r="AA2092" s="6"/>
      <c r="AB2092" s="6"/>
      <c r="AC2092" s="6"/>
      <c r="AD2092" s="6"/>
      <c r="AE2092" s="6"/>
      <c r="AF2092" s="6"/>
      <c r="AG2092" s="15" t="s">
        <v>55</v>
      </c>
      <c r="AH2092" s="15"/>
      <c r="AI2092" s="15"/>
      <c r="AJ2092" s="6"/>
      <c r="AK2092" s="6"/>
      <c r="AL2092" s="23"/>
      <c r="AM2092" s="23"/>
      <c r="AN2092" s="23"/>
      <c r="AO2092" s="23"/>
      <c r="AP2092" s="23"/>
      <c r="AQ2092" s="23"/>
      <c r="AR2092" s="23"/>
      <c r="AS2092" s="23"/>
      <c r="AT2092" s="23"/>
      <c r="AU2092" s="23"/>
      <c r="AV2092" s="23"/>
      <c r="AW2092" s="23"/>
      <c r="AX2092" s="23"/>
    </row>
    <row r="2093" spans="1:50" s="6" customFormat="1">
      <c r="A2093" s="5" t="s">
        <v>9012</v>
      </c>
      <c r="B2093" s="5" t="s">
        <v>9013</v>
      </c>
      <c r="C2093" s="6" t="s">
        <v>9014</v>
      </c>
      <c r="D2093" s="6" t="s">
        <v>1645</v>
      </c>
      <c r="E2093" s="6" t="s">
        <v>2065</v>
      </c>
      <c r="F2093" s="6" t="s">
        <v>46</v>
      </c>
      <c r="G2093" s="6" t="s">
        <v>9015</v>
      </c>
      <c r="H2093" s="7">
        <v>39.07</v>
      </c>
      <c r="I2093" s="19" t="s">
        <v>2283</v>
      </c>
      <c r="J2093" s="19" t="s">
        <v>2466</v>
      </c>
      <c r="K2093" s="5" t="s">
        <v>6837</v>
      </c>
      <c r="L2093" s="5" t="s">
        <v>6838</v>
      </c>
      <c r="M2093" s="5" t="s">
        <v>6839</v>
      </c>
      <c r="N2093" s="5" t="s">
        <v>6840</v>
      </c>
      <c r="O2093" s="5" t="s">
        <v>9016</v>
      </c>
      <c r="P2093" s="5" t="s">
        <v>9017</v>
      </c>
      <c r="Q2093" s="5" t="s">
        <v>9018</v>
      </c>
      <c r="R2093" s="5" t="s">
        <v>9019</v>
      </c>
      <c r="S2093" s="5"/>
      <c r="T2093" s="5"/>
      <c r="U2093" s="5"/>
      <c r="V2093" s="5"/>
      <c r="W2093" s="5"/>
      <c r="X2093" s="5"/>
      <c r="Y2093" s="5"/>
      <c r="Z2093" s="5"/>
      <c r="AA2093" s="5"/>
      <c r="AB2093" s="5"/>
      <c r="AC2093" s="5"/>
      <c r="AD2093" s="5"/>
      <c r="AE2093" s="5"/>
      <c r="AF2093" s="5"/>
      <c r="AG2093" s="14" t="s">
        <v>55</v>
      </c>
      <c r="AH2093" s="14" t="s">
        <v>1603</v>
      </c>
      <c r="AI2093" s="14" t="s">
        <v>1603</v>
      </c>
      <c r="AJ2093" s="5"/>
      <c r="AK2093" s="5"/>
    </row>
    <row r="2094" spans="1:50">
      <c r="A2094" s="5" t="s">
        <v>9020</v>
      </c>
      <c r="B2094" s="5" t="s">
        <v>9021</v>
      </c>
      <c r="C2094" s="6" t="s">
        <v>9014</v>
      </c>
      <c r="D2094" s="6" t="s">
        <v>1645</v>
      </c>
      <c r="E2094" s="6" t="s">
        <v>2139</v>
      </c>
      <c r="F2094" s="6" t="s">
        <v>46</v>
      </c>
      <c r="G2094" s="6" t="s">
        <v>9022</v>
      </c>
      <c r="H2094" s="7">
        <v>39.07</v>
      </c>
      <c r="I2094" s="19" t="s">
        <v>2283</v>
      </c>
      <c r="J2094" s="19" t="s">
        <v>2466</v>
      </c>
      <c r="K2094" s="5" t="s">
        <v>2531</v>
      </c>
      <c r="L2094" s="5" t="s">
        <v>2532</v>
      </c>
      <c r="M2094" s="5" t="s">
        <v>2533</v>
      </c>
      <c r="N2094" s="5" t="s">
        <v>2534</v>
      </c>
      <c r="O2094" s="5" t="s">
        <v>9023</v>
      </c>
      <c r="P2094" s="5" t="s">
        <v>9024</v>
      </c>
      <c r="Q2094" s="5" t="s">
        <v>9025</v>
      </c>
      <c r="R2094" s="5" t="s">
        <v>9026</v>
      </c>
      <c r="AG2094" s="14" t="s">
        <v>55</v>
      </c>
      <c r="AH2094" s="14" t="s">
        <v>1603</v>
      </c>
      <c r="AI2094" s="14" t="s">
        <v>1603</v>
      </c>
    </row>
    <row r="2095" spans="1:50">
      <c r="A2095" s="5" t="s">
        <v>9027</v>
      </c>
      <c r="B2095" s="5" t="s">
        <v>9021</v>
      </c>
      <c r="C2095" s="6" t="s">
        <v>9014</v>
      </c>
      <c r="D2095" s="6" t="s">
        <v>1645</v>
      </c>
      <c r="E2095" s="6" t="s">
        <v>2015</v>
      </c>
      <c r="F2095" s="6" t="s">
        <v>46</v>
      </c>
      <c r="G2095" s="6" t="s">
        <v>2986</v>
      </c>
      <c r="H2095" s="7">
        <v>39.07</v>
      </c>
      <c r="I2095" s="19" t="s">
        <v>2283</v>
      </c>
      <c r="J2095" s="19" t="s">
        <v>2466</v>
      </c>
      <c r="K2095" s="5" t="s">
        <v>2531</v>
      </c>
      <c r="L2095" s="5" t="s">
        <v>2532</v>
      </c>
      <c r="M2095" s="5" t="s">
        <v>2533</v>
      </c>
      <c r="N2095" s="5" t="s">
        <v>2534</v>
      </c>
      <c r="O2095" s="5" t="s">
        <v>9023</v>
      </c>
      <c r="P2095" s="5" t="s">
        <v>9024</v>
      </c>
      <c r="Q2095" s="5" t="s">
        <v>9025</v>
      </c>
      <c r="R2095" s="5" t="s">
        <v>9026</v>
      </c>
      <c r="AG2095" s="14" t="s">
        <v>55</v>
      </c>
      <c r="AH2095" s="14" t="s">
        <v>1603</v>
      </c>
      <c r="AI2095" s="14" t="s">
        <v>1603</v>
      </c>
    </row>
    <row r="2096" spans="1:50">
      <c r="A2096" s="5" t="s">
        <v>9028</v>
      </c>
      <c r="B2096" s="5" t="s">
        <v>9021</v>
      </c>
      <c r="C2096" s="6" t="s">
        <v>9014</v>
      </c>
      <c r="D2096" s="6" t="s">
        <v>1645</v>
      </c>
      <c r="E2096" s="6" t="s">
        <v>2065</v>
      </c>
      <c r="F2096" s="6" t="s">
        <v>46</v>
      </c>
      <c r="G2096" s="6" t="s">
        <v>9029</v>
      </c>
      <c r="H2096" s="7">
        <v>39.07</v>
      </c>
      <c r="I2096" s="19" t="s">
        <v>2283</v>
      </c>
      <c r="J2096" s="19" t="s">
        <v>2466</v>
      </c>
      <c r="K2096" s="5" t="s">
        <v>2531</v>
      </c>
      <c r="L2096" s="5" t="s">
        <v>2532</v>
      </c>
      <c r="M2096" s="5" t="s">
        <v>2533</v>
      </c>
      <c r="N2096" s="5" t="s">
        <v>2534</v>
      </c>
      <c r="O2096" s="5" t="s">
        <v>2535</v>
      </c>
      <c r="P2096" s="5" t="s">
        <v>2536</v>
      </c>
      <c r="Q2096" s="5" t="s">
        <v>2537</v>
      </c>
      <c r="R2096" s="5" t="s">
        <v>2538</v>
      </c>
      <c r="AG2096" s="14" t="s">
        <v>55</v>
      </c>
      <c r="AH2096" s="14" t="s">
        <v>1603</v>
      </c>
      <c r="AI2096" s="14" t="s">
        <v>1603</v>
      </c>
    </row>
    <row r="2097" spans="1:37">
      <c r="A2097" s="5" t="s">
        <v>9030</v>
      </c>
      <c r="B2097" s="5" t="s">
        <v>9031</v>
      </c>
      <c r="C2097" s="6" t="s">
        <v>43</v>
      </c>
      <c r="D2097" s="6" t="s">
        <v>1645</v>
      </c>
      <c r="E2097" s="6" t="s">
        <v>2015</v>
      </c>
      <c r="F2097" s="6" t="s">
        <v>46</v>
      </c>
      <c r="G2097" s="6" t="s">
        <v>8804</v>
      </c>
      <c r="H2097" s="7">
        <v>43.56</v>
      </c>
      <c r="I2097" s="19" t="s">
        <v>2283</v>
      </c>
      <c r="J2097" s="19" t="s">
        <v>2481</v>
      </c>
      <c r="K2097" s="5" t="s">
        <v>8096</v>
      </c>
      <c r="L2097" s="5" t="s">
        <v>8097</v>
      </c>
      <c r="M2097" s="5" t="s">
        <v>8098</v>
      </c>
      <c r="N2097" s="5" t="s">
        <v>8099</v>
      </c>
      <c r="O2097" s="5" t="s">
        <v>9032</v>
      </c>
      <c r="P2097" s="5" t="s">
        <v>9033</v>
      </c>
      <c r="Q2097" s="5" t="s">
        <v>9034</v>
      </c>
      <c r="R2097" s="5" t="s">
        <v>9035</v>
      </c>
      <c r="AG2097" s="14" t="s">
        <v>55</v>
      </c>
      <c r="AH2097" s="14" t="s">
        <v>1603</v>
      </c>
      <c r="AI2097" s="14" t="s">
        <v>1603</v>
      </c>
    </row>
    <row r="2098" spans="1:37">
      <c r="A2098" s="5" t="s">
        <v>9036</v>
      </c>
      <c r="B2098" s="5" t="s">
        <v>9037</v>
      </c>
      <c r="C2098" s="6" t="s">
        <v>8575</v>
      </c>
      <c r="D2098" s="6" t="s">
        <v>1645</v>
      </c>
      <c r="E2098" s="6" t="s">
        <v>1386</v>
      </c>
      <c r="F2098" s="6" t="s">
        <v>46</v>
      </c>
      <c r="G2098" s="6" t="s">
        <v>9038</v>
      </c>
      <c r="H2098" s="7">
        <v>43.56</v>
      </c>
      <c r="I2098" s="19" t="s">
        <v>2283</v>
      </c>
      <c r="J2098" s="19" t="s">
        <v>2481</v>
      </c>
      <c r="K2098" s="5" t="s">
        <v>8109</v>
      </c>
      <c r="L2098" s="5" t="s">
        <v>8110</v>
      </c>
      <c r="M2098" s="5" t="s">
        <v>8111</v>
      </c>
      <c r="N2098" s="5" t="s">
        <v>8112</v>
      </c>
      <c r="O2098" s="5" t="s">
        <v>9039</v>
      </c>
      <c r="P2098" s="5" t="s">
        <v>9040</v>
      </c>
      <c r="Q2098" s="5" t="s">
        <v>9041</v>
      </c>
      <c r="R2098" s="5" t="s">
        <v>9042</v>
      </c>
      <c r="AG2098" s="14" t="s">
        <v>55</v>
      </c>
      <c r="AH2098" s="14" t="s">
        <v>1603</v>
      </c>
      <c r="AI2098" s="14" t="s">
        <v>1603</v>
      </c>
    </row>
    <row r="2099" spans="1:37">
      <c r="A2099" s="5" t="s">
        <v>9043</v>
      </c>
      <c r="B2099" s="5" t="s">
        <v>9037</v>
      </c>
      <c r="C2099" s="6" t="s">
        <v>8575</v>
      </c>
      <c r="D2099" s="6" t="s">
        <v>1645</v>
      </c>
      <c r="E2099" s="6" t="s">
        <v>2015</v>
      </c>
      <c r="F2099" s="6" t="s">
        <v>46</v>
      </c>
      <c r="G2099" s="6" t="s">
        <v>2840</v>
      </c>
      <c r="H2099" s="7">
        <v>43.56</v>
      </c>
      <c r="I2099" s="19" t="s">
        <v>2283</v>
      </c>
      <c r="J2099" s="19" t="s">
        <v>2481</v>
      </c>
      <c r="K2099" s="5" t="s">
        <v>8109</v>
      </c>
      <c r="L2099" s="5" t="s">
        <v>8110</v>
      </c>
      <c r="M2099" s="5" t="s">
        <v>8111</v>
      </c>
      <c r="N2099" s="5" t="s">
        <v>8112</v>
      </c>
      <c r="O2099" s="5" t="s">
        <v>9039</v>
      </c>
      <c r="P2099" s="5" t="s">
        <v>9040</v>
      </c>
      <c r="Q2099" s="5" t="s">
        <v>9041</v>
      </c>
      <c r="R2099" s="5" t="s">
        <v>9042</v>
      </c>
      <c r="AG2099" s="14" t="s">
        <v>55</v>
      </c>
      <c r="AH2099" s="14" t="s">
        <v>1603</v>
      </c>
      <c r="AI2099" s="14" t="s">
        <v>1603</v>
      </c>
    </row>
    <row r="2100" spans="1:37">
      <c r="A2100" s="5" t="s">
        <v>9044</v>
      </c>
      <c r="B2100" s="5" t="s">
        <v>9037</v>
      </c>
      <c r="C2100" s="6" t="s">
        <v>8575</v>
      </c>
      <c r="D2100" s="6" t="s">
        <v>1645</v>
      </c>
      <c r="E2100" s="6" t="s">
        <v>503</v>
      </c>
      <c r="F2100" s="6" t="s">
        <v>46</v>
      </c>
      <c r="G2100" s="6" t="s">
        <v>9045</v>
      </c>
      <c r="H2100" s="7">
        <v>43.56</v>
      </c>
      <c r="I2100" s="19" t="s">
        <v>2283</v>
      </c>
      <c r="J2100" s="19" t="s">
        <v>2481</v>
      </c>
      <c r="K2100" s="5" t="s">
        <v>8109</v>
      </c>
      <c r="L2100" s="5" t="s">
        <v>8110</v>
      </c>
      <c r="M2100" s="5" t="s">
        <v>8111</v>
      </c>
      <c r="N2100" s="5" t="s">
        <v>8112</v>
      </c>
      <c r="O2100" s="5" t="s">
        <v>9039</v>
      </c>
      <c r="P2100" s="5" t="s">
        <v>9040</v>
      </c>
      <c r="Q2100" s="5" t="s">
        <v>9041</v>
      </c>
      <c r="R2100" s="5" t="s">
        <v>9042</v>
      </c>
      <c r="AG2100" s="14" t="s">
        <v>55</v>
      </c>
      <c r="AH2100" s="14" t="s">
        <v>1603</v>
      </c>
      <c r="AI2100" s="14" t="s">
        <v>1603</v>
      </c>
    </row>
    <row r="2101" spans="1:37">
      <c r="A2101" s="5" t="s">
        <v>9046</v>
      </c>
      <c r="B2101" s="5" t="s">
        <v>9047</v>
      </c>
      <c r="C2101" s="6" t="s">
        <v>2479</v>
      </c>
      <c r="D2101" s="6" t="s">
        <v>1645</v>
      </c>
      <c r="E2101" s="6" t="s">
        <v>1386</v>
      </c>
      <c r="F2101" s="6" t="s">
        <v>46</v>
      </c>
      <c r="G2101" s="6" t="s">
        <v>9048</v>
      </c>
      <c r="H2101" s="7">
        <v>43.56</v>
      </c>
      <c r="I2101" s="19" t="s">
        <v>2283</v>
      </c>
      <c r="J2101" s="19" t="s">
        <v>2481</v>
      </c>
      <c r="K2101" s="5" t="s">
        <v>2482</v>
      </c>
      <c r="L2101" s="5" t="s">
        <v>2483</v>
      </c>
      <c r="M2101" s="5" t="s">
        <v>2484</v>
      </c>
      <c r="N2101" s="5" t="s">
        <v>2485</v>
      </c>
      <c r="O2101" s="5" t="s">
        <v>9049</v>
      </c>
      <c r="P2101" s="5" t="s">
        <v>9050</v>
      </c>
      <c r="Q2101" s="5" t="s">
        <v>9051</v>
      </c>
      <c r="R2101" s="5" t="s">
        <v>9052</v>
      </c>
      <c r="AG2101" s="14" t="s">
        <v>55</v>
      </c>
      <c r="AH2101" s="14" t="s">
        <v>1603</v>
      </c>
      <c r="AI2101" s="14" t="s">
        <v>1603</v>
      </c>
    </row>
    <row r="2102" spans="1:37">
      <c r="A2102" s="5" t="s">
        <v>9053</v>
      </c>
      <c r="B2102" s="5" t="s">
        <v>9047</v>
      </c>
      <c r="C2102" s="6" t="s">
        <v>2479</v>
      </c>
      <c r="D2102" s="6" t="s">
        <v>1645</v>
      </c>
      <c r="E2102" s="6" t="s">
        <v>2015</v>
      </c>
      <c r="F2102" s="6" t="s">
        <v>46</v>
      </c>
      <c r="G2102" s="6" t="s">
        <v>9054</v>
      </c>
      <c r="H2102" s="7">
        <v>43.56</v>
      </c>
      <c r="I2102" s="19" t="s">
        <v>2283</v>
      </c>
      <c r="J2102" s="19" t="s">
        <v>2481</v>
      </c>
      <c r="K2102" s="5" t="s">
        <v>2482</v>
      </c>
      <c r="L2102" s="5" t="s">
        <v>2483</v>
      </c>
      <c r="M2102" s="5" t="s">
        <v>2484</v>
      </c>
      <c r="N2102" s="5" t="s">
        <v>2485</v>
      </c>
      <c r="O2102" s="5" t="s">
        <v>9049</v>
      </c>
      <c r="P2102" s="5" t="s">
        <v>9050</v>
      </c>
      <c r="Q2102" s="5" t="s">
        <v>9051</v>
      </c>
      <c r="R2102" s="5" t="s">
        <v>9052</v>
      </c>
      <c r="AG2102" s="14" t="s">
        <v>55</v>
      </c>
      <c r="AH2102" s="14" t="s">
        <v>1603</v>
      </c>
      <c r="AI2102" s="14" t="s">
        <v>1603</v>
      </c>
    </row>
    <row r="2103" spans="1:37">
      <c r="A2103" s="5" t="s">
        <v>9055</v>
      </c>
      <c r="B2103" s="5" t="s">
        <v>9056</v>
      </c>
      <c r="C2103" s="6" t="s">
        <v>8575</v>
      </c>
      <c r="D2103" s="6" t="s">
        <v>1645</v>
      </c>
      <c r="E2103" s="6" t="s">
        <v>503</v>
      </c>
      <c r="F2103" s="6" t="s">
        <v>46</v>
      </c>
      <c r="G2103" s="6" t="s">
        <v>43</v>
      </c>
      <c r="H2103" s="7">
        <v>43.56</v>
      </c>
      <c r="I2103" s="19" t="s">
        <v>2283</v>
      </c>
      <c r="J2103" s="19" t="s">
        <v>2481</v>
      </c>
      <c r="K2103" s="5" t="s">
        <v>2482</v>
      </c>
      <c r="L2103" s="5" t="s">
        <v>2483</v>
      </c>
      <c r="M2103" s="5" t="s">
        <v>2484</v>
      </c>
      <c r="N2103" s="5" t="s">
        <v>2485</v>
      </c>
      <c r="O2103" s="5" t="s">
        <v>9049</v>
      </c>
      <c r="P2103" s="5" t="s">
        <v>9050</v>
      </c>
      <c r="Q2103" s="5" t="s">
        <v>9051</v>
      </c>
      <c r="R2103" s="5" t="s">
        <v>9052</v>
      </c>
      <c r="AG2103" s="14" t="s">
        <v>55</v>
      </c>
      <c r="AH2103" s="14" t="s">
        <v>1603</v>
      </c>
      <c r="AI2103" s="14" t="s">
        <v>1603</v>
      </c>
    </row>
    <row r="2104" spans="1:37">
      <c r="A2104" s="5" t="s">
        <v>9057</v>
      </c>
      <c r="B2104" s="5" t="s">
        <v>9058</v>
      </c>
      <c r="C2104" s="6" t="s">
        <v>2281</v>
      </c>
      <c r="D2104" s="6" t="s">
        <v>1645</v>
      </c>
      <c r="E2104" s="6" t="s">
        <v>1386</v>
      </c>
      <c r="F2104" s="6" t="s">
        <v>46</v>
      </c>
      <c r="G2104" s="6" t="s">
        <v>43</v>
      </c>
      <c r="H2104" s="7">
        <v>48.05</v>
      </c>
      <c r="I2104" s="19" t="s">
        <v>2283</v>
      </c>
      <c r="J2104" s="19" t="s">
        <v>2512</v>
      </c>
      <c r="K2104" s="6" t="s">
        <v>2513</v>
      </c>
      <c r="L2104" s="6" t="s">
        <v>2514</v>
      </c>
      <c r="M2104" s="6" t="s">
        <v>2515</v>
      </c>
      <c r="N2104" s="6" t="s">
        <v>2516</v>
      </c>
      <c r="O2104" s="6" t="s">
        <v>9059</v>
      </c>
      <c r="P2104" s="6" t="s">
        <v>9060</v>
      </c>
      <c r="Q2104" s="6" t="s">
        <v>9061</v>
      </c>
      <c r="R2104" s="6" t="s">
        <v>9062</v>
      </c>
      <c r="AG2104" s="14" t="s">
        <v>55</v>
      </c>
      <c r="AH2104" s="14" t="s">
        <v>1603</v>
      </c>
      <c r="AI2104" s="14" t="s">
        <v>1603</v>
      </c>
    </row>
    <row r="2105" spans="1:37">
      <c r="A2105" s="5" t="s">
        <v>9063</v>
      </c>
      <c r="B2105" s="5" t="s">
        <v>9058</v>
      </c>
      <c r="C2105" s="6" t="s">
        <v>2281</v>
      </c>
      <c r="D2105" s="6" t="s">
        <v>1645</v>
      </c>
      <c r="E2105" s="6" t="s">
        <v>2065</v>
      </c>
      <c r="F2105" s="6" t="s">
        <v>46</v>
      </c>
      <c r="G2105" s="6" t="s">
        <v>7502</v>
      </c>
      <c r="H2105" s="7">
        <v>48.05</v>
      </c>
      <c r="I2105" s="19" t="s">
        <v>2283</v>
      </c>
      <c r="J2105" s="19" t="s">
        <v>2512</v>
      </c>
      <c r="K2105" s="6" t="s">
        <v>2513</v>
      </c>
      <c r="L2105" s="6" t="s">
        <v>2514</v>
      </c>
      <c r="M2105" s="6" t="s">
        <v>2515</v>
      </c>
      <c r="N2105" s="6" t="s">
        <v>2516</v>
      </c>
      <c r="O2105" s="6" t="s">
        <v>9064</v>
      </c>
      <c r="P2105" s="6" t="s">
        <v>9065</v>
      </c>
      <c r="Q2105" s="6" t="s">
        <v>9066</v>
      </c>
      <c r="R2105" s="6" t="s">
        <v>9067</v>
      </c>
      <c r="AG2105" s="14" t="s">
        <v>55</v>
      </c>
      <c r="AH2105" s="14" t="s">
        <v>1603</v>
      </c>
      <c r="AI2105" s="14" t="s">
        <v>1603</v>
      </c>
    </row>
    <row r="2106" spans="1:37">
      <c r="A2106" s="6" t="s">
        <v>9068</v>
      </c>
      <c r="B2106" s="6" t="s">
        <v>9069</v>
      </c>
      <c r="C2106" s="6" t="s">
        <v>43</v>
      </c>
      <c r="D2106" s="6" t="s">
        <v>1645</v>
      </c>
      <c r="E2106" s="6" t="s">
        <v>2461</v>
      </c>
      <c r="F2106" s="6" t="s">
        <v>46</v>
      </c>
      <c r="G2106" s="6" t="s">
        <v>9070</v>
      </c>
      <c r="I2106" s="19" t="s">
        <v>48</v>
      </c>
      <c r="J2106" s="19" t="s">
        <v>48</v>
      </c>
      <c r="K2106" s="6"/>
      <c r="L2106" s="6"/>
      <c r="M2106" s="6"/>
      <c r="N2106" s="6"/>
      <c r="O2106" s="6"/>
      <c r="P2106" s="6"/>
      <c r="Q2106" s="6"/>
      <c r="R2106" s="6"/>
      <c r="S2106" s="6"/>
      <c r="T2106" s="6"/>
      <c r="U2106" s="6"/>
      <c r="V2106" s="6"/>
      <c r="W2106" s="6"/>
      <c r="X2106" s="6"/>
      <c r="Y2106" s="6"/>
      <c r="Z2106" s="6"/>
      <c r="AA2106" s="6"/>
      <c r="AB2106" s="6"/>
      <c r="AC2106" s="6"/>
      <c r="AD2106" s="6"/>
      <c r="AE2106" s="6"/>
      <c r="AF2106" s="6"/>
      <c r="AG2106" s="15" t="s">
        <v>55</v>
      </c>
      <c r="AH2106" s="15"/>
      <c r="AI2106" s="15"/>
      <c r="AJ2106" s="6"/>
      <c r="AK2106" s="6"/>
    </row>
    <row r="2107" spans="1:37" s="6" customFormat="1">
      <c r="A2107" s="5" t="s">
        <v>9071</v>
      </c>
      <c r="B2107" s="5" t="s">
        <v>9072</v>
      </c>
      <c r="C2107" s="6" t="s">
        <v>43</v>
      </c>
      <c r="D2107" s="6" t="s">
        <v>1645</v>
      </c>
      <c r="E2107" s="6" t="s">
        <v>2139</v>
      </c>
      <c r="F2107" s="6" t="s">
        <v>46</v>
      </c>
      <c r="G2107" s="6" t="s">
        <v>9073</v>
      </c>
      <c r="H2107" s="7">
        <v>43.56</v>
      </c>
      <c r="I2107" s="19" t="s">
        <v>2283</v>
      </c>
      <c r="J2107" s="19" t="s">
        <v>2466</v>
      </c>
      <c r="K2107" s="5" t="s">
        <v>6905</v>
      </c>
      <c r="L2107" s="5" t="s">
        <v>6906</v>
      </c>
      <c r="M2107" s="5" t="s">
        <v>6907</v>
      </c>
      <c r="N2107" s="5" t="s">
        <v>6908</v>
      </c>
      <c r="O2107" s="5" t="s">
        <v>9074</v>
      </c>
      <c r="P2107" s="5" t="s">
        <v>9075</v>
      </c>
      <c r="Q2107" s="5" t="s">
        <v>9076</v>
      </c>
      <c r="R2107" s="5" t="s">
        <v>9077</v>
      </c>
      <c r="S2107" s="5"/>
      <c r="T2107" s="5"/>
      <c r="U2107" s="5"/>
      <c r="V2107" s="5"/>
      <c r="W2107" s="5"/>
      <c r="X2107" s="5"/>
      <c r="Y2107" s="5"/>
      <c r="Z2107" s="5"/>
      <c r="AA2107" s="5"/>
      <c r="AB2107" s="5"/>
      <c r="AC2107" s="5"/>
      <c r="AD2107" s="5"/>
      <c r="AE2107" s="5"/>
      <c r="AF2107" s="5"/>
      <c r="AG2107" s="14" t="s">
        <v>55</v>
      </c>
      <c r="AH2107" s="14" t="s">
        <v>1603</v>
      </c>
      <c r="AI2107" s="14" t="s">
        <v>1603</v>
      </c>
      <c r="AJ2107" s="5"/>
      <c r="AK2107" s="5"/>
    </row>
    <row r="2108" spans="1:37">
      <c r="A2108" s="5" t="s">
        <v>9078</v>
      </c>
      <c r="B2108" s="5" t="s">
        <v>9072</v>
      </c>
      <c r="C2108" s="6" t="s">
        <v>43</v>
      </c>
      <c r="D2108" s="6" t="s">
        <v>1645</v>
      </c>
      <c r="E2108" s="6" t="s">
        <v>1386</v>
      </c>
      <c r="F2108" s="6" t="s">
        <v>46</v>
      </c>
      <c r="G2108" s="6" t="s">
        <v>3657</v>
      </c>
      <c r="H2108" s="7">
        <v>43.56</v>
      </c>
      <c r="I2108" s="19" t="s">
        <v>2283</v>
      </c>
      <c r="J2108" s="19" t="s">
        <v>2466</v>
      </c>
      <c r="K2108" s="5" t="s">
        <v>6905</v>
      </c>
      <c r="L2108" s="5" t="s">
        <v>6906</v>
      </c>
      <c r="M2108" s="5" t="s">
        <v>6907</v>
      </c>
      <c r="N2108" s="5" t="s">
        <v>6908</v>
      </c>
      <c r="O2108" s="5" t="s">
        <v>9074</v>
      </c>
      <c r="P2108" s="5" t="s">
        <v>9075</v>
      </c>
      <c r="Q2108" s="5" t="s">
        <v>9076</v>
      </c>
      <c r="R2108" s="5" t="s">
        <v>9077</v>
      </c>
      <c r="AG2108" s="14" t="s">
        <v>55</v>
      </c>
      <c r="AH2108" s="14" t="s">
        <v>1603</v>
      </c>
      <c r="AI2108" s="14" t="s">
        <v>1603</v>
      </c>
    </row>
    <row r="2109" spans="1:37">
      <c r="A2109" s="5" t="s">
        <v>9079</v>
      </c>
      <c r="B2109" s="5" t="s">
        <v>9072</v>
      </c>
      <c r="C2109" s="6" t="s">
        <v>43</v>
      </c>
      <c r="D2109" s="6" t="s">
        <v>1645</v>
      </c>
      <c r="E2109" s="6" t="s">
        <v>2015</v>
      </c>
      <c r="F2109" s="6" t="s">
        <v>46</v>
      </c>
      <c r="G2109" s="6" t="s">
        <v>9080</v>
      </c>
      <c r="H2109" s="7">
        <v>43.56</v>
      </c>
      <c r="I2109" s="19" t="s">
        <v>2283</v>
      </c>
      <c r="J2109" s="19" t="s">
        <v>2466</v>
      </c>
      <c r="K2109" s="5" t="s">
        <v>6905</v>
      </c>
      <c r="L2109" s="5" t="s">
        <v>6906</v>
      </c>
      <c r="M2109" s="5" t="s">
        <v>6907</v>
      </c>
      <c r="N2109" s="5" t="s">
        <v>6908</v>
      </c>
      <c r="O2109" s="5" t="s">
        <v>9074</v>
      </c>
      <c r="P2109" s="5" t="s">
        <v>9075</v>
      </c>
      <c r="Q2109" s="5" t="s">
        <v>9076</v>
      </c>
      <c r="R2109" s="5" t="s">
        <v>9077</v>
      </c>
      <c r="AG2109" s="14" t="s">
        <v>55</v>
      </c>
      <c r="AH2109" s="14" t="s">
        <v>1603</v>
      </c>
      <c r="AI2109" s="14" t="s">
        <v>1603</v>
      </c>
    </row>
    <row r="2110" spans="1:37">
      <c r="A2110" s="5" t="s">
        <v>9081</v>
      </c>
      <c r="B2110" s="5" t="s">
        <v>9072</v>
      </c>
      <c r="C2110" s="6" t="s">
        <v>3385</v>
      </c>
      <c r="D2110" s="6" t="s">
        <v>1645</v>
      </c>
      <c r="E2110" s="6" t="s">
        <v>2065</v>
      </c>
      <c r="F2110" s="6" t="s">
        <v>46</v>
      </c>
      <c r="G2110" s="6" t="s">
        <v>9082</v>
      </c>
      <c r="H2110" s="7">
        <v>43.56</v>
      </c>
      <c r="I2110" s="19" t="s">
        <v>2283</v>
      </c>
      <c r="J2110" s="19" t="s">
        <v>2466</v>
      </c>
      <c r="K2110" s="5" t="s">
        <v>6905</v>
      </c>
      <c r="L2110" s="5" t="s">
        <v>6906</v>
      </c>
      <c r="M2110" s="5" t="s">
        <v>6907</v>
      </c>
      <c r="N2110" s="5" t="s">
        <v>6908</v>
      </c>
      <c r="O2110" s="5" t="s">
        <v>9074</v>
      </c>
      <c r="P2110" s="5" t="s">
        <v>9075</v>
      </c>
      <c r="Q2110" s="5" t="s">
        <v>9076</v>
      </c>
      <c r="R2110" s="5" t="s">
        <v>9077</v>
      </c>
      <c r="AG2110" s="14" t="s">
        <v>55</v>
      </c>
      <c r="AH2110" s="14" t="s">
        <v>1603</v>
      </c>
      <c r="AI2110" s="14" t="s">
        <v>1603</v>
      </c>
    </row>
    <row r="2111" spans="1:37">
      <c r="A2111" s="5" t="s">
        <v>9083</v>
      </c>
      <c r="B2111" s="5" t="s">
        <v>9084</v>
      </c>
      <c r="C2111" s="6" t="s">
        <v>8865</v>
      </c>
      <c r="D2111" s="6" t="s">
        <v>1645</v>
      </c>
      <c r="E2111" s="6" t="s">
        <v>2139</v>
      </c>
      <c r="F2111" s="6" t="s">
        <v>46</v>
      </c>
      <c r="G2111" s="6" t="s">
        <v>9073</v>
      </c>
      <c r="H2111" s="7">
        <v>43.56</v>
      </c>
      <c r="I2111" s="19" t="s">
        <v>2283</v>
      </c>
      <c r="J2111" s="19" t="s">
        <v>2466</v>
      </c>
      <c r="K2111" s="5" t="s">
        <v>2531</v>
      </c>
      <c r="L2111" s="5" t="s">
        <v>2532</v>
      </c>
      <c r="M2111" s="5" t="s">
        <v>2533</v>
      </c>
      <c r="N2111" s="5" t="s">
        <v>2534</v>
      </c>
      <c r="O2111" s="5" t="s">
        <v>9023</v>
      </c>
      <c r="P2111" s="5" t="s">
        <v>9024</v>
      </c>
      <c r="Q2111" s="5" t="s">
        <v>9025</v>
      </c>
      <c r="R2111" s="5" t="s">
        <v>9026</v>
      </c>
      <c r="AG2111" s="14" t="s">
        <v>55</v>
      </c>
      <c r="AH2111" s="14" t="s">
        <v>1603</v>
      </c>
      <c r="AI2111" s="14" t="s">
        <v>1603</v>
      </c>
    </row>
    <row r="2112" spans="1:37">
      <c r="A2112" s="5" t="s">
        <v>9085</v>
      </c>
      <c r="B2112" s="5" t="s">
        <v>9084</v>
      </c>
      <c r="C2112" s="6" t="s">
        <v>8865</v>
      </c>
      <c r="D2112" s="6" t="s">
        <v>1645</v>
      </c>
      <c r="E2112" s="6" t="s">
        <v>2015</v>
      </c>
      <c r="F2112" s="6" t="s">
        <v>46</v>
      </c>
      <c r="G2112" s="6" t="s">
        <v>3725</v>
      </c>
      <c r="H2112" s="7">
        <v>43.56</v>
      </c>
      <c r="I2112" s="19" t="s">
        <v>2283</v>
      </c>
      <c r="J2112" s="19" t="s">
        <v>2466</v>
      </c>
      <c r="K2112" s="5" t="s">
        <v>2541</v>
      </c>
      <c r="L2112" s="5" t="s">
        <v>2542</v>
      </c>
      <c r="M2112" s="5" t="s">
        <v>2543</v>
      </c>
      <c r="N2112" s="5" t="s">
        <v>2544</v>
      </c>
      <c r="O2112" s="5" t="s">
        <v>9086</v>
      </c>
      <c r="P2112" s="5" t="s">
        <v>9087</v>
      </c>
      <c r="Q2112" s="5" t="s">
        <v>9088</v>
      </c>
      <c r="R2112" s="5" t="s">
        <v>9089</v>
      </c>
      <c r="AG2112" s="14" t="s">
        <v>55</v>
      </c>
      <c r="AH2112" s="14" t="s">
        <v>1603</v>
      </c>
      <c r="AI2112" s="14" t="s">
        <v>1603</v>
      </c>
    </row>
    <row r="2113" spans="1:35">
      <c r="A2113" s="5" t="s">
        <v>9090</v>
      </c>
      <c r="B2113" s="5" t="s">
        <v>9084</v>
      </c>
      <c r="C2113" s="6" t="s">
        <v>8865</v>
      </c>
      <c r="D2113" s="6" t="s">
        <v>1645</v>
      </c>
      <c r="E2113" s="6" t="s">
        <v>2047</v>
      </c>
      <c r="F2113" s="6" t="s">
        <v>46</v>
      </c>
      <c r="G2113" s="6" t="s">
        <v>9091</v>
      </c>
      <c r="H2113" s="7">
        <v>43.56</v>
      </c>
      <c r="I2113" s="19" t="s">
        <v>2283</v>
      </c>
      <c r="J2113" s="19" t="s">
        <v>2466</v>
      </c>
      <c r="K2113" s="5" t="s">
        <v>2541</v>
      </c>
      <c r="L2113" s="5" t="s">
        <v>2542</v>
      </c>
      <c r="M2113" s="5" t="s">
        <v>2543</v>
      </c>
      <c r="N2113" s="5" t="s">
        <v>2544</v>
      </c>
      <c r="O2113" s="5" t="s">
        <v>9086</v>
      </c>
      <c r="P2113" s="5" t="s">
        <v>9087</v>
      </c>
      <c r="Q2113" s="5" t="s">
        <v>9088</v>
      </c>
      <c r="R2113" s="5" t="s">
        <v>9089</v>
      </c>
      <c r="AG2113" s="14" t="s">
        <v>55</v>
      </c>
      <c r="AH2113" s="14" t="s">
        <v>1603</v>
      </c>
      <c r="AI2113" s="14" t="s">
        <v>1603</v>
      </c>
    </row>
    <row r="2114" spans="1:35">
      <c r="A2114" s="5" t="s">
        <v>9092</v>
      </c>
      <c r="B2114" s="5" t="s">
        <v>9084</v>
      </c>
      <c r="C2114" s="6" t="s">
        <v>8865</v>
      </c>
      <c r="D2114" s="6" t="s">
        <v>1645</v>
      </c>
      <c r="E2114" s="6" t="s">
        <v>2065</v>
      </c>
      <c r="F2114" s="6" t="s">
        <v>46</v>
      </c>
      <c r="G2114" s="6" t="s">
        <v>9093</v>
      </c>
      <c r="H2114" s="7">
        <v>43.56</v>
      </c>
      <c r="I2114" s="19" t="s">
        <v>2283</v>
      </c>
      <c r="J2114" s="19" t="s">
        <v>2466</v>
      </c>
      <c r="K2114" s="5" t="s">
        <v>2541</v>
      </c>
      <c r="L2114" s="5" t="s">
        <v>2542</v>
      </c>
      <c r="M2114" s="5" t="s">
        <v>2543</v>
      </c>
      <c r="N2114" s="5" t="s">
        <v>2544</v>
      </c>
      <c r="O2114" s="5" t="s">
        <v>9086</v>
      </c>
      <c r="P2114" s="5" t="s">
        <v>9087</v>
      </c>
      <c r="Q2114" s="5" t="s">
        <v>9088</v>
      </c>
      <c r="R2114" s="5" t="s">
        <v>9089</v>
      </c>
      <c r="AG2114" s="14" t="s">
        <v>55</v>
      </c>
      <c r="AH2114" s="14" t="s">
        <v>1603</v>
      </c>
      <c r="AI2114" s="14" t="s">
        <v>1603</v>
      </c>
    </row>
    <row r="2115" spans="1:35">
      <c r="A2115" s="5" t="s">
        <v>9094</v>
      </c>
      <c r="B2115" s="5" t="s">
        <v>9084</v>
      </c>
      <c r="C2115" s="6" t="s">
        <v>8865</v>
      </c>
      <c r="D2115" s="6" t="s">
        <v>1645</v>
      </c>
      <c r="E2115" s="6" t="s">
        <v>4069</v>
      </c>
      <c r="F2115" s="6" t="s">
        <v>46</v>
      </c>
      <c r="G2115" s="6" t="s">
        <v>9095</v>
      </c>
      <c r="H2115" s="7">
        <v>43.56</v>
      </c>
      <c r="I2115" s="19" t="s">
        <v>2283</v>
      </c>
      <c r="J2115" s="19" t="s">
        <v>2466</v>
      </c>
      <c r="K2115" s="5" t="s">
        <v>2541</v>
      </c>
      <c r="L2115" s="5" t="s">
        <v>2542</v>
      </c>
      <c r="M2115" s="5" t="s">
        <v>2543</v>
      </c>
      <c r="N2115" s="5" t="s">
        <v>2544</v>
      </c>
      <c r="O2115" s="5" t="s">
        <v>9086</v>
      </c>
      <c r="P2115" s="5" t="s">
        <v>9087</v>
      </c>
      <c r="Q2115" s="5" t="s">
        <v>9088</v>
      </c>
      <c r="R2115" s="5" t="s">
        <v>9089</v>
      </c>
      <c r="AG2115" s="14" t="s">
        <v>55</v>
      </c>
      <c r="AH2115" s="14" t="s">
        <v>1603</v>
      </c>
      <c r="AI2115" s="14" t="s">
        <v>1603</v>
      </c>
    </row>
    <row r="2116" spans="1:35">
      <c r="A2116" s="5" t="s">
        <v>9096</v>
      </c>
      <c r="B2116" s="5" t="s">
        <v>9097</v>
      </c>
      <c r="C2116" s="6" t="s">
        <v>2525</v>
      </c>
      <c r="D2116" s="6" t="s">
        <v>1645</v>
      </c>
      <c r="E2116" s="6" t="s">
        <v>2047</v>
      </c>
      <c r="F2116" s="6" t="s">
        <v>46</v>
      </c>
      <c r="G2116" s="6" t="s">
        <v>9098</v>
      </c>
      <c r="H2116" s="7">
        <v>41.59</v>
      </c>
      <c r="I2116" s="19" t="s">
        <v>2283</v>
      </c>
      <c r="J2116" s="19" t="s">
        <v>2512</v>
      </c>
      <c r="K2116" s="6" t="s">
        <v>6942</v>
      </c>
      <c r="L2116" s="6" t="s">
        <v>6943</v>
      </c>
      <c r="M2116" s="6" t="s">
        <v>6944</v>
      </c>
      <c r="N2116" s="6" t="s">
        <v>6945</v>
      </c>
      <c r="O2116" s="6" t="s">
        <v>9099</v>
      </c>
      <c r="P2116" s="6" t="s">
        <v>9100</v>
      </c>
      <c r="Q2116" s="6" t="s">
        <v>9101</v>
      </c>
      <c r="R2116" s="6" t="s">
        <v>9102</v>
      </c>
      <c r="AG2116" s="14" t="s">
        <v>55</v>
      </c>
      <c r="AH2116" s="14" t="s">
        <v>1603</v>
      </c>
      <c r="AI2116" s="14" t="s">
        <v>1603</v>
      </c>
    </row>
    <row r="2117" spans="1:35">
      <c r="A2117" s="5" t="s">
        <v>9103</v>
      </c>
      <c r="B2117" s="5" t="s">
        <v>9104</v>
      </c>
      <c r="C2117" s="6" t="s">
        <v>43</v>
      </c>
      <c r="D2117" s="6" t="s">
        <v>1645</v>
      </c>
      <c r="E2117" s="6" t="s">
        <v>2139</v>
      </c>
      <c r="F2117" s="6" t="s">
        <v>46</v>
      </c>
      <c r="G2117" s="6" t="s">
        <v>2856</v>
      </c>
      <c r="H2117" s="7">
        <v>48.84</v>
      </c>
      <c r="I2117" s="19" t="s">
        <v>2283</v>
      </c>
      <c r="J2117" s="19" t="s">
        <v>2481</v>
      </c>
      <c r="K2117" s="5" t="s">
        <v>6966</v>
      </c>
      <c r="L2117" s="5" t="s">
        <v>6967</v>
      </c>
      <c r="M2117" s="5" t="s">
        <v>6968</v>
      </c>
      <c r="N2117" s="5" t="s">
        <v>6969</v>
      </c>
      <c r="O2117" s="5" t="s">
        <v>9105</v>
      </c>
      <c r="P2117" s="5" t="s">
        <v>9106</v>
      </c>
      <c r="Q2117" s="5" t="s">
        <v>9107</v>
      </c>
      <c r="R2117" s="5" t="s">
        <v>9108</v>
      </c>
      <c r="AG2117" s="14" t="s">
        <v>55</v>
      </c>
      <c r="AH2117" s="14" t="s">
        <v>1603</v>
      </c>
      <c r="AI2117" s="14" t="s">
        <v>1603</v>
      </c>
    </row>
    <row r="2118" spans="1:35">
      <c r="A2118" s="5" t="s">
        <v>9109</v>
      </c>
      <c r="B2118" s="5" t="s">
        <v>9104</v>
      </c>
      <c r="C2118" s="6" t="s">
        <v>43</v>
      </c>
      <c r="D2118" s="6" t="s">
        <v>1645</v>
      </c>
      <c r="E2118" s="6" t="s">
        <v>1386</v>
      </c>
      <c r="F2118" s="6" t="s">
        <v>46</v>
      </c>
      <c r="G2118" s="6" t="s">
        <v>3041</v>
      </c>
      <c r="H2118" s="7">
        <v>48.84</v>
      </c>
      <c r="I2118" s="19" t="s">
        <v>2283</v>
      </c>
      <c r="J2118" s="19" t="s">
        <v>2481</v>
      </c>
      <c r="K2118" s="5" t="s">
        <v>6966</v>
      </c>
      <c r="L2118" s="5" t="s">
        <v>6967</v>
      </c>
      <c r="M2118" s="5" t="s">
        <v>6968</v>
      </c>
      <c r="N2118" s="5" t="s">
        <v>6969</v>
      </c>
      <c r="O2118" s="5" t="s">
        <v>9105</v>
      </c>
      <c r="P2118" s="5" t="s">
        <v>9106</v>
      </c>
      <c r="Q2118" s="5" t="s">
        <v>9107</v>
      </c>
      <c r="R2118" s="5" t="s">
        <v>9108</v>
      </c>
      <c r="AG2118" s="14" t="s">
        <v>55</v>
      </c>
      <c r="AH2118" s="14" t="s">
        <v>1603</v>
      </c>
      <c r="AI2118" s="14" t="s">
        <v>1603</v>
      </c>
    </row>
    <row r="2119" spans="1:35">
      <c r="A2119" s="5" t="s">
        <v>9110</v>
      </c>
      <c r="B2119" s="5" t="s">
        <v>9104</v>
      </c>
      <c r="C2119" s="6" t="s">
        <v>43</v>
      </c>
      <c r="D2119" s="6" t="s">
        <v>1645</v>
      </c>
      <c r="E2119" s="6" t="s">
        <v>2015</v>
      </c>
      <c r="F2119" s="6" t="s">
        <v>46</v>
      </c>
      <c r="G2119" s="6" t="s">
        <v>9111</v>
      </c>
      <c r="H2119" s="7">
        <v>48.84</v>
      </c>
      <c r="I2119" s="19" t="s">
        <v>2283</v>
      </c>
      <c r="J2119" s="19" t="s">
        <v>2481</v>
      </c>
      <c r="K2119" s="5" t="s">
        <v>6966</v>
      </c>
      <c r="L2119" s="5" t="s">
        <v>6967</v>
      </c>
      <c r="M2119" s="5" t="s">
        <v>6968</v>
      </c>
      <c r="N2119" s="5" t="s">
        <v>6969</v>
      </c>
      <c r="O2119" s="5" t="s">
        <v>9105</v>
      </c>
      <c r="P2119" s="5" t="s">
        <v>9106</v>
      </c>
      <c r="Q2119" s="5" t="s">
        <v>9107</v>
      </c>
      <c r="R2119" s="5" t="s">
        <v>9108</v>
      </c>
      <c r="AG2119" s="14" t="s">
        <v>55</v>
      </c>
      <c r="AH2119" s="14" t="s">
        <v>1603</v>
      </c>
      <c r="AI2119" s="14" t="s">
        <v>1603</v>
      </c>
    </row>
    <row r="2120" spans="1:35">
      <c r="A2120" s="5" t="s">
        <v>9112</v>
      </c>
      <c r="B2120" s="5" t="s">
        <v>9104</v>
      </c>
      <c r="C2120" s="6" t="s">
        <v>43</v>
      </c>
      <c r="D2120" s="6" t="s">
        <v>1645</v>
      </c>
      <c r="E2120" s="6" t="s">
        <v>2047</v>
      </c>
      <c r="F2120" s="6" t="s">
        <v>46</v>
      </c>
      <c r="G2120" s="6" t="s">
        <v>9113</v>
      </c>
      <c r="H2120" s="7">
        <v>48.84</v>
      </c>
      <c r="I2120" s="19" t="s">
        <v>2283</v>
      </c>
      <c r="J2120" s="19" t="s">
        <v>2481</v>
      </c>
      <c r="K2120" s="5" t="s">
        <v>6966</v>
      </c>
      <c r="L2120" s="5" t="s">
        <v>6967</v>
      </c>
      <c r="M2120" s="5" t="s">
        <v>6968</v>
      </c>
      <c r="N2120" s="5" t="s">
        <v>6969</v>
      </c>
      <c r="O2120" s="5" t="s">
        <v>9105</v>
      </c>
      <c r="P2120" s="5" t="s">
        <v>9106</v>
      </c>
      <c r="Q2120" s="5" t="s">
        <v>9107</v>
      </c>
      <c r="R2120" s="5" t="s">
        <v>9108</v>
      </c>
      <c r="AG2120" s="14" t="s">
        <v>55</v>
      </c>
      <c r="AH2120" s="14" t="s">
        <v>1603</v>
      </c>
      <c r="AI2120" s="14" t="s">
        <v>1603</v>
      </c>
    </row>
    <row r="2121" spans="1:35">
      <c r="A2121" s="5" t="s">
        <v>9114</v>
      </c>
      <c r="B2121" s="5" t="s">
        <v>9115</v>
      </c>
      <c r="C2121" s="6" t="s">
        <v>43</v>
      </c>
      <c r="D2121" s="6" t="s">
        <v>1645</v>
      </c>
      <c r="E2121" s="6" t="s">
        <v>2139</v>
      </c>
      <c r="F2121" s="6" t="s">
        <v>46</v>
      </c>
      <c r="G2121" s="6" t="s">
        <v>9116</v>
      </c>
      <c r="H2121" s="7">
        <v>48.84</v>
      </c>
      <c r="I2121" s="19" t="s">
        <v>2283</v>
      </c>
      <c r="J2121" s="19" t="s">
        <v>2481</v>
      </c>
      <c r="K2121" s="5" t="s">
        <v>8179</v>
      </c>
      <c r="L2121" s="5" t="s">
        <v>8180</v>
      </c>
      <c r="M2121" s="5" t="s">
        <v>8181</v>
      </c>
      <c r="N2121" s="5" t="s">
        <v>8182</v>
      </c>
      <c r="O2121" s="5" t="s">
        <v>9117</v>
      </c>
      <c r="P2121" s="5" t="s">
        <v>9118</v>
      </c>
      <c r="Q2121" s="5" t="s">
        <v>9119</v>
      </c>
      <c r="R2121" s="5" t="s">
        <v>9120</v>
      </c>
      <c r="AG2121" s="14" t="s">
        <v>55</v>
      </c>
      <c r="AH2121" s="14" t="s">
        <v>1603</v>
      </c>
      <c r="AI2121" s="14" t="s">
        <v>1603</v>
      </c>
    </row>
    <row r="2122" spans="1:35">
      <c r="A2122" s="5" t="s">
        <v>9121</v>
      </c>
      <c r="B2122" s="5" t="s">
        <v>9115</v>
      </c>
      <c r="C2122" s="6" t="s">
        <v>43</v>
      </c>
      <c r="D2122" s="6" t="s">
        <v>1645</v>
      </c>
      <c r="E2122" s="6" t="s">
        <v>2015</v>
      </c>
      <c r="F2122" s="6" t="s">
        <v>46</v>
      </c>
      <c r="G2122" s="6" t="s">
        <v>9111</v>
      </c>
      <c r="H2122" s="7">
        <v>48.84</v>
      </c>
      <c r="I2122" s="19" t="s">
        <v>2283</v>
      </c>
      <c r="J2122" s="19" t="s">
        <v>2481</v>
      </c>
      <c r="K2122" s="5" t="s">
        <v>8179</v>
      </c>
      <c r="L2122" s="5" t="s">
        <v>8180</v>
      </c>
      <c r="M2122" s="5" t="s">
        <v>8181</v>
      </c>
      <c r="N2122" s="5" t="s">
        <v>8182</v>
      </c>
      <c r="O2122" s="5" t="s">
        <v>9117</v>
      </c>
      <c r="P2122" s="5" t="s">
        <v>9118</v>
      </c>
      <c r="Q2122" s="5" t="s">
        <v>9119</v>
      </c>
      <c r="R2122" s="5" t="s">
        <v>9120</v>
      </c>
      <c r="AG2122" s="14" t="s">
        <v>55</v>
      </c>
      <c r="AH2122" s="14" t="s">
        <v>1603</v>
      </c>
      <c r="AI2122" s="14" t="s">
        <v>1603</v>
      </c>
    </row>
    <row r="2123" spans="1:35">
      <c r="A2123" s="5" t="s">
        <v>9122</v>
      </c>
      <c r="B2123" s="5" t="s">
        <v>9123</v>
      </c>
      <c r="C2123" s="6" t="s">
        <v>8899</v>
      </c>
      <c r="D2123" s="6" t="s">
        <v>1645</v>
      </c>
      <c r="E2123" s="6" t="s">
        <v>2319</v>
      </c>
      <c r="F2123" s="6" t="s">
        <v>46</v>
      </c>
      <c r="G2123" s="6" t="s">
        <v>2856</v>
      </c>
      <c r="H2123" s="7">
        <v>48.84</v>
      </c>
      <c r="I2123" s="19" t="s">
        <v>2283</v>
      </c>
      <c r="J2123" s="19" t="s">
        <v>2481</v>
      </c>
      <c r="K2123" s="5" t="s">
        <v>2573</v>
      </c>
      <c r="L2123" s="5" t="s">
        <v>2574</v>
      </c>
      <c r="M2123" s="5" t="s">
        <v>2575</v>
      </c>
      <c r="N2123" s="5" t="s">
        <v>2576</v>
      </c>
      <c r="O2123" s="5" t="s">
        <v>9124</v>
      </c>
      <c r="P2123" s="5" t="s">
        <v>9125</v>
      </c>
      <c r="Q2123" s="5" t="s">
        <v>9126</v>
      </c>
      <c r="R2123" s="5" t="s">
        <v>9127</v>
      </c>
      <c r="AG2123" s="14" t="s">
        <v>55</v>
      </c>
      <c r="AH2123" s="14" t="s">
        <v>1603</v>
      </c>
      <c r="AI2123" s="14" t="s">
        <v>1603</v>
      </c>
    </row>
    <row r="2124" spans="1:35">
      <c r="A2124" s="5" t="s">
        <v>9128</v>
      </c>
      <c r="B2124" s="5" t="s">
        <v>9123</v>
      </c>
      <c r="C2124" s="6" t="s">
        <v>8899</v>
      </c>
      <c r="D2124" s="6" t="s">
        <v>1645</v>
      </c>
      <c r="E2124" s="6" t="s">
        <v>2139</v>
      </c>
      <c r="F2124" s="6" t="s">
        <v>46</v>
      </c>
      <c r="G2124" s="6" t="s">
        <v>2856</v>
      </c>
      <c r="H2124" s="7">
        <v>48.84</v>
      </c>
      <c r="I2124" s="19" t="s">
        <v>2283</v>
      </c>
      <c r="J2124" s="19" t="s">
        <v>2481</v>
      </c>
      <c r="K2124" s="5" t="s">
        <v>2573</v>
      </c>
      <c r="L2124" s="5" t="s">
        <v>2574</v>
      </c>
      <c r="M2124" s="5" t="s">
        <v>2575</v>
      </c>
      <c r="N2124" s="5" t="s">
        <v>2576</v>
      </c>
      <c r="O2124" s="5" t="s">
        <v>9124</v>
      </c>
      <c r="P2124" s="5" t="s">
        <v>9125</v>
      </c>
      <c r="Q2124" s="5" t="s">
        <v>9126</v>
      </c>
      <c r="R2124" s="5" t="s">
        <v>9127</v>
      </c>
      <c r="AG2124" s="14" t="s">
        <v>55</v>
      </c>
      <c r="AH2124" s="14" t="s">
        <v>1603</v>
      </c>
      <c r="AI2124" s="14" t="s">
        <v>1603</v>
      </c>
    </row>
    <row r="2125" spans="1:35">
      <c r="A2125" s="5" t="s">
        <v>9129</v>
      </c>
      <c r="B2125" s="5" t="s">
        <v>9123</v>
      </c>
      <c r="C2125" s="6" t="s">
        <v>8899</v>
      </c>
      <c r="D2125" s="6" t="s">
        <v>1645</v>
      </c>
      <c r="E2125" s="6" t="s">
        <v>1386</v>
      </c>
      <c r="F2125" s="6" t="s">
        <v>46</v>
      </c>
      <c r="G2125" s="6" t="s">
        <v>3041</v>
      </c>
      <c r="H2125" s="7">
        <v>48.84</v>
      </c>
      <c r="I2125" s="19" t="s">
        <v>2283</v>
      </c>
      <c r="J2125" s="19" t="s">
        <v>2481</v>
      </c>
      <c r="K2125" s="5" t="s">
        <v>2573</v>
      </c>
      <c r="L2125" s="5" t="s">
        <v>2574</v>
      </c>
      <c r="M2125" s="5" t="s">
        <v>2575</v>
      </c>
      <c r="N2125" s="5" t="s">
        <v>2576</v>
      </c>
      <c r="O2125" s="5" t="s">
        <v>9124</v>
      </c>
      <c r="P2125" s="5" t="s">
        <v>9125</v>
      </c>
      <c r="Q2125" s="5" t="s">
        <v>9126</v>
      </c>
      <c r="R2125" s="5" t="s">
        <v>9127</v>
      </c>
      <c r="AG2125" s="14" t="s">
        <v>55</v>
      </c>
      <c r="AH2125" s="14" t="s">
        <v>1603</v>
      </c>
      <c r="AI2125" s="14" t="s">
        <v>1603</v>
      </c>
    </row>
    <row r="2126" spans="1:35">
      <c r="A2126" s="5" t="s">
        <v>9130</v>
      </c>
      <c r="B2126" s="5" t="s">
        <v>9123</v>
      </c>
      <c r="C2126" s="6" t="s">
        <v>8899</v>
      </c>
      <c r="D2126" s="6" t="s">
        <v>1645</v>
      </c>
      <c r="E2126" s="6" t="s">
        <v>2015</v>
      </c>
      <c r="F2126" s="6" t="s">
        <v>46</v>
      </c>
      <c r="G2126" s="6" t="s">
        <v>9131</v>
      </c>
      <c r="H2126" s="7">
        <v>48.84</v>
      </c>
      <c r="I2126" s="19" t="s">
        <v>2283</v>
      </c>
      <c r="J2126" s="19" t="s">
        <v>2481</v>
      </c>
      <c r="K2126" s="5" t="s">
        <v>2573</v>
      </c>
      <c r="L2126" s="5" t="s">
        <v>2574</v>
      </c>
      <c r="M2126" s="5" t="s">
        <v>2575</v>
      </c>
      <c r="N2126" s="5" t="s">
        <v>2576</v>
      </c>
      <c r="O2126" s="5" t="s">
        <v>9124</v>
      </c>
      <c r="P2126" s="5" t="s">
        <v>9125</v>
      </c>
      <c r="Q2126" s="5" t="s">
        <v>9126</v>
      </c>
      <c r="R2126" s="5" t="s">
        <v>9127</v>
      </c>
      <c r="AG2126" s="14" t="s">
        <v>55</v>
      </c>
      <c r="AH2126" s="14" t="s">
        <v>1603</v>
      </c>
      <c r="AI2126" s="14" t="s">
        <v>1603</v>
      </c>
    </row>
    <row r="2127" spans="1:35">
      <c r="A2127" s="5" t="s">
        <v>9132</v>
      </c>
      <c r="B2127" s="5" t="s">
        <v>9123</v>
      </c>
      <c r="C2127" s="6" t="s">
        <v>8899</v>
      </c>
      <c r="D2127" s="6" t="s">
        <v>1645</v>
      </c>
      <c r="E2127" s="6" t="s">
        <v>2047</v>
      </c>
      <c r="F2127" s="6" t="s">
        <v>46</v>
      </c>
      <c r="G2127" s="6" t="s">
        <v>9133</v>
      </c>
      <c r="H2127" s="7">
        <v>48.84</v>
      </c>
      <c r="I2127" s="19" t="s">
        <v>2283</v>
      </c>
      <c r="J2127" s="19" t="s">
        <v>2481</v>
      </c>
      <c r="K2127" s="5" t="s">
        <v>2573</v>
      </c>
      <c r="L2127" s="5" t="s">
        <v>2574</v>
      </c>
      <c r="M2127" s="5" t="s">
        <v>2575</v>
      </c>
      <c r="N2127" s="5" t="s">
        <v>2576</v>
      </c>
      <c r="O2127" s="5" t="s">
        <v>9124</v>
      </c>
      <c r="P2127" s="5" t="s">
        <v>9125</v>
      </c>
      <c r="Q2127" s="5" t="s">
        <v>9126</v>
      </c>
      <c r="R2127" s="5" t="s">
        <v>9127</v>
      </c>
      <c r="AG2127" s="14" t="s">
        <v>55</v>
      </c>
      <c r="AH2127" s="14" t="s">
        <v>1603</v>
      </c>
      <c r="AI2127" s="14" t="s">
        <v>1603</v>
      </c>
    </row>
    <row r="2128" spans="1:35">
      <c r="A2128" s="5" t="s">
        <v>9134</v>
      </c>
      <c r="B2128" s="5" t="s">
        <v>9135</v>
      </c>
      <c r="C2128" s="6" t="s">
        <v>9136</v>
      </c>
      <c r="D2128" s="6" t="s">
        <v>1645</v>
      </c>
      <c r="E2128" s="6" t="s">
        <v>1386</v>
      </c>
      <c r="F2128" s="6" t="s">
        <v>46</v>
      </c>
      <c r="G2128" s="6" t="s">
        <v>9137</v>
      </c>
      <c r="H2128" s="7">
        <v>48.84</v>
      </c>
      <c r="I2128" s="19" t="s">
        <v>2283</v>
      </c>
      <c r="J2128" s="19" t="s">
        <v>2481</v>
      </c>
      <c r="K2128" s="5" t="s">
        <v>2589</v>
      </c>
      <c r="L2128" s="5" t="s">
        <v>2590</v>
      </c>
      <c r="M2128" s="5" t="s">
        <v>2591</v>
      </c>
      <c r="N2128" s="5" t="s">
        <v>2592</v>
      </c>
      <c r="O2128" s="5" t="s">
        <v>9138</v>
      </c>
      <c r="P2128" s="5" t="s">
        <v>9139</v>
      </c>
      <c r="Q2128" s="5" t="s">
        <v>9140</v>
      </c>
      <c r="R2128" s="5" t="s">
        <v>9141</v>
      </c>
      <c r="AG2128" s="14" t="s">
        <v>55</v>
      </c>
      <c r="AH2128" s="14" t="s">
        <v>1603</v>
      </c>
      <c r="AI2128" s="14" t="s">
        <v>1603</v>
      </c>
    </row>
    <row r="2129" spans="1:37">
      <c r="A2129" s="5" t="s">
        <v>9142</v>
      </c>
      <c r="B2129" s="5" t="s">
        <v>9135</v>
      </c>
      <c r="C2129" s="6" t="s">
        <v>9136</v>
      </c>
      <c r="D2129" s="6" t="s">
        <v>1645</v>
      </c>
      <c r="E2129" s="6" t="s">
        <v>2015</v>
      </c>
      <c r="F2129" s="6" t="s">
        <v>46</v>
      </c>
      <c r="G2129" s="6" t="s">
        <v>9143</v>
      </c>
      <c r="H2129" s="7">
        <v>48.84</v>
      </c>
      <c r="I2129" s="19" t="s">
        <v>2283</v>
      </c>
      <c r="J2129" s="19" t="s">
        <v>2481</v>
      </c>
      <c r="K2129" s="5" t="s">
        <v>2589</v>
      </c>
      <c r="L2129" s="5" t="s">
        <v>2590</v>
      </c>
      <c r="M2129" s="5" t="s">
        <v>2591</v>
      </c>
      <c r="N2129" s="5" t="s">
        <v>2592</v>
      </c>
      <c r="O2129" s="5" t="s">
        <v>9138</v>
      </c>
      <c r="P2129" s="5" t="s">
        <v>9139</v>
      </c>
      <c r="Q2129" s="5" t="s">
        <v>9140</v>
      </c>
      <c r="R2129" s="5" t="s">
        <v>9141</v>
      </c>
      <c r="AG2129" s="14" t="s">
        <v>55</v>
      </c>
      <c r="AH2129" s="14" t="s">
        <v>1603</v>
      </c>
      <c r="AI2129" s="14" t="s">
        <v>1603</v>
      </c>
    </row>
    <row r="2130" spans="1:37">
      <c r="A2130" s="5" t="s">
        <v>9144</v>
      </c>
      <c r="B2130" s="5" t="s">
        <v>9145</v>
      </c>
      <c r="C2130" s="6" t="s">
        <v>2281</v>
      </c>
      <c r="D2130" s="6" t="s">
        <v>1645</v>
      </c>
      <c r="E2130" s="6" t="s">
        <v>1386</v>
      </c>
      <c r="F2130" s="6" t="s">
        <v>46</v>
      </c>
      <c r="G2130" s="6" t="s">
        <v>9146</v>
      </c>
      <c r="H2130" s="7">
        <v>57.73</v>
      </c>
      <c r="I2130" s="19" t="s">
        <v>2283</v>
      </c>
      <c r="J2130" s="19" t="s">
        <v>2512</v>
      </c>
      <c r="K2130" s="6" t="s">
        <v>2616</v>
      </c>
      <c r="L2130" s="6" t="s">
        <v>2617</v>
      </c>
      <c r="M2130" s="6" t="s">
        <v>2618</v>
      </c>
      <c r="N2130" s="6" t="s">
        <v>2619</v>
      </c>
      <c r="O2130" s="6" t="s">
        <v>9147</v>
      </c>
      <c r="P2130" s="6" t="s">
        <v>9148</v>
      </c>
      <c r="Q2130" s="6" t="s">
        <v>9149</v>
      </c>
      <c r="R2130" s="6" t="s">
        <v>9150</v>
      </c>
      <c r="AG2130" s="14" t="s">
        <v>55</v>
      </c>
      <c r="AH2130" s="14" t="s">
        <v>1603</v>
      </c>
      <c r="AI2130" s="14" t="s">
        <v>1603</v>
      </c>
    </row>
    <row r="2131" spans="1:37">
      <c r="A2131" s="5" t="s">
        <v>9151</v>
      </c>
      <c r="B2131" s="5" t="s">
        <v>9145</v>
      </c>
      <c r="C2131" s="6" t="s">
        <v>2281</v>
      </c>
      <c r="D2131" s="6" t="s">
        <v>1645</v>
      </c>
      <c r="E2131" s="6" t="s">
        <v>2065</v>
      </c>
      <c r="F2131" s="6" t="s">
        <v>46</v>
      </c>
      <c r="G2131" s="6" t="s">
        <v>9152</v>
      </c>
      <c r="H2131" s="7">
        <v>57.73</v>
      </c>
      <c r="I2131" s="19" t="s">
        <v>2283</v>
      </c>
      <c r="J2131" s="19" t="s">
        <v>2512</v>
      </c>
      <c r="K2131" s="6" t="s">
        <v>2616</v>
      </c>
      <c r="L2131" s="6" t="s">
        <v>2617</v>
      </c>
      <c r="M2131" s="6" t="s">
        <v>2618</v>
      </c>
      <c r="N2131" s="6" t="s">
        <v>2619</v>
      </c>
      <c r="O2131" s="6" t="s">
        <v>9153</v>
      </c>
      <c r="P2131" s="6" t="s">
        <v>9154</v>
      </c>
      <c r="Q2131" s="6" t="s">
        <v>9155</v>
      </c>
      <c r="R2131" s="6" t="s">
        <v>9156</v>
      </c>
      <c r="AG2131" s="14" t="s">
        <v>55</v>
      </c>
      <c r="AH2131" s="14" t="s">
        <v>1603</v>
      </c>
      <c r="AI2131" s="14" t="s">
        <v>1603</v>
      </c>
    </row>
    <row r="2132" spans="1:37">
      <c r="A2132" s="6" t="s">
        <v>9157</v>
      </c>
      <c r="B2132" s="6" t="s">
        <v>9158</v>
      </c>
      <c r="C2132" s="6" t="s">
        <v>2281</v>
      </c>
      <c r="D2132" s="6" t="s">
        <v>1645</v>
      </c>
      <c r="E2132" s="6" t="s">
        <v>2015</v>
      </c>
      <c r="F2132" s="6" t="s">
        <v>46</v>
      </c>
      <c r="G2132" s="6" t="s">
        <v>8038</v>
      </c>
      <c r="I2132" s="19" t="s">
        <v>48</v>
      </c>
      <c r="J2132" s="19" t="s">
        <v>48</v>
      </c>
      <c r="K2132" s="6"/>
      <c r="L2132" s="6"/>
      <c r="M2132" s="6"/>
      <c r="N2132" s="6"/>
      <c r="O2132" s="6"/>
      <c r="P2132" s="6"/>
      <c r="Q2132" s="6"/>
      <c r="R2132" s="6"/>
      <c r="S2132" s="6"/>
      <c r="T2132" s="6"/>
      <c r="U2132" s="6"/>
      <c r="V2132" s="6"/>
      <c r="W2132" s="6"/>
      <c r="X2132" s="6"/>
      <c r="Y2132" s="6"/>
      <c r="Z2132" s="6"/>
      <c r="AA2132" s="6"/>
      <c r="AB2132" s="6"/>
      <c r="AC2132" s="6"/>
      <c r="AD2132" s="6"/>
      <c r="AE2132" s="6"/>
      <c r="AF2132" s="6"/>
      <c r="AG2132" s="15" t="s">
        <v>55</v>
      </c>
      <c r="AH2132" s="15"/>
      <c r="AI2132" s="15"/>
      <c r="AJ2132" s="6"/>
      <c r="AK2132" s="6"/>
    </row>
    <row r="2133" spans="1:37" s="6" customFormat="1">
      <c r="A2133" s="5" t="s">
        <v>9159</v>
      </c>
      <c r="B2133" s="5" t="s">
        <v>9160</v>
      </c>
      <c r="C2133" s="6" t="s">
        <v>43</v>
      </c>
      <c r="D2133" s="6" t="s">
        <v>1645</v>
      </c>
      <c r="E2133" s="6" t="s">
        <v>2065</v>
      </c>
      <c r="F2133" s="6" t="s">
        <v>46</v>
      </c>
      <c r="G2133" s="6" t="s">
        <v>9161</v>
      </c>
      <c r="H2133" s="7">
        <v>59.66</v>
      </c>
      <c r="I2133" s="19" t="s">
        <v>2283</v>
      </c>
      <c r="J2133" s="19" t="s">
        <v>2636</v>
      </c>
      <c r="K2133" s="5" t="s">
        <v>8244</v>
      </c>
      <c r="L2133" s="5" t="s">
        <v>8245</v>
      </c>
      <c r="M2133" s="5" t="s">
        <v>8246</v>
      </c>
      <c r="N2133" s="5" t="s">
        <v>8247</v>
      </c>
      <c r="O2133" s="5" t="s">
        <v>9162</v>
      </c>
      <c r="P2133" s="5" t="s">
        <v>9163</v>
      </c>
      <c r="Q2133" s="5" t="s">
        <v>9164</v>
      </c>
      <c r="R2133" s="5" t="s">
        <v>9165</v>
      </c>
      <c r="S2133" s="5"/>
      <c r="T2133" s="5"/>
      <c r="U2133" s="5"/>
      <c r="V2133" s="5"/>
      <c r="W2133" s="5"/>
      <c r="X2133" s="5"/>
      <c r="Y2133" s="5"/>
      <c r="Z2133" s="5"/>
      <c r="AA2133" s="5"/>
      <c r="AB2133" s="5"/>
      <c r="AC2133" s="5"/>
      <c r="AD2133" s="5"/>
      <c r="AE2133" s="5"/>
      <c r="AF2133" s="5"/>
      <c r="AG2133" s="14" t="s">
        <v>55</v>
      </c>
      <c r="AH2133" s="14" t="s">
        <v>1603</v>
      </c>
      <c r="AI2133" s="14" t="s">
        <v>1603</v>
      </c>
      <c r="AJ2133" s="5"/>
      <c r="AK2133" s="5"/>
    </row>
    <row r="2134" spans="1:37">
      <c r="A2134" s="5" t="s">
        <v>9166</v>
      </c>
      <c r="B2134" s="5" t="s">
        <v>9167</v>
      </c>
      <c r="C2134" s="6" t="s">
        <v>8873</v>
      </c>
      <c r="D2134" s="6" t="s">
        <v>1645</v>
      </c>
      <c r="E2134" s="6" t="s">
        <v>1386</v>
      </c>
      <c r="F2134" s="6" t="s">
        <v>46</v>
      </c>
      <c r="G2134" s="6" t="s">
        <v>9168</v>
      </c>
      <c r="H2134" s="7">
        <v>59.66</v>
      </c>
      <c r="I2134" s="19" t="s">
        <v>2283</v>
      </c>
      <c r="J2134" s="19" t="s">
        <v>2636</v>
      </c>
      <c r="K2134" s="5" t="s">
        <v>8244</v>
      </c>
      <c r="L2134" s="5" t="s">
        <v>8245</v>
      </c>
      <c r="M2134" s="5" t="s">
        <v>8246</v>
      </c>
      <c r="N2134" s="5" t="s">
        <v>8247</v>
      </c>
      <c r="O2134" s="5" t="s">
        <v>9162</v>
      </c>
      <c r="P2134" s="5" t="s">
        <v>9163</v>
      </c>
      <c r="Q2134" s="5" t="s">
        <v>9164</v>
      </c>
      <c r="R2134" s="5" t="s">
        <v>9165</v>
      </c>
      <c r="AG2134" s="14" t="s">
        <v>55</v>
      </c>
      <c r="AH2134" s="14" t="s">
        <v>1603</v>
      </c>
      <c r="AI2134" s="14" t="s">
        <v>1603</v>
      </c>
    </row>
    <row r="2135" spans="1:37">
      <c r="A2135" s="5" t="s">
        <v>9169</v>
      </c>
      <c r="B2135" s="5" t="s">
        <v>9167</v>
      </c>
      <c r="C2135" s="6" t="s">
        <v>8873</v>
      </c>
      <c r="D2135" s="6" t="s">
        <v>1645</v>
      </c>
      <c r="E2135" s="6" t="s">
        <v>2015</v>
      </c>
      <c r="F2135" s="6" t="s">
        <v>46</v>
      </c>
      <c r="G2135" s="6" t="s">
        <v>9170</v>
      </c>
      <c r="H2135" s="7">
        <v>59.66</v>
      </c>
      <c r="I2135" s="19" t="s">
        <v>2283</v>
      </c>
      <c r="J2135" s="19" t="s">
        <v>2636</v>
      </c>
      <c r="K2135" s="5" t="s">
        <v>8244</v>
      </c>
      <c r="L2135" s="5" t="s">
        <v>8245</v>
      </c>
      <c r="M2135" s="5" t="s">
        <v>8246</v>
      </c>
      <c r="N2135" s="5" t="s">
        <v>8247</v>
      </c>
      <c r="O2135" s="5" t="s">
        <v>9162</v>
      </c>
      <c r="P2135" s="5" t="s">
        <v>9163</v>
      </c>
      <c r="Q2135" s="5" t="s">
        <v>9164</v>
      </c>
      <c r="R2135" s="5" t="s">
        <v>9165</v>
      </c>
      <c r="AG2135" s="14" t="s">
        <v>55</v>
      </c>
      <c r="AH2135" s="14" t="s">
        <v>1603</v>
      </c>
      <c r="AI2135" s="14" t="s">
        <v>1603</v>
      </c>
    </row>
    <row r="2136" spans="1:37">
      <c r="A2136" s="5" t="s">
        <v>9171</v>
      </c>
      <c r="B2136" s="5" t="s">
        <v>9167</v>
      </c>
      <c r="C2136" s="6" t="s">
        <v>8873</v>
      </c>
      <c r="D2136" s="6" t="s">
        <v>1645</v>
      </c>
      <c r="E2136" s="6" t="s">
        <v>2047</v>
      </c>
      <c r="F2136" s="6" t="s">
        <v>46</v>
      </c>
      <c r="G2136" s="6" t="s">
        <v>9172</v>
      </c>
      <c r="H2136" s="7">
        <v>59.66</v>
      </c>
      <c r="I2136" s="19" t="s">
        <v>2283</v>
      </c>
      <c r="J2136" s="19" t="s">
        <v>2636</v>
      </c>
      <c r="K2136" s="5" t="s">
        <v>8244</v>
      </c>
      <c r="L2136" s="5" t="s">
        <v>8245</v>
      </c>
      <c r="M2136" s="5" t="s">
        <v>8246</v>
      </c>
      <c r="N2136" s="5" t="s">
        <v>8247</v>
      </c>
      <c r="O2136" s="5" t="s">
        <v>9162</v>
      </c>
      <c r="P2136" s="5" t="s">
        <v>9163</v>
      </c>
      <c r="Q2136" s="5" t="s">
        <v>9164</v>
      </c>
      <c r="R2136" s="5" t="s">
        <v>9165</v>
      </c>
      <c r="AG2136" s="14" t="s">
        <v>55</v>
      </c>
      <c r="AH2136" s="14" t="s">
        <v>1603</v>
      </c>
      <c r="AI2136" s="14" t="s">
        <v>1603</v>
      </c>
    </row>
    <row r="2137" spans="1:37">
      <c r="A2137" s="6" t="s">
        <v>9173</v>
      </c>
      <c r="B2137" s="6" t="s">
        <v>9167</v>
      </c>
      <c r="C2137" s="6" t="s">
        <v>8873</v>
      </c>
      <c r="D2137" s="6" t="s">
        <v>1645</v>
      </c>
      <c r="E2137" s="6" t="s">
        <v>1671</v>
      </c>
      <c r="F2137" s="6" t="s">
        <v>46</v>
      </c>
      <c r="G2137" s="6" t="s">
        <v>9174</v>
      </c>
      <c r="I2137" s="19" t="s">
        <v>48</v>
      </c>
      <c r="J2137" s="19" t="s">
        <v>48</v>
      </c>
      <c r="K2137" s="6"/>
      <c r="L2137" s="6"/>
      <c r="M2137" s="6"/>
      <c r="N2137" s="6"/>
      <c r="O2137" s="6"/>
      <c r="P2137" s="6"/>
      <c r="Q2137" s="6"/>
      <c r="R2137" s="6"/>
      <c r="S2137" s="6"/>
      <c r="T2137" s="6"/>
      <c r="U2137" s="6"/>
      <c r="V2137" s="6"/>
      <c r="W2137" s="6"/>
      <c r="X2137" s="6"/>
      <c r="Y2137" s="6"/>
      <c r="Z2137" s="6"/>
      <c r="AA2137" s="6"/>
      <c r="AB2137" s="6"/>
      <c r="AC2137" s="6"/>
      <c r="AD2137" s="6"/>
      <c r="AE2137" s="6"/>
      <c r="AF2137" s="6"/>
      <c r="AG2137" s="15" t="s">
        <v>55</v>
      </c>
      <c r="AH2137" s="15"/>
      <c r="AI2137" s="15"/>
      <c r="AJ2137" s="6"/>
      <c r="AK2137" s="6"/>
    </row>
    <row r="2138" spans="1:37" s="6" customFormat="1">
      <c r="A2138" s="5" t="s">
        <v>9175</v>
      </c>
      <c r="B2138" s="5" t="s">
        <v>9176</v>
      </c>
      <c r="C2138" s="6" t="s">
        <v>9177</v>
      </c>
      <c r="D2138" s="6" t="s">
        <v>1645</v>
      </c>
      <c r="E2138" s="6" t="s">
        <v>1386</v>
      </c>
      <c r="F2138" s="6" t="s">
        <v>46</v>
      </c>
      <c r="G2138" s="6" t="s">
        <v>9178</v>
      </c>
      <c r="H2138" s="7">
        <v>59.66</v>
      </c>
      <c r="I2138" s="19" t="s">
        <v>2283</v>
      </c>
      <c r="J2138" s="19" t="s">
        <v>2636</v>
      </c>
      <c r="K2138" s="5" t="s">
        <v>2637</v>
      </c>
      <c r="L2138" s="5" t="s">
        <v>2638</v>
      </c>
      <c r="M2138" s="5" t="s">
        <v>2639</v>
      </c>
      <c r="N2138" s="5" t="s">
        <v>2640</v>
      </c>
      <c r="O2138" s="5" t="s">
        <v>9179</v>
      </c>
      <c r="P2138" s="5" t="s">
        <v>9180</v>
      </c>
      <c r="Q2138" s="5" t="s">
        <v>9181</v>
      </c>
      <c r="R2138" s="5" t="s">
        <v>9165</v>
      </c>
      <c r="S2138" s="5"/>
      <c r="T2138" s="5"/>
      <c r="U2138" s="5"/>
      <c r="V2138" s="5"/>
      <c r="W2138" s="5"/>
      <c r="X2138" s="5"/>
      <c r="Y2138" s="5"/>
      <c r="Z2138" s="5"/>
      <c r="AA2138" s="5"/>
      <c r="AB2138" s="5"/>
      <c r="AC2138" s="5"/>
      <c r="AD2138" s="5"/>
      <c r="AE2138" s="5"/>
      <c r="AF2138" s="5"/>
      <c r="AG2138" s="14" t="s">
        <v>55</v>
      </c>
      <c r="AH2138" s="14" t="s">
        <v>1603</v>
      </c>
      <c r="AI2138" s="14" t="s">
        <v>1603</v>
      </c>
      <c r="AJ2138" s="5"/>
      <c r="AK2138" s="5"/>
    </row>
    <row r="2139" spans="1:37">
      <c r="A2139" s="5" t="s">
        <v>9182</v>
      </c>
      <c r="B2139" s="5" t="s">
        <v>9176</v>
      </c>
      <c r="C2139" s="6" t="s">
        <v>8873</v>
      </c>
      <c r="D2139" s="6" t="s">
        <v>1645</v>
      </c>
      <c r="E2139" s="6" t="s">
        <v>2015</v>
      </c>
      <c r="F2139" s="6" t="s">
        <v>46</v>
      </c>
      <c r="G2139" s="6" t="s">
        <v>8619</v>
      </c>
      <c r="H2139" s="7">
        <v>59.66</v>
      </c>
      <c r="I2139" s="19" t="s">
        <v>2283</v>
      </c>
      <c r="J2139" s="19" t="s">
        <v>2636</v>
      </c>
      <c r="K2139" s="5" t="s">
        <v>2637</v>
      </c>
      <c r="L2139" s="5" t="s">
        <v>2638</v>
      </c>
      <c r="M2139" s="5" t="s">
        <v>2639</v>
      </c>
      <c r="N2139" s="5" t="s">
        <v>2640</v>
      </c>
      <c r="O2139" s="5" t="s">
        <v>9179</v>
      </c>
      <c r="P2139" s="5" t="s">
        <v>9180</v>
      </c>
      <c r="Q2139" s="5" t="s">
        <v>9181</v>
      </c>
      <c r="R2139" s="5" t="s">
        <v>9165</v>
      </c>
      <c r="AG2139" s="14" t="s">
        <v>55</v>
      </c>
      <c r="AH2139" s="14" t="s">
        <v>1603</v>
      </c>
      <c r="AI2139" s="14" t="s">
        <v>1603</v>
      </c>
    </row>
    <row r="2140" spans="1:37">
      <c r="A2140" s="5" t="s">
        <v>9183</v>
      </c>
      <c r="B2140" s="5" t="s">
        <v>9176</v>
      </c>
      <c r="C2140" s="6" t="s">
        <v>9177</v>
      </c>
      <c r="D2140" s="6" t="s">
        <v>1645</v>
      </c>
      <c r="E2140" s="6" t="s">
        <v>2065</v>
      </c>
      <c r="F2140" s="6" t="s">
        <v>46</v>
      </c>
      <c r="G2140" s="6" t="s">
        <v>9184</v>
      </c>
      <c r="H2140" s="7">
        <v>59.66</v>
      </c>
      <c r="I2140" s="19" t="s">
        <v>2283</v>
      </c>
      <c r="J2140" s="19" t="s">
        <v>2636</v>
      </c>
      <c r="K2140" s="5" t="s">
        <v>2637</v>
      </c>
      <c r="L2140" s="5" t="s">
        <v>2638</v>
      </c>
      <c r="M2140" s="5" t="s">
        <v>2639</v>
      </c>
      <c r="N2140" s="5" t="s">
        <v>2640</v>
      </c>
      <c r="O2140" s="5" t="s">
        <v>9179</v>
      </c>
      <c r="P2140" s="5" t="s">
        <v>9180</v>
      </c>
      <c r="Q2140" s="5" t="s">
        <v>9181</v>
      </c>
      <c r="R2140" s="5" t="s">
        <v>9165</v>
      </c>
      <c r="AG2140" s="14" t="s">
        <v>55</v>
      </c>
      <c r="AH2140" s="14" t="s">
        <v>1603</v>
      </c>
      <c r="AI2140" s="14" t="s">
        <v>1603</v>
      </c>
    </row>
    <row r="2141" spans="1:37">
      <c r="A2141" s="5" t="s">
        <v>9185</v>
      </c>
      <c r="B2141" s="5" t="s">
        <v>9186</v>
      </c>
      <c r="C2141" s="6" t="s">
        <v>5271</v>
      </c>
      <c r="D2141" s="6" t="s">
        <v>1390</v>
      </c>
      <c r="E2141" s="6" t="s">
        <v>1386</v>
      </c>
      <c r="F2141" s="6" t="s">
        <v>46</v>
      </c>
      <c r="G2141" s="6" t="s">
        <v>9187</v>
      </c>
      <c r="H2141" s="7">
        <v>26.36</v>
      </c>
      <c r="I2141" s="19" t="s">
        <v>1589</v>
      </c>
      <c r="J2141" s="19" t="s">
        <v>2650</v>
      </c>
      <c r="K2141" s="20" t="s">
        <v>2651</v>
      </c>
      <c r="L2141" s="20" t="s">
        <v>2652</v>
      </c>
      <c r="M2141" s="20" t="s">
        <v>2653</v>
      </c>
      <c r="N2141" s="20" t="s">
        <v>2654</v>
      </c>
      <c r="O2141" s="20" t="s">
        <v>9188</v>
      </c>
      <c r="P2141" s="20" t="s">
        <v>9189</v>
      </c>
      <c r="Q2141" s="20" t="s">
        <v>9190</v>
      </c>
      <c r="R2141" s="5" t="s">
        <v>9191</v>
      </c>
      <c r="W2141" s="20" t="s">
        <v>2010</v>
      </c>
      <c r="X2141" s="20" t="s">
        <v>2011</v>
      </c>
      <c r="Y2141" s="20" t="s">
        <v>2012</v>
      </c>
      <c r="Z2141" s="20" t="s">
        <v>2013</v>
      </c>
      <c r="AG2141" s="14" t="s">
        <v>55</v>
      </c>
      <c r="AH2141" s="14" t="s">
        <v>1603</v>
      </c>
      <c r="AI2141" s="14" t="s">
        <v>124</v>
      </c>
    </row>
    <row r="2142" spans="1:37">
      <c r="A2142" s="5" t="s">
        <v>9192</v>
      </c>
      <c r="B2142" s="5" t="s">
        <v>9193</v>
      </c>
      <c r="C2142" s="6" t="s">
        <v>43</v>
      </c>
      <c r="D2142" s="6" t="s">
        <v>1390</v>
      </c>
      <c r="E2142" s="6" t="s">
        <v>1386</v>
      </c>
      <c r="F2142" s="6" t="s">
        <v>46</v>
      </c>
      <c r="G2142" s="6" t="s">
        <v>4065</v>
      </c>
      <c r="H2142" s="7">
        <v>34.54</v>
      </c>
      <c r="I2142" s="19" t="s">
        <v>1589</v>
      </c>
      <c r="J2142" s="19" t="s">
        <v>2650</v>
      </c>
      <c r="K2142" s="20" t="s">
        <v>2662</v>
      </c>
      <c r="L2142" s="20" t="s">
        <v>2663</v>
      </c>
      <c r="M2142" s="20" t="s">
        <v>2664</v>
      </c>
      <c r="N2142" s="20" t="s">
        <v>2665</v>
      </c>
      <c r="O2142" s="20" t="s">
        <v>9194</v>
      </c>
      <c r="P2142" s="20" t="s">
        <v>9195</v>
      </c>
      <c r="Q2142" s="20" t="s">
        <v>9196</v>
      </c>
      <c r="R2142" s="5" t="s">
        <v>9197</v>
      </c>
      <c r="W2142" s="20" t="s">
        <v>2010</v>
      </c>
      <c r="X2142" s="20" t="s">
        <v>2011</v>
      </c>
      <c r="Y2142" s="20" t="s">
        <v>2012</v>
      </c>
      <c r="Z2142" s="20" t="s">
        <v>2013</v>
      </c>
      <c r="AG2142" s="14" t="s">
        <v>55</v>
      </c>
      <c r="AH2142" s="14" t="s">
        <v>1603</v>
      </c>
      <c r="AI2142" s="14" t="s">
        <v>124</v>
      </c>
    </row>
    <row r="2143" spans="1:37">
      <c r="A2143" s="6" t="s">
        <v>9198</v>
      </c>
      <c r="B2143" s="6" t="s">
        <v>9199</v>
      </c>
      <c r="C2143" s="6" t="s">
        <v>43</v>
      </c>
      <c r="D2143" s="6" t="s">
        <v>1390</v>
      </c>
      <c r="E2143" s="6" t="s">
        <v>1386</v>
      </c>
      <c r="F2143" s="6" t="s">
        <v>46</v>
      </c>
      <c r="G2143" s="6" t="s">
        <v>9200</v>
      </c>
      <c r="I2143" s="19" t="s">
        <v>48</v>
      </c>
      <c r="J2143" s="19" t="s">
        <v>48</v>
      </c>
      <c r="K2143" s="6"/>
      <c r="L2143" s="6"/>
      <c r="M2143" s="6"/>
      <c r="N2143" s="6"/>
      <c r="O2143" s="6"/>
      <c r="P2143" s="6"/>
      <c r="Q2143" s="6"/>
      <c r="R2143" s="6"/>
      <c r="S2143" s="6"/>
      <c r="T2143" s="6"/>
      <c r="U2143" s="6"/>
      <c r="V2143" s="6"/>
      <c r="W2143" s="6"/>
      <c r="X2143" s="6"/>
      <c r="Y2143" s="6"/>
      <c r="Z2143" s="6"/>
      <c r="AA2143" s="6"/>
      <c r="AB2143" s="6"/>
      <c r="AC2143" s="6"/>
      <c r="AD2143" s="6"/>
      <c r="AE2143" s="6"/>
      <c r="AF2143" s="6"/>
      <c r="AG2143" s="15" t="s">
        <v>55</v>
      </c>
      <c r="AH2143" s="15"/>
      <c r="AI2143" s="15"/>
      <c r="AJ2143" s="6"/>
      <c r="AK2143" s="6"/>
    </row>
    <row r="2144" spans="1:37" s="6" customFormat="1">
      <c r="A2144" s="5" t="s">
        <v>9201</v>
      </c>
      <c r="B2144" s="5" t="s">
        <v>9202</v>
      </c>
      <c r="C2144" s="6" t="s">
        <v>5925</v>
      </c>
      <c r="D2144" s="6" t="s">
        <v>1390</v>
      </c>
      <c r="E2144" s="6" t="s">
        <v>1386</v>
      </c>
      <c r="F2144" s="6" t="s">
        <v>46</v>
      </c>
      <c r="G2144" s="6" t="s">
        <v>7317</v>
      </c>
      <c r="H2144" s="7">
        <v>33.18</v>
      </c>
      <c r="I2144" s="19" t="s">
        <v>1589</v>
      </c>
      <c r="J2144" s="19" t="s">
        <v>2650</v>
      </c>
      <c r="K2144" s="5" t="s">
        <v>2674</v>
      </c>
      <c r="L2144" s="5" t="s">
        <v>2675</v>
      </c>
      <c r="M2144" s="5" t="s">
        <v>2676</v>
      </c>
      <c r="N2144" s="5" t="s">
        <v>2677</v>
      </c>
      <c r="O2144" s="5" t="s">
        <v>9203</v>
      </c>
      <c r="P2144" s="5" t="s">
        <v>9204</v>
      </c>
      <c r="Q2144" s="5" t="s">
        <v>9205</v>
      </c>
      <c r="R2144" s="5" t="s">
        <v>9206</v>
      </c>
      <c r="S2144" s="5"/>
      <c r="T2144" s="5"/>
      <c r="U2144" s="5"/>
      <c r="V2144" s="5"/>
      <c r="W2144" s="5"/>
      <c r="X2144" s="5"/>
      <c r="Y2144" s="5"/>
      <c r="Z2144" s="5"/>
      <c r="AA2144" s="5"/>
      <c r="AB2144" s="5"/>
      <c r="AC2144" s="5"/>
      <c r="AD2144" s="5"/>
      <c r="AE2144" s="5"/>
      <c r="AF2144" s="5"/>
      <c r="AG2144" s="14" t="s">
        <v>55</v>
      </c>
      <c r="AH2144" s="14" t="s">
        <v>1603</v>
      </c>
      <c r="AI2144" s="14" t="s">
        <v>2087</v>
      </c>
      <c r="AJ2144" s="5"/>
      <c r="AK2144" s="5"/>
    </row>
    <row r="2145" spans="1:37">
      <c r="A2145" s="5" t="s">
        <v>9207</v>
      </c>
      <c r="B2145" s="5" t="s">
        <v>9208</v>
      </c>
      <c r="C2145" s="6" t="s">
        <v>43</v>
      </c>
      <c r="D2145" s="6" t="s">
        <v>1390</v>
      </c>
      <c r="E2145" s="6" t="s">
        <v>1386</v>
      </c>
      <c r="F2145" s="6" t="s">
        <v>46</v>
      </c>
      <c r="G2145" s="6" t="s">
        <v>9209</v>
      </c>
      <c r="H2145" s="7">
        <v>40.35</v>
      </c>
      <c r="I2145" s="19" t="s">
        <v>1589</v>
      </c>
      <c r="J2145" s="19" t="s">
        <v>2650</v>
      </c>
      <c r="K2145" s="5" t="s">
        <v>2685</v>
      </c>
      <c r="L2145" s="5" t="s">
        <v>2686</v>
      </c>
      <c r="M2145" s="5" t="s">
        <v>2687</v>
      </c>
      <c r="N2145" s="5" t="s">
        <v>2688</v>
      </c>
      <c r="O2145" s="5" t="s">
        <v>9210</v>
      </c>
      <c r="P2145" s="5" t="s">
        <v>8285</v>
      </c>
      <c r="Q2145" s="5" t="s">
        <v>9211</v>
      </c>
      <c r="R2145" s="5" t="s">
        <v>9212</v>
      </c>
      <c r="AG2145" s="14" t="s">
        <v>55</v>
      </c>
      <c r="AH2145" s="14" t="s">
        <v>1603</v>
      </c>
      <c r="AI2145" s="14" t="s">
        <v>2087</v>
      </c>
    </row>
    <row r="2146" spans="1:37">
      <c r="A2146" s="5" t="s">
        <v>9213</v>
      </c>
      <c r="B2146" s="5" t="s">
        <v>9214</v>
      </c>
      <c r="C2146" s="6" t="s">
        <v>43</v>
      </c>
      <c r="D2146" s="6" t="s">
        <v>239</v>
      </c>
      <c r="E2146" s="6" t="s">
        <v>1386</v>
      </c>
      <c r="F2146" s="6" t="s">
        <v>46</v>
      </c>
      <c r="G2146" s="6" t="s">
        <v>9215</v>
      </c>
      <c r="H2146" s="7">
        <v>18.04</v>
      </c>
      <c r="I2146" s="19" t="s">
        <v>1589</v>
      </c>
      <c r="J2146" s="19" t="s">
        <v>2696</v>
      </c>
      <c r="K2146" s="5" t="s">
        <v>2697</v>
      </c>
      <c r="L2146" s="5" t="s">
        <v>2698</v>
      </c>
      <c r="M2146" s="5" t="s">
        <v>2699</v>
      </c>
      <c r="N2146" s="5" t="s">
        <v>2700</v>
      </c>
      <c r="O2146" s="5" t="s">
        <v>9216</v>
      </c>
      <c r="P2146" s="5" t="s">
        <v>9217</v>
      </c>
      <c r="Q2146" s="5" t="s">
        <v>9218</v>
      </c>
      <c r="R2146" s="5" t="s">
        <v>9219</v>
      </c>
      <c r="AG2146" s="14" t="s">
        <v>55</v>
      </c>
      <c r="AH2146" s="14" t="s">
        <v>1603</v>
      </c>
      <c r="AI2146" s="14" t="s">
        <v>1604</v>
      </c>
    </row>
    <row r="2147" spans="1:37">
      <c r="A2147" s="6" t="s">
        <v>9220</v>
      </c>
      <c r="B2147" s="6" t="s">
        <v>9221</v>
      </c>
      <c r="C2147" s="6" t="s">
        <v>43</v>
      </c>
      <c r="D2147" s="6" t="s">
        <v>239</v>
      </c>
      <c r="E2147" s="6" t="s">
        <v>1540</v>
      </c>
      <c r="F2147" s="6" t="s">
        <v>46</v>
      </c>
      <c r="G2147" s="6" t="s">
        <v>9222</v>
      </c>
      <c r="I2147" s="6" t="s">
        <v>48</v>
      </c>
      <c r="J2147" s="6" t="s">
        <v>48</v>
      </c>
      <c r="K2147" s="6"/>
      <c r="L2147" s="6"/>
      <c r="M2147" s="6"/>
      <c r="N2147" s="6"/>
      <c r="O2147" s="6"/>
      <c r="P2147" s="6"/>
      <c r="Q2147" s="6"/>
      <c r="R2147" s="6"/>
      <c r="S2147" s="6"/>
      <c r="T2147" s="6"/>
      <c r="U2147" s="6"/>
      <c r="V2147" s="6"/>
      <c r="W2147" s="6"/>
      <c r="X2147" s="6"/>
      <c r="Y2147" s="6"/>
      <c r="Z2147" s="6"/>
      <c r="AA2147" s="6"/>
      <c r="AB2147" s="6"/>
      <c r="AC2147" s="6"/>
      <c r="AD2147" s="6"/>
      <c r="AE2147" s="6"/>
      <c r="AF2147" s="6"/>
      <c r="AG2147" s="15" t="s">
        <v>55</v>
      </c>
      <c r="AH2147" s="15"/>
      <c r="AI2147" s="15"/>
      <c r="AJ2147" s="6"/>
      <c r="AK2147" s="6"/>
    </row>
    <row r="2148" spans="1:37" s="6" customFormat="1">
      <c r="A2148" s="6" t="s">
        <v>9223</v>
      </c>
      <c r="B2148" s="6" t="s">
        <v>9224</v>
      </c>
      <c r="C2148" s="6" t="s">
        <v>4478</v>
      </c>
      <c r="D2148" s="6" t="s">
        <v>239</v>
      </c>
      <c r="E2148" s="6" t="s">
        <v>2047</v>
      </c>
      <c r="F2148" s="6" t="s">
        <v>46</v>
      </c>
      <c r="G2148" s="6" t="s">
        <v>4479</v>
      </c>
      <c r="H2148" s="7"/>
      <c r="I2148" s="19" t="s">
        <v>48</v>
      </c>
      <c r="J2148" s="19" t="s">
        <v>48</v>
      </c>
      <c r="AG2148" s="15" t="s">
        <v>55</v>
      </c>
      <c r="AH2148" s="15"/>
      <c r="AI2148" s="15"/>
    </row>
    <row r="2149" spans="1:37" s="6" customFormat="1">
      <c r="A2149" s="5" t="s">
        <v>9225</v>
      </c>
      <c r="B2149" s="5" t="s">
        <v>9226</v>
      </c>
      <c r="C2149" s="6" t="s">
        <v>6736</v>
      </c>
      <c r="D2149" s="6" t="s">
        <v>239</v>
      </c>
      <c r="E2149" s="6" t="s">
        <v>1386</v>
      </c>
      <c r="F2149" s="6" t="s">
        <v>46</v>
      </c>
      <c r="G2149" s="6" t="s">
        <v>9227</v>
      </c>
      <c r="H2149" s="7">
        <v>20.55</v>
      </c>
      <c r="I2149" s="19" t="s">
        <v>1589</v>
      </c>
      <c r="J2149" s="19" t="s">
        <v>2696</v>
      </c>
      <c r="K2149" s="5" t="s">
        <v>2733</v>
      </c>
      <c r="L2149" s="5" t="s">
        <v>2734</v>
      </c>
      <c r="M2149" s="5" t="s">
        <v>2735</v>
      </c>
      <c r="N2149" s="5" t="s">
        <v>2736</v>
      </c>
      <c r="O2149" s="5" t="s">
        <v>9228</v>
      </c>
      <c r="P2149" s="5" t="s">
        <v>9229</v>
      </c>
      <c r="Q2149" s="5" t="s">
        <v>9230</v>
      </c>
      <c r="R2149" s="5" t="s">
        <v>9231</v>
      </c>
      <c r="S2149" s="5"/>
      <c r="T2149" s="5"/>
      <c r="U2149" s="5"/>
      <c r="V2149" s="5"/>
      <c r="W2149" s="5"/>
      <c r="X2149" s="5"/>
      <c r="Y2149" s="5"/>
      <c r="Z2149" s="5"/>
      <c r="AA2149" s="5"/>
      <c r="AB2149" s="5"/>
      <c r="AC2149" s="5"/>
      <c r="AD2149" s="5"/>
      <c r="AE2149" s="5"/>
      <c r="AF2149" s="5"/>
      <c r="AG2149" s="14" t="s">
        <v>55</v>
      </c>
      <c r="AH2149" s="14" t="s">
        <v>1603</v>
      </c>
      <c r="AI2149" s="14" t="s">
        <v>1604</v>
      </c>
      <c r="AJ2149" s="5"/>
      <c r="AK2149" s="5"/>
    </row>
    <row r="2150" spans="1:37">
      <c r="A2150" s="5" t="s">
        <v>9232</v>
      </c>
      <c r="B2150" s="5" t="s">
        <v>9226</v>
      </c>
      <c r="C2150" s="6" t="s">
        <v>6736</v>
      </c>
      <c r="D2150" s="6" t="s">
        <v>239</v>
      </c>
      <c r="E2150" s="6" t="s">
        <v>2047</v>
      </c>
      <c r="F2150" s="6" t="s">
        <v>46</v>
      </c>
      <c r="G2150" s="6" t="s">
        <v>9233</v>
      </c>
      <c r="H2150" s="7">
        <v>20.55</v>
      </c>
      <c r="I2150" s="19" t="s">
        <v>1589</v>
      </c>
      <c r="J2150" s="19" t="s">
        <v>2696</v>
      </c>
      <c r="K2150" s="5" t="s">
        <v>2733</v>
      </c>
      <c r="L2150" s="5" t="s">
        <v>2734</v>
      </c>
      <c r="M2150" s="5" t="s">
        <v>2735</v>
      </c>
      <c r="N2150" s="5" t="s">
        <v>2736</v>
      </c>
      <c r="O2150" s="5" t="s">
        <v>9228</v>
      </c>
      <c r="P2150" s="5" t="s">
        <v>9229</v>
      </c>
      <c r="Q2150" s="5" t="s">
        <v>9230</v>
      </c>
      <c r="R2150" s="5" t="s">
        <v>9231</v>
      </c>
      <c r="AG2150" s="14" t="s">
        <v>55</v>
      </c>
      <c r="AH2150" s="14" t="s">
        <v>1603</v>
      </c>
      <c r="AI2150" s="14" t="s">
        <v>1604</v>
      </c>
    </row>
    <row r="2151" spans="1:37">
      <c r="A2151" s="6" t="s">
        <v>9234</v>
      </c>
      <c r="B2151" s="6" t="s">
        <v>9235</v>
      </c>
      <c r="C2151" s="6" t="s">
        <v>43</v>
      </c>
      <c r="D2151" s="6" t="s">
        <v>239</v>
      </c>
      <c r="E2151" s="6" t="s">
        <v>2065</v>
      </c>
      <c r="F2151" s="6" t="s">
        <v>46</v>
      </c>
      <c r="G2151" s="6" t="s">
        <v>9236</v>
      </c>
      <c r="I2151" s="19" t="s">
        <v>48</v>
      </c>
      <c r="J2151" s="19" t="s">
        <v>48</v>
      </c>
      <c r="K2151" s="6"/>
      <c r="L2151" s="6"/>
      <c r="M2151" s="6"/>
      <c r="N2151" s="6"/>
      <c r="O2151" s="6"/>
      <c r="P2151" s="6"/>
      <c r="Q2151" s="6"/>
      <c r="R2151" s="6"/>
      <c r="S2151" s="6"/>
      <c r="T2151" s="6"/>
      <c r="U2151" s="6"/>
      <c r="V2151" s="6"/>
      <c r="W2151" s="6"/>
      <c r="X2151" s="6"/>
      <c r="Y2151" s="6"/>
      <c r="Z2151" s="6"/>
      <c r="AA2151" s="6"/>
      <c r="AB2151" s="6"/>
      <c r="AC2151" s="6"/>
      <c r="AD2151" s="6"/>
      <c r="AE2151" s="6"/>
      <c r="AF2151" s="6"/>
      <c r="AG2151" s="15" t="s">
        <v>55</v>
      </c>
      <c r="AH2151" s="15"/>
      <c r="AI2151" s="15"/>
      <c r="AJ2151" s="6"/>
      <c r="AK2151" s="6"/>
    </row>
    <row r="2152" spans="1:37" s="6" customFormat="1">
      <c r="A2152" s="5" t="s">
        <v>9237</v>
      </c>
      <c r="B2152" s="5" t="s">
        <v>9238</v>
      </c>
      <c r="C2152" s="6" t="s">
        <v>43</v>
      </c>
      <c r="D2152" s="6" t="s">
        <v>239</v>
      </c>
      <c r="E2152" s="6" t="s">
        <v>2047</v>
      </c>
      <c r="F2152" s="6" t="s">
        <v>46</v>
      </c>
      <c r="G2152" s="6" t="s">
        <v>9239</v>
      </c>
      <c r="H2152" s="7">
        <v>23.72</v>
      </c>
      <c r="I2152" s="19" t="s">
        <v>1589</v>
      </c>
      <c r="J2152" s="19" t="s">
        <v>2696</v>
      </c>
      <c r="K2152" s="5" t="s">
        <v>9240</v>
      </c>
      <c r="L2152" s="5" t="s">
        <v>9241</v>
      </c>
      <c r="M2152" s="5" t="s">
        <v>9242</v>
      </c>
      <c r="N2152" s="5" t="s">
        <v>9243</v>
      </c>
      <c r="O2152" s="5" t="s">
        <v>9244</v>
      </c>
      <c r="P2152" s="5" t="s">
        <v>9245</v>
      </c>
      <c r="Q2152" s="5" t="s">
        <v>9246</v>
      </c>
      <c r="R2152" s="5" t="s">
        <v>9247</v>
      </c>
      <c r="S2152" s="5"/>
      <c r="T2152" s="5"/>
      <c r="U2152" s="5"/>
      <c r="V2152" s="5"/>
      <c r="W2152" s="5"/>
      <c r="X2152" s="5"/>
      <c r="Y2152" s="5"/>
      <c r="Z2152" s="5"/>
      <c r="AA2152" s="5"/>
      <c r="AB2152" s="5"/>
      <c r="AC2152" s="5"/>
      <c r="AD2152" s="5"/>
      <c r="AE2152" s="5"/>
      <c r="AF2152" s="5"/>
      <c r="AG2152" s="14" t="s">
        <v>55</v>
      </c>
      <c r="AH2152" s="14" t="s">
        <v>1603</v>
      </c>
      <c r="AI2152" s="14" t="s">
        <v>1604</v>
      </c>
      <c r="AJ2152" s="5"/>
      <c r="AK2152" s="5"/>
    </row>
    <row r="2153" spans="1:37">
      <c r="A2153" s="5" t="s">
        <v>9248</v>
      </c>
      <c r="B2153" s="5" t="s">
        <v>9249</v>
      </c>
      <c r="C2153" s="6" t="s">
        <v>43</v>
      </c>
      <c r="D2153" s="6" t="s">
        <v>239</v>
      </c>
      <c r="E2153" s="6" t="s">
        <v>1386</v>
      </c>
      <c r="F2153" s="6" t="s">
        <v>46</v>
      </c>
      <c r="G2153" s="6" t="s">
        <v>8402</v>
      </c>
      <c r="H2153" s="7">
        <v>23.72</v>
      </c>
      <c r="I2153" s="19" t="s">
        <v>1589</v>
      </c>
      <c r="J2153" s="19" t="s">
        <v>2696</v>
      </c>
      <c r="K2153" s="5" t="s">
        <v>2757</v>
      </c>
      <c r="L2153" s="5" t="s">
        <v>2758</v>
      </c>
      <c r="M2153" s="5" t="s">
        <v>2759</v>
      </c>
      <c r="N2153" s="5" t="s">
        <v>2760</v>
      </c>
      <c r="O2153" s="5" t="s">
        <v>9250</v>
      </c>
      <c r="P2153" s="5" t="s">
        <v>9251</v>
      </c>
      <c r="Q2153" s="5" t="s">
        <v>9252</v>
      </c>
      <c r="R2153" s="5" t="s">
        <v>9253</v>
      </c>
      <c r="AG2153" s="14" t="s">
        <v>55</v>
      </c>
      <c r="AH2153" s="14" t="s">
        <v>1603</v>
      </c>
      <c r="AI2153" s="14" t="s">
        <v>1604</v>
      </c>
    </row>
    <row r="2154" spans="1:37">
      <c r="A2154" s="5" t="s">
        <v>9254</v>
      </c>
      <c r="B2154" s="5" t="s">
        <v>9249</v>
      </c>
      <c r="C2154" s="6" t="s">
        <v>1935</v>
      </c>
      <c r="D2154" s="6" t="s">
        <v>239</v>
      </c>
      <c r="E2154" s="6" t="s">
        <v>2015</v>
      </c>
      <c r="F2154" s="6" t="s">
        <v>46</v>
      </c>
      <c r="G2154" s="6" t="s">
        <v>6680</v>
      </c>
      <c r="H2154" s="7">
        <v>23.72</v>
      </c>
      <c r="I2154" s="19" t="s">
        <v>1589</v>
      </c>
      <c r="J2154" s="19" t="s">
        <v>2696</v>
      </c>
      <c r="K2154" s="5" t="s">
        <v>2757</v>
      </c>
      <c r="L2154" s="5" t="s">
        <v>2758</v>
      </c>
      <c r="M2154" s="5" t="s">
        <v>2759</v>
      </c>
      <c r="N2154" s="5" t="s">
        <v>2760</v>
      </c>
      <c r="O2154" s="5" t="s">
        <v>9250</v>
      </c>
      <c r="P2154" s="5" t="s">
        <v>9251</v>
      </c>
      <c r="Q2154" s="5" t="s">
        <v>9252</v>
      </c>
      <c r="R2154" s="5" t="s">
        <v>9253</v>
      </c>
      <c r="AG2154" s="14" t="s">
        <v>55</v>
      </c>
      <c r="AH2154" s="14" t="s">
        <v>1603</v>
      </c>
      <c r="AI2154" s="14" t="s">
        <v>1604</v>
      </c>
    </row>
    <row r="2155" spans="1:37">
      <c r="A2155" s="5" t="s">
        <v>9255</v>
      </c>
      <c r="B2155" s="5" t="s">
        <v>9249</v>
      </c>
      <c r="C2155" s="6" t="s">
        <v>43</v>
      </c>
      <c r="D2155" s="6" t="s">
        <v>239</v>
      </c>
      <c r="E2155" s="6" t="s">
        <v>2047</v>
      </c>
      <c r="F2155" s="6" t="s">
        <v>46</v>
      </c>
      <c r="G2155" s="6" t="s">
        <v>9256</v>
      </c>
      <c r="H2155" s="7">
        <v>23.72</v>
      </c>
      <c r="I2155" s="19" t="s">
        <v>1589</v>
      </c>
      <c r="J2155" s="19" t="s">
        <v>2696</v>
      </c>
      <c r="K2155" s="5" t="s">
        <v>2757</v>
      </c>
      <c r="L2155" s="5" t="s">
        <v>2758</v>
      </c>
      <c r="M2155" s="5" t="s">
        <v>2759</v>
      </c>
      <c r="N2155" s="5" t="s">
        <v>2760</v>
      </c>
      <c r="O2155" s="5" t="s">
        <v>9250</v>
      </c>
      <c r="P2155" s="5" t="s">
        <v>9251</v>
      </c>
      <c r="Q2155" s="5" t="s">
        <v>9252</v>
      </c>
      <c r="R2155" s="5" t="s">
        <v>9253</v>
      </c>
      <c r="AG2155" s="14" t="s">
        <v>55</v>
      </c>
      <c r="AH2155" s="14" t="s">
        <v>1603</v>
      </c>
      <c r="AI2155" s="14" t="s">
        <v>1604</v>
      </c>
    </row>
    <row r="2156" spans="1:37">
      <c r="A2156" s="5" t="s">
        <v>9257</v>
      </c>
      <c r="B2156" s="5" t="s">
        <v>9249</v>
      </c>
      <c r="C2156" s="6" t="s">
        <v>43</v>
      </c>
      <c r="D2156" s="6" t="s">
        <v>239</v>
      </c>
      <c r="E2156" s="6" t="s">
        <v>2065</v>
      </c>
      <c r="F2156" s="6" t="s">
        <v>46</v>
      </c>
      <c r="G2156" s="6" t="s">
        <v>7259</v>
      </c>
      <c r="H2156" s="7">
        <v>23.72</v>
      </c>
      <c r="I2156" s="19" t="s">
        <v>1589</v>
      </c>
      <c r="J2156" s="19" t="s">
        <v>2696</v>
      </c>
      <c r="K2156" s="5" t="s">
        <v>2757</v>
      </c>
      <c r="L2156" s="5" t="s">
        <v>2758</v>
      </c>
      <c r="M2156" s="5" t="s">
        <v>2759</v>
      </c>
      <c r="N2156" s="5" t="s">
        <v>2760</v>
      </c>
      <c r="O2156" s="5" t="s">
        <v>9250</v>
      </c>
      <c r="P2156" s="5" t="s">
        <v>9251</v>
      </c>
      <c r="Q2156" s="5" t="s">
        <v>9252</v>
      </c>
      <c r="R2156" s="5" t="s">
        <v>9253</v>
      </c>
      <c r="AG2156" s="14" t="s">
        <v>55</v>
      </c>
      <c r="AH2156" s="14" t="s">
        <v>1603</v>
      </c>
      <c r="AI2156" s="14" t="s">
        <v>1604</v>
      </c>
    </row>
    <row r="2157" spans="1:37">
      <c r="A2157" s="5" t="s">
        <v>9258</v>
      </c>
      <c r="B2157" s="5" t="s">
        <v>9259</v>
      </c>
      <c r="C2157" s="6" t="s">
        <v>43</v>
      </c>
      <c r="D2157" s="6" t="s">
        <v>239</v>
      </c>
      <c r="E2157" s="6" t="s">
        <v>2047</v>
      </c>
      <c r="F2157" s="6" t="s">
        <v>46</v>
      </c>
      <c r="G2157" s="6" t="s">
        <v>9260</v>
      </c>
      <c r="H2157" s="7">
        <v>28.25</v>
      </c>
      <c r="I2157" s="19" t="s">
        <v>1589</v>
      </c>
      <c r="J2157" s="19" t="s">
        <v>2696</v>
      </c>
      <c r="K2157" s="5" t="s">
        <v>6540</v>
      </c>
      <c r="L2157" s="5" t="s">
        <v>6541</v>
      </c>
      <c r="M2157" s="5" t="s">
        <v>6542</v>
      </c>
      <c r="N2157" s="5" t="s">
        <v>6543</v>
      </c>
      <c r="O2157" s="5" t="s">
        <v>9261</v>
      </c>
      <c r="P2157" s="5" t="s">
        <v>9262</v>
      </c>
      <c r="Q2157" s="5" t="s">
        <v>9263</v>
      </c>
      <c r="R2157" s="5" t="s">
        <v>9264</v>
      </c>
      <c r="AG2157" s="14" t="s">
        <v>55</v>
      </c>
      <c r="AH2157" s="14" t="s">
        <v>1603</v>
      </c>
      <c r="AI2157" s="14" t="s">
        <v>1604</v>
      </c>
    </row>
    <row r="2158" spans="1:37">
      <c r="A2158" s="5" t="s">
        <v>9265</v>
      </c>
      <c r="B2158" s="5" t="s">
        <v>9259</v>
      </c>
      <c r="C2158" s="6" t="s">
        <v>43</v>
      </c>
      <c r="D2158" s="6" t="s">
        <v>239</v>
      </c>
      <c r="E2158" s="6" t="s">
        <v>2065</v>
      </c>
      <c r="F2158" s="6" t="s">
        <v>46</v>
      </c>
      <c r="G2158" s="6" t="s">
        <v>9266</v>
      </c>
      <c r="H2158" s="7">
        <v>28.25</v>
      </c>
      <c r="I2158" s="19" t="s">
        <v>1589</v>
      </c>
      <c r="J2158" s="19" t="s">
        <v>2696</v>
      </c>
      <c r="K2158" s="5" t="s">
        <v>6540</v>
      </c>
      <c r="L2158" s="5" t="s">
        <v>6541</v>
      </c>
      <c r="M2158" s="5" t="s">
        <v>6542</v>
      </c>
      <c r="N2158" s="5" t="s">
        <v>6543</v>
      </c>
      <c r="O2158" s="5" t="s">
        <v>9261</v>
      </c>
      <c r="P2158" s="5" t="s">
        <v>9262</v>
      </c>
      <c r="Q2158" s="5" t="s">
        <v>9263</v>
      </c>
      <c r="R2158" s="5" t="s">
        <v>9264</v>
      </c>
      <c r="AG2158" s="14" t="s">
        <v>55</v>
      </c>
      <c r="AH2158" s="14" t="s">
        <v>1603</v>
      </c>
      <c r="AI2158" s="14" t="s">
        <v>1604</v>
      </c>
    </row>
    <row r="2159" spans="1:37">
      <c r="A2159" s="6" t="s">
        <v>9267</v>
      </c>
      <c r="B2159" s="6" t="s">
        <v>9268</v>
      </c>
      <c r="C2159" s="6" t="s">
        <v>43</v>
      </c>
      <c r="D2159" s="6" t="s">
        <v>239</v>
      </c>
      <c r="E2159" s="6" t="s">
        <v>2047</v>
      </c>
      <c r="F2159" s="6" t="s">
        <v>46</v>
      </c>
      <c r="G2159" s="6" t="s">
        <v>9269</v>
      </c>
      <c r="I2159" s="6" t="s">
        <v>48</v>
      </c>
      <c r="J2159" s="6" t="s">
        <v>48</v>
      </c>
      <c r="K2159" s="6"/>
      <c r="L2159" s="6"/>
      <c r="M2159" s="6"/>
      <c r="N2159" s="6"/>
      <c r="O2159" s="6"/>
      <c r="P2159" s="6"/>
      <c r="Q2159" s="6"/>
      <c r="R2159" s="6"/>
      <c r="S2159" s="6"/>
      <c r="T2159" s="6"/>
      <c r="U2159" s="6"/>
      <c r="V2159" s="6"/>
      <c r="W2159" s="6"/>
      <c r="X2159" s="6"/>
      <c r="Y2159" s="6"/>
      <c r="Z2159" s="6"/>
      <c r="AA2159" s="6"/>
      <c r="AB2159" s="6"/>
      <c r="AC2159" s="6"/>
      <c r="AD2159" s="6"/>
      <c r="AE2159" s="6"/>
      <c r="AF2159" s="6"/>
      <c r="AG2159" s="15" t="s">
        <v>55</v>
      </c>
      <c r="AH2159" s="15"/>
      <c r="AI2159" s="15"/>
      <c r="AJ2159" s="6"/>
      <c r="AK2159" s="6"/>
    </row>
    <row r="2160" spans="1:37" s="6" customFormat="1">
      <c r="A2160" s="5" t="s">
        <v>9270</v>
      </c>
      <c r="B2160" s="5" t="s">
        <v>9271</v>
      </c>
      <c r="C2160" s="6" t="s">
        <v>43</v>
      </c>
      <c r="D2160" s="6" t="s">
        <v>239</v>
      </c>
      <c r="E2160" s="6" t="s">
        <v>2047</v>
      </c>
      <c r="F2160" s="6" t="s">
        <v>46</v>
      </c>
      <c r="G2160" s="6" t="s">
        <v>6680</v>
      </c>
      <c r="H2160" s="7">
        <v>30.67</v>
      </c>
      <c r="I2160" s="19" t="s">
        <v>1589</v>
      </c>
      <c r="J2160" s="19" t="s">
        <v>2696</v>
      </c>
      <c r="K2160" s="5" t="s">
        <v>2774</v>
      </c>
      <c r="L2160" s="5" t="s">
        <v>2775</v>
      </c>
      <c r="M2160" s="5" t="s">
        <v>2776</v>
      </c>
      <c r="N2160" s="5" t="s">
        <v>2777</v>
      </c>
      <c r="O2160" s="5" t="s">
        <v>9272</v>
      </c>
      <c r="P2160" s="5" t="s">
        <v>9273</v>
      </c>
      <c r="Q2160" s="5" t="s">
        <v>9274</v>
      </c>
      <c r="R2160" s="5" t="s">
        <v>9275</v>
      </c>
      <c r="S2160" s="5"/>
      <c r="T2160" s="5"/>
      <c r="U2160" s="5"/>
      <c r="V2160" s="5"/>
      <c r="W2160" s="5"/>
      <c r="X2160" s="5"/>
      <c r="Y2160" s="5"/>
      <c r="Z2160" s="5"/>
      <c r="AA2160" s="5"/>
      <c r="AB2160" s="5"/>
      <c r="AC2160" s="5"/>
      <c r="AD2160" s="5"/>
      <c r="AE2160" s="5"/>
      <c r="AF2160" s="5"/>
      <c r="AG2160" s="14" t="s">
        <v>55</v>
      </c>
      <c r="AH2160" s="14" t="s">
        <v>1603</v>
      </c>
      <c r="AI2160" s="14" t="s">
        <v>1604</v>
      </c>
      <c r="AJ2160" s="5"/>
      <c r="AK2160" s="5"/>
    </row>
    <row r="2161" spans="1:37">
      <c r="A2161" s="5" t="s">
        <v>9276</v>
      </c>
      <c r="B2161" s="5" t="s">
        <v>9271</v>
      </c>
      <c r="C2161" s="6" t="s">
        <v>43</v>
      </c>
      <c r="D2161" s="6" t="s">
        <v>239</v>
      </c>
      <c r="E2161" s="6" t="s">
        <v>2065</v>
      </c>
      <c r="F2161" s="6" t="s">
        <v>46</v>
      </c>
      <c r="G2161" s="6" t="s">
        <v>2742</v>
      </c>
      <c r="H2161" s="7">
        <v>30.67</v>
      </c>
      <c r="I2161" s="19" t="s">
        <v>1589</v>
      </c>
      <c r="J2161" s="19" t="s">
        <v>2696</v>
      </c>
      <c r="K2161" s="5" t="s">
        <v>2774</v>
      </c>
      <c r="L2161" s="5" t="s">
        <v>2775</v>
      </c>
      <c r="M2161" s="5" t="s">
        <v>2776</v>
      </c>
      <c r="N2161" s="5" t="s">
        <v>2777</v>
      </c>
      <c r="O2161" s="5" t="s">
        <v>9272</v>
      </c>
      <c r="P2161" s="5" t="s">
        <v>9273</v>
      </c>
      <c r="Q2161" s="5" t="s">
        <v>9274</v>
      </c>
      <c r="R2161" s="5" t="s">
        <v>9275</v>
      </c>
      <c r="AG2161" s="14" t="s">
        <v>55</v>
      </c>
      <c r="AH2161" s="14" t="s">
        <v>1603</v>
      </c>
      <c r="AI2161" s="14" t="s">
        <v>1604</v>
      </c>
    </row>
    <row r="2162" spans="1:37">
      <c r="A2162" s="6" t="s">
        <v>9277</v>
      </c>
      <c r="B2162" s="6" t="s">
        <v>9278</v>
      </c>
      <c r="C2162" s="6" t="s">
        <v>9279</v>
      </c>
      <c r="D2162" s="6" t="s">
        <v>239</v>
      </c>
      <c r="E2162" s="6" t="s">
        <v>2139</v>
      </c>
      <c r="F2162" s="6" t="s">
        <v>46</v>
      </c>
      <c r="G2162" s="6" t="s">
        <v>5026</v>
      </c>
      <c r="I2162" s="6" t="s">
        <v>48</v>
      </c>
      <c r="J2162" s="6" t="s">
        <v>48</v>
      </c>
      <c r="K2162" s="6"/>
      <c r="L2162" s="6"/>
      <c r="M2162" s="6"/>
      <c r="N2162" s="6"/>
      <c r="O2162" s="6"/>
      <c r="P2162" s="6"/>
      <c r="Q2162" s="6"/>
      <c r="R2162" s="6"/>
      <c r="S2162" s="6"/>
      <c r="T2162" s="6"/>
      <c r="U2162" s="6"/>
      <c r="V2162" s="6"/>
      <c r="W2162" s="6"/>
      <c r="X2162" s="6"/>
      <c r="Y2162" s="6"/>
      <c r="Z2162" s="6"/>
      <c r="AA2162" s="6"/>
      <c r="AB2162" s="6"/>
      <c r="AC2162" s="6"/>
      <c r="AD2162" s="6"/>
      <c r="AE2162" s="6"/>
      <c r="AF2162" s="6"/>
      <c r="AG2162" s="15" t="s">
        <v>55</v>
      </c>
      <c r="AH2162" s="15"/>
      <c r="AI2162" s="15"/>
      <c r="AJ2162" s="6"/>
      <c r="AK2162" s="6"/>
    </row>
    <row r="2163" spans="1:37" s="6" customFormat="1">
      <c r="A2163" s="5" t="s">
        <v>9280</v>
      </c>
      <c r="B2163" s="5" t="s">
        <v>9281</v>
      </c>
      <c r="C2163" s="6" t="s">
        <v>43</v>
      </c>
      <c r="D2163" s="6" t="s">
        <v>239</v>
      </c>
      <c r="E2163" s="6" t="s">
        <v>2047</v>
      </c>
      <c r="F2163" s="6" t="s">
        <v>46</v>
      </c>
      <c r="G2163" s="6" t="s">
        <v>6778</v>
      </c>
      <c r="H2163" s="7">
        <v>31.33</v>
      </c>
      <c r="I2163" s="19" t="s">
        <v>1589</v>
      </c>
      <c r="J2163" s="19" t="s">
        <v>2696</v>
      </c>
      <c r="K2163" s="5" t="s">
        <v>2790</v>
      </c>
      <c r="L2163" s="5" t="s">
        <v>2791</v>
      </c>
      <c r="M2163" s="5" t="s">
        <v>2792</v>
      </c>
      <c r="N2163" s="5" t="s">
        <v>2793</v>
      </c>
      <c r="O2163" s="5" t="s">
        <v>9282</v>
      </c>
      <c r="P2163" s="5" t="s">
        <v>9283</v>
      </c>
      <c r="Q2163" s="5" t="s">
        <v>9284</v>
      </c>
      <c r="R2163" s="5" t="s">
        <v>9285</v>
      </c>
      <c r="S2163" s="5"/>
      <c r="T2163" s="5"/>
      <c r="U2163" s="5"/>
      <c r="V2163" s="5"/>
      <c r="W2163" s="5"/>
      <c r="X2163" s="5"/>
      <c r="Y2163" s="5"/>
      <c r="Z2163" s="5"/>
      <c r="AA2163" s="5"/>
      <c r="AB2163" s="5"/>
      <c r="AC2163" s="5"/>
      <c r="AD2163" s="5"/>
      <c r="AE2163" s="5"/>
      <c r="AF2163" s="5"/>
      <c r="AG2163" s="14" t="s">
        <v>55</v>
      </c>
      <c r="AH2163" s="14" t="s">
        <v>1603</v>
      </c>
      <c r="AI2163" s="14" t="s">
        <v>1604</v>
      </c>
      <c r="AJ2163" s="5"/>
      <c r="AK2163" s="5"/>
    </row>
    <row r="2164" spans="1:37">
      <c r="A2164" s="5" t="s">
        <v>9286</v>
      </c>
      <c r="B2164" s="5" t="s">
        <v>9281</v>
      </c>
      <c r="C2164" s="6" t="s">
        <v>43</v>
      </c>
      <c r="D2164" s="6" t="s">
        <v>239</v>
      </c>
      <c r="E2164" s="6" t="s">
        <v>2065</v>
      </c>
      <c r="F2164" s="6" t="s">
        <v>46</v>
      </c>
      <c r="G2164" s="6" t="s">
        <v>1450</v>
      </c>
      <c r="H2164" s="7">
        <v>31.33</v>
      </c>
      <c r="I2164" s="19" t="s">
        <v>1589</v>
      </c>
      <c r="J2164" s="19" t="s">
        <v>2696</v>
      </c>
      <c r="K2164" s="5" t="s">
        <v>2790</v>
      </c>
      <c r="L2164" s="5" t="s">
        <v>2791</v>
      </c>
      <c r="M2164" s="5" t="s">
        <v>2792</v>
      </c>
      <c r="N2164" s="5" t="s">
        <v>2793</v>
      </c>
      <c r="O2164" s="5" t="s">
        <v>9282</v>
      </c>
      <c r="P2164" s="5" t="s">
        <v>9283</v>
      </c>
      <c r="Q2164" s="5" t="s">
        <v>9284</v>
      </c>
      <c r="R2164" s="5" t="s">
        <v>9285</v>
      </c>
      <c r="AG2164" s="14" t="s">
        <v>55</v>
      </c>
      <c r="AH2164" s="14" t="s">
        <v>1603</v>
      </c>
      <c r="AI2164" s="14" t="s">
        <v>1604</v>
      </c>
    </row>
    <row r="2165" spans="1:37">
      <c r="A2165" s="5" t="s">
        <v>9287</v>
      </c>
      <c r="B2165" s="5" t="s">
        <v>9288</v>
      </c>
      <c r="C2165" s="6" t="s">
        <v>43</v>
      </c>
      <c r="D2165" s="6" t="s">
        <v>239</v>
      </c>
      <c r="E2165" s="6" t="s">
        <v>2047</v>
      </c>
      <c r="F2165" s="6" t="s">
        <v>46</v>
      </c>
      <c r="G2165" s="6" t="s">
        <v>9289</v>
      </c>
      <c r="H2165" s="7">
        <v>31.33</v>
      </c>
      <c r="I2165" s="19" t="s">
        <v>1589</v>
      </c>
      <c r="J2165" s="19" t="s">
        <v>2696</v>
      </c>
      <c r="K2165" s="5" t="s">
        <v>2790</v>
      </c>
      <c r="L2165" s="5" t="s">
        <v>2791</v>
      </c>
      <c r="M2165" s="5" t="s">
        <v>2792</v>
      </c>
      <c r="N2165" s="5" t="s">
        <v>2793</v>
      </c>
      <c r="O2165" s="5" t="s">
        <v>9282</v>
      </c>
      <c r="P2165" s="5" t="s">
        <v>9283</v>
      </c>
      <c r="Q2165" s="5" t="s">
        <v>9284</v>
      </c>
      <c r="R2165" s="5" t="s">
        <v>9285</v>
      </c>
      <c r="AG2165" s="14" t="s">
        <v>55</v>
      </c>
      <c r="AH2165" s="14" t="s">
        <v>1603</v>
      </c>
      <c r="AI2165" s="14" t="s">
        <v>1604</v>
      </c>
    </row>
    <row r="2166" spans="1:37">
      <c r="A2166" s="6" t="s">
        <v>9290</v>
      </c>
      <c r="B2166" s="6" t="s">
        <v>9291</v>
      </c>
      <c r="C2166" s="6" t="s">
        <v>43</v>
      </c>
      <c r="D2166" s="6" t="s">
        <v>239</v>
      </c>
      <c r="E2166" s="6" t="s">
        <v>2065</v>
      </c>
      <c r="F2166" s="6" t="s">
        <v>46</v>
      </c>
      <c r="G2166" s="6" t="s">
        <v>9292</v>
      </c>
      <c r="I2166" s="6" t="s">
        <v>48</v>
      </c>
      <c r="J2166" s="6" t="s">
        <v>48</v>
      </c>
      <c r="K2166" s="6"/>
      <c r="L2166" s="6"/>
      <c r="M2166" s="6"/>
      <c r="N2166" s="6"/>
      <c r="O2166" s="6"/>
      <c r="P2166" s="6"/>
      <c r="Q2166" s="6"/>
      <c r="R2166" s="6"/>
      <c r="S2166" s="6"/>
      <c r="T2166" s="6"/>
      <c r="U2166" s="6"/>
      <c r="V2166" s="6"/>
      <c r="W2166" s="6"/>
      <c r="X2166" s="6"/>
      <c r="Y2166" s="6"/>
      <c r="Z2166" s="6"/>
      <c r="AA2166" s="6"/>
      <c r="AB2166" s="6"/>
      <c r="AC2166" s="6"/>
      <c r="AD2166" s="6"/>
      <c r="AE2166" s="6"/>
      <c r="AF2166" s="6"/>
      <c r="AG2166" s="15" t="s">
        <v>55</v>
      </c>
      <c r="AH2166" s="15"/>
      <c r="AI2166" s="15"/>
      <c r="AJ2166" s="6"/>
      <c r="AK2166" s="6"/>
    </row>
    <row r="2167" spans="1:37" s="6" customFormat="1">
      <c r="A2167" s="6" t="s">
        <v>9293</v>
      </c>
      <c r="B2167" s="6" t="s">
        <v>9294</v>
      </c>
      <c r="C2167" s="6" t="s">
        <v>43</v>
      </c>
      <c r="D2167" s="6" t="s">
        <v>239</v>
      </c>
      <c r="E2167" s="6" t="s">
        <v>2065</v>
      </c>
      <c r="F2167" s="6" t="s">
        <v>46</v>
      </c>
      <c r="G2167" s="6" t="s">
        <v>1960</v>
      </c>
      <c r="H2167" s="7"/>
      <c r="I2167" s="19" t="s">
        <v>48</v>
      </c>
      <c r="J2167" s="19" t="s">
        <v>48</v>
      </c>
      <c r="AG2167" s="15" t="s">
        <v>55</v>
      </c>
      <c r="AH2167" s="15"/>
      <c r="AI2167" s="15"/>
    </row>
    <row r="2168" spans="1:37" s="6" customFormat="1">
      <c r="A2168" s="5" t="s">
        <v>9295</v>
      </c>
      <c r="B2168" s="5" t="s">
        <v>9296</v>
      </c>
      <c r="C2168" s="6" t="s">
        <v>7084</v>
      </c>
      <c r="D2168" s="6" t="s">
        <v>239</v>
      </c>
      <c r="E2168" s="6" t="s">
        <v>2065</v>
      </c>
      <c r="F2168" s="6" t="s">
        <v>46</v>
      </c>
      <c r="G2168" s="6" t="s">
        <v>9297</v>
      </c>
      <c r="H2168" s="7"/>
      <c r="I2168" s="19" t="s">
        <v>48</v>
      </c>
      <c r="J2168" s="19" t="s">
        <v>2696</v>
      </c>
      <c r="K2168" s="5"/>
      <c r="L2168" s="5"/>
      <c r="M2168" s="5"/>
      <c r="N2168" s="5"/>
      <c r="O2168" s="5"/>
      <c r="P2168" s="5"/>
      <c r="Q2168" s="5"/>
      <c r="R2168" s="5"/>
      <c r="S2168" s="5"/>
      <c r="T2168" s="5"/>
      <c r="U2168" s="5"/>
      <c r="V2168" s="5"/>
      <c r="W2168" s="5"/>
      <c r="X2168" s="5"/>
      <c r="Y2168" s="5"/>
      <c r="Z2168" s="5"/>
      <c r="AA2168" s="5"/>
      <c r="AB2168" s="5"/>
      <c r="AC2168" s="5"/>
      <c r="AD2168" s="5"/>
      <c r="AE2168" s="5"/>
      <c r="AF2168" s="5"/>
      <c r="AG2168" s="14" t="s">
        <v>55</v>
      </c>
      <c r="AH2168" s="14"/>
      <c r="AI2168" s="14"/>
      <c r="AJ2168" s="5"/>
      <c r="AK2168" s="5"/>
    </row>
    <row r="2169" spans="1:37">
      <c r="A2169" s="5" t="s">
        <v>9298</v>
      </c>
      <c r="B2169" s="5" t="s">
        <v>9299</v>
      </c>
      <c r="C2169" s="6" t="s">
        <v>9279</v>
      </c>
      <c r="D2169" s="6" t="s">
        <v>239</v>
      </c>
      <c r="E2169" s="6" t="s">
        <v>1587</v>
      </c>
      <c r="F2169" s="6" t="s">
        <v>46</v>
      </c>
      <c r="G2169" s="6" t="s">
        <v>1071</v>
      </c>
      <c r="H2169" s="7">
        <v>32.299999999999997</v>
      </c>
      <c r="I2169" s="19" t="s">
        <v>1589</v>
      </c>
      <c r="J2169" s="19" t="s">
        <v>2696</v>
      </c>
      <c r="K2169" s="5" t="s">
        <v>2809</v>
      </c>
      <c r="L2169" s="5" t="s">
        <v>2810</v>
      </c>
      <c r="M2169" s="5" t="s">
        <v>2811</v>
      </c>
      <c r="N2169" s="5" t="s">
        <v>2812</v>
      </c>
      <c r="O2169" s="5" t="s">
        <v>9300</v>
      </c>
      <c r="P2169" s="5" t="s">
        <v>9301</v>
      </c>
      <c r="Q2169" s="5" t="s">
        <v>9302</v>
      </c>
      <c r="R2169" s="5" t="s">
        <v>9303</v>
      </c>
      <c r="AG2169" s="14" t="s">
        <v>55</v>
      </c>
      <c r="AH2169" s="14" t="s">
        <v>1603</v>
      </c>
      <c r="AI2169" s="14" t="s">
        <v>1604</v>
      </c>
    </row>
    <row r="2170" spans="1:37">
      <c r="A2170" s="5" t="s">
        <v>9304</v>
      </c>
      <c r="B2170" s="5" t="s">
        <v>9299</v>
      </c>
      <c r="C2170" s="6" t="s">
        <v>43</v>
      </c>
      <c r="D2170" s="6" t="s">
        <v>239</v>
      </c>
      <c r="E2170" s="6" t="s">
        <v>9305</v>
      </c>
      <c r="F2170" s="6" t="s">
        <v>46</v>
      </c>
      <c r="G2170" s="6" t="s">
        <v>9306</v>
      </c>
      <c r="H2170" s="7">
        <v>32.299999999999997</v>
      </c>
      <c r="I2170" s="19" t="s">
        <v>1589</v>
      </c>
      <c r="J2170" s="19" t="s">
        <v>2696</v>
      </c>
      <c r="K2170" s="5" t="s">
        <v>2809</v>
      </c>
      <c r="L2170" s="5" t="s">
        <v>2810</v>
      </c>
      <c r="M2170" s="5" t="s">
        <v>2811</v>
      </c>
      <c r="N2170" s="5" t="s">
        <v>2812</v>
      </c>
      <c r="O2170" s="5" t="s">
        <v>9300</v>
      </c>
      <c r="P2170" s="5" t="s">
        <v>9301</v>
      </c>
      <c r="Q2170" s="5" t="s">
        <v>9302</v>
      </c>
      <c r="R2170" s="5" t="s">
        <v>9303</v>
      </c>
      <c r="AG2170" s="14" t="s">
        <v>55</v>
      </c>
      <c r="AH2170" s="14" t="s">
        <v>1603</v>
      </c>
      <c r="AI2170" s="14" t="s">
        <v>1604</v>
      </c>
    </row>
    <row r="2171" spans="1:37">
      <c r="A2171" s="6" t="s">
        <v>9307</v>
      </c>
      <c r="B2171" s="6" t="s">
        <v>9308</v>
      </c>
      <c r="C2171" s="6" t="s">
        <v>43</v>
      </c>
      <c r="D2171" s="6" t="s">
        <v>239</v>
      </c>
      <c r="E2171" s="6" t="s">
        <v>2065</v>
      </c>
      <c r="F2171" s="6" t="s">
        <v>46</v>
      </c>
      <c r="G2171" s="6" t="s">
        <v>9309</v>
      </c>
      <c r="I2171" s="19" t="s">
        <v>48</v>
      </c>
      <c r="J2171" s="19" t="s">
        <v>48</v>
      </c>
      <c r="K2171" s="6"/>
      <c r="L2171" s="6"/>
      <c r="M2171" s="6"/>
      <c r="N2171" s="6"/>
      <c r="O2171" s="6"/>
      <c r="P2171" s="6"/>
      <c r="Q2171" s="6"/>
      <c r="R2171" s="6"/>
      <c r="S2171" s="6"/>
      <c r="T2171" s="6"/>
      <c r="U2171" s="6"/>
      <c r="V2171" s="6"/>
      <c r="W2171" s="6"/>
      <c r="X2171" s="6"/>
      <c r="Y2171" s="6"/>
      <c r="Z2171" s="6"/>
      <c r="AA2171" s="6"/>
      <c r="AB2171" s="6"/>
      <c r="AC2171" s="6"/>
      <c r="AD2171" s="6"/>
      <c r="AE2171" s="6"/>
      <c r="AF2171" s="6"/>
      <c r="AG2171" s="15" t="s">
        <v>55</v>
      </c>
      <c r="AH2171" s="15"/>
      <c r="AI2171" s="15"/>
      <c r="AJ2171" s="6"/>
      <c r="AK2171" s="6"/>
    </row>
    <row r="2172" spans="1:37" s="6" customFormat="1">
      <c r="A2172" s="5" t="s">
        <v>9310</v>
      </c>
      <c r="B2172" s="5" t="s">
        <v>9299</v>
      </c>
      <c r="C2172" s="6" t="s">
        <v>9279</v>
      </c>
      <c r="D2172" s="6" t="s">
        <v>239</v>
      </c>
      <c r="E2172" s="6" t="s">
        <v>2139</v>
      </c>
      <c r="F2172" s="6" t="s">
        <v>46</v>
      </c>
      <c r="G2172" s="6" t="s">
        <v>8455</v>
      </c>
      <c r="H2172" s="7">
        <v>32.299999999999997</v>
      </c>
      <c r="I2172" s="19" t="s">
        <v>1589</v>
      </c>
      <c r="J2172" s="19" t="s">
        <v>2696</v>
      </c>
      <c r="K2172" s="5" t="s">
        <v>2809</v>
      </c>
      <c r="L2172" s="5" t="s">
        <v>2810</v>
      </c>
      <c r="M2172" s="5" t="s">
        <v>2811</v>
      </c>
      <c r="N2172" s="5" t="s">
        <v>2812</v>
      </c>
      <c r="O2172" s="5" t="s">
        <v>9300</v>
      </c>
      <c r="P2172" s="5" t="s">
        <v>9301</v>
      </c>
      <c r="Q2172" s="5" t="s">
        <v>9302</v>
      </c>
      <c r="R2172" s="5" t="s">
        <v>9303</v>
      </c>
      <c r="S2172" s="5"/>
      <c r="T2172" s="5"/>
      <c r="U2172" s="5"/>
      <c r="V2172" s="5"/>
      <c r="W2172" s="5"/>
      <c r="X2172" s="5"/>
      <c r="Y2172" s="5"/>
      <c r="Z2172" s="5"/>
      <c r="AA2172" s="5"/>
      <c r="AB2172" s="5"/>
      <c r="AC2172" s="5"/>
      <c r="AD2172" s="5"/>
      <c r="AE2172" s="5"/>
      <c r="AF2172" s="5"/>
      <c r="AG2172" s="14" t="s">
        <v>55</v>
      </c>
      <c r="AH2172" s="14" t="s">
        <v>1603</v>
      </c>
      <c r="AI2172" s="14" t="s">
        <v>1604</v>
      </c>
      <c r="AJ2172" s="5"/>
      <c r="AK2172" s="5"/>
    </row>
    <row r="2173" spans="1:37">
      <c r="A2173" s="5" t="s">
        <v>9311</v>
      </c>
      <c r="B2173" s="5" t="s">
        <v>9299</v>
      </c>
      <c r="C2173" s="6" t="s">
        <v>9279</v>
      </c>
      <c r="D2173" s="6" t="s">
        <v>239</v>
      </c>
      <c r="E2173" s="6" t="s">
        <v>2827</v>
      </c>
      <c r="F2173" s="6" t="s">
        <v>46</v>
      </c>
      <c r="G2173" s="6" t="s">
        <v>7580</v>
      </c>
      <c r="H2173" s="7">
        <v>32.299999999999997</v>
      </c>
      <c r="I2173" s="19" t="s">
        <v>1589</v>
      </c>
      <c r="J2173" s="19" t="s">
        <v>2696</v>
      </c>
      <c r="K2173" s="5" t="s">
        <v>2809</v>
      </c>
      <c r="L2173" s="5" t="s">
        <v>2810</v>
      </c>
      <c r="M2173" s="5" t="s">
        <v>2811</v>
      </c>
      <c r="N2173" s="5" t="s">
        <v>2812</v>
      </c>
      <c r="O2173" s="5" t="s">
        <v>9300</v>
      </c>
      <c r="P2173" s="5" t="s">
        <v>9301</v>
      </c>
      <c r="Q2173" s="5" t="s">
        <v>9302</v>
      </c>
      <c r="R2173" s="5" t="s">
        <v>9303</v>
      </c>
      <c r="AG2173" s="14" t="s">
        <v>55</v>
      </c>
      <c r="AH2173" s="14" t="s">
        <v>1603</v>
      </c>
      <c r="AI2173" s="14" t="s">
        <v>1604</v>
      </c>
    </row>
    <row r="2174" spans="1:37">
      <c r="A2174" s="5" t="s">
        <v>9312</v>
      </c>
      <c r="B2174" s="5" t="s">
        <v>9299</v>
      </c>
      <c r="C2174" s="6" t="s">
        <v>9279</v>
      </c>
      <c r="D2174" s="6" t="s">
        <v>239</v>
      </c>
      <c r="E2174" s="6" t="s">
        <v>1386</v>
      </c>
      <c r="F2174" s="6" t="s">
        <v>46</v>
      </c>
      <c r="G2174" s="6" t="s">
        <v>9313</v>
      </c>
      <c r="H2174" s="7">
        <v>32.299999999999997</v>
      </c>
      <c r="I2174" s="19" t="s">
        <v>1589</v>
      </c>
      <c r="J2174" s="19" t="s">
        <v>2696</v>
      </c>
      <c r="K2174" s="5" t="s">
        <v>2809</v>
      </c>
      <c r="L2174" s="5" t="s">
        <v>2810</v>
      </c>
      <c r="M2174" s="5" t="s">
        <v>2811</v>
      </c>
      <c r="N2174" s="5" t="s">
        <v>2812</v>
      </c>
      <c r="O2174" s="5" t="s">
        <v>9300</v>
      </c>
      <c r="P2174" s="5" t="s">
        <v>9301</v>
      </c>
      <c r="Q2174" s="5" t="s">
        <v>9302</v>
      </c>
      <c r="R2174" s="5" t="s">
        <v>9303</v>
      </c>
      <c r="AG2174" s="14" t="s">
        <v>55</v>
      </c>
      <c r="AH2174" s="14" t="s">
        <v>1603</v>
      </c>
      <c r="AI2174" s="14" t="s">
        <v>1604</v>
      </c>
    </row>
    <row r="2175" spans="1:37">
      <c r="A2175" s="5" t="s">
        <v>9314</v>
      </c>
      <c r="B2175" s="5" t="s">
        <v>9299</v>
      </c>
      <c r="C2175" s="6" t="s">
        <v>2831</v>
      </c>
      <c r="D2175" s="6" t="s">
        <v>239</v>
      </c>
      <c r="E2175" s="6" t="s">
        <v>2015</v>
      </c>
      <c r="F2175" s="6" t="s">
        <v>46</v>
      </c>
      <c r="G2175" s="6" t="s">
        <v>8463</v>
      </c>
      <c r="H2175" s="7">
        <v>32.299999999999997</v>
      </c>
      <c r="I2175" s="19" t="s">
        <v>1589</v>
      </c>
      <c r="J2175" s="19" t="s">
        <v>2696</v>
      </c>
      <c r="K2175" s="5" t="s">
        <v>2809</v>
      </c>
      <c r="L2175" s="5" t="s">
        <v>2810</v>
      </c>
      <c r="M2175" s="5" t="s">
        <v>2811</v>
      </c>
      <c r="N2175" s="5" t="s">
        <v>2812</v>
      </c>
      <c r="O2175" s="5" t="s">
        <v>9300</v>
      </c>
      <c r="P2175" s="5" t="s">
        <v>9301</v>
      </c>
      <c r="Q2175" s="5" t="s">
        <v>9302</v>
      </c>
      <c r="R2175" s="5" t="s">
        <v>9303</v>
      </c>
      <c r="AG2175" s="14" t="s">
        <v>55</v>
      </c>
      <c r="AH2175" s="14" t="s">
        <v>1603</v>
      </c>
      <c r="AI2175" s="14" t="s">
        <v>1604</v>
      </c>
    </row>
    <row r="2176" spans="1:37">
      <c r="A2176" s="5" t="s">
        <v>9315</v>
      </c>
      <c r="B2176" s="5" t="s">
        <v>9299</v>
      </c>
      <c r="C2176" s="6" t="s">
        <v>9279</v>
      </c>
      <c r="D2176" s="6" t="s">
        <v>239</v>
      </c>
      <c r="E2176" s="6" t="s">
        <v>2047</v>
      </c>
      <c r="F2176" s="6" t="s">
        <v>46</v>
      </c>
      <c r="G2176" s="6" t="s">
        <v>9316</v>
      </c>
      <c r="H2176" s="7">
        <v>32.299999999999997</v>
      </c>
      <c r="I2176" s="19" t="s">
        <v>1589</v>
      </c>
      <c r="J2176" s="19" t="s">
        <v>2696</v>
      </c>
      <c r="K2176" s="5" t="s">
        <v>2809</v>
      </c>
      <c r="L2176" s="5" t="s">
        <v>2810</v>
      </c>
      <c r="M2176" s="5" t="s">
        <v>2811</v>
      </c>
      <c r="N2176" s="5" t="s">
        <v>2812</v>
      </c>
      <c r="O2176" s="5" t="s">
        <v>9300</v>
      </c>
      <c r="P2176" s="5" t="s">
        <v>9301</v>
      </c>
      <c r="Q2176" s="5" t="s">
        <v>9302</v>
      </c>
      <c r="R2176" s="5" t="s">
        <v>9303</v>
      </c>
      <c r="AG2176" s="14" t="s">
        <v>55</v>
      </c>
      <c r="AH2176" s="14" t="s">
        <v>1603</v>
      </c>
      <c r="AI2176" s="14" t="s">
        <v>1604</v>
      </c>
    </row>
    <row r="2177" spans="1:37">
      <c r="A2177" s="5" t="s">
        <v>9317</v>
      </c>
      <c r="B2177" s="5" t="s">
        <v>9299</v>
      </c>
      <c r="C2177" s="6" t="s">
        <v>9279</v>
      </c>
      <c r="D2177" s="6" t="s">
        <v>239</v>
      </c>
      <c r="E2177" s="6" t="s">
        <v>2836</v>
      </c>
      <c r="F2177" s="6" t="s">
        <v>46</v>
      </c>
      <c r="G2177" s="6" t="s">
        <v>9318</v>
      </c>
      <c r="H2177" s="7">
        <v>32.299999999999997</v>
      </c>
      <c r="I2177" s="19" t="s">
        <v>1589</v>
      </c>
      <c r="J2177" s="19" t="s">
        <v>2696</v>
      </c>
      <c r="K2177" s="5" t="s">
        <v>2809</v>
      </c>
      <c r="L2177" s="5" t="s">
        <v>2810</v>
      </c>
      <c r="M2177" s="5" t="s">
        <v>2811</v>
      </c>
      <c r="N2177" s="5" t="s">
        <v>2812</v>
      </c>
      <c r="O2177" s="5" t="s">
        <v>9300</v>
      </c>
      <c r="P2177" s="5" t="s">
        <v>9301</v>
      </c>
      <c r="Q2177" s="5" t="s">
        <v>9302</v>
      </c>
      <c r="R2177" s="5" t="s">
        <v>9303</v>
      </c>
      <c r="AG2177" s="14" t="s">
        <v>55</v>
      </c>
      <c r="AH2177" s="14" t="s">
        <v>1603</v>
      </c>
      <c r="AI2177" s="14" t="s">
        <v>1604</v>
      </c>
    </row>
    <row r="2178" spans="1:37">
      <c r="A2178" s="5" t="s">
        <v>9319</v>
      </c>
      <c r="B2178" s="5" t="s">
        <v>9299</v>
      </c>
      <c r="C2178" s="6" t="s">
        <v>43</v>
      </c>
      <c r="D2178" s="6" t="s">
        <v>239</v>
      </c>
      <c r="E2178" s="6" t="s">
        <v>2070</v>
      </c>
      <c r="F2178" s="6" t="s">
        <v>46</v>
      </c>
      <c r="G2178" s="6" t="s">
        <v>7911</v>
      </c>
      <c r="H2178" s="7">
        <v>32.299999999999997</v>
      </c>
      <c r="I2178" s="19" t="s">
        <v>1589</v>
      </c>
      <c r="J2178" s="19" t="s">
        <v>2696</v>
      </c>
      <c r="K2178" s="5" t="s">
        <v>2809</v>
      </c>
      <c r="L2178" s="5" t="s">
        <v>2810</v>
      </c>
      <c r="M2178" s="5" t="s">
        <v>2811</v>
      </c>
      <c r="N2178" s="5" t="s">
        <v>2812</v>
      </c>
      <c r="O2178" s="5" t="s">
        <v>9300</v>
      </c>
      <c r="P2178" s="5" t="s">
        <v>9301</v>
      </c>
      <c r="Q2178" s="5" t="s">
        <v>9302</v>
      </c>
      <c r="R2178" s="5" t="s">
        <v>9303</v>
      </c>
      <c r="AG2178" s="14" t="s">
        <v>55</v>
      </c>
      <c r="AH2178" s="14" t="s">
        <v>1603</v>
      </c>
      <c r="AI2178" s="14" t="s">
        <v>1604</v>
      </c>
    </row>
    <row r="2179" spans="1:37">
      <c r="A2179" s="5" t="s">
        <v>9320</v>
      </c>
      <c r="B2179" s="5" t="s">
        <v>9299</v>
      </c>
      <c r="C2179" s="6" t="s">
        <v>2831</v>
      </c>
      <c r="D2179" s="6" t="s">
        <v>239</v>
      </c>
      <c r="E2179" s="6" t="s">
        <v>2839</v>
      </c>
      <c r="F2179" s="6" t="s">
        <v>46</v>
      </c>
      <c r="G2179" s="6" t="s">
        <v>9321</v>
      </c>
      <c r="H2179" s="7">
        <v>32.299999999999997</v>
      </c>
      <c r="I2179" s="19" t="s">
        <v>1589</v>
      </c>
      <c r="J2179" s="19" t="s">
        <v>2696</v>
      </c>
      <c r="K2179" s="5" t="s">
        <v>2809</v>
      </c>
      <c r="L2179" s="5" t="s">
        <v>2810</v>
      </c>
      <c r="M2179" s="5" t="s">
        <v>2811</v>
      </c>
      <c r="N2179" s="5" t="s">
        <v>2812</v>
      </c>
      <c r="O2179" s="5" t="s">
        <v>9300</v>
      </c>
      <c r="P2179" s="5" t="s">
        <v>9301</v>
      </c>
      <c r="Q2179" s="5" t="s">
        <v>9302</v>
      </c>
      <c r="R2179" s="5" t="s">
        <v>9303</v>
      </c>
      <c r="AG2179" s="14" t="s">
        <v>55</v>
      </c>
      <c r="AH2179" s="14" t="s">
        <v>1603</v>
      </c>
      <c r="AI2179" s="14" t="s">
        <v>1604</v>
      </c>
    </row>
    <row r="2180" spans="1:37">
      <c r="A2180" s="5" t="s">
        <v>9322</v>
      </c>
      <c r="B2180" s="5" t="s">
        <v>9299</v>
      </c>
      <c r="C2180" s="6" t="s">
        <v>43</v>
      </c>
      <c r="D2180" s="6" t="s">
        <v>239</v>
      </c>
      <c r="E2180" s="6" t="s">
        <v>1693</v>
      </c>
      <c r="F2180" s="6" t="s">
        <v>46</v>
      </c>
      <c r="G2180" s="6" t="s">
        <v>1969</v>
      </c>
      <c r="H2180" s="7">
        <v>32.299999999999997</v>
      </c>
      <c r="I2180" s="19" t="s">
        <v>1589</v>
      </c>
      <c r="J2180" s="19" t="s">
        <v>2696</v>
      </c>
      <c r="K2180" s="5" t="s">
        <v>2809</v>
      </c>
      <c r="L2180" s="5" t="s">
        <v>2810</v>
      </c>
      <c r="M2180" s="5" t="s">
        <v>2811</v>
      </c>
      <c r="N2180" s="5" t="s">
        <v>2812</v>
      </c>
      <c r="O2180" s="5" t="s">
        <v>9300</v>
      </c>
      <c r="P2180" s="5" t="s">
        <v>9301</v>
      </c>
      <c r="Q2180" s="5" t="s">
        <v>9302</v>
      </c>
      <c r="R2180" s="5" t="s">
        <v>9303</v>
      </c>
      <c r="AG2180" s="14" t="s">
        <v>55</v>
      </c>
      <c r="AH2180" s="14" t="s">
        <v>1603</v>
      </c>
      <c r="AI2180" s="14" t="s">
        <v>1604</v>
      </c>
    </row>
    <row r="2181" spans="1:37">
      <c r="A2181" s="5" t="s">
        <v>9323</v>
      </c>
      <c r="B2181" s="5" t="s">
        <v>9299</v>
      </c>
      <c r="C2181" s="6" t="s">
        <v>43</v>
      </c>
      <c r="D2181" s="6" t="s">
        <v>239</v>
      </c>
      <c r="E2181" s="6" t="s">
        <v>1540</v>
      </c>
      <c r="F2181" s="6" t="s">
        <v>46</v>
      </c>
      <c r="G2181" s="6" t="s">
        <v>9324</v>
      </c>
      <c r="H2181" s="7">
        <v>32.299999999999997</v>
      </c>
      <c r="I2181" s="19" t="s">
        <v>1589</v>
      </c>
      <c r="J2181" s="19" t="s">
        <v>2696</v>
      </c>
      <c r="K2181" s="5" t="s">
        <v>2809</v>
      </c>
      <c r="L2181" s="5" t="s">
        <v>2810</v>
      </c>
      <c r="M2181" s="5" t="s">
        <v>2811</v>
      </c>
      <c r="N2181" s="5" t="s">
        <v>2812</v>
      </c>
      <c r="O2181" s="5" t="s">
        <v>9300</v>
      </c>
      <c r="P2181" s="5" t="s">
        <v>9301</v>
      </c>
      <c r="Q2181" s="5" t="s">
        <v>9302</v>
      </c>
      <c r="R2181" s="5" t="s">
        <v>9303</v>
      </c>
      <c r="AG2181" s="14" t="s">
        <v>55</v>
      </c>
      <c r="AH2181" s="14" t="s">
        <v>1603</v>
      </c>
      <c r="AI2181" s="14" t="s">
        <v>1604</v>
      </c>
    </row>
    <row r="2182" spans="1:37">
      <c r="A2182" s="5" t="s">
        <v>9325</v>
      </c>
      <c r="B2182" s="5" t="s">
        <v>9299</v>
      </c>
      <c r="C2182" s="6" t="s">
        <v>9279</v>
      </c>
      <c r="D2182" s="6" t="s">
        <v>239</v>
      </c>
      <c r="E2182" s="6" t="s">
        <v>2065</v>
      </c>
      <c r="F2182" s="6" t="s">
        <v>46</v>
      </c>
      <c r="G2182" s="6" t="s">
        <v>6709</v>
      </c>
      <c r="H2182" s="7">
        <v>32.299999999999997</v>
      </c>
      <c r="I2182" s="19" t="s">
        <v>1589</v>
      </c>
      <c r="J2182" s="19" t="s">
        <v>2696</v>
      </c>
      <c r="K2182" s="5" t="s">
        <v>2809</v>
      </c>
      <c r="L2182" s="5" t="s">
        <v>2810</v>
      </c>
      <c r="M2182" s="5" t="s">
        <v>2811</v>
      </c>
      <c r="N2182" s="5" t="s">
        <v>2812</v>
      </c>
      <c r="O2182" s="5" t="s">
        <v>9300</v>
      </c>
      <c r="P2182" s="5" t="s">
        <v>9301</v>
      </c>
      <c r="Q2182" s="5" t="s">
        <v>9302</v>
      </c>
      <c r="R2182" s="5" t="s">
        <v>9303</v>
      </c>
      <c r="AG2182" s="14" t="s">
        <v>55</v>
      </c>
      <c r="AH2182" s="14" t="s">
        <v>1603</v>
      </c>
      <c r="AI2182" s="14" t="s">
        <v>1604</v>
      </c>
    </row>
    <row r="2183" spans="1:37">
      <c r="A2183" s="5" t="s">
        <v>9326</v>
      </c>
      <c r="B2183" s="5" t="s">
        <v>9299</v>
      </c>
      <c r="C2183" s="6" t="s">
        <v>9279</v>
      </c>
      <c r="D2183" s="6" t="s">
        <v>239</v>
      </c>
      <c r="E2183" s="6" t="s">
        <v>4069</v>
      </c>
      <c r="F2183" s="6" t="s">
        <v>46</v>
      </c>
      <c r="G2183" s="6" t="s">
        <v>9327</v>
      </c>
      <c r="H2183" s="7">
        <v>32.299999999999997</v>
      </c>
      <c r="I2183" s="19" t="s">
        <v>1589</v>
      </c>
      <c r="J2183" s="19" t="s">
        <v>2696</v>
      </c>
      <c r="K2183" s="5" t="s">
        <v>2809</v>
      </c>
      <c r="L2183" s="5" t="s">
        <v>2810</v>
      </c>
      <c r="M2183" s="5" t="s">
        <v>2811</v>
      </c>
      <c r="N2183" s="5" t="s">
        <v>2812</v>
      </c>
      <c r="O2183" s="5" t="s">
        <v>9300</v>
      </c>
      <c r="P2183" s="5" t="s">
        <v>9301</v>
      </c>
      <c r="Q2183" s="5" t="s">
        <v>9302</v>
      </c>
      <c r="R2183" s="5" t="s">
        <v>9303</v>
      </c>
      <c r="AG2183" s="14" t="s">
        <v>55</v>
      </c>
      <c r="AH2183" s="14" t="s">
        <v>1603</v>
      </c>
      <c r="AI2183" s="14" t="s">
        <v>1604</v>
      </c>
    </row>
    <row r="2184" spans="1:37">
      <c r="A2184" s="5" t="s">
        <v>9328</v>
      </c>
      <c r="B2184" s="5" t="s">
        <v>9329</v>
      </c>
      <c r="C2184" s="6" t="s">
        <v>43</v>
      </c>
      <c r="D2184" s="6" t="s">
        <v>239</v>
      </c>
      <c r="E2184" s="6" t="s">
        <v>2933</v>
      </c>
      <c r="F2184" s="6" t="s">
        <v>46</v>
      </c>
      <c r="G2184" s="6" t="s">
        <v>9330</v>
      </c>
      <c r="H2184" s="7">
        <v>39.950000000000003</v>
      </c>
      <c r="I2184" s="19" t="s">
        <v>1589</v>
      </c>
      <c r="J2184" s="19" t="s">
        <v>2696</v>
      </c>
      <c r="K2184" s="5" t="s">
        <v>2857</v>
      </c>
      <c r="L2184" s="5" t="s">
        <v>2858</v>
      </c>
      <c r="M2184" s="5" t="s">
        <v>2859</v>
      </c>
      <c r="N2184" s="5" t="s">
        <v>2860</v>
      </c>
      <c r="O2184" s="5" t="s">
        <v>9331</v>
      </c>
      <c r="P2184" s="5" t="s">
        <v>9332</v>
      </c>
      <c r="Q2184" s="5" t="s">
        <v>9333</v>
      </c>
      <c r="R2184" s="5" t="s">
        <v>9334</v>
      </c>
      <c r="AG2184" s="14" t="s">
        <v>55</v>
      </c>
      <c r="AH2184" s="14" t="s">
        <v>1603</v>
      </c>
      <c r="AI2184" s="14" t="s">
        <v>1604</v>
      </c>
    </row>
    <row r="2185" spans="1:37">
      <c r="A2185" s="6" t="s">
        <v>9335</v>
      </c>
      <c r="B2185" s="6" t="s">
        <v>9336</v>
      </c>
      <c r="C2185" s="6" t="s">
        <v>43</v>
      </c>
      <c r="D2185" s="6" t="s">
        <v>239</v>
      </c>
      <c r="E2185" s="6" t="s">
        <v>2047</v>
      </c>
      <c r="F2185" s="6" t="s">
        <v>46</v>
      </c>
      <c r="G2185" s="6" t="s">
        <v>2888</v>
      </c>
      <c r="I2185" s="19" t="s">
        <v>48</v>
      </c>
      <c r="J2185" s="19" t="s">
        <v>48</v>
      </c>
      <c r="K2185" s="6"/>
      <c r="L2185" s="6"/>
      <c r="M2185" s="6"/>
      <c r="N2185" s="6"/>
      <c r="O2185" s="6"/>
      <c r="P2185" s="6"/>
      <c r="Q2185" s="6"/>
      <c r="R2185" s="6"/>
      <c r="S2185" s="6"/>
      <c r="T2185" s="6"/>
      <c r="U2185" s="6"/>
      <c r="V2185" s="6"/>
      <c r="W2185" s="6"/>
      <c r="X2185" s="6"/>
      <c r="Y2185" s="6"/>
      <c r="Z2185" s="6"/>
      <c r="AA2185" s="6"/>
      <c r="AB2185" s="6"/>
      <c r="AC2185" s="6"/>
      <c r="AD2185" s="6"/>
      <c r="AE2185" s="6"/>
      <c r="AF2185" s="6"/>
      <c r="AG2185" s="15" t="s">
        <v>55</v>
      </c>
      <c r="AH2185" s="15"/>
      <c r="AI2185" s="15"/>
      <c r="AJ2185" s="6"/>
      <c r="AK2185" s="6"/>
    </row>
    <row r="2186" spans="1:37" s="6" customFormat="1">
      <c r="A2186" s="6" t="s">
        <v>9337</v>
      </c>
      <c r="B2186" s="6" t="s">
        <v>9336</v>
      </c>
      <c r="C2186" s="6" t="s">
        <v>43</v>
      </c>
      <c r="D2186" s="6" t="s">
        <v>239</v>
      </c>
      <c r="E2186" s="6" t="s">
        <v>2065</v>
      </c>
      <c r="F2186" s="6" t="s">
        <v>46</v>
      </c>
      <c r="G2186" s="6" t="s">
        <v>3634</v>
      </c>
      <c r="H2186" s="7"/>
      <c r="I2186" s="19" t="s">
        <v>48</v>
      </c>
      <c r="J2186" s="19" t="s">
        <v>48</v>
      </c>
      <c r="AG2186" s="15" t="s">
        <v>55</v>
      </c>
      <c r="AH2186" s="15"/>
      <c r="AI2186" s="15"/>
    </row>
    <row r="2187" spans="1:37" s="6" customFormat="1">
      <c r="A2187" s="5" t="s">
        <v>9338</v>
      </c>
      <c r="B2187" s="5" t="s">
        <v>9329</v>
      </c>
      <c r="C2187" s="6" t="s">
        <v>43</v>
      </c>
      <c r="D2187" s="6" t="s">
        <v>239</v>
      </c>
      <c r="E2187" s="6" t="s">
        <v>2139</v>
      </c>
      <c r="F2187" s="6" t="s">
        <v>46</v>
      </c>
      <c r="G2187" s="6" t="s">
        <v>8770</v>
      </c>
      <c r="H2187" s="7">
        <v>39.950000000000003</v>
      </c>
      <c r="I2187" s="19" t="s">
        <v>1589</v>
      </c>
      <c r="J2187" s="19" t="s">
        <v>2696</v>
      </c>
      <c r="K2187" s="5" t="s">
        <v>2857</v>
      </c>
      <c r="L2187" s="5" t="s">
        <v>2858</v>
      </c>
      <c r="M2187" s="5" t="s">
        <v>2859</v>
      </c>
      <c r="N2187" s="5" t="s">
        <v>2860</v>
      </c>
      <c r="O2187" s="5" t="s">
        <v>9331</v>
      </c>
      <c r="P2187" s="5" t="s">
        <v>9332</v>
      </c>
      <c r="Q2187" s="5" t="s">
        <v>9333</v>
      </c>
      <c r="R2187" s="5" t="s">
        <v>9334</v>
      </c>
      <c r="S2187" s="5"/>
      <c r="T2187" s="5"/>
      <c r="U2187" s="5"/>
      <c r="V2187" s="5"/>
      <c r="W2187" s="5"/>
      <c r="X2187" s="5"/>
      <c r="Y2187" s="5"/>
      <c r="Z2187" s="5"/>
      <c r="AA2187" s="5"/>
      <c r="AB2187" s="5"/>
      <c r="AC2187" s="5"/>
      <c r="AD2187" s="5"/>
      <c r="AE2187" s="5"/>
      <c r="AF2187" s="5"/>
      <c r="AG2187" s="14" t="s">
        <v>55</v>
      </c>
      <c r="AH2187" s="14" t="s">
        <v>1603</v>
      </c>
      <c r="AI2187" s="14" t="s">
        <v>1604</v>
      </c>
      <c r="AJ2187" s="5"/>
      <c r="AK2187" s="5"/>
    </row>
    <row r="2188" spans="1:37">
      <c r="A2188" s="5" t="s">
        <v>9339</v>
      </c>
      <c r="B2188" s="5" t="s">
        <v>9329</v>
      </c>
      <c r="C2188" s="6" t="s">
        <v>43</v>
      </c>
      <c r="D2188" s="6" t="s">
        <v>239</v>
      </c>
      <c r="E2188" s="6" t="s">
        <v>1386</v>
      </c>
      <c r="F2188" s="6" t="s">
        <v>46</v>
      </c>
      <c r="G2188" s="6" t="s">
        <v>2954</v>
      </c>
      <c r="H2188" s="7">
        <v>39.950000000000003</v>
      </c>
      <c r="I2188" s="19" t="s">
        <v>1589</v>
      </c>
      <c r="J2188" s="19" t="s">
        <v>2696</v>
      </c>
      <c r="K2188" s="5" t="s">
        <v>2857</v>
      </c>
      <c r="L2188" s="5" t="s">
        <v>2858</v>
      </c>
      <c r="M2188" s="5" t="s">
        <v>2859</v>
      </c>
      <c r="N2188" s="5" t="s">
        <v>2860</v>
      </c>
      <c r="O2188" s="5" t="s">
        <v>9331</v>
      </c>
      <c r="P2188" s="5" t="s">
        <v>9332</v>
      </c>
      <c r="Q2188" s="5" t="s">
        <v>9333</v>
      </c>
      <c r="R2188" s="5" t="s">
        <v>9334</v>
      </c>
      <c r="AG2188" s="14" t="s">
        <v>55</v>
      </c>
      <c r="AH2188" s="14" t="s">
        <v>1603</v>
      </c>
      <c r="AI2188" s="14" t="s">
        <v>1604</v>
      </c>
    </row>
    <row r="2189" spans="1:37">
      <c r="A2189" s="5" t="s">
        <v>9340</v>
      </c>
      <c r="B2189" s="5" t="s">
        <v>9329</v>
      </c>
      <c r="C2189" s="6" t="s">
        <v>43</v>
      </c>
      <c r="D2189" s="6" t="s">
        <v>239</v>
      </c>
      <c r="E2189" s="6" t="s">
        <v>2047</v>
      </c>
      <c r="F2189" s="6" t="s">
        <v>46</v>
      </c>
      <c r="G2189" s="6" t="s">
        <v>4045</v>
      </c>
      <c r="H2189" s="7">
        <v>39.950000000000003</v>
      </c>
      <c r="I2189" s="19" t="s">
        <v>1589</v>
      </c>
      <c r="J2189" s="19" t="s">
        <v>2696</v>
      </c>
      <c r="K2189" s="5" t="s">
        <v>2857</v>
      </c>
      <c r="L2189" s="5" t="s">
        <v>2858</v>
      </c>
      <c r="M2189" s="5" t="s">
        <v>2859</v>
      </c>
      <c r="N2189" s="5" t="s">
        <v>2860</v>
      </c>
      <c r="O2189" s="5" t="s">
        <v>9331</v>
      </c>
      <c r="P2189" s="5" t="s">
        <v>9332</v>
      </c>
      <c r="Q2189" s="5" t="s">
        <v>9333</v>
      </c>
      <c r="R2189" s="5" t="s">
        <v>9334</v>
      </c>
      <c r="AG2189" s="14" t="s">
        <v>55</v>
      </c>
      <c r="AH2189" s="14" t="s">
        <v>1603</v>
      </c>
      <c r="AI2189" s="14" t="s">
        <v>1604</v>
      </c>
    </row>
    <row r="2190" spans="1:37">
      <c r="A2190" s="5" t="s">
        <v>9341</v>
      </c>
      <c r="B2190" s="5" t="s">
        <v>9329</v>
      </c>
      <c r="C2190" s="6" t="s">
        <v>43</v>
      </c>
      <c r="D2190" s="6" t="s">
        <v>239</v>
      </c>
      <c r="E2190" s="6" t="s">
        <v>2070</v>
      </c>
      <c r="F2190" s="6" t="s">
        <v>46</v>
      </c>
      <c r="G2190" s="6" t="s">
        <v>9342</v>
      </c>
      <c r="H2190" s="7">
        <v>39.950000000000003</v>
      </c>
      <c r="I2190" s="19" t="s">
        <v>1589</v>
      </c>
      <c r="J2190" s="19" t="s">
        <v>2696</v>
      </c>
      <c r="K2190" s="5" t="s">
        <v>2857</v>
      </c>
      <c r="L2190" s="5" t="s">
        <v>2858</v>
      </c>
      <c r="M2190" s="5" t="s">
        <v>2859</v>
      </c>
      <c r="N2190" s="5" t="s">
        <v>2860</v>
      </c>
      <c r="O2190" s="5" t="s">
        <v>9331</v>
      </c>
      <c r="P2190" s="5" t="s">
        <v>9332</v>
      </c>
      <c r="Q2190" s="5" t="s">
        <v>9333</v>
      </c>
      <c r="R2190" s="5" t="s">
        <v>9334</v>
      </c>
      <c r="AG2190" s="14" t="s">
        <v>55</v>
      </c>
      <c r="AH2190" s="14" t="s">
        <v>1603</v>
      </c>
      <c r="AI2190" s="14" t="s">
        <v>1604</v>
      </c>
    </row>
    <row r="2191" spans="1:37">
      <c r="A2191" s="5" t="s">
        <v>9343</v>
      </c>
      <c r="B2191" s="5" t="s">
        <v>9329</v>
      </c>
      <c r="C2191" s="6" t="s">
        <v>43</v>
      </c>
      <c r="D2191" s="6" t="s">
        <v>239</v>
      </c>
      <c r="E2191" s="6" t="s">
        <v>1540</v>
      </c>
      <c r="F2191" s="6" t="s">
        <v>46</v>
      </c>
      <c r="G2191" s="6" t="s">
        <v>9344</v>
      </c>
      <c r="H2191" s="7">
        <v>39.950000000000003</v>
      </c>
      <c r="I2191" s="19" t="s">
        <v>1589</v>
      </c>
      <c r="J2191" s="19" t="s">
        <v>2696</v>
      </c>
      <c r="K2191" s="5" t="s">
        <v>2857</v>
      </c>
      <c r="L2191" s="5" t="s">
        <v>2858</v>
      </c>
      <c r="M2191" s="5" t="s">
        <v>2859</v>
      </c>
      <c r="N2191" s="5" t="s">
        <v>2860</v>
      </c>
      <c r="O2191" s="5" t="s">
        <v>9331</v>
      </c>
      <c r="P2191" s="5" t="s">
        <v>9332</v>
      </c>
      <c r="Q2191" s="5" t="s">
        <v>9333</v>
      </c>
      <c r="R2191" s="5" t="s">
        <v>9334</v>
      </c>
      <c r="AG2191" s="14" t="s">
        <v>55</v>
      </c>
      <c r="AH2191" s="14" t="s">
        <v>1603</v>
      </c>
      <c r="AI2191" s="14" t="s">
        <v>1604</v>
      </c>
    </row>
    <row r="2192" spans="1:37">
      <c r="A2192" s="5" t="s">
        <v>9345</v>
      </c>
      <c r="B2192" s="5" t="s">
        <v>9329</v>
      </c>
      <c r="C2192" s="6" t="s">
        <v>43</v>
      </c>
      <c r="D2192" s="6" t="s">
        <v>239</v>
      </c>
      <c r="E2192" s="6" t="s">
        <v>2065</v>
      </c>
      <c r="F2192" s="6" t="s">
        <v>46</v>
      </c>
      <c r="G2192" s="6" t="s">
        <v>1935</v>
      </c>
      <c r="H2192" s="7">
        <v>39.950000000000003</v>
      </c>
      <c r="I2192" s="19" t="s">
        <v>1589</v>
      </c>
      <c r="J2192" s="19" t="s">
        <v>2696</v>
      </c>
      <c r="K2192" s="5" t="s">
        <v>2857</v>
      </c>
      <c r="L2192" s="5" t="s">
        <v>2858</v>
      </c>
      <c r="M2192" s="5" t="s">
        <v>2859</v>
      </c>
      <c r="N2192" s="5" t="s">
        <v>2860</v>
      </c>
      <c r="O2192" s="5" t="s">
        <v>9331</v>
      </c>
      <c r="P2192" s="5" t="s">
        <v>9332</v>
      </c>
      <c r="Q2192" s="5" t="s">
        <v>9333</v>
      </c>
      <c r="R2192" s="5" t="s">
        <v>9334</v>
      </c>
      <c r="AG2192" s="14" t="s">
        <v>55</v>
      </c>
      <c r="AH2192" s="14" t="s">
        <v>1603</v>
      </c>
      <c r="AI2192" s="14" t="s">
        <v>1604</v>
      </c>
    </row>
    <row r="2193" spans="1:37">
      <c r="A2193" s="6" t="s">
        <v>9346</v>
      </c>
      <c r="B2193" s="6" t="s">
        <v>9347</v>
      </c>
      <c r="C2193" s="6" t="s">
        <v>43</v>
      </c>
      <c r="D2193" s="6" t="s">
        <v>239</v>
      </c>
      <c r="E2193" s="6" t="s">
        <v>2047</v>
      </c>
      <c r="F2193" s="6" t="s">
        <v>46</v>
      </c>
      <c r="G2193" s="6" t="s">
        <v>1757</v>
      </c>
      <c r="I2193" s="6" t="s">
        <v>48</v>
      </c>
      <c r="J2193" s="6" t="s">
        <v>48</v>
      </c>
      <c r="K2193" s="6"/>
      <c r="L2193" s="6"/>
      <c r="M2193" s="6"/>
      <c r="N2193" s="6"/>
      <c r="O2193" s="6"/>
      <c r="P2193" s="6"/>
      <c r="Q2193" s="6"/>
      <c r="R2193" s="6"/>
      <c r="S2193" s="6"/>
      <c r="T2193" s="6"/>
      <c r="U2193" s="6"/>
      <c r="V2193" s="6"/>
      <c r="W2193" s="6"/>
      <c r="X2193" s="6"/>
      <c r="Y2193" s="6"/>
      <c r="Z2193" s="6"/>
      <c r="AA2193" s="6"/>
      <c r="AB2193" s="6"/>
      <c r="AC2193" s="6"/>
      <c r="AD2193" s="6"/>
      <c r="AE2193" s="6"/>
      <c r="AF2193" s="6"/>
      <c r="AG2193" s="15" t="s">
        <v>55</v>
      </c>
      <c r="AH2193" s="15"/>
      <c r="AI2193" s="15"/>
      <c r="AJ2193" s="6"/>
      <c r="AK2193" s="6"/>
    </row>
    <row r="2194" spans="1:37" s="6" customFormat="1">
      <c r="A2194" s="6" t="s">
        <v>9348</v>
      </c>
      <c r="B2194" s="6" t="s">
        <v>9349</v>
      </c>
      <c r="C2194" s="6" t="s">
        <v>43</v>
      </c>
      <c r="D2194" s="6" t="s">
        <v>239</v>
      </c>
      <c r="E2194" s="6" t="s">
        <v>2047</v>
      </c>
      <c r="F2194" s="6" t="s">
        <v>46</v>
      </c>
      <c r="G2194" s="6" t="s">
        <v>9350</v>
      </c>
      <c r="H2194" s="7"/>
      <c r="I2194" s="6" t="s">
        <v>48</v>
      </c>
      <c r="J2194" s="6" t="s">
        <v>48</v>
      </c>
      <c r="AG2194" s="15" t="s">
        <v>55</v>
      </c>
      <c r="AH2194" s="15"/>
      <c r="AI2194" s="15"/>
    </row>
    <row r="2195" spans="1:37" s="6" customFormat="1">
      <c r="A2195" s="6" t="s">
        <v>9351</v>
      </c>
      <c r="B2195" s="6" t="s">
        <v>9352</v>
      </c>
      <c r="C2195" s="6" t="s">
        <v>43</v>
      </c>
      <c r="D2195" s="6" t="s">
        <v>239</v>
      </c>
      <c r="E2195" s="6" t="s">
        <v>2047</v>
      </c>
      <c r="F2195" s="6" t="s">
        <v>46</v>
      </c>
      <c r="G2195" s="6" t="s">
        <v>8415</v>
      </c>
      <c r="H2195" s="7"/>
      <c r="I2195" s="6" t="s">
        <v>48</v>
      </c>
      <c r="J2195" s="6" t="s">
        <v>48</v>
      </c>
      <c r="AG2195" s="15" t="s">
        <v>55</v>
      </c>
      <c r="AH2195" s="15"/>
      <c r="AI2195" s="15"/>
    </row>
    <row r="2196" spans="1:37" s="6" customFormat="1">
      <c r="A2196" s="5" t="s">
        <v>9353</v>
      </c>
      <c r="B2196" s="5" t="s">
        <v>9354</v>
      </c>
      <c r="C2196" s="6" t="s">
        <v>43</v>
      </c>
      <c r="D2196" s="6" t="s">
        <v>239</v>
      </c>
      <c r="E2196" s="6" t="s">
        <v>2047</v>
      </c>
      <c r="F2196" s="6" t="s">
        <v>46</v>
      </c>
      <c r="G2196" s="6" t="s">
        <v>9355</v>
      </c>
      <c r="H2196" s="7">
        <v>40.659999999999997</v>
      </c>
      <c r="I2196" s="19" t="s">
        <v>1589</v>
      </c>
      <c r="J2196" s="19" t="s">
        <v>2696</v>
      </c>
      <c r="K2196" s="5" t="s">
        <v>2878</v>
      </c>
      <c r="L2196" s="5" t="s">
        <v>2879</v>
      </c>
      <c r="M2196" s="5" t="s">
        <v>2880</v>
      </c>
      <c r="N2196" s="5" t="s">
        <v>2881</v>
      </c>
      <c r="O2196" s="5" t="s">
        <v>9356</v>
      </c>
      <c r="P2196" s="5" t="s">
        <v>9357</v>
      </c>
      <c r="Q2196" s="5" t="s">
        <v>9358</v>
      </c>
      <c r="R2196" s="5" t="s">
        <v>9359</v>
      </c>
      <c r="S2196" s="5"/>
      <c r="T2196" s="5"/>
      <c r="U2196" s="5"/>
      <c r="V2196" s="5"/>
      <c r="W2196" s="5"/>
      <c r="X2196" s="5"/>
      <c r="Y2196" s="5"/>
      <c r="Z2196" s="5"/>
      <c r="AA2196" s="5"/>
      <c r="AB2196" s="5"/>
      <c r="AC2196" s="5"/>
      <c r="AD2196" s="5"/>
      <c r="AE2196" s="5"/>
      <c r="AF2196" s="5"/>
      <c r="AG2196" s="14" t="s">
        <v>55</v>
      </c>
      <c r="AH2196" s="14" t="s">
        <v>1603</v>
      </c>
      <c r="AI2196" s="14" t="s">
        <v>1604</v>
      </c>
      <c r="AJ2196" s="5"/>
      <c r="AK2196" s="5"/>
    </row>
    <row r="2197" spans="1:37">
      <c r="A2197" s="6" t="s">
        <v>9360</v>
      </c>
      <c r="B2197" s="6" t="s">
        <v>9361</v>
      </c>
      <c r="C2197" s="6" t="s">
        <v>43</v>
      </c>
      <c r="D2197" s="6" t="s">
        <v>239</v>
      </c>
      <c r="E2197" s="6" t="s">
        <v>2047</v>
      </c>
      <c r="F2197" s="6" t="s">
        <v>46</v>
      </c>
      <c r="G2197" s="6" t="s">
        <v>7265</v>
      </c>
      <c r="I2197" s="6" t="s">
        <v>48</v>
      </c>
      <c r="J2197" s="6" t="s">
        <v>48</v>
      </c>
      <c r="K2197" s="6"/>
      <c r="L2197" s="6"/>
      <c r="M2197" s="6"/>
      <c r="N2197" s="6"/>
      <c r="O2197" s="6"/>
      <c r="P2197" s="6"/>
      <c r="Q2197" s="6"/>
      <c r="R2197" s="6"/>
      <c r="S2197" s="6"/>
      <c r="T2197" s="6"/>
      <c r="U2197" s="6"/>
      <c r="V2197" s="6"/>
      <c r="W2197" s="6"/>
      <c r="X2197" s="6"/>
      <c r="Y2197" s="6"/>
      <c r="Z2197" s="6"/>
      <c r="AA2197" s="6"/>
      <c r="AB2197" s="6"/>
      <c r="AC2197" s="6"/>
      <c r="AD2197" s="6"/>
      <c r="AE2197" s="6"/>
      <c r="AF2197" s="6"/>
      <c r="AG2197" s="15" t="s">
        <v>55</v>
      </c>
      <c r="AH2197" s="15"/>
      <c r="AI2197" s="15"/>
      <c r="AJ2197" s="6"/>
      <c r="AK2197" s="6"/>
    </row>
    <row r="2198" spans="1:37" s="6" customFormat="1">
      <c r="A2198" s="6" t="s">
        <v>9362</v>
      </c>
      <c r="B2198" s="6" t="s">
        <v>9363</v>
      </c>
      <c r="C2198" s="6" t="s">
        <v>43</v>
      </c>
      <c r="D2198" s="6" t="s">
        <v>239</v>
      </c>
      <c r="E2198" s="6" t="s">
        <v>2047</v>
      </c>
      <c r="F2198" s="6" t="s">
        <v>46</v>
      </c>
      <c r="G2198" s="6" t="s">
        <v>8553</v>
      </c>
      <c r="H2198" s="7"/>
      <c r="I2198" s="19" t="s">
        <v>48</v>
      </c>
      <c r="J2198" s="19" t="s">
        <v>48</v>
      </c>
      <c r="AG2198" s="15" t="s">
        <v>55</v>
      </c>
      <c r="AH2198" s="15"/>
      <c r="AI2198" s="15"/>
    </row>
    <row r="2199" spans="1:37" s="6" customFormat="1">
      <c r="A2199" s="5" t="s">
        <v>9364</v>
      </c>
      <c r="B2199" s="5" t="s">
        <v>9365</v>
      </c>
      <c r="C2199" s="6" t="s">
        <v>43</v>
      </c>
      <c r="D2199" s="6" t="s">
        <v>239</v>
      </c>
      <c r="E2199" s="6" t="s">
        <v>2139</v>
      </c>
      <c r="F2199" s="6" t="s">
        <v>46</v>
      </c>
      <c r="G2199" s="6" t="s">
        <v>9366</v>
      </c>
      <c r="H2199" s="7">
        <v>42.77</v>
      </c>
      <c r="I2199" s="19" t="s">
        <v>1589</v>
      </c>
      <c r="J2199" s="19" t="s">
        <v>2696</v>
      </c>
      <c r="K2199" s="5" t="s">
        <v>2903</v>
      </c>
      <c r="L2199" s="5" t="s">
        <v>2904</v>
      </c>
      <c r="M2199" s="5" t="s">
        <v>2905</v>
      </c>
      <c r="N2199" s="5" t="s">
        <v>2906</v>
      </c>
      <c r="O2199" s="5" t="s">
        <v>9367</v>
      </c>
      <c r="P2199" s="5" t="s">
        <v>9368</v>
      </c>
      <c r="Q2199" s="5" t="s">
        <v>9369</v>
      </c>
      <c r="R2199" s="5" t="s">
        <v>9370</v>
      </c>
      <c r="S2199" s="5"/>
      <c r="T2199" s="5"/>
      <c r="U2199" s="5"/>
      <c r="V2199" s="5"/>
      <c r="W2199" s="5"/>
      <c r="X2199" s="5"/>
      <c r="Y2199" s="5"/>
      <c r="Z2199" s="5"/>
      <c r="AA2199" s="5"/>
      <c r="AB2199" s="5"/>
      <c r="AC2199" s="5"/>
      <c r="AD2199" s="5"/>
      <c r="AE2199" s="5"/>
      <c r="AF2199" s="5"/>
      <c r="AG2199" s="14" t="s">
        <v>55</v>
      </c>
      <c r="AH2199" s="14" t="s">
        <v>1603</v>
      </c>
      <c r="AI2199" s="14" t="s">
        <v>1604</v>
      </c>
      <c r="AJ2199" s="5"/>
      <c r="AK2199" s="5"/>
    </row>
    <row r="2200" spans="1:37">
      <c r="A2200" s="5" t="s">
        <v>9371</v>
      </c>
      <c r="B2200" s="5" t="s">
        <v>9365</v>
      </c>
      <c r="C2200" s="6" t="s">
        <v>43</v>
      </c>
      <c r="D2200" s="6" t="s">
        <v>239</v>
      </c>
      <c r="E2200" s="6" t="s">
        <v>2047</v>
      </c>
      <c r="F2200" s="6" t="s">
        <v>46</v>
      </c>
      <c r="G2200" s="6" t="s">
        <v>9022</v>
      </c>
      <c r="H2200" s="7">
        <v>42.77</v>
      </c>
      <c r="I2200" s="19" t="s">
        <v>1589</v>
      </c>
      <c r="J2200" s="19" t="s">
        <v>2696</v>
      </c>
      <c r="K2200" s="5" t="s">
        <v>2903</v>
      </c>
      <c r="L2200" s="5" t="s">
        <v>2904</v>
      </c>
      <c r="M2200" s="5" t="s">
        <v>2905</v>
      </c>
      <c r="N2200" s="5" t="s">
        <v>2906</v>
      </c>
      <c r="O2200" s="5" t="s">
        <v>9367</v>
      </c>
      <c r="P2200" s="5" t="s">
        <v>9368</v>
      </c>
      <c r="Q2200" s="5" t="s">
        <v>9369</v>
      </c>
      <c r="R2200" s="5" t="s">
        <v>9370</v>
      </c>
      <c r="AG2200" s="14" t="s">
        <v>55</v>
      </c>
      <c r="AH2200" s="14" t="s">
        <v>1603</v>
      </c>
      <c r="AI2200" s="14" t="s">
        <v>1604</v>
      </c>
    </row>
    <row r="2201" spans="1:37">
      <c r="A2201" s="5" t="s">
        <v>9372</v>
      </c>
      <c r="B2201" s="5" t="s">
        <v>9365</v>
      </c>
      <c r="C2201" s="6" t="s">
        <v>43</v>
      </c>
      <c r="D2201" s="6" t="s">
        <v>239</v>
      </c>
      <c r="E2201" s="6" t="s">
        <v>2070</v>
      </c>
      <c r="F2201" s="6" t="s">
        <v>46</v>
      </c>
      <c r="G2201" s="6" t="s">
        <v>9373</v>
      </c>
      <c r="H2201" s="7">
        <v>42.77</v>
      </c>
      <c r="I2201" s="19" t="s">
        <v>1589</v>
      </c>
      <c r="J2201" s="19" t="s">
        <v>2696</v>
      </c>
      <c r="K2201" s="5" t="s">
        <v>2903</v>
      </c>
      <c r="L2201" s="5" t="s">
        <v>2904</v>
      </c>
      <c r="M2201" s="5" t="s">
        <v>2905</v>
      </c>
      <c r="N2201" s="5" t="s">
        <v>2906</v>
      </c>
      <c r="O2201" s="5" t="s">
        <v>9367</v>
      </c>
      <c r="P2201" s="5" t="s">
        <v>9368</v>
      </c>
      <c r="Q2201" s="5" t="s">
        <v>9369</v>
      </c>
      <c r="R2201" s="5" t="s">
        <v>9370</v>
      </c>
      <c r="AG2201" s="14" t="s">
        <v>55</v>
      </c>
      <c r="AH2201" s="14" t="s">
        <v>1603</v>
      </c>
      <c r="AI2201" s="14" t="s">
        <v>1604</v>
      </c>
    </row>
    <row r="2202" spans="1:37">
      <c r="A2202" s="5" t="s">
        <v>9374</v>
      </c>
      <c r="B2202" s="5" t="s">
        <v>9365</v>
      </c>
      <c r="C2202" s="6" t="s">
        <v>43</v>
      </c>
      <c r="D2202" s="6" t="s">
        <v>239</v>
      </c>
      <c r="E2202" s="6" t="s">
        <v>2839</v>
      </c>
      <c r="F2202" s="6" t="s">
        <v>46</v>
      </c>
      <c r="G2202" s="6" t="s">
        <v>3778</v>
      </c>
      <c r="H2202" s="7">
        <v>42.77</v>
      </c>
      <c r="I2202" s="19" t="s">
        <v>1589</v>
      </c>
      <c r="J2202" s="19" t="s">
        <v>2696</v>
      </c>
      <c r="K2202" s="5" t="s">
        <v>2903</v>
      </c>
      <c r="L2202" s="5" t="s">
        <v>2904</v>
      </c>
      <c r="M2202" s="5" t="s">
        <v>2905</v>
      </c>
      <c r="N2202" s="5" t="s">
        <v>2906</v>
      </c>
      <c r="O2202" s="5" t="s">
        <v>9367</v>
      </c>
      <c r="P2202" s="5" t="s">
        <v>9368</v>
      </c>
      <c r="Q2202" s="5" t="s">
        <v>9369</v>
      </c>
      <c r="R2202" s="5" t="s">
        <v>9370</v>
      </c>
      <c r="AG2202" s="14" t="s">
        <v>55</v>
      </c>
      <c r="AH2202" s="14" t="s">
        <v>1603</v>
      </c>
      <c r="AI2202" s="14" t="s">
        <v>1604</v>
      </c>
    </row>
    <row r="2203" spans="1:37">
      <c r="A2203" s="5" t="s">
        <v>9375</v>
      </c>
      <c r="B2203" s="5" t="s">
        <v>9365</v>
      </c>
      <c r="C2203" s="6" t="s">
        <v>43</v>
      </c>
      <c r="D2203" s="6" t="s">
        <v>239</v>
      </c>
      <c r="E2203" s="6" t="s">
        <v>2065</v>
      </c>
      <c r="F2203" s="6" t="s">
        <v>46</v>
      </c>
      <c r="G2203" s="6" t="s">
        <v>7314</v>
      </c>
      <c r="H2203" s="7">
        <v>42.77</v>
      </c>
      <c r="I2203" s="19" t="s">
        <v>1589</v>
      </c>
      <c r="J2203" s="19" t="s">
        <v>2696</v>
      </c>
      <c r="K2203" s="5" t="s">
        <v>2903</v>
      </c>
      <c r="L2203" s="5" t="s">
        <v>2904</v>
      </c>
      <c r="M2203" s="5" t="s">
        <v>2905</v>
      </c>
      <c r="N2203" s="5" t="s">
        <v>2906</v>
      </c>
      <c r="O2203" s="5" t="s">
        <v>9367</v>
      </c>
      <c r="P2203" s="5" t="s">
        <v>9368</v>
      </c>
      <c r="Q2203" s="5" t="s">
        <v>9369</v>
      </c>
      <c r="R2203" s="5" t="s">
        <v>9370</v>
      </c>
      <c r="AG2203" s="14" t="s">
        <v>55</v>
      </c>
      <c r="AH2203" s="14" t="s">
        <v>1603</v>
      </c>
      <c r="AI2203" s="14" t="s">
        <v>1604</v>
      </c>
    </row>
    <row r="2204" spans="1:37">
      <c r="A2204" s="6" t="s">
        <v>9376</v>
      </c>
      <c r="B2204" s="6" t="s">
        <v>9377</v>
      </c>
      <c r="C2204" s="6" t="s">
        <v>43</v>
      </c>
      <c r="D2204" s="6" t="s">
        <v>239</v>
      </c>
      <c r="E2204" s="6" t="s">
        <v>2047</v>
      </c>
      <c r="F2204" s="6" t="s">
        <v>46</v>
      </c>
      <c r="G2204" s="6" t="s">
        <v>9378</v>
      </c>
      <c r="I2204" s="6" t="s">
        <v>48</v>
      </c>
      <c r="J2204" s="6" t="s">
        <v>48</v>
      </c>
      <c r="K2204" s="6"/>
      <c r="L2204" s="6"/>
      <c r="M2204" s="6"/>
      <c r="N2204" s="6"/>
      <c r="O2204" s="6"/>
      <c r="P2204" s="6"/>
      <c r="Q2204" s="6"/>
      <c r="R2204" s="6"/>
      <c r="S2204" s="6"/>
      <c r="T2204" s="6"/>
      <c r="U2204" s="6"/>
      <c r="V2204" s="6"/>
      <c r="W2204" s="6"/>
      <c r="X2204" s="6"/>
      <c r="Y2204" s="6"/>
      <c r="Z2204" s="6"/>
      <c r="AA2204" s="6"/>
      <c r="AB2204" s="6"/>
      <c r="AC2204" s="6"/>
      <c r="AD2204" s="6"/>
      <c r="AE2204" s="6"/>
      <c r="AF2204" s="6"/>
      <c r="AG2204" s="15" t="s">
        <v>55</v>
      </c>
      <c r="AH2204" s="15"/>
      <c r="AI2204" s="15"/>
      <c r="AJ2204" s="6"/>
      <c r="AK2204" s="6"/>
    </row>
    <row r="2205" spans="1:37" s="6" customFormat="1">
      <c r="A2205" s="6" t="s">
        <v>9379</v>
      </c>
      <c r="B2205" s="6" t="s">
        <v>9380</v>
      </c>
      <c r="C2205" s="6" t="s">
        <v>43</v>
      </c>
      <c r="D2205" s="6" t="s">
        <v>239</v>
      </c>
      <c r="E2205" s="6" t="s">
        <v>2047</v>
      </c>
      <c r="F2205" s="6" t="s">
        <v>46</v>
      </c>
      <c r="G2205" s="6" t="s">
        <v>3736</v>
      </c>
      <c r="H2205" s="7"/>
      <c r="I2205" s="6" t="s">
        <v>48</v>
      </c>
      <c r="J2205" s="6" t="s">
        <v>48</v>
      </c>
      <c r="AG2205" s="15" t="s">
        <v>55</v>
      </c>
      <c r="AH2205" s="15"/>
      <c r="AI2205" s="15"/>
    </row>
    <row r="2206" spans="1:37" s="6" customFormat="1">
      <c r="A2206" s="5" t="s">
        <v>9381</v>
      </c>
      <c r="B2206" s="5" t="s">
        <v>9382</v>
      </c>
      <c r="C2206" s="6" t="s">
        <v>43</v>
      </c>
      <c r="D2206" s="6" t="s">
        <v>239</v>
      </c>
      <c r="E2206" s="6" t="s">
        <v>2047</v>
      </c>
      <c r="F2206" s="6" t="s">
        <v>46</v>
      </c>
      <c r="G2206" s="6" t="s">
        <v>6611</v>
      </c>
      <c r="H2206" s="7">
        <v>40.479999999999997</v>
      </c>
      <c r="I2206" s="19" t="s">
        <v>1589</v>
      </c>
      <c r="J2206" s="19" t="s">
        <v>2696</v>
      </c>
      <c r="K2206" s="5" t="s">
        <v>2923</v>
      </c>
      <c r="L2206" s="5" t="s">
        <v>2924</v>
      </c>
      <c r="M2206" s="5" t="s">
        <v>2925</v>
      </c>
      <c r="N2206" s="5" t="s">
        <v>2926</v>
      </c>
      <c r="O2206" s="5" t="s">
        <v>9383</v>
      </c>
      <c r="P2206" s="5" t="s">
        <v>9384</v>
      </c>
      <c r="Q2206" s="5" t="s">
        <v>9385</v>
      </c>
      <c r="R2206" s="5" t="s">
        <v>9386</v>
      </c>
      <c r="S2206" s="5"/>
      <c r="T2206" s="5"/>
      <c r="U2206" s="5"/>
      <c r="V2206" s="5"/>
      <c r="W2206" s="5"/>
      <c r="X2206" s="5"/>
      <c r="Y2206" s="5"/>
      <c r="Z2206" s="5"/>
      <c r="AA2206" s="5"/>
      <c r="AB2206" s="5"/>
      <c r="AC2206" s="5"/>
      <c r="AD2206" s="5"/>
      <c r="AE2206" s="5"/>
      <c r="AF2206" s="5"/>
      <c r="AG2206" s="14" t="s">
        <v>55</v>
      </c>
      <c r="AH2206" s="14" t="s">
        <v>1603</v>
      </c>
      <c r="AI2206" s="14" t="s">
        <v>1604</v>
      </c>
      <c r="AJ2206" s="5"/>
      <c r="AK2206" s="5"/>
    </row>
    <row r="2207" spans="1:37">
      <c r="A2207" s="5" t="s">
        <v>9387</v>
      </c>
      <c r="B2207" s="5" t="s">
        <v>9388</v>
      </c>
      <c r="C2207" s="6" t="s">
        <v>9389</v>
      </c>
      <c r="D2207" s="6" t="s">
        <v>239</v>
      </c>
      <c r="E2207" s="6" t="s">
        <v>2139</v>
      </c>
      <c r="F2207" s="6" t="s">
        <v>46</v>
      </c>
      <c r="G2207" s="6" t="s">
        <v>9390</v>
      </c>
      <c r="H2207" s="7">
        <v>42.77</v>
      </c>
      <c r="I2207" s="19" t="s">
        <v>1589</v>
      </c>
      <c r="J2207" s="19" t="s">
        <v>2696</v>
      </c>
      <c r="K2207" s="5" t="s">
        <v>2935</v>
      </c>
      <c r="L2207" s="5" t="s">
        <v>2936</v>
      </c>
      <c r="M2207" s="5" t="s">
        <v>2937</v>
      </c>
      <c r="N2207" s="5" t="s">
        <v>2938</v>
      </c>
      <c r="O2207" s="5" t="s">
        <v>9391</v>
      </c>
      <c r="P2207" s="5" t="s">
        <v>9392</v>
      </c>
      <c r="Q2207" s="5" t="s">
        <v>9393</v>
      </c>
      <c r="R2207" s="5" t="s">
        <v>9394</v>
      </c>
      <c r="AG2207" s="14" t="s">
        <v>55</v>
      </c>
      <c r="AH2207" s="14" t="s">
        <v>1603</v>
      </c>
      <c r="AI2207" s="14" t="s">
        <v>1604</v>
      </c>
    </row>
    <row r="2208" spans="1:37">
      <c r="A2208" s="5" t="s">
        <v>9395</v>
      </c>
      <c r="B2208" s="5" t="s">
        <v>9388</v>
      </c>
      <c r="C2208" s="6" t="s">
        <v>9389</v>
      </c>
      <c r="D2208" s="6" t="s">
        <v>239</v>
      </c>
      <c r="E2208" s="6" t="s">
        <v>2047</v>
      </c>
      <c r="F2208" s="6" t="s">
        <v>46</v>
      </c>
      <c r="G2208" s="6" t="s">
        <v>2888</v>
      </c>
      <c r="H2208" s="7">
        <v>42.77</v>
      </c>
      <c r="I2208" s="19" t="s">
        <v>1589</v>
      </c>
      <c r="J2208" s="19" t="s">
        <v>2696</v>
      </c>
      <c r="K2208" s="5" t="s">
        <v>2935</v>
      </c>
      <c r="L2208" s="5" t="s">
        <v>2936</v>
      </c>
      <c r="M2208" s="5" t="s">
        <v>2937</v>
      </c>
      <c r="N2208" s="5" t="s">
        <v>2938</v>
      </c>
      <c r="O2208" s="5" t="s">
        <v>9391</v>
      </c>
      <c r="P2208" s="5" t="s">
        <v>9392</v>
      </c>
      <c r="Q2208" s="5" t="s">
        <v>9393</v>
      </c>
      <c r="R2208" s="5" t="s">
        <v>9394</v>
      </c>
      <c r="AG2208" s="14" t="s">
        <v>55</v>
      </c>
      <c r="AH2208" s="14" t="s">
        <v>1603</v>
      </c>
      <c r="AI2208" s="14" t="s">
        <v>1604</v>
      </c>
    </row>
    <row r="2209" spans="1:37">
      <c r="A2209" s="5" t="s">
        <v>9396</v>
      </c>
      <c r="B2209" s="5" t="s">
        <v>9388</v>
      </c>
      <c r="C2209" s="6" t="s">
        <v>9389</v>
      </c>
      <c r="D2209" s="6" t="s">
        <v>239</v>
      </c>
      <c r="E2209" s="6" t="s">
        <v>2065</v>
      </c>
      <c r="F2209" s="6" t="s">
        <v>46</v>
      </c>
      <c r="G2209" s="6" t="s">
        <v>1210</v>
      </c>
      <c r="H2209" s="7">
        <v>42.77</v>
      </c>
      <c r="I2209" s="19" t="s">
        <v>1589</v>
      </c>
      <c r="J2209" s="19" t="s">
        <v>2696</v>
      </c>
      <c r="K2209" s="5" t="s">
        <v>2935</v>
      </c>
      <c r="L2209" s="5" t="s">
        <v>2936</v>
      </c>
      <c r="M2209" s="5" t="s">
        <v>2937</v>
      </c>
      <c r="N2209" s="5" t="s">
        <v>2938</v>
      </c>
      <c r="O2209" s="5" t="s">
        <v>9391</v>
      </c>
      <c r="P2209" s="5" t="s">
        <v>9392</v>
      </c>
      <c r="Q2209" s="5" t="s">
        <v>9393</v>
      </c>
      <c r="R2209" s="5" t="s">
        <v>9394</v>
      </c>
      <c r="AG2209" s="14" t="s">
        <v>55</v>
      </c>
      <c r="AH2209" s="14" t="s">
        <v>1603</v>
      </c>
      <c r="AI2209" s="14" t="s">
        <v>1604</v>
      </c>
    </row>
    <row r="2210" spans="1:37">
      <c r="A2210" s="6" t="s">
        <v>9397</v>
      </c>
      <c r="B2210" s="6" t="s">
        <v>9398</v>
      </c>
      <c r="C2210" s="6" t="s">
        <v>2951</v>
      </c>
      <c r="D2210" s="6" t="s">
        <v>239</v>
      </c>
      <c r="E2210" s="6" t="s">
        <v>2047</v>
      </c>
      <c r="F2210" s="6" t="s">
        <v>46</v>
      </c>
      <c r="G2210" s="6" t="s">
        <v>9399</v>
      </c>
      <c r="I2210" s="16" t="s">
        <v>48</v>
      </c>
      <c r="J2210" s="16" t="s">
        <v>48</v>
      </c>
      <c r="K2210" s="6"/>
      <c r="L2210" s="6"/>
      <c r="M2210" s="6"/>
      <c r="N2210" s="6"/>
      <c r="O2210" s="6"/>
      <c r="P2210" s="6"/>
      <c r="Q2210" s="6"/>
      <c r="R2210" s="6"/>
      <c r="S2210" s="6"/>
      <c r="T2210" s="6"/>
      <c r="U2210" s="6"/>
      <c r="V2210" s="6"/>
      <c r="W2210" s="6"/>
      <c r="X2210" s="6"/>
      <c r="Y2210" s="6"/>
      <c r="Z2210" s="6"/>
      <c r="AA2210" s="6"/>
      <c r="AB2210" s="6"/>
      <c r="AC2210" s="6"/>
      <c r="AD2210" s="6"/>
      <c r="AE2210" s="6"/>
      <c r="AF2210" s="6"/>
      <c r="AG2210" s="15" t="s">
        <v>55</v>
      </c>
      <c r="AH2210" s="15"/>
      <c r="AI2210" s="15"/>
      <c r="AJ2210" s="6"/>
      <c r="AK2210" s="6"/>
    </row>
    <row r="2211" spans="1:37" s="6" customFormat="1">
      <c r="A2211" s="6" t="s">
        <v>9400</v>
      </c>
      <c r="B2211" s="6" t="s">
        <v>9398</v>
      </c>
      <c r="C2211" s="6" t="s">
        <v>2951</v>
      </c>
      <c r="D2211" s="6" t="s">
        <v>239</v>
      </c>
      <c r="E2211" s="6" t="s">
        <v>2070</v>
      </c>
      <c r="F2211" s="6" t="s">
        <v>46</v>
      </c>
      <c r="G2211" s="6" t="s">
        <v>9401</v>
      </c>
      <c r="H2211" s="7"/>
      <c r="I2211" s="16" t="s">
        <v>48</v>
      </c>
      <c r="J2211" s="16" t="s">
        <v>48</v>
      </c>
      <c r="AG2211" s="15" t="s">
        <v>55</v>
      </c>
      <c r="AH2211" s="15"/>
      <c r="AI2211" s="15"/>
    </row>
    <row r="2212" spans="1:37" s="6" customFormat="1">
      <c r="A2212" s="6" t="s">
        <v>9402</v>
      </c>
      <c r="B2212" s="6" t="s">
        <v>9398</v>
      </c>
      <c r="C2212" s="6" t="s">
        <v>2951</v>
      </c>
      <c r="D2212" s="6" t="s">
        <v>239</v>
      </c>
      <c r="E2212" s="6" t="s">
        <v>2065</v>
      </c>
      <c r="F2212" s="6" t="s">
        <v>46</v>
      </c>
      <c r="G2212" s="6" t="s">
        <v>7580</v>
      </c>
      <c r="H2212" s="7"/>
      <c r="I2212" s="16" t="s">
        <v>48</v>
      </c>
      <c r="J2212" s="16" t="s">
        <v>48</v>
      </c>
      <c r="AG2212" s="15" t="s">
        <v>55</v>
      </c>
      <c r="AH2212" s="15"/>
      <c r="AI2212" s="15"/>
    </row>
    <row r="2213" spans="1:37" s="6" customFormat="1">
      <c r="A2213" s="6" t="s">
        <v>9403</v>
      </c>
      <c r="B2213" s="6" t="s">
        <v>9404</v>
      </c>
      <c r="C2213" s="6" t="s">
        <v>43</v>
      </c>
      <c r="D2213" s="6" t="s">
        <v>239</v>
      </c>
      <c r="E2213" s="6" t="s">
        <v>2047</v>
      </c>
      <c r="F2213" s="6" t="s">
        <v>46</v>
      </c>
      <c r="G2213" s="6" t="s">
        <v>2922</v>
      </c>
      <c r="H2213" s="7"/>
      <c r="I2213" s="6" t="s">
        <v>48</v>
      </c>
      <c r="J2213" s="6" t="s">
        <v>48</v>
      </c>
      <c r="AG2213" s="15" t="s">
        <v>55</v>
      </c>
      <c r="AH2213" s="15"/>
      <c r="AI2213" s="15"/>
    </row>
    <row r="2214" spans="1:37" s="6" customFormat="1">
      <c r="A2214" s="5" t="s">
        <v>9405</v>
      </c>
      <c r="B2214" s="5" t="s">
        <v>9406</v>
      </c>
      <c r="C2214" s="6" t="s">
        <v>43</v>
      </c>
      <c r="D2214" s="6" t="s">
        <v>239</v>
      </c>
      <c r="E2214" s="6" t="s">
        <v>2139</v>
      </c>
      <c r="F2214" s="6" t="s">
        <v>46</v>
      </c>
      <c r="G2214" s="6" t="s">
        <v>9407</v>
      </c>
      <c r="H2214" s="7">
        <v>43.56</v>
      </c>
      <c r="I2214" s="19" t="s">
        <v>1589</v>
      </c>
      <c r="J2214" s="19" t="s">
        <v>2696</v>
      </c>
      <c r="K2214" s="5" t="s">
        <v>2960</v>
      </c>
      <c r="L2214" s="5" t="s">
        <v>2961</v>
      </c>
      <c r="M2214" s="5" t="s">
        <v>2962</v>
      </c>
      <c r="N2214" s="5" t="s">
        <v>2963</v>
      </c>
      <c r="O2214" s="5" t="s">
        <v>9408</v>
      </c>
      <c r="P2214" s="5" t="s">
        <v>9409</v>
      </c>
      <c r="Q2214" s="5" t="s">
        <v>9410</v>
      </c>
      <c r="R2214" s="5" t="s">
        <v>9411</v>
      </c>
      <c r="S2214" s="5"/>
      <c r="T2214" s="5"/>
      <c r="U2214" s="5"/>
      <c r="V2214" s="5"/>
      <c r="W2214" s="5"/>
      <c r="X2214" s="5"/>
      <c r="Y2214" s="5"/>
      <c r="Z2214" s="5"/>
      <c r="AA2214" s="5"/>
      <c r="AB2214" s="5"/>
      <c r="AC2214" s="5"/>
      <c r="AD2214" s="5"/>
      <c r="AE2214" s="5"/>
      <c r="AF2214" s="5"/>
      <c r="AG2214" s="14" t="s">
        <v>55</v>
      </c>
      <c r="AH2214" s="14" t="s">
        <v>1603</v>
      </c>
      <c r="AI2214" s="14" t="s">
        <v>1604</v>
      </c>
      <c r="AJ2214" s="5"/>
      <c r="AK2214" s="5"/>
    </row>
    <row r="2215" spans="1:37">
      <c r="A2215" s="5" t="s">
        <v>9412</v>
      </c>
      <c r="B2215" s="5" t="s">
        <v>9406</v>
      </c>
      <c r="C2215" s="6" t="s">
        <v>43</v>
      </c>
      <c r="D2215" s="6" t="s">
        <v>239</v>
      </c>
      <c r="E2215" s="6" t="s">
        <v>2047</v>
      </c>
      <c r="F2215" s="6" t="s">
        <v>46</v>
      </c>
      <c r="G2215" s="6" t="s">
        <v>2661</v>
      </c>
      <c r="H2215" s="7">
        <v>43.56</v>
      </c>
      <c r="I2215" s="19" t="s">
        <v>1589</v>
      </c>
      <c r="J2215" s="19" t="s">
        <v>2696</v>
      </c>
      <c r="K2215" s="5" t="s">
        <v>2960</v>
      </c>
      <c r="L2215" s="5" t="s">
        <v>2961</v>
      </c>
      <c r="M2215" s="5" t="s">
        <v>2962</v>
      </c>
      <c r="N2215" s="5" t="s">
        <v>2963</v>
      </c>
      <c r="O2215" s="5" t="s">
        <v>9408</v>
      </c>
      <c r="P2215" s="5" t="s">
        <v>9409</v>
      </c>
      <c r="Q2215" s="5" t="s">
        <v>9410</v>
      </c>
      <c r="R2215" s="5" t="s">
        <v>9411</v>
      </c>
      <c r="AG2215" s="14" t="s">
        <v>55</v>
      </c>
      <c r="AH2215" s="14" t="s">
        <v>1603</v>
      </c>
      <c r="AI2215" s="14" t="s">
        <v>1604</v>
      </c>
    </row>
    <row r="2216" spans="1:37">
      <c r="A2216" s="5" t="s">
        <v>9413</v>
      </c>
      <c r="B2216" s="5" t="s">
        <v>9406</v>
      </c>
      <c r="C2216" s="6" t="s">
        <v>43</v>
      </c>
      <c r="D2216" s="6" t="s">
        <v>239</v>
      </c>
      <c r="E2216" s="6" t="s">
        <v>2839</v>
      </c>
      <c r="F2216" s="6" t="s">
        <v>46</v>
      </c>
      <c r="G2216" s="6" t="s">
        <v>9414</v>
      </c>
      <c r="H2216" s="7">
        <v>43.56</v>
      </c>
      <c r="I2216" s="19" t="s">
        <v>1589</v>
      </c>
      <c r="J2216" s="19" t="s">
        <v>2696</v>
      </c>
      <c r="K2216" s="5" t="s">
        <v>2960</v>
      </c>
      <c r="L2216" s="5" t="s">
        <v>2961</v>
      </c>
      <c r="M2216" s="5" t="s">
        <v>2962</v>
      </c>
      <c r="N2216" s="5" t="s">
        <v>2963</v>
      </c>
      <c r="O2216" s="5" t="s">
        <v>9408</v>
      </c>
      <c r="P2216" s="5" t="s">
        <v>9409</v>
      </c>
      <c r="Q2216" s="5" t="s">
        <v>9410</v>
      </c>
      <c r="R2216" s="5" t="s">
        <v>9411</v>
      </c>
      <c r="AG2216" s="14" t="s">
        <v>55</v>
      </c>
      <c r="AH2216" s="14" t="s">
        <v>1603</v>
      </c>
      <c r="AI2216" s="14" t="s">
        <v>1604</v>
      </c>
    </row>
    <row r="2217" spans="1:37">
      <c r="A2217" s="6" t="s">
        <v>9415</v>
      </c>
      <c r="B2217" s="6" t="s">
        <v>9416</v>
      </c>
      <c r="C2217" s="6" t="s">
        <v>43</v>
      </c>
      <c r="D2217" s="6" t="s">
        <v>239</v>
      </c>
      <c r="E2217" s="6" t="s">
        <v>2047</v>
      </c>
      <c r="F2217" s="6" t="s">
        <v>46</v>
      </c>
      <c r="G2217" s="6" t="s">
        <v>2952</v>
      </c>
      <c r="I2217" s="6" t="s">
        <v>48</v>
      </c>
      <c r="J2217" s="6" t="s">
        <v>48</v>
      </c>
      <c r="K2217" s="6"/>
      <c r="L2217" s="6"/>
      <c r="M2217" s="6"/>
      <c r="N2217" s="6"/>
      <c r="O2217" s="6"/>
      <c r="P2217" s="6"/>
      <c r="Q2217" s="6"/>
      <c r="R2217" s="6"/>
      <c r="S2217" s="6"/>
      <c r="T2217" s="6"/>
      <c r="U2217" s="6"/>
      <c r="V2217" s="6"/>
      <c r="W2217" s="6"/>
      <c r="X2217" s="6"/>
      <c r="Y2217" s="6"/>
      <c r="Z2217" s="6"/>
      <c r="AA2217" s="6"/>
      <c r="AB2217" s="6"/>
      <c r="AC2217" s="6"/>
      <c r="AD2217" s="6"/>
      <c r="AE2217" s="6"/>
      <c r="AF2217" s="6"/>
      <c r="AG2217" s="15" t="s">
        <v>55</v>
      </c>
      <c r="AH2217" s="15"/>
      <c r="AI2217" s="15"/>
      <c r="AJ2217" s="6"/>
      <c r="AK2217" s="6"/>
    </row>
    <row r="2218" spans="1:37" s="6" customFormat="1">
      <c r="A2218" s="5" t="s">
        <v>9417</v>
      </c>
      <c r="B2218" s="5" t="s">
        <v>9418</v>
      </c>
      <c r="C2218" s="6" t="s">
        <v>43</v>
      </c>
      <c r="D2218" s="6" t="s">
        <v>239</v>
      </c>
      <c r="E2218" s="6" t="s">
        <v>1540</v>
      </c>
      <c r="F2218" s="6" t="s">
        <v>46</v>
      </c>
      <c r="G2218" s="6" t="s">
        <v>9419</v>
      </c>
      <c r="H2218" s="7">
        <v>46.51</v>
      </c>
      <c r="I2218" s="19" t="s">
        <v>1589</v>
      </c>
      <c r="J2218" s="19" t="s">
        <v>2254</v>
      </c>
      <c r="K2218" s="5" t="s">
        <v>2972</v>
      </c>
      <c r="L2218" s="5" t="s">
        <v>2973</v>
      </c>
      <c r="M2218" s="5" t="s">
        <v>2974</v>
      </c>
      <c r="N2218" s="5" t="s">
        <v>2975</v>
      </c>
      <c r="O2218" s="5" t="s">
        <v>9420</v>
      </c>
      <c r="P2218" s="5" t="s">
        <v>9421</v>
      </c>
      <c r="Q2218" s="5" t="s">
        <v>9422</v>
      </c>
      <c r="R2218" s="5" t="s">
        <v>9423</v>
      </c>
      <c r="S2218" s="5"/>
      <c r="T2218" s="5"/>
      <c r="U2218" s="5"/>
      <c r="V2218" s="5"/>
      <c r="W2218" s="5"/>
      <c r="X2218" s="5"/>
      <c r="Y2218" s="5" t="s">
        <v>2980</v>
      </c>
      <c r="Z2218" s="5"/>
      <c r="AA2218" s="5"/>
      <c r="AB2218" s="5"/>
      <c r="AC2218" s="5"/>
      <c r="AD2218" s="5"/>
      <c r="AE2218" s="5"/>
      <c r="AF2218" s="5"/>
      <c r="AG2218" s="14" t="s">
        <v>55</v>
      </c>
      <c r="AH2218" s="14" t="s">
        <v>1603</v>
      </c>
      <c r="AI2218" s="14" t="s">
        <v>2264</v>
      </c>
      <c r="AJ2218" s="5"/>
      <c r="AK2218" s="5"/>
    </row>
    <row r="2219" spans="1:37">
      <c r="A2219" s="6" t="s">
        <v>9424</v>
      </c>
      <c r="B2219" s="6" t="s">
        <v>9425</v>
      </c>
      <c r="C2219" s="6" t="s">
        <v>43</v>
      </c>
      <c r="D2219" s="6" t="s">
        <v>239</v>
      </c>
      <c r="E2219" s="6" t="s">
        <v>2065</v>
      </c>
      <c r="F2219" s="6" t="s">
        <v>46</v>
      </c>
      <c r="G2219" s="6" t="s">
        <v>9426</v>
      </c>
      <c r="I2219" s="16" t="s">
        <v>48</v>
      </c>
      <c r="J2219" s="16" t="s">
        <v>48</v>
      </c>
      <c r="K2219" s="6"/>
      <c r="L2219" s="6"/>
      <c r="M2219" s="6"/>
      <c r="N2219" s="6"/>
      <c r="O2219" s="6"/>
      <c r="P2219" s="6"/>
      <c r="Q2219" s="6"/>
      <c r="R2219" s="6"/>
      <c r="S2219" s="6"/>
      <c r="T2219" s="6"/>
      <c r="U2219" s="6"/>
      <c r="V2219" s="6"/>
      <c r="W2219" s="6"/>
      <c r="X2219" s="6"/>
      <c r="Y2219" s="6"/>
      <c r="Z2219" s="6"/>
      <c r="AA2219" s="6"/>
      <c r="AB2219" s="6"/>
      <c r="AC2219" s="6"/>
      <c r="AD2219" s="6"/>
      <c r="AE2219" s="6"/>
      <c r="AF2219" s="6"/>
      <c r="AG2219" s="15" t="s">
        <v>55</v>
      </c>
      <c r="AH2219" s="15"/>
      <c r="AI2219" s="15"/>
      <c r="AJ2219" s="6"/>
      <c r="AK2219" s="6"/>
    </row>
    <row r="2220" spans="1:37" s="6" customFormat="1">
      <c r="A2220" s="6" t="s">
        <v>9427</v>
      </c>
      <c r="B2220" s="6" t="s">
        <v>9428</v>
      </c>
      <c r="C2220" s="6" t="s">
        <v>43</v>
      </c>
      <c r="D2220" s="6" t="s">
        <v>239</v>
      </c>
      <c r="E2220" s="6" t="s">
        <v>2047</v>
      </c>
      <c r="F2220" s="6" t="s">
        <v>46</v>
      </c>
      <c r="G2220" s="6" t="s">
        <v>8440</v>
      </c>
      <c r="H2220" s="7"/>
      <c r="I2220" s="16" t="s">
        <v>48</v>
      </c>
      <c r="J2220" s="16" t="s">
        <v>48</v>
      </c>
      <c r="AG2220" s="15" t="s">
        <v>55</v>
      </c>
      <c r="AH2220" s="15"/>
      <c r="AI2220" s="15"/>
    </row>
    <row r="2221" spans="1:37" s="6" customFormat="1">
      <c r="A2221" s="6" t="s">
        <v>9429</v>
      </c>
      <c r="B2221" s="6" t="s">
        <v>9430</v>
      </c>
      <c r="C2221" s="6" t="s">
        <v>43</v>
      </c>
      <c r="D2221" s="6" t="s">
        <v>239</v>
      </c>
      <c r="E2221" s="6" t="s">
        <v>1671</v>
      </c>
      <c r="F2221" s="6" t="s">
        <v>46</v>
      </c>
      <c r="G2221" s="6" t="s">
        <v>9431</v>
      </c>
      <c r="H2221" s="7"/>
      <c r="I2221" s="19" t="s">
        <v>48</v>
      </c>
      <c r="J2221" s="19" t="s">
        <v>48</v>
      </c>
      <c r="AG2221" s="15" t="s">
        <v>55</v>
      </c>
      <c r="AH2221" s="15"/>
      <c r="AI2221" s="15"/>
    </row>
    <row r="2222" spans="1:37" s="6" customFormat="1">
      <c r="A2222" s="6" t="s">
        <v>9432</v>
      </c>
      <c r="B2222" s="6" t="s">
        <v>9430</v>
      </c>
      <c r="C2222" s="6" t="s">
        <v>43</v>
      </c>
      <c r="D2222" s="6" t="s">
        <v>239</v>
      </c>
      <c r="E2222" s="6" t="s">
        <v>1671</v>
      </c>
      <c r="F2222" s="6" t="s">
        <v>46</v>
      </c>
      <c r="G2222" s="6" t="s">
        <v>9433</v>
      </c>
      <c r="H2222" s="7"/>
      <c r="I2222" s="19" t="s">
        <v>48</v>
      </c>
      <c r="J2222" s="19" t="s">
        <v>48</v>
      </c>
      <c r="AG2222" s="15" t="s">
        <v>55</v>
      </c>
      <c r="AH2222" s="15"/>
      <c r="AI2222" s="15"/>
    </row>
    <row r="2223" spans="1:37" s="6" customFormat="1">
      <c r="A2223" s="6" t="s">
        <v>9434</v>
      </c>
      <c r="B2223" s="6" t="s">
        <v>9435</v>
      </c>
      <c r="C2223" s="6" t="s">
        <v>43</v>
      </c>
      <c r="D2223" s="6" t="s">
        <v>239</v>
      </c>
      <c r="E2223" s="6" t="s">
        <v>2065</v>
      </c>
      <c r="F2223" s="6" t="s">
        <v>46</v>
      </c>
      <c r="G2223" s="6" t="s">
        <v>7843</v>
      </c>
      <c r="H2223" s="7"/>
      <c r="I2223" s="16" t="s">
        <v>48</v>
      </c>
      <c r="J2223" s="16" t="s">
        <v>48</v>
      </c>
      <c r="AG2223" s="15" t="s">
        <v>55</v>
      </c>
      <c r="AH2223" s="15"/>
      <c r="AI2223" s="15"/>
    </row>
    <row r="2224" spans="1:37" s="6" customFormat="1">
      <c r="A2224" s="5" t="s">
        <v>9436</v>
      </c>
      <c r="B2224" s="5" t="s">
        <v>9437</v>
      </c>
      <c r="C2224" s="6" t="s">
        <v>43</v>
      </c>
      <c r="D2224" s="6" t="s">
        <v>239</v>
      </c>
      <c r="E2224" s="6" t="s">
        <v>2989</v>
      </c>
      <c r="F2224" s="6" t="s">
        <v>46</v>
      </c>
      <c r="G2224" s="6" t="s">
        <v>9438</v>
      </c>
      <c r="H2224" s="7">
        <v>47.7</v>
      </c>
      <c r="I2224" s="19" t="s">
        <v>1589</v>
      </c>
      <c r="J2224" s="19" t="s">
        <v>2696</v>
      </c>
      <c r="K2224" s="5" t="s">
        <v>2991</v>
      </c>
      <c r="L2224" s="5" t="s">
        <v>2992</v>
      </c>
      <c r="M2224" s="5" t="s">
        <v>2993</v>
      </c>
      <c r="N2224" s="5" t="s">
        <v>2994</v>
      </c>
      <c r="O2224" s="5" t="s">
        <v>9439</v>
      </c>
      <c r="P2224" s="5" t="s">
        <v>9440</v>
      </c>
      <c r="Q2224" s="5" t="s">
        <v>9441</v>
      </c>
      <c r="R2224" s="5" t="s">
        <v>9442</v>
      </c>
      <c r="S2224" s="5"/>
      <c r="T2224" s="5"/>
      <c r="U2224" s="5"/>
      <c r="V2224" s="5"/>
      <c r="W2224" s="5"/>
      <c r="X2224" s="5"/>
      <c r="Y2224" s="5"/>
      <c r="Z2224" s="5"/>
      <c r="AA2224" s="5"/>
      <c r="AB2224" s="5"/>
      <c r="AC2224" s="5"/>
      <c r="AD2224" s="5"/>
      <c r="AE2224" s="5"/>
      <c r="AF2224" s="5"/>
      <c r="AG2224" s="14" t="s">
        <v>55</v>
      </c>
      <c r="AH2224" s="14" t="s">
        <v>1603</v>
      </c>
      <c r="AI2224" s="14" t="s">
        <v>1604</v>
      </c>
      <c r="AJ2224" s="5"/>
      <c r="AK2224" s="5"/>
    </row>
    <row r="2225" spans="1:37">
      <c r="A2225" s="5" t="s">
        <v>9443</v>
      </c>
      <c r="B2225" s="5" t="s">
        <v>9437</v>
      </c>
      <c r="C2225" s="6" t="s">
        <v>43</v>
      </c>
      <c r="D2225" s="6" t="s">
        <v>239</v>
      </c>
      <c r="E2225" s="6" t="s">
        <v>1587</v>
      </c>
      <c r="F2225" s="6" t="s">
        <v>46</v>
      </c>
      <c r="G2225" s="6" t="s">
        <v>9444</v>
      </c>
      <c r="H2225" s="7">
        <v>47.7</v>
      </c>
      <c r="I2225" s="19" t="s">
        <v>1589</v>
      </c>
      <c r="J2225" s="19" t="s">
        <v>2696</v>
      </c>
      <c r="K2225" s="5" t="s">
        <v>2991</v>
      </c>
      <c r="L2225" s="5" t="s">
        <v>2992</v>
      </c>
      <c r="M2225" s="5" t="s">
        <v>2993</v>
      </c>
      <c r="N2225" s="5" t="s">
        <v>2994</v>
      </c>
      <c r="O2225" s="5" t="s">
        <v>9439</v>
      </c>
      <c r="P2225" s="5" t="s">
        <v>9440</v>
      </c>
      <c r="Q2225" s="5" t="s">
        <v>9441</v>
      </c>
      <c r="R2225" s="5" t="s">
        <v>9442</v>
      </c>
      <c r="AG2225" s="14" t="s">
        <v>55</v>
      </c>
      <c r="AH2225" s="14" t="s">
        <v>1603</v>
      </c>
      <c r="AI2225" s="14" t="s">
        <v>1604</v>
      </c>
    </row>
    <row r="2226" spans="1:37">
      <c r="A2226" s="5" t="s">
        <v>9445</v>
      </c>
      <c r="B2226" s="5" t="s">
        <v>9437</v>
      </c>
      <c r="C2226" s="6" t="s">
        <v>43</v>
      </c>
      <c r="D2226" s="6" t="s">
        <v>239</v>
      </c>
      <c r="E2226" s="6" t="s">
        <v>2933</v>
      </c>
      <c r="F2226" s="6" t="s">
        <v>46</v>
      </c>
      <c r="G2226" s="6" t="s">
        <v>9446</v>
      </c>
      <c r="H2226" s="7">
        <v>47.7</v>
      </c>
      <c r="I2226" s="19" t="s">
        <v>1589</v>
      </c>
      <c r="J2226" s="19" t="s">
        <v>2696</v>
      </c>
      <c r="K2226" s="5" t="s">
        <v>2991</v>
      </c>
      <c r="L2226" s="5" t="s">
        <v>2992</v>
      </c>
      <c r="M2226" s="5" t="s">
        <v>2993</v>
      </c>
      <c r="N2226" s="5" t="s">
        <v>2994</v>
      </c>
      <c r="O2226" s="5" t="s">
        <v>9439</v>
      </c>
      <c r="P2226" s="5" t="s">
        <v>9440</v>
      </c>
      <c r="Q2226" s="5" t="s">
        <v>9441</v>
      </c>
      <c r="R2226" s="5" t="s">
        <v>9442</v>
      </c>
      <c r="AG2226" s="14" t="s">
        <v>55</v>
      </c>
      <c r="AH2226" s="14" t="s">
        <v>1603</v>
      </c>
      <c r="AI2226" s="14" t="s">
        <v>1604</v>
      </c>
    </row>
    <row r="2227" spans="1:37">
      <c r="A2227" s="6" t="s">
        <v>9447</v>
      </c>
      <c r="B2227" s="6" t="s">
        <v>9448</v>
      </c>
      <c r="C2227" s="6" t="s">
        <v>43</v>
      </c>
      <c r="D2227" s="6" t="s">
        <v>1390</v>
      </c>
      <c r="E2227" s="6" t="s">
        <v>1540</v>
      </c>
      <c r="F2227" s="6" t="s">
        <v>46</v>
      </c>
      <c r="G2227" s="6" t="s">
        <v>9449</v>
      </c>
      <c r="I2227" s="16" t="s">
        <v>48</v>
      </c>
      <c r="J2227" s="16" t="s">
        <v>48</v>
      </c>
      <c r="K2227" s="6"/>
      <c r="L2227" s="6"/>
      <c r="M2227" s="6"/>
      <c r="N2227" s="6"/>
      <c r="O2227" s="6"/>
      <c r="P2227" s="6"/>
      <c r="Q2227" s="6"/>
      <c r="R2227" s="6"/>
      <c r="S2227" s="6"/>
      <c r="T2227" s="6"/>
      <c r="U2227" s="6"/>
      <c r="V2227" s="6"/>
      <c r="W2227" s="6"/>
      <c r="X2227" s="6"/>
      <c r="Y2227" s="6"/>
      <c r="Z2227" s="6"/>
      <c r="AA2227" s="6"/>
      <c r="AB2227" s="6"/>
      <c r="AC2227" s="6"/>
      <c r="AD2227" s="6"/>
      <c r="AE2227" s="6"/>
      <c r="AF2227" s="6"/>
      <c r="AG2227" s="15" t="s">
        <v>55</v>
      </c>
      <c r="AH2227" s="15"/>
      <c r="AI2227" s="15"/>
      <c r="AJ2227" s="6"/>
      <c r="AK2227" s="6"/>
    </row>
    <row r="2228" spans="1:37" s="6" customFormat="1">
      <c r="A2228" s="6" t="s">
        <v>9450</v>
      </c>
      <c r="B2228" s="6" t="s">
        <v>9451</v>
      </c>
      <c r="C2228" s="6" t="s">
        <v>43</v>
      </c>
      <c r="D2228" s="6" t="s">
        <v>239</v>
      </c>
      <c r="E2228" s="6" t="s">
        <v>2047</v>
      </c>
      <c r="F2228" s="6" t="s">
        <v>46</v>
      </c>
      <c r="G2228" s="6" t="s">
        <v>9452</v>
      </c>
      <c r="H2228" s="7"/>
      <c r="I2228" s="16" t="s">
        <v>48</v>
      </c>
      <c r="J2228" s="16" t="s">
        <v>48</v>
      </c>
      <c r="AG2228" s="15" t="s">
        <v>55</v>
      </c>
      <c r="AH2228" s="15"/>
      <c r="AI2228" s="15"/>
    </row>
    <row r="2229" spans="1:37" s="6" customFormat="1">
      <c r="A2229" s="5" t="s">
        <v>9453</v>
      </c>
      <c r="B2229" s="5" t="s">
        <v>9437</v>
      </c>
      <c r="C2229" s="6" t="s">
        <v>43</v>
      </c>
      <c r="D2229" s="6" t="s">
        <v>239</v>
      </c>
      <c r="E2229" s="6" t="s">
        <v>2139</v>
      </c>
      <c r="F2229" s="6" t="s">
        <v>46</v>
      </c>
      <c r="G2229" s="6" t="s">
        <v>9454</v>
      </c>
      <c r="H2229" s="7">
        <v>47.7</v>
      </c>
      <c r="I2229" s="19" t="s">
        <v>1589</v>
      </c>
      <c r="J2229" s="19" t="s">
        <v>2696</v>
      </c>
      <c r="K2229" s="5" t="s">
        <v>2991</v>
      </c>
      <c r="L2229" s="5" t="s">
        <v>2992</v>
      </c>
      <c r="M2229" s="5" t="s">
        <v>2993</v>
      </c>
      <c r="N2229" s="5" t="s">
        <v>2994</v>
      </c>
      <c r="O2229" s="5" t="s">
        <v>9439</v>
      </c>
      <c r="P2229" s="5" t="s">
        <v>9440</v>
      </c>
      <c r="Q2229" s="5" t="s">
        <v>9441</v>
      </c>
      <c r="R2229" s="5" t="s">
        <v>9442</v>
      </c>
      <c r="S2229" s="5"/>
      <c r="T2229" s="5"/>
      <c r="U2229" s="5"/>
      <c r="V2229" s="5"/>
      <c r="W2229" s="5"/>
      <c r="X2229" s="5"/>
      <c r="Y2229" s="5"/>
      <c r="Z2229" s="5"/>
      <c r="AA2229" s="5"/>
      <c r="AB2229" s="5"/>
      <c r="AC2229" s="5"/>
      <c r="AD2229" s="5"/>
      <c r="AE2229" s="5"/>
      <c r="AF2229" s="5"/>
      <c r="AG2229" s="14" t="s">
        <v>55</v>
      </c>
      <c r="AH2229" s="14" t="s">
        <v>1603</v>
      </c>
      <c r="AI2229" s="14" t="s">
        <v>1604</v>
      </c>
      <c r="AJ2229" s="5"/>
      <c r="AK2229" s="5"/>
    </row>
    <row r="2230" spans="1:37">
      <c r="A2230" s="5" t="s">
        <v>9455</v>
      </c>
      <c r="B2230" s="5" t="s">
        <v>9437</v>
      </c>
      <c r="C2230" s="6" t="s">
        <v>43</v>
      </c>
      <c r="D2230" s="6" t="s">
        <v>239</v>
      </c>
      <c r="E2230" s="6" t="s">
        <v>2047</v>
      </c>
      <c r="F2230" s="6" t="s">
        <v>46</v>
      </c>
      <c r="G2230" s="6" t="s">
        <v>9456</v>
      </c>
      <c r="H2230" s="7">
        <v>47.7</v>
      </c>
      <c r="I2230" s="19" t="s">
        <v>1589</v>
      </c>
      <c r="J2230" s="19" t="s">
        <v>2696</v>
      </c>
      <c r="K2230" s="5" t="s">
        <v>2991</v>
      </c>
      <c r="L2230" s="5" t="s">
        <v>2992</v>
      </c>
      <c r="M2230" s="5" t="s">
        <v>2993</v>
      </c>
      <c r="N2230" s="5" t="s">
        <v>2994</v>
      </c>
      <c r="O2230" s="5" t="s">
        <v>9439</v>
      </c>
      <c r="P2230" s="5" t="s">
        <v>9440</v>
      </c>
      <c r="Q2230" s="5" t="s">
        <v>9441</v>
      </c>
      <c r="R2230" s="5" t="s">
        <v>9442</v>
      </c>
      <c r="AG2230" s="14" t="s">
        <v>55</v>
      </c>
      <c r="AH2230" s="14" t="s">
        <v>1603</v>
      </c>
      <c r="AI2230" s="14" t="s">
        <v>1604</v>
      </c>
    </row>
    <row r="2231" spans="1:37">
      <c r="A2231" s="5" t="s">
        <v>9457</v>
      </c>
      <c r="B2231" s="5" t="s">
        <v>9437</v>
      </c>
      <c r="C2231" s="6" t="s">
        <v>43</v>
      </c>
      <c r="D2231" s="6" t="s">
        <v>239</v>
      </c>
      <c r="E2231" s="6" t="s">
        <v>2070</v>
      </c>
      <c r="F2231" s="6" t="s">
        <v>46</v>
      </c>
      <c r="G2231" s="6" t="s">
        <v>9458</v>
      </c>
      <c r="H2231" s="7">
        <v>47.7</v>
      </c>
      <c r="I2231" s="19" t="s">
        <v>1589</v>
      </c>
      <c r="J2231" s="19" t="s">
        <v>2696</v>
      </c>
      <c r="K2231" s="5" t="s">
        <v>2991</v>
      </c>
      <c r="L2231" s="5" t="s">
        <v>2992</v>
      </c>
      <c r="M2231" s="5" t="s">
        <v>2993</v>
      </c>
      <c r="N2231" s="5" t="s">
        <v>2994</v>
      </c>
      <c r="O2231" s="5" t="s">
        <v>9439</v>
      </c>
      <c r="P2231" s="5" t="s">
        <v>9440</v>
      </c>
      <c r="Q2231" s="5" t="s">
        <v>9441</v>
      </c>
      <c r="R2231" s="5" t="s">
        <v>9442</v>
      </c>
      <c r="AG2231" s="14" t="s">
        <v>55</v>
      </c>
      <c r="AH2231" s="14" t="s">
        <v>1603</v>
      </c>
      <c r="AI2231" s="14" t="s">
        <v>1604</v>
      </c>
    </row>
    <row r="2232" spans="1:37">
      <c r="A2232" s="5" t="s">
        <v>9459</v>
      </c>
      <c r="B2232" s="5" t="s">
        <v>9437</v>
      </c>
      <c r="C2232" s="6" t="s">
        <v>43</v>
      </c>
      <c r="D2232" s="6" t="s">
        <v>239</v>
      </c>
      <c r="E2232" s="6" t="s">
        <v>1693</v>
      </c>
      <c r="F2232" s="6" t="s">
        <v>46</v>
      </c>
      <c r="G2232" s="6" t="s">
        <v>6858</v>
      </c>
      <c r="H2232" s="7">
        <v>47.7</v>
      </c>
      <c r="I2232" s="19" t="s">
        <v>1589</v>
      </c>
      <c r="J2232" s="19" t="s">
        <v>2696</v>
      </c>
      <c r="K2232" s="5" t="s">
        <v>2991</v>
      </c>
      <c r="L2232" s="5" t="s">
        <v>2992</v>
      </c>
      <c r="M2232" s="5" t="s">
        <v>2993</v>
      </c>
      <c r="N2232" s="5" t="s">
        <v>2994</v>
      </c>
      <c r="O2232" s="5" t="s">
        <v>9439</v>
      </c>
      <c r="P2232" s="5" t="s">
        <v>9440</v>
      </c>
      <c r="Q2232" s="5" t="s">
        <v>9441</v>
      </c>
      <c r="R2232" s="5" t="s">
        <v>9442</v>
      </c>
      <c r="AG2232" s="14" t="s">
        <v>55</v>
      </c>
      <c r="AH2232" s="14" t="s">
        <v>1603</v>
      </c>
      <c r="AI2232" s="14" t="s">
        <v>1604</v>
      </c>
    </row>
    <row r="2233" spans="1:37">
      <c r="A2233" s="5" t="s">
        <v>9460</v>
      </c>
      <c r="B2233" s="5" t="s">
        <v>9437</v>
      </c>
      <c r="C2233" s="6" t="s">
        <v>43</v>
      </c>
      <c r="D2233" s="6" t="s">
        <v>239</v>
      </c>
      <c r="E2233" s="6" t="s">
        <v>2065</v>
      </c>
      <c r="F2233" s="6" t="s">
        <v>46</v>
      </c>
      <c r="G2233" s="6" t="s">
        <v>9461</v>
      </c>
      <c r="H2233" s="7">
        <v>47.7</v>
      </c>
      <c r="I2233" s="19" t="s">
        <v>1589</v>
      </c>
      <c r="J2233" s="19" t="s">
        <v>2696</v>
      </c>
      <c r="K2233" s="5" t="s">
        <v>2991</v>
      </c>
      <c r="L2233" s="5" t="s">
        <v>2992</v>
      </c>
      <c r="M2233" s="5" t="s">
        <v>2993</v>
      </c>
      <c r="N2233" s="5" t="s">
        <v>2994</v>
      </c>
      <c r="O2233" s="5" t="s">
        <v>9439</v>
      </c>
      <c r="P2233" s="5" t="s">
        <v>9440</v>
      </c>
      <c r="Q2233" s="5" t="s">
        <v>9441</v>
      </c>
      <c r="R2233" s="5" t="s">
        <v>9442</v>
      </c>
      <c r="AG2233" s="14" t="s">
        <v>55</v>
      </c>
      <c r="AH2233" s="14" t="s">
        <v>1603</v>
      </c>
      <c r="AI2233" s="14" t="s">
        <v>1604</v>
      </c>
    </row>
    <row r="2234" spans="1:37">
      <c r="A2234" s="6" t="s">
        <v>9462</v>
      </c>
      <c r="B2234" s="6" t="s">
        <v>9463</v>
      </c>
      <c r="C2234" s="6" t="s">
        <v>43</v>
      </c>
      <c r="D2234" s="6" t="s">
        <v>239</v>
      </c>
      <c r="E2234" s="6" t="s">
        <v>2047</v>
      </c>
      <c r="F2234" s="6" t="s">
        <v>46</v>
      </c>
      <c r="G2234" s="6" t="s">
        <v>438</v>
      </c>
      <c r="I2234" s="19" t="s">
        <v>48</v>
      </c>
      <c r="J2234" s="19" t="s">
        <v>48</v>
      </c>
      <c r="K2234" s="6"/>
      <c r="L2234" s="6"/>
      <c r="M2234" s="6"/>
      <c r="N2234" s="6"/>
      <c r="O2234" s="6"/>
      <c r="P2234" s="6"/>
      <c r="Q2234" s="6"/>
      <c r="R2234" s="6"/>
      <c r="S2234" s="6"/>
      <c r="T2234" s="6"/>
      <c r="U2234" s="6"/>
      <c r="V2234" s="6"/>
      <c r="W2234" s="6"/>
      <c r="X2234" s="6"/>
      <c r="Y2234" s="6"/>
      <c r="Z2234" s="6"/>
      <c r="AA2234" s="6"/>
      <c r="AB2234" s="6"/>
      <c r="AC2234" s="6"/>
      <c r="AD2234" s="6"/>
      <c r="AE2234" s="6"/>
      <c r="AF2234" s="6"/>
      <c r="AG2234" s="15" t="s">
        <v>55</v>
      </c>
      <c r="AH2234" s="15"/>
      <c r="AI2234" s="15"/>
      <c r="AJ2234" s="6"/>
      <c r="AK2234" s="6"/>
    </row>
    <row r="2235" spans="1:37" s="6" customFormat="1">
      <c r="A2235" s="5" t="s">
        <v>9464</v>
      </c>
      <c r="B2235" s="5" t="s">
        <v>9465</v>
      </c>
      <c r="C2235" s="6" t="s">
        <v>43</v>
      </c>
      <c r="D2235" s="6" t="s">
        <v>239</v>
      </c>
      <c r="E2235" s="6" t="s">
        <v>2139</v>
      </c>
      <c r="F2235" s="6" t="s">
        <v>46</v>
      </c>
      <c r="G2235" s="6" t="s">
        <v>9466</v>
      </c>
      <c r="H2235" s="7">
        <v>58.23</v>
      </c>
      <c r="I2235" s="19" t="s">
        <v>1589</v>
      </c>
      <c r="J2235" s="19" t="s">
        <v>2696</v>
      </c>
      <c r="K2235" s="5" t="s">
        <v>3023</v>
      </c>
      <c r="L2235" s="5" t="s">
        <v>3024</v>
      </c>
      <c r="M2235" s="5" t="s">
        <v>3025</v>
      </c>
      <c r="N2235" s="5" t="s">
        <v>3026</v>
      </c>
      <c r="O2235" s="5" t="s">
        <v>9467</v>
      </c>
      <c r="P2235" s="5" t="s">
        <v>9468</v>
      </c>
      <c r="Q2235" s="5" t="s">
        <v>9469</v>
      </c>
      <c r="R2235" s="5" t="s">
        <v>9470</v>
      </c>
      <c r="S2235" s="5"/>
      <c r="T2235" s="5"/>
      <c r="U2235" s="5"/>
      <c r="V2235" s="5"/>
      <c r="W2235" s="5"/>
      <c r="X2235" s="5"/>
      <c r="Y2235" s="5"/>
      <c r="Z2235" s="5"/>
      <c r="AA2235" s="5"/>
      <c r="AB2235" s="5"/>
      <c r="AC2235" s="5"/>
      <c r="AD2235" s="5"/>
      <c r="AE2235" s="5"/>
      <c r="AF2235" s="5"/>
      <c r="AG2235" s="14" t="s">
        <v>55</v>
      </c>
      <c r="AH2235" s="14" t="s">
        <v>1603</v>
      </c>
      <c r="AI2235" s="14" t="s">
        <v>1604</v>
      </c>
      <c r="AJ2235" s="5"/>
      <c r="AK2235" s="5"/>
    </row>
    <row r="2236" spans="1:37">
      <c r="A2236" s="5" t="s">
        <v>9471</v>
      </c>
      <c r="B2236" s="5" t="s">
        <v>9465</v>
      </c>
      <c r="C2236" s="6" t="s">
        <v>43</v>
      </c>
      <c r="D2236" s="6" t="s">
        <v>239</v>
      </c>
      <c r="E2236" s="6" t="s">
        <v>2047</v>
      </c>
      <c r="F2236" s="6" t="s">
        <v>46</v>
      </c>
      <c r="G2236" s="6" t="s">
        <v>9472</v>
      </c>
      <c r="H2236" s="7">
        <v>58.23</v>
      </c>
      <c r="I2236" s="19" t="s">
        <v>1589</v>
      </c>
      <c r="J2236" s="19" t="s">
        <v>2696</v>
      </c>
      <c r="K2236" s="5" t="s">
        <v>3023</v>
      </c>
      <c r="L2236" s="5" t="s">
        <v>3024</v>
      </c>
      <c r="M2236" s="5" t="s">
        <v>3025</v>
      </c>
      <c r="N2236" s="5" t="s">
        <v>3026</v>
      </c>
      <c r="O2236" s="5" t="s">
        <v>9467</v>
      </c>
      <c r="P2236" s="5" t="s">
        <v>9468</v>
      </c>
      <c r="Q2236" s="5" t="s">
        <v>9469</v>
      </c>
      <c r="R2236" s="5" t="s">
        <v>9470</v>
      </c>
      <c r="AG2236" s="14" t="s">
        <v>55</v>
      </c>
      <c r="AH2236" s="14" t="s">
        <v>1603</v>
      </c>
      <c r="AI2236" s="14" t="s">
        <v>1604</v>
      </c>
    </row>
    <row r="2237" spans="1:37">
      <c r="A2237" s="5" t="s">
        <v>9473</v>
      </c>
      <c r="B2237" s="5" t="s">
        <v>9465</v>
      </c>
      <c r="C2237" s="6" t="s">
        <v>43</v>
      </c>
      <c r="D2237" s="6" t="s">
        <v>239</v>
      </c>
      <c r="E2237" s="6" t="s">
        <v>1540</v>
      </c>
      <c r="F2237" s="6" t="s">
        <v>46</v>
      </c>
      <c r="G2237" s="6" t="s">
        <v>9474</v>
      </c>
      <c r="H2237" s="7">
        <v>58.23</v>
      </c>
      <c r="I2237" s="19" t="s">
        <v>1589</v>
      </c>
      <c r="J2237" s="19" t="s">
        <v>2696</v>
      </c>
      <c r="K2237" s="5" t="s">
        <v>3023</v>
      </c>
      <c r="L2237" s="5" t="s">
        <v>3024</v>
      </c>
      <c r="M2237" s="5" t="s">
        <v>3025</v>
      </c>
      <c r="N2237" s="5" t="s">
        <v>3026</v>
      </c>
      <c r="O2237" s="5" t="s">
        <v>9467</v>
      </c>
      <c r="P2237" s="5" t="s">
        <v>9468</v>
      </c>
      <c r="Q2237" s="5" t="s">
        <v>9469</v>
      </c>
      <c r="R2237" s="5" t="s">
        <v>9470</v>
      </c>
      <c r="AG2237" s="14" t="s">
        <v>55</v>
      </c>
      <c r="AH2237" s="14" t="s">
        <v>1603</v>
      </c>
      <c r="AI2237" s="14" t="s">
        <v>1604</v>
      </c>
    </row>
    <row r="2238" spans="1:37">
      <c r="A2238" s="5" t="s">
        <v>9475</v>
      </c>
      <c r="B2238" s="5" t="s">
        <v>9465</v>
      </c>
      <c r="C2238" s="6" t="s">
        <v>43</v>
      </c>
      <c r="D2238" s="6" t="s">
        <v>239</v>
      </c>
      <c r="E2238" s="6" t="s">
        <v>2065</v>
      </c>
      <c r="F2238" s="6" t="s">
        <v>46</v>
      </c>
      <c r="G2238" s="6" t="s">
        <v>9466</v>
      </c>
      <c r="H2238" s="7">
        <v>58.23</v>
      </c>
      <c r="I2238" s="19" t="s">
        <v>1589</v>
      </c>
      <c r="J2238" s="19" t="s">
        <v>2696</v>
      </c>
      <c r="K2238" s="5" t="s">
        <v>3023</v>
      </c>
      <c r="L2238" s="5" t="s">
        <v>3024</v>
      </c>
      <c r="M2238" s="5" t="s">
        <v>3025</v>
      </c>
      <c r="N2238" s="5" t="s">
        <v>3026</v>
      </c>
      <c r="O2238" s="5" t="s">
        <v>9467</v>
      </c>
      <c r="P2238" s="5" t="s">
        <v>9468</v>
      </c>
      <c r="Q2238" s="5" t="s">
        <v>9469</v>
      </c>
      <c r="R2238" s="5" t="s">
        <v>9470</v>
      </c>
      <c r="AG2238" s="14" t="s">
        <v>55</v>
      </c>
      <c r="AH2238" s="14" t="s">
        <v>1603</v>
      </c>
      <c r="AI2238" s="14" t="s">
        <v>1604</v>
      </c>
    </row>
    <row r="2239" spans="1:37">
      <c r="A2239" s="6" t="s">
        <v>9476</v>
      </c>
      <c r="B2239" s="6" t="s">
        <v>9477</v>
      </c>
      <c r="C2239" s="6" t="s">
        <v>43</v>
      </c>
      <c r="D2239" s="6" t="s">
        <v>239</v>
      </c>
      <c r="E2239" s="6" t="s">
        <v>2047</v>
      </c>
      <c r="F2239" s="6" t="s">
        <v>46</v>
      </c>
      <c r="G2239" s="6" t="s">
        <v>3733</v>
      </c>
      <c r="I2239" s="6" t="s">
        <v>48</v>
      </c>
      <c r="J2239" s="6" t="s">
        <v>48</v>
      </c>
      <c r="K2239" s="6"/>
      <c r="L2239" s="6"/>
      <c r="M2239" s="6"/>
      <c r="N2239" s="6"/>
      <c r="O2239" s="6"/>
      <c r="P2239" s="6"/>
      <c r="Q2239" s="6"/>
      <c r="R2239" s="6"/>
      <c r="S2239" s="6"/>
      <c r="T2239" s="6"/>
      <c r="U2239" s="6"/>
      <c r="V2239" s="6"/>
      <c r="W2239" s="6"/>
      <c r="X2239" s="6"/>
      <c r="Y2239" s="6"/>
      <c r="Z2239" s="6"/>
      <c r="AA2239" s="6"/>
      <c r="AB2239" s="6"/>
      <c r="AC2239" s="6"/>
      <c r="AD2239" s="6"/>
      <c r="AE2239" s="6"/>
      <c r="AF2239" s="6"/>
      <c r="AG2239" s="15" t="s">
        <v>55</v>
      </c>
      <c r="AH2239" s="15"/>
      <c r="AI2239" s="15"/>
      <c r="AJ2239" s="6"/>
      <c r="AK2239" s="6"/>
    </row>
    <row r="2240" spans="1:37" s="6" customFormat="1">
      <c r="A2240" s="5" t="s">
        <v>9478</v>
      </c>
      <c r="B2240" s="5" t="s">
        <v>9479</v>
      </c>
      <c r="C2240" s="6" t="s">
        <v>43</v>
      </c>
      <c r="D2240" s="6" t="s">
        <v>239</v>
      </c>
      <c r="E2240" s="6" t="s">
        <v>1540</v>
      </c>
      <c r="F2240" s="6" t="s">
        <v>46</v>
      </c>
      <c r="G2240" s="6" t="s">
        <v>9480</v>
      </c>
      <c r="H2240" s="7">
        <v>48.93</v>
      </c>
      <c r="I2240" s="19" t="s">
        <v>1589</v>
      </c>
      <c r="J2240" s="19" t="s">
        <v>2254</v>
      </c>
      <c r="K2240" s="5" t="s">
        <v>3069</v>
      </c>
      <c r="L2240" s="5" t="s">
        <v>3070</v>
      </c>
      <c r="M2240" s="5" t="s">
        <v>3071</v>
      </c>
      <c r="N2240" s="5" t="s">
        <v>3072</v>
      </c>
      <c r="O2240" s="5" t="s">
        <v>9481</v>
      </c>
      <c r="P2240" s="5" t="s">
        <v>9482</v>
      </c>
      <c r="Q2240" s="5" t="s">
        <v>9483</v>
      </c>
      <c r="R2240" s="5" t="s">
        <v>9484</v>
      </c>
      <c r="S2240" s="5"/>
      <c r="T2240" s="5"/>
      <c r="U2240" s="5"/>
      <c r="V2240" s="5"/>
      <c r="W2240" s="5"/>
      <c r="X2240" s="5"/>
      <c r="Y2240" s="5" t="s">
        <v>2980</v>
      </c>
      <c r="Z2240" s="5"/>
      <c r="AA2240" s="5"/>
      <c r="AB2240" s="5"/>
      <c r="AC2240" s="5"/>
      <c r="AD2240" s="5"/>
      <c r="AE2240" s="5"/>
      <c r="AF2240" s="5"/>
      <c r="AG2240" s="14" t="s">
        <v>55</v>
      </c>
      <c r="AH2240" s="14" t="s">
        <v>1603</v>
      </c>
      <c r="AI2240" s="14" t="s">
        <v>2264</v>
      </c>
      <c r="AJ2240" s="5"/>
      <c r="AK2240" s="5"/>
    </row>
    <row r="2241" spans="1:37">
      <c r="A2241" s="6" t="s">
        <v>9485</v>
      </c>
      <c r="B2241" s="6" t="s">
        <v>9486</v>
      </c>
      <c r="C2241" s="6" t="s">
        <v>43</v>
      </c>
      <c r="D2241" s="6" t="s">
        <v>239</v>
      </c>
      <c r="E2241" s="6" t="s">
        <v>2047</v>
      </c>
      <c r="F2241" s="6" t="s">
        <v>46</v>
      </c>
      <c r="G2241" s="6" t="s">
        <v>4078</v>
      </c>
      <c r="I2241" s="6" t="s">
        <v>48</v>
      </c>
      <c r="J2241" s="6" t="s">
        <v>48</v>
      </c>
      <c r="K2241" s="6"/>
      <c r="L2241" s="6"/>
      <c r="M2241" s="6"/>
      <c r="N2241" s="6"/>
      <c r="O2241" s="6"/>
      <c r="P2241" s="6"/>
      <c r="Q2241" s="6"/>
      <c r="R2241" s="6"/>
      <c r="S2241" s="6"/>
      <c r="T2241" s="6"/>
      <c r="U2241" s="6"/>
      <c r="V2241" s="6"/>
      <c r="W2241" s="6"/>
      <c r="X2241" s="6"/>
      <c r="Y2241" s="6"/>
      <c r="Z2241" s="6"/>
      <c r="AA2241" s="6"/>
      <c r="AB2241" s="6"/>
      <c r="AC2241" s="6"/>
      <c r="AD2241" s="6"/>
      <c r="AE2241" s="6"/>
      <c r="AF2241" s="6"/>
      <c r="AG2241" s="15" t="s">
        <v>55</v>
      </c>
      <c r="AH2241" s="15"/>
      <c r="AI2241" s="15"/>
      <c r="AJ2241" s="6"/>
      <c r="AK2241" s="6"/>
    </row>
    <row r="2242" spans="1:37" s="6" customFormat="1">
      <c r="A2242" s="6" t="s">
        <v>9487</v>
      </c>
      <c r="B2242" s="6" t="s">
        <v>9486</v>
      </c>
      <c r="C2242" s="6" t="s">
        <v>43</v>
      </c>
      <c r="D2242" s="6" t="s">
        <v>239</v>
      </c>
      <c r="E2242" s="6" t="s">
        <v>2065</v>
      </c>
      <c r="F2242" s="6" t="s">
        <v>46</v>
      </c>
      <c r="G2242" s="6" t="s">
        <v>9488</v>
      </c>
      <c r="H2242" s="7"/>
      <c r="I2242" s="6" t="s">
        <v>48</v>
      </c>
      <c r="J2242" s="6" t="s">
        <v>48</v>
      </c>
      <c r="AG2242" s="15" t="s">
        <v>55</v>
      </c>
      <c r="AH2242" s="15"/>
      <c r="AI2242" s="15"/>
    </row>
    <row r="2243" spans="1:37" s="6" customFormat="1">
      <c r="A2243" s="6" t="s">
        <v>9489</v>
      </c>
      <c r="B2243" s="6" t="s">
        <v>9490</v>
      </c>
      <c r="C2243" s="6" t="s">
        <v>43</v>
      </c>
      <c r="D2243" s="6" t="s">
        <v>239</v>
      </c>
      <c r="E2243" s="6" t="s">
        <v>2047</v>
      </c>
      <c r="F2243" s="6" t="s">
        <v>46</v>
      </c>
      <c r="G2243" s="6" t="s">
        <v>9491</v>
      </c>
      <c r="H2243" s="7"/>
      <c r="I2243" s="6" t="s">
        <v>48</v>
      </c>
      <c r="J2243" s="6" t="s">
        <v>48</v>
      </c>
      <c r="AG2243" s="15" t="s">
        <v>55</v>
      </c>
      <c r="AH2243" s="15"/>
      <c r="AI2243" s="15"/>
    </row>
    <row r="2244" spans="1:37" s="6" customFormat="1">
      <c r="A2244" s="6" t="s">
        <v>9492</v>
      </c>
      <c r="B2244" s="6" t="s">
        <v>9493</v>
      </c>
      <c r="C2244" s="6" t="s">
        <v>43</v>
      </c>
      <c r="D2244" s="6" t="s">
        <v>239</v>
      </c>
      <c r="E2244" s="6" t="s">
        <v>2047</v>
      </c>
      <c r="F2244" s="6" t="s">
        <v>46</v>
      </c>
      <c r="G2244" s="6" t="s">
        <v>9494</v>
      </c>
      <c r="H2244" s="7"/>
      <c r="I2244" s="6" t="s">
        <v>48</v>
      </c>
      <c r="J2244" s="6" t="s">
        <v>48</v>
      </c>
      <c r="AG2244" s="15" t="s">
        <v>55</v>
      </c>
      <c r="AH2244" s="15"/>
      <c r="AI2244" s="15"/>
    </row>
    <row r="2245" spans="1:37" s="6" customFormat="1">
      <c r="A2245" s="5" t="s">
        <v>9495</v>
      </c>
      <c r="B2245" s="5" t="s">
        <v>9496</v>
      </c>
      <c r="C2245" s="6" t="s">
        <v>3484</v>
      </c>
      <c r="D2245" s="6" t="s">
        <v>239</v>
      </c>
      <c r="E2245" s="6" t="s">
        <v>2047</v>
      </c>
      <c r="F2245" s="6" t="s">
        <v>46</v>
      </c>
      <c r="G2245" s="6" t="s">
        <v>9497</v>
      </c>
      <c r="H2245" s="7">
        <v>61.16</v>
      </c>
      <c r="I2245" s="19" t="s">
        <v>1589</v>
      </c>
      <c r="J2245" s="19" t="s">
        <v>2696</v>
      </c>
      <c r="K2245" s="5" t="s">
        <v>3095</v>
      </c>
      <c r="L2245" s="5" t="s">
        <v>3096</v>
      </c>
      <c r="M2245" s="5" t="s">
        <v>3097</v>
      </c>
      <c r="N2245" s="5" t="s">
        <v>3098</v>
      </c>
      <c r="O2245" s="5" t="s">
        <v>9498</v>
      </c>
      <c r="P2245" s="5" t="s">
        <v>9499</v>
      </c>
      <c r="Q2245" s="5" t="s">
        <v>9500</v>
      </c>
      <c r="R2245" s="5" t="s">
        <v>9501</v>
      </c>
      <c r="S2245" s="5"/>
      <c r="T2245" s="5"/>
      <c r="U2245" s="5"/>
      <c r="V2245" s="5"/>
      <c r="W2245" s="5"/>
      <c r="X2245" s="5"/>
      <c r="Y2245" s="5"/>
      <c r="Z2245" s="5"/>
      <c r="AA2245" s="5"/>
      <c r="AB2245" s="5"/>
      <c r="AC2245" s="5"/>
      <c r="AD2245" s="5"/>
      <c r="AE2245" s="5"/>
      <c r="AF2245" s="5"/>
      <c r="AG2245" s="14" t="s">
        <v>55</v>
      </c>
      <c r="AH2245" s="14" t="s">
        <v>1603</v>
      </c>
      <c r="AI2245" s="14" t="s">
        <v>1604</v>
      </c>
      <c r="AJ2245" s="5"/>
      <c r="AK2245" s="5"/>
    </row>
    <row r="2246" spans="1:37">
      <c r="A2246" s="6" t="s">
        <v>9502</v>
      </c>
      <c r="B2246" s="6" t="s">
        <v>9503</v>
      </c>
      <c r="C2246" s="6" t="s">
        <v>43</v>
      </c>
      <c r="D2246" s="6" t="s">
        <v>239</v>
      </c>
      <c r="E2246" s="6" t="s">
        <v>2047</v>
      </c>
      <c r="F2246" s="6" t="s">
        <v>46</v>
      </c>
      <c r="G2246" s="6" t="s">
        <v>9504</v>
      </c>
      <c r="I2246" s="6" t="s">
        <v>48</v>
      </c>
      <c r="J2246" s="6" t="s">
        <v>48</v>
      </c>
      <c r="K2246" s="6"/>
      <c r="L2246" s="6"/>
      <c r="M2246" s="6"/>
      <c r="N2246" s="6"/>
      <c r="O2246" s="6"/>
      <c r="P2246" s="6"/>
      <c r="Q2246" s="6"/>
      <c r="R2246" s="6"/>
      <c r="S2246" s="6"/>
      <c r="T2246" s="6"/>
      <c r="U2246" s="6"/>
      <c r="V2246" s="6"/>
      <c r="W2246" s="6"/>
      <c r="X2246" s="6"/>
      <c r="Y2246" s="6"/>
      <c r="Z2246" s="6"/>
      <c r="AA2246" s="6"/>
      <c r="AB2246" s="6"/>
      <c r="AC2246" s="6"/>
      <c r="AD2246" s="6"/>
      <c r="AE2246" s="6"/>
      <c r="AF2246" s="6"/>
      <c r="AG2246" s="15" t="s">
        <v>55</v>
      </c>
      <c r="AH2246" s="15"/>
      <c r="AI2246" s="15"/>
      <c r="AJ2246" s="6"/>
      <c r="AK2246" s="6"/>
    </row>
    <row r="2247" spans="1:37" s="6" customFormat="1">
      <c r="A2247" s="6" t="s">
        <v>9505</v>
      </c>
      <c r="B2247" s="6" t="s">
        <v>9506</v>
      </c>
      <c r="C2247" s="6" t="s">
        <v>43</v>
      </c>
      <c r="D2247" s="6" t="s">
        <v>239</v>
      </c>
      <c r="E2247" s="6" t="s">
        <v>1540</v>
      </c>
      <c r="F2247" s="6" t="s">
        <v>46</v>
      </c>
      <c r="G2247" s="6" t="s">
        <v>9507</v>
      </c>
      <c r="H2247" s="7"/>
      <c r="I2247" s="16" t="s">
        <v>48</v>
      </c>
      <c r="J2247" s="16" t="s">
        <v>48</v>
      </c>
      <c r="AG2247" s="15" t="s">
        <v>55</v>
      </c>
      <c r="AH2247" s="15"/>
      <c r="AI2247" s="15"/>
    </row>
    <row r="2248" spans="1:37" s="6" customFormat="1">
      <c r="A2248" s="6" t="s">
        <v>9508</v>
      </c>
      <c r="B2248" s="6" t="s">
        <v>9509</v>
      </c>
      <c r="C2248" s="6" t="s">
        <v>43</v>
      </c>
      <c r="D2248" s="6" t="s">
        <v>239</v>
      </c>
      <c r="E2248" s="6" t="s">
        <v>1540</v>
      </c>
      <c r="F2248" s="6" t="s">
        <v>46</v>
      </c>
      <c r="G2248" s="6" t="s">
        <v>9510</v>
      </c>
      <c r="H2248" s="7"/>
      <c r="I2248" s="16" t="s">
        <v>48</v>
      </c>
      <c r="J2248" s="16" t="s">
        <v>48</v>
      </c>
      <c r="AG2248" s="15" t="s">
        <v>55</v>
      </c>
      <c r="AH2248" s="15"/>
      <c r="AI2248" s="15"/>
    </row>
    <row r="2249" spans="1:37" s="6" customFormat="1">
      <c r="A2249" s="6" t="s">
        <v>9511</v>
      </c>
      <c r="B2249" s="6" t="s">
        <v>9512</v>
      </c>
      <c r="C2249" s="6" t="s">
        <v>43</v>
      </c>
      <c r="D2249" s="6" t="s">
        <v>239</v>
      </c>
      <c r="E2249" s="6" t="s">
        <v>1540</v>
      </c>
      <c r="F2249" s="6" t="s">
        <v>46</v>
      </c>
      <c r="G2249" s="6" t="s">
        <v>8560</v>
      </c>
      <c r="H2249" s="7"/>
      <c r="I2249" s="16" t="s">
        <v>48</v>
      </c>
      <c r="J2249" s="16" t="s">
        <v>48</v>
      </c>
      <c r="AG2249" s="15" t="s">
        <v>55</v>
      </c>
      <c r="AH2249" s="15"/>
      <c r="AI2249" s="15"/>
    </row>
    <row r="2250" spans="1:37" s="6" customFormat="1">
      <c r="A2250" s="6" t="s">
        <v>9513</v>
      </c>
      <c r="B2250" s="6" t="s">
        <v>9514</v>
      </c>
      <c r="C2250" s="6" t="s">
        <v>2378</v>
      </c>
      <c r="D2250" s="6" t="s">
        <v>1645</v>
      </c>
      <c r="E2250" s="6" t="s">
        <v>1386</v>
      </c>
      <c r="F2250" s="6" t="s">
        <v>46</v>
      </c>
      <c r="G2250" s="6" t="s">
        <v>9515</v>
      </c>
      <c r="H2250" s="7"/>
      <c r="I2250" s="19" t="s">
        <v>48</v>
      </c>
      <c r="J2250" s="19" t="s">
        <v>48</v>
      </c>
      <c r="AG2250" s="15" t="s">
        <v>55</v>
      </c>
      <c r="AH2250" s="15"/>
      <c r="AI2250" s="15"/>
    </row>
    <row r="2251" spans="1:37" s="6" customFormat="1">
      <c r="A2251" s="6" t="s">
        <v>9516</v>
      </c>
      <c r="B2251" s="6" t="s">
        <v>9517</v>
      </c>
      <c r="C2251" s="6" t="s">
        <v>43</v>
      </c>
      <c r="D2251" s="6" t="s">
        <v>1645</v>
      </c>
      <c r="E2251" s="6" t="s">
        <v>1386</v>
      </c>
      <c r="F2251" s="6" t="s">
        <v>46</v>
      </c>
      <c r="G2251" s="6" t="s">
        <v>9518</v>
      </c>
      <c r="H2251" s="7"/>
      <c r="I2251" s="19" t="s">
        <v>48</v>
      </c>
      <c r="J2251" s="19" t="s">
        <v>48</v>
      </c>
      <c r="AG2251" s="15" t="s">
        <v>55</v>
      </c>
      <c r="AH2251" s="15"/>
      <c r="AI2251" s="15"/>
    </row>
    <row r="2252" spans="1:37" s="6" customFormat="1">
      <c r="A2252" s="6" t="s">
        <v>9519</v>
      </c>
      <c r="B2252" s="6" t="s">
        <v>9520</v>
      </c>
      <c r="C2252" s="6" t="s">
        <v>43</v>
      </c>
      <c r="D2252" s="6" t="s">
        <v>239</v>
      </c>
      <c r="E2252" s="6" t="s">
        <v>1540</v>
      </c>
      <c r="F2252" s="6" t="s">
        <v>46</v>
      </c>
      <c r="G2252" s="6" t="s">
        <v>9222</v>
      </c>
      <c r="H2252" s="7"/>
      <c r="I2252" s="6" t="s">
        <v>48</v>
      </c>
      <c r="J2252" s="6" t="s">
        <v>48</v>
      </c>
      <c r="AG2252" s="15" t="s">
        <v>55</v>
      </c>
      <c r="AH2252" s="15"/>
      <c r="AI2252" s="15"/>
    </row>
    <row r="2253" spans="1:37" s="6" customFormat="1">
      <c r="A2253" s="5" t="s">
        <v>9521</v>
      </c>
      <c r="B2253" s="5" t="s">
        <v>9522</v>
      </c>
      <c r="C2253" s="6" t="s">
        <v>43</v>
      </c>
      <c r="D2253" s="6" t="s">
        <v>239</v>
      </c>
      <c r="E2253" s="6" t="s">
        <v>3189</v>
      </c>
      <c r="F2253" s="6" t="s">
        <v>46</v>
      </c>
      <c r="G2253" s="6" t="s">
        <v>9523</v>
      </c>
      <c r="H2253" s="7">
        <v>25.2</v>
      </c>
      <c r="I2253" s="19" t="s">
        <v>1589</v>
      </c>
      <c r="J2253" s="19" t="s">
        <v>2696</v>
      </c>
      <c r="K2253" s="5" t="s">
        <v>2757</v>
      </c>
      <c r="L2253" s="5" t="s">
        <v>2758</v>
      </c>
      <c r="M2253" s="5" t="s">
        <v>2759</v>
      </c>
      <c r="N2253" s="5" t="s">
        <v>2760</v>
      </c>
      <c r="O2253" s="5" t="s">
        <v>9524</v>
      </c>
      <c r="P2253" s="5" t="s">
        <v>9525</v>
      </c>
      <c r="Q2253" s="5" t="s">
        <v>9526</v>
      </c>
      <c r="R2253" s="5" t="s">
        <v>9527</v>
      </c>
      <c r="S2253" s="5"/>
      <c r="T2253" s="5"/>
      <c r="U2253" s="5"/>
      <c r="V2253" s="5"/>
      <c r="W2253" s="5"/>
      <c r="X2253" s="5"/>
      <c r="Y2253" s="5"/>
      <c r="Z2253" s="5"/>
      <c r="AA2253" s="5"/>
      <c r="AB2253" s="5"/>
      <c r="AC2253" s="5"/>
      <c r="AD2253" s="5"/>
      <c r="AE2253" s="5"/>
      <c r="AF2253" s="5"/>
      <c r="AG2253" s="14" t="s">
        <v>55</v>
      </c>
      <c r="AH2253" s="14" t="s">
        <v>1603</v>
      </c>
      <c r="AI2253" s="14" t="s">
        <v>1604</v>
      </c>
      <c r="AJ2253" s="5"/>
      <c r="AK2253" s="5"/>
    </row>
    <row r="2254" spans="1:37">
      <c r="A2254" s="6" t="s">
        <v>9528</v>
      </c>
      <c r="B2254" s="6" t="s">
        <v>9529</v>
      </c>
      <c r="C2254" s="6" t="s">
        <v>43</v>
      </c>
      <c r="D2254" s="6" t="s">
        <v>1390</v>
      </c>
      <c r="E2254" s="6" t="s">
        <v>1540</v>
      </c>
      <c r="F2254" s="6" t="s">
        <v>46</v>
      </c>
      <c r="G2254" s="6" t="s">
        <v>9530</v>
      </c>
      <c r="I2254" s="16" t="s">
        <v>48</v>
      </c>
      <c r="J2254" s="16" t="s">
        <v>48</v>
      </c>
      <c r="K2254" s="6"/>
      <c r="L2254" s="6"/>
      <c r="M2254" s="6"/>
      <c r="N2254" s="6"/>
      <c r="O2254" s="6"/>
      <c r="P2254" s="6"/>
      <c r="Q2254" s="6"/>
      <c r="R2254" s="6"/>
      <c r="S2254" s="6"/>
      <c r="T2254" s="6"/>
      <c r="U2254" s="6"/>
      <c r="V2254" s="6"/>
      <c r="W2254" s="6"/>
      <c r="X2254" s="6"/>
      <c r="Y2254" s="6"/>
      <c r="Z2254" s="6"/>
      <c r="AA2254" s="6"/>
      <c r="AB2254" s="6"/>
      <c r="AC2254" s="6"/>
      <c r="AD2254" s="6"/>
      <c r="AE2254" s="6"/>
      <c r="AF2254" s="6"/>
      <c r="AG2254" s="15" t="s">
        <v>55</v>
      </c>
      <c r="AH2254" s="15"/>
      <c r="AI2254" s="15"/>
      <c r="AJ2254" s="6"/>
      <c r="AK2254" s="6"/>
    </row>
    <row r="2255" spans="1:37" s="6" customFormat="1">
      <c r="A2255" s="6" t="s">
        <v>9531</v>
      </c>
      <c r="B2255" s="6" t="s">
        <v>9532</v>
      </c>
      <c r="C2255" s="6" t="s">
        <v>43</v>
      </c>
      <c r="D2255" s="6" t="s">
        <v>239</v>
      </c>
      <c r="E2255" s="6" t="s">
        <v>1540</v>
      </c>
      <c r="F2255" s="6" t="s">
        <v>46</v>
      </c>
      <c r="G2255" s="6" t="s">
        <v>8676</v>
      </c>
      <c r="H2255" s="7"/>
      <c r="I2255" s="16" t="s">
        <v>48</v>
      </c>
      <c r="J2255" s="16" t="s">
        <v>48</v>
      </c>
      <c r="AG2255" s="15" t="s">
        <v>55</v>
      </c>
      <c r="AH2255" s="15"/>
      <c r="AI2255" s="15"/>
    </row>
    <row r="2256" spans="1:37" s="6" customFormat="1">
      <c r="A2256" s="6" t="s">
        <v>9533</v>
      </c>
      <c r="B2256" s="6" t="s">
        <v>9534</v>
      </c>
      <c r="C2256" s="6" t="s">
        <v>43</v>
      </c>
      <c r="D2256" s="6" t="s">
        <v>239</v>
      </c>
      <c r="E2256" s="6" t="s">
        <v>1540</v>
      </c>
      <c r="F2256" s="6" t="s">
        <v>46</v>
      </c>
      <c r="G2256" s="6" t="s">
        <v>9535</v>
      </c>
      <c r="H2256" s="7"/>
      <c r="I2256" s="16" t="s">
        <v>48</v>
      </c>
      <c r="J2256" s="16" t="s">
        <v>48</v>
      </c>
      <c r="AG2256" s="15" t="s">
        <v>55</v>
      </c>
      <c r="AH2256" s="15"/>
      <c r="AI2256" s="15"/>
    </row>
    <row r="2257" spans="1:37" s="6" customFormat="1">
      <c r="A2257" s="6" t="s">
        <v>9536</v>
      </c>
      <c r="B2257" s="6" t="s">
        <v>9537</v>
      </c>
      <c r="C2257" s="6" t="s">
        <v>43</v>
      </c>
      <c r="D2257" s="6" t="s">
        <v>239</v>
      </c>
      <c r="E2257" s="6" t="s">
        <v>2047</v>
      </c>
      <c r="F2257" s="6" t="s">
        <v>46</v>
      </c>
      <c r="G2257" s="6" t="s">
        <v>9538</v>
      </c>
      <c r="H2257" s="7"/>
      <c r="I2257" s="6" t="s">
        <v>48</v>
      </c>
      <c r="J2257" s="6" t="s">
        <v>48</v>
      </c>
      <c r="AG2257" s="15" t="s">
        <v>55</v>
      </c>
      <c r="AH2257" s="15"/>
      <c r="AI2257" s="15"/>
    </row>
    <row r="2258" spans="1:37" s="6" customFormat="1">
      <c r="A2258" s="5" t="s">
        <v>9539</v>
      </c>
      <c r="B2258" s="5" t="s">
        <v>9540</v>
      </c>
      <c r="C2258" s="6" t="s">
        <v>43</v>
      </c>
      <c r="D2258" s="6" t="s">
        <v>1977</v>
      </c>
      <c r="E2258" s="6" t="s">
        <v>2015</v>
      </c>
      <c r="F2258" s="6" t="s">
        <v>46</v>
      </c>
      <c r="G2258" s="6" t="s">
        <v>9541</v>
      </c>
      <c r="H2258" s="7">
        <v>34.85</v>
      </c>
      <c r="I2258" s="19" t="s">
        <v>1589</v>
      </c>
      <c r="J2258" s="19" t="s">
        <v>2001</v>
      </c>
      <c r="K2258" s="20" t="s">
        <v>2036</v>
      </c>
      <c r="L2258" s="20" t="s">
        <v>2037</v>
      </c>
      <c r="M2258" s="20" t="s">
        <v>2038</v>
      </c>
      <c r="N2258" s="20" t="s">
        <v>2039</v>
      </c>
      <c r="O2258" s="20" t="s">
        <v>9542</v>
      </c>
      <c r="P2258" s="20" t="s">
        <v>9543</v>
      </c>
      <c r="Q2258" s="20" t="s">
        <v>9544</v>
      </c>
      <c r="R2258" s="5" t="s">
        <v>9545</v>
      </c>
      <c r="S2258" s="5"/>
      <c r="T2258" s="5"/>
      <c r="U2258" s="5"/>
      <c r="V2258" s="5"/>
      <c r="W2258" s="20" t="s">
        <v>2010</v>
      </c>
      <c r="X2258" s="20" t="s">
        <v>2011</v>
      </c>
      <c r="Y2258" s="20" t="s">
        <v>2012</v>
      </c>
      <c r="Z2258" s="20" t="s">
        <v>2013</v>
      </c>
      <c r="AA2258" s="5"/>
      <c r="AB2258" s="5"/>
      <c r="AC2258" s="5"/>
      <c r="AD2258" s="5"/>
      <c r="AE2258" s="5"/>
      <c r="AF2258" s="5"/>
      <c r="AG2258" s="14" t="s">
        <v>55</v>
      </c>
      <c r="AH2258" s="14" t="s">
        <v>1603</v>
      </c>
      <c r="AI2258" s="14" t="s">
        <v>124</v>
      </c>
      <c r="AJ2258" s="5"/>
      <c r="AK2258" s="5"/>
    </row>
    <row r="2259" spans="1:37">
      <c r="A2259" s="5" t="s">
        <v>9546</v>
      </c>
      <c r="B2259" s="5" t="s">
        <v>9547</v>
      </c>
      <c r="C2259" s="6" t="s">
        <v>43</v>
      </c>
      <c r="D2259" s="6" t="s">
        <v>2114</v>
      </c>
      <c r="E2259" s="6" t="s">
        <v>1386</v>
      </c>
      <c r="F2259" s="6" t="s">
        <v>46</v>
      </c>
      <c r="G2259" s="6" t="s">
        <v>9548</v>
      </c>
      <c r="H2259" s="7">
        <v>41.18</v>
      </c>
      <c r="I2259" s="19" t="s">
        <v>1589</v>
      </c>
      <c r="J2259" s="19" t="s">
        <v>2001</v>
      </c>
      <c r="K2259" s="6" t="s">
        <v>2148</v>
      </c>
      <c r="L2259" s="6" t="s">
        <v>2149</v>
      </c>
      <c r="M2259" s="6" t="s">
        <v>2150</v>
      </c>
      <c r="N2259" s="6" t="s">
        <v>2151</v>
      </c>
      <c r="O2259" s="6" t="s">
        <v>9549</v>
      </c>
      <c r="P2259" s="6" t="s">
        <v>9550</v>
      </c>
      <c r="Q2259" s="6" t="s">
        <v>9551</v>
      </c>
      <c r="R2259" s="5"/>
      <c r="W2259" s="20" t="s">
        <v>2010</v>
      </c>
      <c r="X2259" s="20" t="s">
        <v>2011</v>
      </c>
      <c r="Y2259" s="20" t="s">
        <v>2012</v>
      </c>
      <c r="Z2259" s="20" t="s">
        <v>2013</v>
      </c>
      <c r="AG2259" s="14" t="s">
        <v>55</v>
      </c>
      <c r="AH2259" s="14" t="s">
        <v>1603</v>
      </c>
      <c r="AI2259" s="14" t="s">
        <v>124</v>
      </c>
    </row>
    <row r="2260" spans="1:37">
      <c r="A2260" s="5" t="s">
        <v>9552</v>
      </c>
      <c r="B2260" s="5" t="s">
        <v>9553</v>
      </c>
      <c r="C2260" s="6" t="s">
        <v>43</v>
      </c>
      <c r="D2260" s="6" t="s">
        <v>2114</v>
      </c>
      <c r="E2260" s="6" t="s">
        <v>1386</v>
      </c>
      <c r="F2260" s="6" t="s">
        <v>46</v>
      </c>
      <c r="G2260" s="6" t="s">
        <v>9554</v>
      </c>
      <c r="H2260" s="7">
        <v>49.01</v>
      </c>
      <c r="I2260" s="19" t="s">
        <v>1589</v>
      </c>
      <c r="J2260" s="19" t="s">
        <v>2162</v>
      </c>
      <c r="K2260" s="5" t="s">
        <v>2163</v>
      </c>
      <c r="L2260" s="5" t="s">
        <v>2164</v>
      </c>
      <c r="M2260" s="5" t="s">
        <v>2165</v>
      </c>
      <c r="N2260" s="5" t="s">
        <v>2166</v>
      </c>
      <c r="O2260" s="5" t="s">
        <v>9555</v>
      </c>
      <c r="P2260" s="5" t="s">
        <v>9556</v>
      </c>
      <c r="Q2260" s="5" t="s">
        <v>9557</v>
      </c>
      <c r="R2260" s="5"/>
      <c r="W2260" s="5" t="s">
        <v>2170</v>
      </c>
      <c r="X2260" s="5" t="s">
        <v>2171</v>
      </c>
      <c r="Y2260" s="5" t="s">
        <v>2172</v>
      </c>
      <c r="Z2260" s="5" t="s">
        <v>2173</v>
      </c>
      <c r="AG2260" s="14" t="s">
        <v>55</v>
      </c>
      <c r="AH2260" s="14" t="s">
        <v>1603</v>
      </c>
      <c r="AI2260" s="14" t="s">
        <v>124</v>
      </c>
    </row>
    <row r="2261" spans="1:37">
      <c r="A2261" s="5" t="s">
        <v>9558</v>
      </c>
      <c r="B2261" s="5" t="s">
        <v>9559</v>
      </c>
      <c r="C2261" s="6" t="s">
        <v>43</v>
      </c>
      <c r="D2261" s="6" t="s">
        <v>2114</v>
      </c>
      <c r="E2261" s="6" t="s">
        <v>2015</v>
      </c>
      <c r="F2261" s="6" t="s">
        <v>46</v>
      </c>
      <c r="G2261" s="6" t="s">
        <v>9560</v>
      </c>
      <c r="H2261" s="7">
        <v>85.23</v>
      </c>
      <c r="I2261" s="19" t="s">
        <v>1589</v>
      </c>
      <c r="J2261" s="19" t="s">
        <v>2001</v>
      </c>
      <c r="K2261" s="6" t="s">
        <v>4178</v>
      </c>
      <c r="L2261" s="6" t="s">
        <v>4179</v>
      </c>
      <c r="M2261" s="6" t="s">
        <v>4180</v>
      </c>
      <c r="N2261" s="6" t="s">
        <v>4181</v>
      </c>
      <c r="O2261" s="6" t="s">
        <v>9561</v>
      </c>
      <c r="P2261" s="6" t="s">
        <v>9562</v>
      </c>
      <c r="Q2261" s="6" t="s">
        <v>9563</v>
      </c>
      <c r="R2261" s="5"/>
      <c r="AG2261" s="14" t="s">
        <v>55</v>
      </c>
      <c r="AH2261" s="14" t="s">
        <v>1603</v>
      </c>
      <c r="AI2261" s="14" t="s">
        <v>124</v>
      </c>
    </row>
    <row r="2262" spans="1:37">
      <c r="A2262" s="6" t="s">
        <v>9564</v>
      </c>
      <c r="B2262" s="6" t="s">
        <v>9565</v>
      </c>
      <c r="C2262" s="6" t="s">
        <v>43</v>
      </c>
      <c r="D2262" s="6" t="s">
        <v>239</v>
      </c>
      <c r="E2262" s="6" t="s">
        <v>1540</v>
      </c>
      <c r="F2262" s="6" t="s">
        <v>46</v>
      </c>
      <c r="G2262" s="6" t="s">
        <v>9566</v>
      </c>
      <c r="I2262" s="6" t="s">
        <v>48</v>
      </c>
      <c r="J2262" s="6" t="s">
        <v>48</v>
      </c>
      <c r="K2262" s="6"/>
      <c r="L2262" s="6"/>
      <c r="M2262" s="6"/>
      <c r="N2262" s="6"/>
      <c r="O2262" s="6"/>
      <c r="P2262" s="6"/>
      <c r="Q2262" s="6"/>
      <c r="R2262" s="6"/>
      <c r="S2262" s="6"/>
      <c r="T2262" s="6"/>
      <c r="U2262" s="6"/>
      <c r="V2262" s="6"/>
      <c r="W2262" s="6"/>
      <c r="X2262" s="6"/>
      <c r="Y2262" s="6"/>
      <c r="Z2262" s="6"/>
      <c r="AA2262" s="6"/>
      <c r="AB2262" s="6"/>
      <c r="AC2262" s="6"/>
      <c r="AD2262" s="6"/>
      <c r="AE2262" s="6"/>
      <c r="AF2262" s="6"/>
      <c r="AG2262" s="15" t="s">
        <v>55</v>
      </c>
      <c r="AH2262" s="15"/>
      <c r="AI2262" s="15"/>
      <c r="AJ2262" s="6"/>
      <c r="AK2262" s="6"/>
    </row>
    <row r="2263" spans="1:37" s="6" customFormat="1">
      <c r="A2263" s="5" t="s">
        <v>9567</v>
      </c>
      <c r="B2263" s="5" t="s">
        <v>9568</v>
      </c>
      <c r="C2263" s="6" t="s">
        <v>43</v>
      </c>
      <c r="D2263" s="6" t="s">
        <v>2189</v>
      </c>
      <c r="E2263" s="6" t="s">
        <v>1386</v>
      </c>
      <c r="F2263" s="6" t="s">
        <v>46</v>
      </c>
      <c r="G2263" s="6" t="s">
        <v>9569</v>
      </c>
      <c r="H2263" s="7">
        <v>38.369999999999997</v>
      </c>
      <c r="I2263" s="19" t="s">
        <v>1589</v>
      </c>
      <c r="J2263" s="19" t="s">
        <v>2191</v>
      </c>
      <c r="K2263" s="5" t="s">
        <v>2192</v>
      </c>
      <c r="L2263" s="5" t="s">
        <v>2193</v>
      </c>
      <c r="M2263" s="5" t="s">
        <v>2194</v>
      </c>
      <c r="N2263" s="5" t="s">
        <v>2195</v>
      </c>
      <c r="O2263" s="5" t="s">
        <v>9570</v>
      </c>
      <c r="P2263" s="5" t="s">
        <v>9571</v>
      </c>
      <c r="Q2263" s="5" t="s">
        <v>9572</v>
      </c>
      <c r="R2263" s="27"/>
      <c r="S2263" s="5"/>
      <c r="T2263" s="5"/>
      <c r="U2263" s="5"/>
      <c r="V2263" s="5"/>
      <c r="W2263" s="5"/>
      <c r="X2263" s="5"/>
      <c r="Y2263" s="5" t="s">
        <v>2086</v>
      </c>
      <c r="Z2263" s="5"/>
      <c r="AA2263" s="5"/>
      <c r="AB2263" s="5"/>
      <c r="AC2263" s="5"/>
      <c r="AD2263" s="5"/>
      <c r="AE2263" s="5"/>
      <c r="AF2263" s="5"/>
      <c r="AG2263" s="14" t="s">
        <v>55</v>
      </c>
      <c r="AH2263" s="14" t="s">
        <v>1603</v>
      </c>
      <c r="AI2263" s="14" t="s">
        <v>2087</v>
      </c>
      <c r="AJ2263" s="5"/>
      <c r="AK2263" s="5"/>
    </row>
    <row r="2264" spans="1:37">
      <c r="A2264" s="5" t="s">
        <v>9573</v>
      </c>
      <c r="B2264" s="5" t="s">
        <v>9568</v>
      </c>
      <c r="C2264" s="6" t="s">
        <v>43</v>
      </c>
      <c r="D2264" s="6" t="s">
        <v>2189</v>
      </c>
      <c r="E2264" s="6" t="s">
        <v>2015</v>
      </c>
      <c r="F2264" s="6" t="s">
        <v>46</v>
      </c>
      <c r="G2264" s="6" t="s">
        <v>8160</v>
      </c>
      <c r="H2264" s="7">
        <v>38.369999999999997</v>
      </c>
      <c r="I2264" s="19" t="s">
        <v>1589</v>
      </c>
      <c r="J2264" s="19" t="s">
        <v>2191</v>
      </c>
      <c r="K2264" s="5" t="s">
        <v>2192</v>
      </c>
      <c r="L2264" s="5" t="s">
        <v>2193</v>
      </c>
      <c r="M2264" s="5" t="s">
        <v>2194</v>
      </c>
      <c r="N2264" s="5" t="s">
        <v>2195</v>
      </c>
      <c r="O2264" s="5" t="s">
        <v>9570</v>
      </c>
      <c r="P2264" s="5" t="s">
        <v>9571</v>
      </c>
      <c r="Q2264" s="5" t="s">
        <v>9572</v>
      </c>
      <c r="R2264" s="5"/>
      <c r="Y2264" s="5" t="s">
        <v>2086</v>
      </c>
      <c r="AG2264" s="14" t="s">
        <v>55</v>
      </c>
      <c r="AH2264" s="14" t="s">
        <v>1603</v>
      </c>
      <c r="AI2264" s="14" t="s">
        <v>2087</v>
      </c>
    </row>
    <row r="2265" spans="1:37">
      <c r="A2265" s="5" t="s">
        <v>9574</v>
      </c>
      <c r="B2265" s="5" t="s">
        <v>9575</v>
      </c>
      <c r="C2265" s="6" t="s">
        <v>43</v>
      </c>
      <c r="D2265" s="6" t="s">
        <v>239</v>
      </c>
      <c r="E2265" s="6" t="s">
        <v>1540</v>
      </c>
      <c r="F2265" s="6" t="s">
        <v>46</v>
      </c>
      <c r="G2265" s="6" t="s">
        <v>9576</v>
      </c>
      <c r="H2265" s="7">
        <v>54.65</v>
      </c>
      <c r="I2265" s="19" t="s">
        <v>1589</v>
      </c>
      <c r="J2265" s="19" t="s">
        <v>2254</v>
      </c>
      <c r="K2265" s="5" t="s">
        <v>2255</v>
      </c>
      <c r="L2265" s="5" t="s">
        <v>2256</v>
      </c>
      <c r="M2265" s="5" t="s">
        <v>2257</v>
      </c>
      <c r="N2265" s="5" t="s">
        <v>2258</v>
      </c>
      <c r="O2265" s="5" t="s">
        <v>9577</v>
      </c>
      <c r="P2265" s="5" t="s">
        <v>9578</v>
      </c>
      <c r="Q2265" s="5" t="s">
        <v>9579</v>
      </c>
      <c r="R2265" s="5" t="s">
        <v>9580</v>
      </c>
      <c r="Y2265" s="5" t="s">
        <v>2263</v>
      </c>
      <c r="AG2265" s="14" t="s">
        <v>55</v>
      </c>
      <c r="AH2265" s="14" t="s">
        <v>1603</v>
      </c>
      <c r="AI2265" s="14" t="s">
        <v>2264</v>
      </c>
    </row>
    <row r="2266" spans="1:37">
      <c r="A2266" s="5" t="s">
        <v>9581</v>
      </c>
      <c r="B2266" s="5" t="s">
        <v>9582</v>
      </c>
      <c r="C2266" s="6" t="s">
        <v>43</v>
      </c>
      <c r="D2266" s="6" t="s">
        <v>239</v>
      </c>
      <c r="E2266" s="6" t="s">
        <v>1540</v>
      </c>
      <c r="F2266" s="6" t="s">
        <v>46</v>
      </c>
      <c r="G2266" s="6" t="s">
        <v>9583</v>
      </c>
      <c r="H2266" s="7">
        <v>57.05</v>
      </c>
      <c r="I2266" s="19" t="s">
        <v>1589</v>
      </c>
      <c r="J2266" s="19" t="s">
        <v>2254</v>
      </c>
      <c r="K2266" s="5" t="s">
        <v>2271</v>
      </c>
      <c r="L2266" s="5" t="s">
        <v>2272</v>
      </c>
      <c r="M2266" s="5" t="s">
        <v>2273</v>
      </c>
      <c r="N2266" s="5" t="s">
        <v>2274</v>
      </c>
      <c r="O2266" s="5" t="s">
        <v>9584</v>
      </c>
      <c r="P2266" s="5" t="s">
        <v>9585</v>
      </c>
      <c r="Q2266" s="5" t="s">
        <v>9586</v>
      </c>
      <c r="R2266" s="5" t="s">
        <v>9587</v>
      </c>
      <c r="Y2266" s="5" t="s">
        <v>2263</v>
      </c>
      <c r="AG2266" s="14" t="s">
        <v>55</v>
      </c>
      <c r="AH2266" s="14" t="s">
        <v>1603</v>
      </c>
      <c r="AI2266" s="14" t="s">
        <v>2264</v>
      </c>
    </row>
    <row r="2267" spans="1:37">
      <c r="A2267" s="5" t="s">
        <v>9588</v>
      </c>
      <c r="B2267" s="5" t="s">
        <v>9589</v>
      </c>
      <c r="C2267" s="6" t="s">
        <v>1935</v>
      </c>
      <c r="D2267" s="6" t="s">
        <v>239</v>
      </c>
      <c r="E2267" s="6" t="s">
        <v>2047</v>
      </c>
      <c r="F2267" s="6" t="s">
        <v>46</v>
      </c>
      <c r="G2267" s="6" t="s">
        <v>9590</v>
      </c>
      <c r="H2267" s="7">
        <v>26.69</v>
      </c>
      <c r="I2267" s="19" t="s">
        <v>1589</v>
      </c>
      <c r="J2267" s="19" t="s">
        <v>2696</v>
      </c>
      <c r="K2267" s="5" t="s">
        <v>2757</v>
      </c>
      <c r="L2267" s="5" t="s">
        <v>2758</v>
      </c>
      <c r="M2267" s="5" t="s">
        <v>2759</v>
      </c>
      <c r="N2267" s="5" t="s">
        <v>2760</v>
      </c>
      <c r="O2267" s="5" t="s">
        <v>9591</v>
      </c>
      <c r="P2267" s="5" t="s">
        <v>9592</v>
      </c>
      <c r="Q2267" s="5" t="s">
        <v>9593</v>
      </c>
      <c r="R2267" s="5" t="s">
        <v>9594</v>
      </c>
      <c r="AG2267" s="14" t="s">
        <v>55</v>
      </c>
      <c r="AH2267" s="14" t="s">
        <v>1603</v>
      </c>
      <c r="AI2267" s="14" t="s">
        <v>1604</v>
      </c>
    </row>
    <row r="2268" spans="1:37">
      <c r="A2268" s="5" t="s">
        <v>9595</v>
      </c>
      <c r="B2268" s="5" t="s">
        <v>9596</v>
      </c>
      <c r="C2268" s="6" t="s">
        <v>43</v>
      </c>
      <c r="D2268" s="6" t="s">
        <v>239</v>
      </c>
      <c r="E2268" s="6" t="s">
        <v>2047</v>
      </c>
      <c r="F2268" s="6" t="s">
        <v>46</v>
      </c>
      <c r="G2268" s="6" t="s">
        <v>9597</v>
      </c>
      <c r="H2268" s="7">
        <v>36.33</v>
      </c>
      <c r="I2268" s="19" t="s">
        <v>1589</v>
      </c>
      <c r="J2268" s="19" t="s">
        <v>2696</v>
      </c>
      <c r="K2268" s="5" t="s">
        <v>2809</v>
      </c>
      <c r="L2268" s="5" t="s">
        <v>2810</v>
      </c>
      <c r="M2268" s="5" t="s">
        <v>2811</v>
      </c>
      <c r="N2268" s="5" t="s">
        <v>2812</v>
      </c>
      <c r="O2268" s="5" t="s">
        <v>9598</v>
      </c>
      <c r="P2268" s="5" t="s">
        <v>9599</v>
      </c>
      <c r="Q2268" s="5" t="s">
        <v>9600</v>
      </c>
      <c r="R2268" s="5" t="s">
        <v>9601</v>
      </c>
      <c r="AG2268" s="14" t="s">
        <v>55</v>
      </c>
      <c r="AH2268" s="14" t="s">
        <v>1603</v>
      </c>
      <c r="AI2268" s="14" t="s">
        <v>1604</v>
      </c>
    </row>
    <row r="2269" spans="1:37">
      <c r="A2269" s="5" t="s">
        <v>9602</v>
      </c>
      <c r="B2269" s="5" t="s">
        <v>9596</v>
      </c>
      <c r="C2269" s="6" t="s">
        <v>43</v>
      </c>
      <c r="D2269" s="6" t="s">
        <v>239</v>
      </c>
      <c r="E2269" s="6" t="s">
        <v>2065</v>
      </c>
      <c r="F2269" s="6" t="s">
        <v>46</v>
      </c>
      <c r="G2269" s="6" t="s">
        <v>9603</v>
      </c>
      <c r="H2269" s="7">
        <v>36.33</v>
      </c>
      <c r="I2269" s="19" t="s">
        <v>1589</v>
      </c>
      <c r="J2269" s="19" t="s">
        <v>2696</v>
      </c>
      <c r="K2269" s="5" t="s">
        <v>2809</v>
      </c>
      <c r="L2269" s="5" t="s">
        <v>2810</v>
      </c>
      <c r="M2269" s="5" t="s">
        <v>2811</v>
      </c>
      <c r="N2269" s="5" t="s">
        <v>2812</v>
      </c>
      <c r="O2269" s="5" t="s">
        <v>9598</v>
      </c>
      <c r="P2269" s="5" t="s">
        <v>9599</v>
      </c>
      <c r="Q2269" s="5" t="s">
        <v>9600</v>
      </c>
      <c r="R2269" s="5" t="s">
        <v>9601</v>
      </c>
      <c r="AG2269" s="14" t="s">
        <v>55</v>
      </c>
      <c r="AH2269" s="14" t="s">
        <v>1603</v>
      </c>
      <c r="AI2269" s="14" t="s">
        <v>1604</v>
      </c>
    </row>
    <row r="2270" spans="1:37">
      <c r="A2270" s="5" t="s">
        <v>9604</v>
      </c>
      <c r="B2270" s="5" t="s">
        <v>9605</v>
      </c>
      <c r="C2270" s="6" t="s">
        <v>43</v>
      </c>
      <c r="D2270" s="6" t="s">
        <v>239</v>
      </c>
      <c r="E2270" s="6" t="s">
        <v>2047</v>
      </c>
      <c r="F2270" s="6" t="s">
        <v>46</v>
      </c>
      <c r="G2270" s="6" t="s">
        <v>9606</v>
      </c>
      <c r="H2270" s="7">
        <v>45.74</v>
      </c>
      <c r="I2270" s="19" t="s">
        <v>1589</v>
      </c>
      <c r="J2270" s="19" t="s">
        <v>2696</v>
      </c>
      <c r="K2270" s="5" t="s">
        <v>2878</v>
      </c>
      <c r="L2270" s="5" t="s">
        <v>2879</v>
      </c>
      <c r="M2270" s="5" t="s">
        <v>2880</v>
      </c>
      <c r="N2270" s="5" t="s">
        <v>2881</v>
      </c>
      <c r="O2270" s="5" t="s">
        <v>9607</v>
      </c>
      <c r="P2270" s="5" t="s">
        <v>9608</v>
      </c>
      <c r="Q2270" s="5" t="s">
        <v>9609</v>
      </c>
      <c r="R2270" s="5" t="s">
        <v>9610</v>
      </c>
      <c r="AG2270" s="14" t="s">
        <v>55</v>
      </c>
      <c r="AH2270" s="14" t="s">
        <v>1603</v>
      </c>
      <c r="AI2270" s="14" t="s">
        <v>1604</v>
      </c>
    </row>
    <row r="2271" spans="1:37">
      <c r="A2271" s="5" t="s">
        <v>9611</v>
      </c>
      <c r="B2271" s="5" t="s">
        <v>9612</v>
      </c>
      <c r="C2271" s="6" t="s">
        <v>43</v>
      </c>
      <c r="D2271" s="6" t="s">
        <v>239</v>
      </c>
      <c r="E2271" s="6" t="s">
        <v>2047</v>
      </c>
      <c r="F2271" s="6" t="s">
        <v>46</v>
      </c>
      <c r="G2271" s="6" t="s">
        <v>3884</v>
      </c>
      <c r="H2271" s="7">
        <v>45.54</v>
      </c>
      <c r="I2271" s="19" t="s">
        <v>1589</v>
      </c>
      <c r="J2271" s="19" t="s">
        <v>2696</v>
      </c>
      <c r="K2271" s="5" t="s">
        <v>2923</v>
      </c>
      <c r="L2271" s="5" t="s">
        <v>2924</v>
      </c>
      <c r="M2271" s="5" t="s">
        <v>2925</v>
      </c>
      <c r="N2271" s="5" t="s">
        <v>2926</v>
      </c>
      <c r="O2271" s="5" t="s">
        <v>9613</v>
      </c>
      <c r="P2271" s="5" t="s">
        <v>9614</v>
      </c>
      <c r="Q2271" s="5" t="s">
        <v>9615</v>
      </c>
      <c r="R2271" s="5" t="s">
        <v>9616</v>
      </c>
      <c r="AG2271" s="14" t="s">
        <v>55</v>
      </c>
      <c r="AH2271" s="14" t="s">
        <v>1603</v>
      </c>
      <c r="AI2271" s="14" t="s">
        <v>1604</v>
      </c>
    </row>
    <row r="2272" spans="1:37">
      <c r="A2272" s="5" t="s">
        <v>9617</v>
      </c>
      <c r="B2272" s="5" t="s">
        <v>9618</v>
      </c>
      <c r="C2272" s="6" t="s">
        <v>43</v>
      </c>
      <c r="D2272" s="6" t="s">
        <v>239</v>
      </c>
      <c r="E2272" s="6" t="s">
        <v>1540</v>
      </c>
      <c r="F2272" s="6" t="s">
        <v>46</v>
      </c>
      <c r="G2272" s="6" t="s">
        <v>9619</v>
      </c>
      <c r="H2272" s="7">
        <v>52.33</v>
      </c>
      <c r="I2272" s="19" t="s">
        <v>1589</v>
      </c>
      <c r="J2272" s="19" t="s">
        <v>2254</v>
      </c>
      <c r="K2272" s="5" t="s">
        <v>2972</v>
      </c>
      <c r="L2272" s="5" t="s">
        <v>2973</v>
      </c>
      <c r="M2272" s="5" t="s">
        <v>2974</v>
      </c>
      <c r="N2272" s="5" t="s">
        <v>2975</v>
      </c>
      <c r="O2272" s="5" t="s">
        <v>9620</v>
      </c>
      <c r="P2272" s="5" t="s">
        <v>9621</v>
      </c>
      <c r="Q2272" s="5" t="s">
        <v>9622</v>
      </c>
      <c r="R2272" s="5" t="s">
        <v>9623</v>
      </c>
      <c r="Y2272" s="5" t="s">
        <v>2980</v>
      </c>
      <c r="AG2272" s="14" t="s">
        <v>55</v>
      </c>
      <c r="AH2272" s="14" t="s">
        <v>1603</v>
      </c>
      <c r="AI2272" s="14" t="s">
        <v>2264</v>
      </c>
    </row>
    <row r="2273" spans="1:37">
      <c r="A2273" s="6" t="s">
        <v>9624</v>
      </c>
      <c r="B2273" s="6" t="s">
        <v>9625</v>
      </c>
      <c r="C2273" s="6" t="s">
        <v>43</v>
      </c>
      <c r="D2273" s="6" t="s">
        <v>239</v>
      </c>
      <c r="E2273" s="6" t="s">
        <v>2047</v>
      </c>
      <c r="F2273" s="6" t="s">
        <v>46</v>
      </c>
      <c r="G2273" s="6" t="s">
        <v>9626</v>
      </c>
      <c r="I2273" s="6" t="s">
        <v>48</v>
      </c>
      <c r="J2273" s="6" t="s">
        <v>48</v>
      </c>
      <c r="K2273" s="6"/>
      <c r="L2273" s="6"/>
      <c r="M2273" s="6"/>
      <c r="N2273" s="6"/>
      <c r="O2273" s="6"/>
      <c r="P2273" s="6"/>
      <c r="Q2273" s="6"/>
      <c r="R2273" s="6"/>
      <c r="S2273" s="6"/>
      <c r="T2273" s="6"/>
      <c r="U2273" s="6"/>
      <c r="V2273" s="6"/>
      <c r="W2273" s="6"/>
      <c r="X2273" s="6"/>
      <c r="Y2273" s="6"/>
      <c r="Z2273" s="6"/>
      <c r="AA2273" s="6"/>
      <c r="AB2273" s="6"/>
      <c r="AC2273" s="6"/>
      <c r="AD2273" s="6"/>
      <c r="AE2273" s="6"/>
      <c r="AF2273" s="6"/>
      <c r="AG2273" s="15" t="s">
        <v>55</v>
      </c>
      <c r="AH2273" s="15"/>
      <c r="AI2273" s="15"/>
      <c r="AJ2273" s="6"/>
      <c r="AK2273" s="6"/>
    </row>
    <row r="2274" spans="1:37" s="6" customFormat="1">
      <c r="A2274" s="6" t="s">
        <v>9627</v>
      </c>
      <c r="B2274" s="6" t="s">
        <v>9628</v>
      </c>
      <c r="C2274" s="6" t="s">
        <v>43</v>
      </c>
      <c r="D2274" s="6" t="s">
        <v>239</v>
      </c>
      <c r="E2274" s="6" t="s">
        <v>2047</v>
      </c>
      <c r="F2274" s="6" t="s">
        <v>46</v>
      </c>
      <c r="G2274" s="6" t="s">
        <v>2672</v>
      </c>
      <c r="H2274" s="7"/>
      <c r="I2274" s="6" t="s">
        <v>48</v>
      </c>
      <c r="J2274" s="6" t="s">
        <v>48</v>
      </c>
      <c r="AG2274" s="15" t="s">
        <v>55</v>
      </c>
      <c r="AH2274" s="15"/>
      <c r="AI2274" s="15"/>
    </row>
    <row r="2275" spans="1:37" s="6" customFormat="1">
      <c r="A2275" s="5" t="s">
        <v>9629</v>
      </c>
      <c r="B2275" s="5" t="s">
        <v>9630</v>
      </c>
      <c r="C2275" s="6" t="s">
        <v>43</v>
      </c>
      <c r="D2275" s="6" t="s">
        <v>239</v>
      </c>
      <c r="E2275" s="6" t="s">
        <v>2047</v>
      </c>
      <c r="F2275" s="6" t="s">
        <v>46</v>
      </c>
      <c r="G2275" s="6" t="s">
        <v>9631</v>
      </c>
      <c r="H2275" s="7">
        <v>53.66</v>
      </c>
      <c r="I2275" s="19" t="s">
        <v>1589</v>
      </c>
      <c r="J2275" s="19" t="s">
        <v>2696</v>
      </c>
      <c r="K2275" s="5" t="s">
        <v>2991</v>
      </c>
      <c r="L2275" s="5" t="s">
        <v>2992</v>
      </c>
      <c r="M2275" s="5" t="s">
        <v>2993</v>
      </c>
      <c r="N2275" s="5" t="s">
        <v>2994</v>
      </c>
      <c r="O2275" s="5" t="s">
        <v>9632</v>
      </c>
      <c r="P2275" s="5" t="s">
        <v>9633</v>
      </c>
      <c r="Q2275" s="5" t="s">
        <v>9634</v>
      </c>
      <c r="R2275" s="5" t="s">
        <v>9635</v>
      </c>
      <c r="S2275" s="5"/>
      <c r="T2275" s="5"/>
      <c r="U2275" s="5"/>
      <c r="V2275" s="5"/>
      <c r="W2275" s="5"/>
      <c r="X2275" s="5"/>
      <c r="Y2275" s="5"/>
      <c r="Z2275" s="5"/>
      <c r="AA2275" s="5"/>
      <c r="AB2275" s="5"/>
      <c r="AC2275" s="5"/>
      <c r="AD2275" s="5"/>
      <c r="AE2275" s="5"/>
      <c r="AF2275" s="5"/>
      <c r="AG2275" s="14" t="s">
        <v>55</v>
      </c>
      <c r="AH2275" s="14" t="s">
        <v>1603</v>
      </c>
      <c r="AI2275" s="14" t="s">
        <v>1604</v>
      </c>
      <c r="AJ2275" s="5"/>
      <c r="AK2275" s="5"/>
    </row>
    <row r="2276" spans="1:37">
      <c r="A2276" s="6" t="s">
        <v>9636</v>
      </c>
      <c r="B2276" s="6" t="s">
        <v>9637</v>
      </c>
      <c r="C2276" s="6" t="s">
        <v>43</v>
      </c>
      <c r="D2276" s="6" t="s">
        <v>239</v>
      </c>
      <c r="E2276" s="6" t="s">
        <v>240</v>
      </c>
      <c r="F2276" s="6" t="s">
        <v>46</v>
      </c>
      <c r="G2276" s="6" t="s">
        <v>3142</v>
      </c>
      <c r="I2276" s="6" t="s">
        <v>48</v>
      </c>
      <c r="J2276" s="6" t="s">
        <v>48</v>
      </c>
      <c r="K2276" s="6"/>
      <c r="L2276" s="6"/>
      <c r="M2276" s="6"/>
      <c r="N2276" s="6"/>
      <c r="O2276" s="6"/>
      <c r="P2276" s="6"/>
      <c r="Q2276" s="6"/>
      <c r="R2276" s="6"/>
      <c r="S2276" s="6"/>
      <c r="T2276" s="6"/>
      <c r="U2276" s="6"/>
      <c r="V2276" s="6"/>
      <c r="W2276" s="6"/>
      <c r="X2276" s="6"/>
      <c r="Y2276" s="6"/>
      <c r="Z2276" s="6"/>
      <c r="AA2276" s="6"/>
      <c r="AB2276" s="6"/>
      <c r="AC2276" s="6"/>
      <c r="AD2276" s="6"/>
      <c r="AE2276" s="6"/>
      <c r="AF2276" s="6"/>
      <c r="AG2276" s="15" t="s">
        <v>55</v>
      </c>
      <c r="AH2276" s="15"/>
      <c r="AI2276" s="15"/>
      <c r="AJ2276" s="6"/>
      <c r="AK2276" s="6"/>
    </row>
    <row r="2277" spans="1:37" s="6" customFormat="1">
      <c r="A2277" s="5" t="s">
        <v>9638</v>
      </c>
      <c r="B2277" s="5" t="s">
        <v>9639</v>
      </c>
      <c r="C2277" s="6" t="s">
        <v>43</v>
      </c>
      <c r="D2277" s="6" t="s">
        <v>239</v>
      </c>
      <c r="E2277" s="6" t="s">
        <v>1540</v>
      </c>
      <c r="F2277" s="6" t="s">
        <v>46</v>
      </c>
      <c r="G2277" s="6" t="s">
        <v>9480</v>
      </c>
      <c r="H2277" s="7">
        <v>55.04</v>
      </c>
      <c r="I2277" s="19" t="s">
        <v>1589</v>
      </c>
      <c r="J2277" s="19" t="s">
        <v>2254</v>
      </c>
      <c r="K2277" s="5" t="s">
        <v>3069</v>
      </c>
      <c r="L2277" s="5" t="s">
        <v>3070</v>
      </c>
      <c r="M2277" s="5" t="s">
        <v>3071</v>
      </c>
      <c r="N2277" s="5" t="s">
        <v>3072</v>
      </c>
      <c r="O2277" s="5" t="s">
        <v>9640</v>
      </c>
      <c r="P2277" s="5" t="s">
        <v>9641</v>
      </c>
      <c r="Q2277" s="5" t="s">
        <v>9642</v>
      </c>
      <c r="R2277" s="5" t="s">
        <v>9643</v>
      </c>
      <c r="S2277" s="5"/>
      <c r="T2277" s="5"/>
      <c r="U2277" s="5"/>
      <c r="V2277" s="5"/>
      <c r="W2277" s="5"/>
      <c r="X2277" s="5"/>
      <c r="Y2277" s="5" t="s">
        <v>2980</v>
      </c>
      <c r="Z2277" s="5"/>
      <c r="AA2277" s="5"/>
      <c r="AB2277" s="5"/>
      <c r="AC2277" s="5"/>
      <c r="AD2277" s="5"/>
      <c r="AE2277" s="5"/>
      <c r="AF2277" s="5"/>
      <c r="AG2277" s="14" t="s">
        <v>55</v>
      </c>
      <c r="AH2277" s="14" t="s">
        <v>1603</v>
      </c>
      <c r="AI2277" s="14" t="s">
        <v>2264</v>
      </c>
      <c r="AJ2277" s="5"/>
      <c r="AK2277" s="5"/>
    </row>
    <row r="2278" spans="1:37">
      <c r="A2278" s="6" t="s">
        <v>9644</v>
      </c>
      <c r="B2278" s="6" t="s">
        <v>9645</v>
      </c>
      <c r="C2278" s="6" t="s">
        <v>43</v>
      </c>
      <c r="D2278" s="6" t="s">
        <v>1390</v>
      </c>
      <c r="E2278" s="6" t="s">
        <v>1540</v>
      </c>
      <c r="F2278" s="6" t="s">
        <v>46</v>
      </c>
      <c r="G2278" s="6" t="s">
        <v>9646</v>
      </c>
      <c r="I2278" s="16" t="s">
        <v>48</v>
      </c>
      <c r="J2278" s="16" t="s">
        <v>48</v>
      </c>
      <c r="K2278" s="6"/>
      <c r="L2278" s="6"/>
      <c r="M2278" s="6"/>
      <c r="N2278" s="6"/>
      <c r="O2278" s="6"/>
      <c r="P2278" s="6"/>
      <c r="Q2278" s="6"/>
      <c r="R2278" s="6"/>
      <c r="S2278" s="6"/>
      <c r="T2278" s="6"/>
      <c r="U2278" s="6"/>
      <c r="V2278" s="6"/>
      <c r="W2278" s="6"/>
      <c r="X2278" s="6"/>
      <c r="Y2278" s="6"/>
      <c r="Z2278" s="6"/>
      <c r="AA2278" s="6"/>
      <c r="AB2278" s="6"/>
      <c r="AC2278" s="6"/>
      <c r="AD2278" s="6"/>
      <c r="AE2278" s="6"/>
      <c r="AF2278" s="6"/>
      <c r="AG2278" s="15" t="s">
        <v>55</v>
      </c>
      <c r="AH2278" s="15"/>
      <c r="AI2278" s="15"/>
      <c r="AJ2278" s="6"/>
      <c r="AK2278" s="6"/>
    </row>
    <row r="2279" spans="1:37" s="6" customFormat="1">
      <c r="A2279" s="6" t="s">
        <v>9647</v>
      </c>
      <c r="B2279" s="6" t="s">
        <v>9648</v>
      </c>
      <c r="C2279" s="6" t="s">
        <v>43</v>
      </c>
      <c r="D2279" s="6" t="s">
        <v>239</v>
      </c>
      <c r="E2279" s="6" t="s">
        <v>1540</v>
      </c>
      <c r="F2279" s="6" t="s">
        <v>46</v>
      </c>
      <c r="G2279" s="6" t="s">
        <v>9649</v>
      </c>
      <c r="H2279" s="7"/>
      <c r="I2279" s="16" t="s">
        <v>48</v>
      </c>
      <c r="J2279" s="16" t="s">
        <v>48</v>
      </c>
      <c r="AG2279" s="15" t="s">
        <v>55</v>
      </c>
      <c r="AH2279" s="15"/>
      <c r="AI2279" s="15"/>
    </row>
    <row r="2280" spans="1:37" s="6" customFormat="1">
      <c r="A2280" s="6" t="s">
        <v>9650</v>
      </c>
      <c r="B2280" s="6" t="s">
        <v>9651</v>
      </c>
      <c r="C2280" s="6" t="s">
        <v>43</v>
      </c>
      <c r="D2280" s="6" t="s">
        <v>239</v>
      </c>
      <c r="E2280" s="6" t="s">
        <v>1540</v>
      </c>
      <c r="F2280" s="6" t="s">
        <v>46</v>
      </c>
      <c r="G2280" s="6" t="s">
        <v>9652</v>
      </c>
      <c r="H2280" s="7"/>
      <c r="I2280" s="16" t="s">
        <v>48</v>
      </c>
      <c r="J2280" s="16" t="s">
        <v>48</v>
      </c>
      <c r="AG2280" s="15" t="s">
        <v>55</v>
      </c>
      <c r="AH2280" s="15"/>
      <c r="AI2280" s="15"/>
    </row>
    <row r="2281" spans="1:37" s="6" customFormat="1">
      <c r="A2281" s="6" t="s">
        <v>9653</v>
      </c>
      <c r="B2281" s="6" t="s">
        <v>9654</v>
      </c>
      <c r="C2281" s="6" t="s">
        <v>43</v>
      </c>
      <c r="D2281" s="6" t="s">
        <v>239</v>
      </c>
      <c r="E2281" s="6" t="s">
        <v>1540</v>
      </c>
      <c r="F2281" s="6" t="s">
        <v>46</v>
      </c>
      <c r="G2281" s="6" t="s">
        <v>9655</v>
      </c>
      <c r="H2281" s="7"/>
      <c r="I2281" s="16" t="s">
        <v>48</v>
      </c>
      <c r="J2281" s="16" t="s">
        <v>48</v>
      </c>
      <c r="AG2281" s="15" t="s">
        <v>55</v>
      </c>
      <c r="AH2281" s="15"/>
      <c r="AI2281" s="15"/>
    </row>
    <row r="2282" spans="1:37" s="6" customFormat="1">
      <c r="A2282" s="6" t="s">
        <v>9656</v>
      </c>
      <c r="B2282" s="6" t="s">
        <v>9657</v>
      </c>
      <c r="C2282" s="6" t="s">
        <v>43</v>
      </c>
      <c r="D2282" s="6" t="s">
        <v>239</v>
      </c>
      <c r="E2282" s="6" t="s">
        <v>1540</v>
      </c>
      <c r="F2282" s="6" t="s">
        <v>46</v>
      </c>
      <c r="G2282" s="6" t="s">
        <v>9658</v>
      </c>
      <c r="H2282" s="7"/>
      <c r="I2282" s="16" t="s">
        <v>48</v>
      </c>
      <c r="J2282" s="16" t="s">
        <v>48</v>
      </c>
      <c r="AG2282" s="15" t="s">
        <v>55</v>
      </c>
      <c r="AH2282" s="15"/>
      <c r="AI2282" s="15"/>
    </row>
    <row r="2283" spans="1:37" s="6" customFormat="1">
      <c r="A2283" s="6" t="s">
        <v>9659</v>
      </c>
      <c r="B2283" s="6" t="s">
        <v>9660</v>
      </c>
      <c r="C2283" s="6" t="s">
        <v>43</v>
      </c>
      <c r="D2283" s="6" t="s">
        <v>239</v>
      </c>
      <c r="E2283" s="6" t="s">
        <v>1540</v>
      </c>
      <c r="F2283" s="6" t="s">
        <v>46</v>
      </c>
      <c r="G2283" s="6" t="s">
        <v>9222</v>
      </c>
      <c r="H2283" s="7"/>
      <c r="I2283" s="6" t="s">
        <v>48</v>
      </c>
      <c r="J2283" s="6" t="s">
        <v>48</v>
      </c>
      <c r="AG2283" s="15" t="s">
        <v>55</v>
      </c>
      <c r="AH2283" s="15"/>
      <c r="AI2283" s="15"/>
    </row>
    <row r="2284" spans="1:37" s="6" customFormat="1">
      <c r="A2284" s="6" t="s">
        <v>9661</v>
      </c>
      <c r="B2284" s="6" t="s">
        <v>9662</v>
      </c>
      <c r="C2284" s="6" t="s">
        <v>43</v>
      </c>
      <c r="D2284" s="6" t="s">
        <v>239</v>
      </c>
      <c r="E2284" s="6" t="s">
        <v>1540</v>
      </c>
      <c r="F2284" s="6" t="s">
        <v>46</v>
      </c>
      <c r="G2284" s="6" t="s">
        <v>9655</v>
      </c>
      <c r="H2284" s="7"/>
      <c r="I2284" s="16" t="s">
        <v>48</v>
      </c>
      <c r="J2284" s="16" t="s">
        <v>48</v>
      </c>
      <c r="AG2284" s="15" t="s">
        <v>55</v>
      </c>
      <c r="AH2284" s="15"/>
      <c r="AI2284" s="15"/>
    </row>
    <row r="2285" spans="1:37" s="6" customFormat="1">
      <c r="A2285" s="6" t="s">
        <v>9663</v>
      </c>
      <c r="B2285" s="6" t="s">
        <v>9664</v>
      </c>
      <c r="C2285" s="6" t="s">
        <v>43</v>
      </c>
      <c r="D2285" s="6" t="s">
        <v>239</v>
      </c>
      <c r="E2285" s="6" t="s">
        <v>1540</v>
      </c>
      <c r="F2285" s="6" t="s">
        <v>46</v>
      </c>
      <c r="G2285" s="6" t="s">
        <v>9658</v>
      </c>
      <c r="H2285" s="7"/>
      <c r="I2285" s="16" t="s">
        <v>48</v>
      </c>
      <c r="J2285" s="16" t="s">
        <v>48</v>
      </c>
      <c r="AG2285" s="15" t="s">
        <v>55</v>
      </c>
      <c r="AH2285" s="15"/>
      <c r="AI2285" s="15"/>
    </row>
    <row r="2286" spans="1:37" s="6" customFormat="1">
      <c r="A2286" s="6" t="s">
        <v>9665</v>
      </c>
      <c r="B2286" s="6" t="s">
        <v>9666</v>
      </c>
      <c r="C2286" s="6" t="s">
        <v>43</v>
      </c>
      <c r="D2286" s="6" t="s">
        <v>239</v>
      </c>
      <c r="E2286" s="6" t="s">
        <v>1540</v>
      </c>
      <c r="F2286" s="6" t="s">
        <v>46</v>
      </c>
      <c r="G2286" s="6" t="s">
        <v>8638</v>
      </c>
      <c r="H2286" s="7"/>
      <c r="I2286" s="16" t="s">
        <v>48</v>
      </c>
      <c r="J2286" s="16" t="s">
        <v>48</v>
      </c>
      <c r="AG2286" s="15" t="s">
        <v>55</v>
      </c>
      <c r="AH2286" s="15"/>
      <c r="AI2286" s="15"/>
    </row>
    <row r="2287" spans="1:37" s="6" customFormat="1">
      <c r="A2287" s="6" t="s">
        <v>9667</v>
      </c>
      <c r="B2287" s="6" t="s">
        <v>9668</v>
      </c>
      <c r="C2287" s="6" t="s">
        <v>43</v>
      </c>
      <c r="D2287" s="6" t="s">
        <v>239</v>
      </c>
      <c r="E2287" s="6" t="s">
        <v>2047</v>
      </c>
      <c r="F2287" s="6" t="s">
        <v>46</v>
      </c>
      <c r="G2287" s="6" t="s">
        <v>3778</v>
      </c>
      <c r="H2287" s="7"/>
      <c r="I2287" s="19" t="s">
        <v>48</v>
      </c>
      <c r="J2287" s="19" t="s">
        <v>48</v>
      </c>
      <c r="AG2287" s="15" t="s">
        <v>55</v>
      </c>
      <c r="AH2287" s="15"/>
      <c r="AI2287" s="15"/>
    </row>
    <row r="2288" spans="1:37" s="6" customFormat="1">
      <c r="A2288" s="6" t="s">
        <v>9669</v>
      </c>
      <c r="B2288" s="6" t="s">
        <v>9670</v>
      </c>
      <c r="C2288" s="6" t="s">
        <v>43</v>
      </c>
      <c r="D2288" s="6" t="s">
        <v>239</v>
      </c>
      <c r="E2288" s="6" t="s">
        <v>2047</v>
      </c>
      <c r="F2288" s="6" t="s">
        <v>46</v>
      </c>
      <c r="G2288" s="6" t="s">
        <v>9671</v>
      </c>
      <c r="H2288" s="7"/>
      <c r="I2288" s="6" t="s">
        <v>48</v>
      </c>
      <c r="J2288" s="6" t="s">
        <v>48</v>
      </c>
      <c r="AG2288" s="15" t="s">
        <v>55</v>
      </c>
      <c r="AH2288" s="15"/>
      <c r="AI2288" s="15"/>
    </row>
    <row r="2289" spans="1:37" s="6" customFormat="1">
      <c r="A2289" s="6" t="s">
        <v>9672</v>
      </c>
      <c r="B2289" s="6" t="s">
        <v>9673</v>
      </c>
      <c r="C2289" s="6" t="s">
        <v>43</v>
      </c>
      <c r="D2289" s="6" t="s">
        <v>239</v>
      </c>
      <c r="E2289" s="6" t="s">
        <v>1540</v>
      </c>
      <c r="F2289" s="6" t="s">
        <v>46</v>
      </c>
      <c r="G2289" s="6" t="s">
        <v>9674</v>
      </c>
      <c r="H2289" s="7"/>
      <c r="I2289" s="16" t="s">
        <v>48</v>
      </c>
      <c r="J2289" s="16" t="s">
        <v>48</v>
      </c>
      <c r="AG2289" s="15" t="s">
        <v>55</v>
      </c>
      <c r="AH2289" s="15"/>
      <c r="AI2289" s="15"/>
    </row>
    <row r="2290" spans="1:37" s="6" customFormat="1">
      <c r="A2290" s="6" t="s">
        <v>9675</v>
      </c>
      <c r="B2290" s="6" t="s">
        <v>9676</v>
      </c>
      <c r="C2290" s="6" t="s">
        <v>43</v>
      </c>
      <c r="D2290" s="6" t="s">
        <v>239</v>
      </c>
      <c r="E2290" s="6" t="s">
        <v>1540</v>
      </c>
      <c r="F2290" s="6" t="s">
        <v>46</v>
      </c>
      <c r="G2290" s="6" t="s">
        <v>9677</v>
      </c>
      <c r="H2290" s="7"/>
      <c r="I2290" s="16" t="s">
        <v>48</v>
      </c>
      <c r="J2290" s="16" t="s">
        <v>48</v>
      </c>
      <c r="AG2290" s="15" t="s">
        <v>55</v>
      </c>
      <c r="AH2290" s="15"/>
      <c r="AI2290" s="15"/>
    </row>
    <row r="2291" spans="1:37" s="6" customFormat="1">
      <c r="A2291" s="6" t="s">
        <v>9678</v>
      </c>
      <c r="B2291" s="6" t="s">
        <v>9679</v>
      </c>
      <c r="C2291" s="6" t="s">
        <v>43</v>
      </c>
      <c r="D2291" s="6" t="s">
        <v>52</v>
      </c>
      <c r="E2291" s="6" t="s">
        <v>1817</v>
      </c>
      <c r="F2291" s="6" t="s">
        <v>46</v>
      </c>
      <c r="G2291" s="6" t="s">
        <v>9680</v>
      </c>
      <c r="H2291" s="7"/>
      <c r="I2291" s="5" t="s">
        <v>48</v>
      </c>
      <c r="J2291" s="5" t="s">
        <v>48</v>
      </c>
      <c r="AG2291" s="15" t="s">
        <v>55</v>
      </c>
      <c r="AH2291" s="15"/>
      <c r="AI2291" s="15"/>
    </row>
    <row r="2292" spans="1:37" s="6" customFormat="1">
      <c r="A2292" s="6" t="s">
        <v>9681</v>
      </c>
      <c r="B2292" s="6" t="s">
        <v>9682</v>
      </c>
      <c r="C2292" s="6" t="s">
        <v>43</v>
      </c>
      <c r="D2292" s="6" t="s">
        <v>52</v>
      </c>
      <c r="E2292" s="6" t="s">
        <v>1817</v>
      </c>
      <c r="F2292" s="6" t="s">
        <v>46</v>
      </c>
      <c r="G2292" s="6" t="s">
        <v>9683</v>
      </c>
      <c r="H2292" s="7"/>
      <c r="I2292" s="5" t="s">
        <v>48</v>
      </c>
      <c r="J2292" s="5" t="s">
        <v>48</v>
      </c>
      <c r="AG2292" s="15" t="s">
        <v>55</v>
      </c>
      <c r="AH2292" s="15"/>
      <c r="AI2292" s="15"/>
    </row>
    <row r="2293" spans="1:37" s="6" customFormat="1">
      <c r="A2293" s="5" t="s">
        <v>9684</v>
      </c>
      <c r="B2293" s="5" t="s">
        <v>9685</v>
      </c>
      <c r="C2293" s="6" t="s">
        <v>43</v>
      </c>
      <c r="D2293" s="6" t="s">
        <v>52</v>
      </c>
      <c r="E2293" s="6" t="s">
        <v>1817</v>
      </c>
      <c r="F2293" s="6" t="s">
        <v>46</v>
      </c>
      <c r="G2293" s="6" t="s">
        <v>9686</v>
      </c>
      <c r="H2293" s="18">
        <v>58</v>
      </c>
      <c r="I2293" s="19" t="s">
        <v>1393</v>
      </c>
      <c r="J2293" s="19" t="s">
        <v>9687</v>
      </c>
      <c r="K2293" s="5" t="s">
        <v>9688</v>
      </c>
      <c r="L2293" s="5" t="s">
        <v>9689</v>
      </c>
      <c r="M2293" s="5" t="s">
        <v>9690</v>
      </c>
      <c r="N2293" s="5" t="s">
        <v>9691</v>
      </c>
      <c r="O2293" s="5"/>
      <c r="P2293" s="5"/>
      <c r="Q2293" s="5"/>
      <c r="R2293" s="5"/>
      <c r="S2293" s="5"/>
      <c r="T2293" s="5"/>
      <c r="U2293" s="5"/>
      <c r="V2293" s="5"/>
      <c r="W2293" s="5"/>
      <c r="X2293" s="5"/>
      <c r="Y2293" s="5"/>
      <c r="Z2293" s="5"/>
      <c r="AA2293" s="5" t="s">
        <v>9692</v>
      </c>
      <c r="AB2293" s="5" t="s">
        <v>9693</v>
      </c>
      <c r="AC2293" s="5" t="s">
        <v>9694</v>
      </c>
      <c r="AD2293" s="5" t="s">
        <v>9695</v>
      </c>
      <c r="AE2293" s="5"/>
      <c r="AF2293" s="5"/>
      <c r="AG2293" s="14" t="s">
        <v>49</v>
      </c>
      <c r="AH2293" s="14" t="s">
        <v>1408</v>
      </c>
      <c r="AI2293" s="14" t="s">
        <v>1103</v>
      </c>
      <c r="AJ2293" s="5" t="s">
        <v>9696</v>
      </c>
      <c r="AK2293" s="5"/>
    </row>
    <row r="2294" spans="1:37">
      <c r="A2294" s="5" t="s">
        <v>9697</v>
      </c>
      <c r="B2294" s="5" t="s">
        <v>9698</v>
      </c>
      <c r="C2294" s="6" t="s">
        <v>43</v>
      </c>
      <c r="D2294" s="6" t="s">
        <v>52</v>
      </c>
      <c r="E2294" s="6" t="s">
        <v>1817</v>
      </c>
      <c r="F2294" s="6" t="s">
        <v>46</v>
      </c>
      <c r="G2294" s="6" t="s">
        <v>9699</v>
      </c>
      <c r="H2294" s="18">
        <v>57.5</v>
      </c>
      <c r="I2294" s="19" t="s">
        <v>1393</v>
      </c>
      <c r="J2294" s="19" t="s">
        <v>9687</v>
      </c>
      <c r="K2294" s="5" t="s">
        <v>9700</v>
      </c>
      <c r="L2294" s="5" t="s">
        <v>9701</v>
      </c>
      <c r="M2294" s="5" t="s">
        <v>9702</v>
      </c>
      <c r="N2294" s="5" t="s">
        <v>9703</v>
      </c>
      <c r="R2294" s="5"/>
      <c r="AA2294" s="5" t="s">
        <v>9692</v>
      </c>
      <c r="AB2294" s="5" t="s">
        <v>9693</v>
      </c>
      <c r="AC2294" s="5" t="s">
        <v>9694</v>
      </c>
      <c r="AD2294" s="5" t="s">
        <v>9695</v>
      </c>
      <c r="AG2294" s="14" t="s">
        <v>49</v>
      </c>
      <c r="AH2294" s="14" t="s">
        <v>1408</v>
      </c>
      <c r="AI2294" s="14" t="s">
        <v>1103</v>
      </c>
      <c r="AJ2294" s="5" t="s">
        <v>9696</v>
      </c>
    </row>
    <row r="2295" spans="1:37">
      <c r="A2295" s="6" t="s">
        <v>9704</v>
      </c>
      <c r="B2295" s="6" t="s">
        <v>9705</v>
      </c>
      <c r="C2295" s="6" t="s">
        <v>43</v>
      </c>
      <c r="D2295" s="6" t="s">
        <v>52</v>
      </c>
      <c r="E2295" s="6" t="s">
        <v>1817</v>
      </c>
      <c r="F2295" s="6" t="s">
        <v>46</v>
      </c>
      <c r="G2295" s="6" t="s">
        <v>9706</v>
      </c>
      <c r="I2295" s="5" t="s">
        <v>48</v>
      </c>
      <c r="J2295" s="5" t="s">
        <v>48</v>
      </c>
      <c r="K2295" s="6"/>
      <c r="L2295" s="6"/>
      <c r="M2295" s="6"/>
      <c r="N2295" s="6"/>
      <c r="O2295" s="6"/>
      <c r="P2295" s="6"/>
      <c r="Q2295" s="6"/>
      <c r="R2295" s="6"/>
      <c r="S2295" s="6"/>
      <c r="T2295" s="6"/>
      <c r="U2295" s="6"/>
      <c r="V2295" s="6"/>
      <c r="W2295" s="6"/>
      <c r="X2295" s="6"/>
      <c r="Y2295" s="6"/>
      <c r="Z2295" s="6"/>
      <c r="AA2295" s="6"/>
      <c r="AB2295" s="6"/>
      <c r="AC2295" s="6"/>
      <c r="AD2295" s="6"/>
      <c r="AE2295" s="6"/>
      <c r="AF2295" s="6"/>
      <c r="AG2295" s="15" t="s">
        <v>55</v>
      </c>
      <c r="AH2295" s="15"/>
      <c r="AI2295" s="15"/>
      <c r="AJ2295" s="6"/>
      <c r="AK2295" s="6"/>
    </row>
    <row r="2296" spans="1:37" s="6" customFormat="1">
      <c r="A2296" s="5" t="s">
        <v>9707</v>
      </c>
      <c r="B2296" s="5" t="s">
        <v>9708</v>
      </c>
      <c r="C2296" s="6" t="s">
        <v>43</v>
      </c>
      <c r="D2296" s="6" t="s">
        <v>52</v>
      </c>
      <c r="E2296" s="6" t="s">
        <v>1817</v>
      </c>
      <c r="F2296" s="6" t="s">
        <v>46</v>
      </c>
      <c r="G2296" s="6" t="s">
        <v>9709</v>
      </c>
      <c r="H2296" s="18">
        <v>86</v>
      </c>
      <c r="I2296" s="19" t="s">
        <v>1393</v>
      </c>
      <c r="J2296" s="19" t="s">
        <v>9687</v>
      </c>
      <c r="K2296" s="5" t="s">
        <v>9710</v>
      </c>
      <c r="L2296" s="5" t="s">
        <v>9711</v>
      </c>
      <c r="M2296" s="5" t="s">
        <v>9712</v>
      </c>
      <c r="N2296" s="5" t="s">
        <v>9713</v>
      </c>
      <c r="O2296" s="5"/>
      <c r="P2296" s="5"/>
      <c r="Q2296" s="5"/>
      <c r="R2296" s="5"/>
      <c r="S2296" s="5"/>
      <c r="T2296" s="5"/>
      <c r="U2296" s="5"/>
      <c r="V2296" s="5"/>
      <c r="W2296" s="5"/>
      <c r="X2296" s="5"/>
      <c r="Y2296" s="5"/>
      <c r="Z2296" s="5"/>
      <c r="AA2296" s="5" t="s">
        <v>9692</v>
      </c>
      <c r="AB2296" s="5" t="s">
        <v>9693</v>
      </c>
      <c r="AC2296" s="5" t="s">
        <v>9694</v>
      </c>
      <c r="AD2296" s="5" t="s">
        <v>9695</v>
      </c>
      <c r="AE2296" s="5"/>
      <c r="AF2296" s="5"/>
      <c r="AG2296" s="14" t="s">
        <v>49</v>
      </c>
      <c r="AH2296" s="14" t="s">
        <v>1408</v>
      </c>
      <c r="AI2296" s="14" t="s">
        <v>1103</v>
      </c>
      <c r="AJ2296" s="5" t="s">
        <v>9696</v>
      </c>
      <c r="AK2296" s="5"/>
    </row>
    <row r="2297" spans="1:37">
      <c r="A2297" s="5" t="s">
        <v>9714</v>
      </c>
      <c r="B2297" s="5" t="s">
        <v>9715</v>
      </c>
      <c r="C2297" s="6" t="s">
        <v>43</v>
      </c>
      <c r="D2297" s="6" t="s">
        <v>52</v>
      </c>
      <c r="E2297" s="6" t="s">
        <v>1817</v>
      </c>
      <c r="F2297" s="6" t="s">
        <v>46</v>
      </c>
      <c r="G2297" s="6" t="s">
        <v>9716</v>
      </c>
      <c r="H2297" s="18">
        <v>84.5</v>
      </c>
      <c r="I2297" s="19" t="s">
        <v>1393</v>
      </c>
      <c r="J2297" s="19" t="s">
        <v>9687</v>
      </c>
      <c r="K2297" s="5" t="s">
        <v>9717</v>
      </c>
      <c r="L2297" s="5" t="s">
        <v>9718</v>
      </c>
      <c r="M2297" s="5" t="s">
        <v>9719</v>
      </c>
      <c r="N2297" s="5" t="s">
        <v>9720</v>
      </c>
      <c r="R2297" s="5"/>
      <c r="AA2297" s="5" t="s">
        <v>9692</v>
      </c>
      <c r="AB2297" s="5" t="s">
        <v>9693</v>
      </c>
      <c r="AC2297" s="5" t="s">
        <v>9694</v>
      </c>
      <c r="AD2297" s="5" t="s">
        <v>9695</v>
      </c>
      <c r="AG2297" s="14" t="s">
        <v>49</v>
      </c>
      <c r="AH2297" s="14" t="s">
        <v>1408</v>
      </c>
      <c r="AI2297" s="14" t="s">
        <v>1103</v>
      </c>
      <c r="AJ2297" s="5" t="s">
        <v>9696</v>
      </c>
    </row>
    <row r="2298" spans="1:37">
      <c r="A2298" s="6" t="s">
        <v>9721</v>
      </c>
      <c r="B2298" s="6" t="s">
        <v>9722</v>
      </c>
      <c r="C2298" s="6" t="s">
        <v>43</v>
      </c>
      <c r="D2298" s="6" t="s">
        <v>52</v>
      </c>
      <c r="E2298" s="6" t="s">
        <v>503</v>
      </c>
      <c r="F2298" s="6" t="s">
        <v>46</v>
      </c>
      <c r="G2298" s="6" t="s">
        <v>9279</v>
      </c>
      <c r="I2298" s="6" t="s">
        <v>48</v>
      </c>
      <c r="J2298" s="6" t="s">
        <v>48</v>
      </c>
      <c r="K2298" s="6"/>
      <c r="L2298" s="6"/>
      <c r="M2298" s="6"/>
      <c r="N2298" s="6"/>
      <c r="O2298" s="6"/>
      <c r="P2298" s="6"/>
      <c r="Q2298" s="6"/>
      <c r="R2298" s="6"/>
      <c r="S2298" s="6"/>
      <c r="T2298" s="6"/>
      <c r="U2298" s="6"/>
      <c r="V2298" s="6"/>
      <c r="W2298" s="6"/>
      <c r="X2298" s="6"/>
      <c r="Y2298" s="6"/>
      <c r="Z2298" s="6"/>
      <c r="AA2298" s="6"/>
      <c r="AB2298" s="6"/>
      <c r="AC2298" s="6"/>
      <c r="AD2298" s="6"/>
      <c r="AE2298" s="6"/>
      <c r="AF2298" s="6"/>
      <c r="AG2298" s="15" t="s">
        <v>55</v>
      </c>
      <c r="AH2298" s="15"/>
      <c r="AI2298" s="15"/>
      <c r="AJ2298" s="6"/>
      <c r="AK2298" s="6"/>
    </row>
    <row r="2299" spans="1:37" s="6" customFormat="1">
      <c r="A2299" s="6" t="s">
        <v>9723</v>
      </c>
      <c r="B2299" s="6" t="s">
        <v>9724</v>
      </c>
      <c r="C2299" s="6" t="s">
        <v>43</v>
      </c>
      <c r="D2299" s="6" t="s">
        <v>52</v>
      </c>
      <c r="E2299" s="6" t="s">
        <v>1085</v>
      </c>
      <c r="F2299" s="6" t="s">
        <v>46</v>
      </c>
      <c r="G2299" s="6" t="s">
        <v>9725</v>
      </c>
      <c r="H2299" s="7"/>
      <c r="I2299" s="6" t="s">
        <v>48</v>
      </c>
      <c r="J2299" s="6" t="s">
        <v>48</v>
      </c>
      <c r="AG2299" s="15" t="s">
        <v>55</v>
      </c>
      <c r="AH2299" s="15"/>
      <c r="AI2299" s="15"/>
    </row>
    <row r="2300" spans="1:37" s="6" customFormat="1">
      <c r="A2300" s="6" t="s">
        <v>9726</v>
      </c>
      <c r="B2300" s="6" t="s">
        <v>9727</v>
      </c>
      <c r="C2300" s="6" t="s">
        <v>43</v>
      </c>
      <c r="D2300" s="6" t="s">
        <v>52</v>
      </c>
      <c r="E2300" s="6" t="s">
        <v>1085</v>
      </c>
      <c r="F2300" s="6" t="s">
        <v>46</v>
      </c>
      <c r="G2300" s="6" t="s">
        <v>9728</v>
      </c>
      <c r="H2300" s="7"/>
      <c r="I2300" s="5" t="s">
        <v>48</v>
      </c>
      <c r="J2300" s="5" t="s">
        <v>48</v>
      </c>
      <c r="AG2300" s="15" t="s">
        <v>55</v>
      </c>
      <c r="AH2300" s="15"/>
      <c r="AI2300" s="15"/>
    </row>
    <row r="2301" spans="1:37" s="6" customFormat="1">
      <c r="A2301" s="6" t="s">
        <v>9729</v>
      </c>
      <c r="B2301" s="6" t="s">
        <v>9730</v>
      </c>
      <c r="C2301" s="6" t="s">
        <v>43</v>
      </c>
      <c r="D2301" s="6" t="s">
        <v>52</v>
      </c>
      <c r="E2301" s="6" t="s">
        <v>1085</v>
      </c>
      <c r="F2301" s="6" t="s">
        <v>46</v>
      </c>
      <c r="G2301" s="6" t="s">
        <v>9731</v>
      </c>
      <c r="H2301" s="7"/>
      <c r="I2301" s="5" t="s">
        <v>48</v>
      </c>
      <c r="J2301" s="5" t="s">
        <v>48</v>
      </c>
      <c r="AG2301" s="15" t="s">
        <v>55</v>
      </c>
      <c r="AH2301" s="15"/>
      <c r="AI2301" s="15"/>
    </row>
    <row r="2302" spans="1:37" s="6" customFormat="1">
      <c r="A2302" s="6" t="s">
        <v>9732</v>
      </c>
      <c r="B2302" s="6" t="s">
        <v>9733</v>
      </c>
      <c r="C2302" s="6" t="s">
        <v>43</v>
      </c>
      <c r="D2302" s="6" t="s">
        <v>52</v>
      </c>
      <c r="E2302" s="6" t="s">
        <v>1085</v>
      </c>
      <c r="F2302" s="6" t="s">
        <v>46</v>
      </c>
      <c r="G2302" s="6" t="s">
        <v>9734</v>
      </c>
      <c r="H2302" s="7"/>
      <c r="I2302" s="5" t="s">
        <v>48</v>
      </c>
      <c r="J2302" s="5" t="s">
        <v>48</v>
      </c>
      <c r="AG2302" s="15" t="s">
        <v>55</v>
      </c>
      <c r="AH2302" s="15"/>
      <c r="AI2302" s="15"/>
    </row>
    <row r="2303" spans="1:37" s="6" customFormat="1">
      <c r="A2303" s="6" t="s">
        <v>9735</v>
      </c>
      <c r="B2303" s="6" t="s">
        <v>9736</v>
      </c>
      <c r="C2303" s="6" t="s">
        <v>43</v>
      </c>
      <c r="D2303" s="6" t="s">
        <v>52</v>
      </c>
      <c r="E2303" s="6" t="s">
        <v>1085</v>
      </c>
      <c r="F2303" s="6" t="s">
        <v>46</v>
      </c>
      <c r="G2303" s="6" t="s">
        <v>9737</v>
      </c>
      <c r="H2303" s="7"/>
      <c r="I2303" s="6" t="s">
        <v>48</v>
      </c>
      <c r="J2303" s="6" t="s">
        <v>48</v>
      </c>
      <c r="AG2303" s="15" t="s">
        <v>55</v>
      </c>
      <c r="AH2303" s="15"/>
      <c r="AI2303" s="15"/>
    </row>
    <row r="2304" spans="1:37" s="6" customFormat="1">
      <c r="A2304" s="6" t="s">
        <v>9738</v>
      </c>
      <c r="B2304" s="6" t="s">
        <v>9739</v>
      </c>
      <c r="C2304" s="6" t="s">
        <v>43</v>
      </c>
      <c r="D2304" s="6" t="s">
        <v>52</v>
      </c>
      <c r="E2304" s="6" t="s">
        <v>1085</v>
      </c>
      <c r="F2304" s="6" t="s">
        <v>46</v>
      </c>
      <c r="G2304" s="6" t="s">
        <v>9740</v>
      </c>
      <c r="H2304" s="7"/>
      <c r="I2304" s="6" t="s">
        <v>48</v>
      </c>
      <c r="J2304" s="6" t="s">
        <v>48</v>
      </c>
      <c r="AG2304" s="15" t="s">
        <v>55</v>
      </c>
      <c r="AH2304" s="15"/>
      <c r="AI2304" s="15"/>
    </row>
    <row r="2305" spans="1:37" s="6" customFormat="1">
      <c r="A2305" s="6" t="s">
        <v>9741</v>
      </c>
      <c r="B2305" s="6" t="s">
        <v>9742</v>
      </c>
      <c r="C2305" s="6" t="s">
        <v>43</v>
      </c>
      <c r="D2305" s="6" t="s">
        <v>1545</v>
      </c>
      <c r="E2305" s="6" t="s">
        <v>9743</v>
      </c>
      <c r="F2305" s="6" t="s">
        <v>46</v>
      </c>
      <c r="G2305" s="6" t="s">
        <v>9744</v>
      </c>
      <c r="H2305" s="7"/>
      <c r="I2305" s="19" t="s">
        <v>48</v>
      </c>
      <c r="J2305" s="19" t="s">
        <v>48</v>
      </c>
      <c r="AG2305" s="15" t="s">
        <v>55</v>
      </c>
      <c r="AH2305" s="15"/>
      <c r="AI2305" s="15"/>
    </row>
    <row r="2306" spans="1:37" s="6" customFormat="1">
      <c r="A2306" s="6" t="s">
        <v>9745</v>
      </c>
      <c r="B2306" s="6" t="s">
        <v>9746</v>
      </c>
      <c r="C2306" s="6" t="s">
        <v>43</v>
      </c>
      <c r="D2306" s="6" t="s">
        <v>1545</v>
      </c>
      <c r="E2306" s="6" t="s">
        <v>9743</v>
      </c>
      <c r="F2306" s="6" t="s">
        <v>46</v>
      </c>
      <c r="G2306" s="6" t="s">
        <v>9747</v>
      </c>
      <c r="H2306" s="7"/>
      <c r="I2306" s="19" t="s">
        <v>48</v>
      </c>
      <c r="J2306" s="19" t="s">
        <v>48</v>
      </c>
      <c r="AG2306" s="15" t="s">
        <v>55</v>
      </c>
      <c r="AH2306" s="15"/>
      <c r="AI2306" s="15"/>
    </row>
    <row r="2307" spans="1:37" s="6" customFormat="1">
      <c r="A2307" s="6" t="s">
        <v>9748</v>
      </c>
      <c r="B2307" s="6" t="s">
        <v>9749</v>
      </c>
      <c r="C2307" s="6" t="s">
        <v>43</v>
      </c>
      <c r="D2307" s="6" t="s">
        <v>1545</v>
      </c>
      <c r="E2307" s="6" t="s">
        <v>9743</v>
      </c>
      <c r="F2307" s="6" t="s">
        <v>46</v>
      </c>
      <c r="G2307" s="6" t="s">
        <v>9750</v>
      </c>
      <c r="H2307" s="7"/>
      <c r="I2307" s="19" t="s">
        <v>48</v>
      </c>
      <c r="J2307" s="19" t="s">
        <v>48</v>
      </c>
      <c r="AG2307" s="15" t="s">
        <v>55</v>
      </c>
      <c r="AH2307" s="15"/>
      <c r="AI2307" s="15"/>
    </row>
    <row r="2308" spans="1:37" s="6" customFormat="1">
      <c r="A2308" s="6" t="s">
        <v>9751</v>
      </c>
      <c r="B2308" s="6" t="s">
        <v>9752</v>
      </c>
      <c r="C2308" s="6" t="s">
        <v>43</v>
      </c>
      <c r="D2308" s="6" t="s">
        <v>1545</v>
      </c>
      <c r="E2308" s="6" t="s">
        <v>9743</v>
      </c>
      <c r="F2308" s="6" t="s">
        <v>46</v>
      </c>
      <c r="G2308" s="6" t="s">
        <v>9753</v>
      </c>
      <c r="H2308" s="7"/>
      <c r="I2308" s="19" t="s">
        <v>48</v>
      </c>
      <c r="J2308" s="19" t="s">
        <v>48</v>
      </c>
      <c r="AG2308" s="15" t="s">
        <v>55</v>
      </c>
      <c r="AH2308" s="15"/>
      <c r="AI2308" s="15"/>
    </row>
    <row r="2309" spans="1:37" s="6" customFormat="1">
      <c r="A2309" s="5" t="s">
        <v>9754</v>
      </c>
      <c r="B2309" s="5" t="s">
        <v>9755</v>
      </c>
      <c r="C2309" s="6" t="s">
        <v>43</v>
      </c>
      <c r="D2309" s="6" t="s">
        <v>1545</v>
      </c>
      <c r="E2309" s="6" t="s">
        <v>9756</v>
      </c>
      <c r="F2309" s="6" t="s">
        <v>46</v>
      </c>
      <c r="G2309" s="6" t="s">
        <v>9757</v>
      </c>
      <c r="H2309" s="18">
        <v>138</v>
      </c>
      <c r="I2309" s="19" t="s">
        <v>1882</v>
      </c>
      <c r="J2309" s="19" t="s">
        <v>9758</v>
      </c>
      <c r="K2309" s="5" t="s">
        <v>9759</v>
      </c>
      <c r="L2309" s="5" t="s">
        <v>9760</v>
      </c>
      <c r="M2309" s="5" t="s">
        <v>9761</v>
      </c>
      <c r="N2309" s="5" t="s">
        <v>9762</v>
      </c>
      <c r="O2309" s="5" t="s">
        <v>9763</v>
      </c>
      <c r="P2309" s="5" t="s">
        <v>9764</v>
      </c>
      <c r="Q2309" s="5" t="s">
        <v>9765</v>
      </c>
      <c r="R2309" s="5" t="s">
        <v>9766</v>
      </c>
      <c r="S2309" s="5"/>
      <c r="T2309" s="5"/>
      <c r="U2309" s="5"/>
      <c r="V2309" s="5"/>
      <c r="W2309" s="5" t="s">
        <v>9767</v>
      </c>
      <c r="X2309" s="5"/>
      <c r="Y2309" s="5"/>
      <c r="Z2309" s="5"/>
      <c r="AA2309" s="5"/>
      <c r="AB2309" s="5"/>
      <c r="AC2309" s="5"/>
      <c r="AD2309" s="5"/>
      <c r="AE2309" s="5"/>
      <c r="AF2309" s="5"/>
      <c r="AG2309" s="14" t="s">
        <v>49</v>
      </c>
      <c r="AH2309" s="14" t="s">
        <v>9768</v>
      </c>
      <c r="AI2309" s="14" t="s">
        <v>9769</v>
      </c>
      <c r="AJ2309" s="5" t="s">
        <v>9770</v>
      </c>
      <c r="AK2309" s="5"/>
    </row>
    <row r="2310" spans="1:37">
      <c r="A2310" s="5" t="s">
        <v>9771</v>
      </c>
      <c r="B2310" s="5" t="s">
        <v>9772</v>
      </c>
      <c r="C2310" s="6" t="s">
        <v>43</v>
      </c>
      <c r="D2310" s="6" t="s">
        <v>1545</v>
      </c>
      <c r="E2310" s="6" t="s">
        <v>9756</v>
      </c>
      <c r="F2310" s="6" t="s">
        <v>46</v>
      </c>
      <c r="G2310" s="6" t="s">
        <v>9773</v>
      </c>
      <c r="H2310" s="18">
        <v>155</v>
      </c>
      <c r="I2310" s="19" t="s">
        <v>1882</v>
      </c>
      <c r="J2310" s="19" t="s">
        <v>9758</v>
      </c>
      <c r="K2310" s="6" t="s">
        <v>9759</v>
      </c>
      <c r="L2310" s="6" t="s">
        <v>9774</v>
      </c>
      <c r="M2310" s="6" t="s">
        <v>9761</v>
      </c>
      <c r="N2310" s="6" t="s">
        <v>9762</v>
      </c>
      <c r="O2310" s="6" t="s">
        <v>9775</v>
      </c>
      <c r="P2310" s="6" t="s">
        <v>9776</v>
      </c>
      <c r="Q2310" s="6" t="s">
        <v>9777</v>
      </c>
      <c r="R2310" s="6" t="s">
        <v>9778</v>
      </c>
      <c r="W2310" s="5" t="s">
        <v>9767</v>
      </c>
      <c r="AG2310" s="14" t="s">
        <v>49</v>
      </c>
      <c r="AH2310" s="14" t="s">
        <v>9768</v>
      </c>
      <c r="AI2310" s="14" t="s">
        <v>9769</v>
      </c>
      <c r="AJ2310" s="5" t="s">
        <v>9770</v>
      </c>
    </row>
    <row r="2311" spans="1:37">
      <c r="A2311" s="5" t="s">
        <v>9779</v>
      </c>
      <c r="B2311" s="5" t="s">
        <v>9780</v>
      </c>
      <c r="C2311" s="6" t="s">
        <v>43</v>
      </c>
      <c r="D2311" s="6" t="s">
        <v>1545</v>
      </c>
      <c r="E2311" s="6" t="s">
        <v>9756</v>
      </c>
      <c r="F2311" s="6" t="s">
        <v>46</v>
      </c>
      <c r="G2311" s="6" t="s">
        <v>9781</v>
      </c>
      <c r="H2311" s="18">
        <v>176</v>
      </c>
      <c r="I2311" s="19" t="s">
        <v>1882</v>
      </c>
      <c r="J2311" s="19" t="s">
        <v>9758</v>
      </c>
      <c r="K2311" s="6" t="s">
        <v>9759</v>
      </c>
      <c r="L2311" s="6" t="s">
        <v>9774</v>
      </c>
      <c r="M2311" s="6" t="s">
        <v>9761</v>
      </c>
      <c r="N2311" s="6" t="s">
        <v>9762</v>
      </c>
      <c r="O2311" s="6" t="s">
        <v>9782</v>
      </c>
      <c r="P2311" s="6" t="s">
        <v>9783</v>
      </c>
      <c r="Q2311" s="6" t="s">
        <v>9784</v>
      </c>
      <c r="R2311" s="6" t="s">
        <v>9785</v>
      </c>
      <c r="W2311" s="5" t="s">
        <v>9767</v>
      </c>
      <c r="AG2311" s="14" t="s">
        <v>49</v>
      </c>
      <c r="AH2311" s="14" t="s">
        <v>9768</v>
      </c>
      <c r="AI2311" s="14" t="s">
        <v>9769</v>
      </c>
      <c r="AJ2311" s="5" t="s">
        <v>9770</v>
      </c>
    </row>
    <row r="2312" spans="1:37">
      <c r="A2312" s="5" t="s">
        <v>9786</v>
      </c>
      <c r="B2312" s="5" t="s">
        <v>9787</v>
      </c>
      <c r="C2312" s="6" t="s">
        <v>43</v>
      </c>
      <c r="D2312" s="6" t="s">
        <v>1545</v>
      </c>
      <c r="E2312" s="6" t="s">
        <v>9756</v>
      </c>
      <c r="F2312" s="6" t="s">
        <v>46</v>
      </c>
      <c r="G2312" s="6" t="s">
        <v>9788</v>
      </c>
      <c r="H2312" s="18">
        <v>201</v>
      </c>
      <c r="I2312" s="19" t="s">
        <v>1882</v>
      </c>
      <c r="J2312" s="19" t="s">
        <v>9758</v>
      </c>
      <c r="K2312" s="6" t="s">
        <v>9759</v>
      </c>
      <c r="L2312" s="6" t="s">
        <v>9774</v>
      </c>
      <c r="M2312" s="6" t="s">
        <v>9761</v>
      </c>
      <c r="N2312" s="6" t="s">
        <v>9762</v>
      </c>
      <c r="O2312" s="6" t="s">
        <v>9789</v>
      </c>
      <c r="P2312" s="6" t="s">
        <v>9790</v>
      </c>
      <c r="Q2312" s="6" t="s">
        <v>9791</v>
      </c>
      <c r="R2312" s="6" t="s">
        <v>9792</v>
      </c>
      <c r="W2312" s="5" t="s">
        <v>9767</v>
      </c>
      <c r="AG2312" s="14" t="s">
        <v>49</v>
      </c>
      <c r="AH2312" s="14" t="s">
        <v>9768</v>
      </c>
      <c r="AI2312" s="14" t="s">
        <v>9769</v>
      </c>
      <c r="AJ2312" s="5" t="s">
        <v>9770</v>
      </c>
    </row>
    <row r="2313" spans="1:37">
      <c r="A2313" s="5" t="s">
        <v>9793</v>
      </c>
      <c r="B2313" s="5" t="s">
        <v>9794</v>
      </c>
      <c r="C2313" s="6" t="s">
        <v>43</v>
      </c>
      <c r="D2313" s="6" t="s">
        <v>1545</v>
      </c>
      <c r="E2313" s="6" t="s">
        <v>9756</v>
      </c>
      <c r="F2313" s="6" t="s">
        <v>46</v>
      </c>
      <c r="G2313" s="6" t="s">
        <v>9795</v>
      </c>
      <c r="H2313" s="18">
        <v>301</v>
      </c>
      <c r="I2313" s="19" t="s">
        <v>1882</v>
      </c>
      <c r="J2313" s="19" t="s">
        <v>9758</v>
      </c>
      <c r="K2313" s="6" t="s">
        <v>9759</v>
      </c>
      <c r="L2313" s="6" t="s">
        <v>9774</v>
      </c>
      <c r="M2313" s="6" t="s">
        <v>9761</v>
      </c>
      <c r="N2313" s="6" t="s">
        <v>9762</v>
      </c>
      <c r="O2313" s="6" t="s">
        <v>9796</v>
      </c>
      <c r="P2313" s="6" t="s">
        <v>9797</v>
      </c>
      <c r="Q2313" s="6" t="s">
        <v>9798</v>
      </c>
      <c r="R2313" s="6" t="s">
        <v>9799</v>
      </c>
      <c r="W2313" s="5" t="s">
        <v>9767</v>
      </c>
      <c r="AG2313" s="14" t="s">
        <v>49</v>
      </c>
      <c r="AH2313" s="14" t="s">
        <v>9768</v>
      </c>
      <c r="AI2313" s="14" t="s">
        <v>9769</v>
      </c>
      <c r="AJ2313" s="5" t="s">
        <v>9770</v>
      </c>
    </row>
    <row r="2314" spans="1:37">
      <c r="A2314" s="6" t="s">
        <v>9800</v>
      </c>
      <c r="B2314" s="6" t="s">
        <v>9801</v>
      </c>
      <c r="C2314" s="6" t="s">
        <v>43</v>
      </c>
      <c r="D2314" s="6" t="s">
        <v>1545</v>
      </c>
      <c r="E2314" s="6" t="s">
        <v>9743</v>
      </c>
      <c r="F2314" s="6" t="s">
        <v>46</v>
      </c>
      <c r="G2314" s="6" t="s">
        <v>9802</v>
      </c>
      <c r="I2314" s="19" t="s">
        <v>48</v>
      </c>
      <c r="J2314" s="19" t="s">
        <v>48</v>
      </c>
      <c r="K2314" s="6"/>
      <c r="L2314" s="6"/>
      <c r="M2314" s="6"/>
      <c r="N2314" s="6"/>
      <c r="O2314" s="6"/>
      <c r="P2314" s="6"/>
      <c r="Q2314" s="6"/>
      <c r="R2314" s="6"/>
      <c r="S2314" s="6"/>
      <c r="T2314" s="6"/>
      <c r="U2314" s="6"/>
      <c r="V2314" s="6"/>
      <c r="W2314" s="6"/>
      <c r="X2314" s="6"/>
      <c r="Y2314" s="6"/>
      <c r="Z2314" s="6"/>
      <c r="AA2314" s="6"/>
      <c r="AB2314" s="6"/>
      <c r="AC2314" s="6"/>
      <c r="AD2314" s="6"/>
      <c r="AE2314" s="6"/>
      <c r="AF2314" s="6"/>
      <c r="AG2314" s="15" t="s">
        <v>55</v>
      </c>
      <c r="AH2314" s="15"/>
      <c r="AI2314" s="15"/>
      <c r="AJ2314" s="6"/>
      <c r="AK2314" s="6"/>
    </row>
    <row r="2315" spans="1:37" s="6" customFormat="1">
      <c r="A2315" s="6" t="s">
        <v>9803</v>
      </c>
      <c r="B2315" s="6" t="s">
        <v>9804</v>
      </c>
      <c r="C2315" s="6" t="s">
        <v>43</v>
      </c>
      <c r="D2315" s="6" t="s">
        <v>1545</v>
      </c>
      <c r="E2315" s="6" t="s">
        <v>9743</v>
      </c>
      <c r="F2315" s="6" t="s">
        <v>46</v>
      </c>
      <c r="G2315" s="6" t="s">
        <v>9805</v>
      </c>
      <c r="H2315" s="7"/>
      <c r="I2315" s="19" t="s">
        <v>48</v>
      </c>
      <c r="J2315" s="19" t="s">
        <v>48</v>
      </c>
      <c r="AG2315" s="15" t="s">
        <v>55</v>
      </c>
      <c r="AH2315" s="15"/>
      <c r="AI2315" s="15"/>
    </row>
    <row r="2316" spans="1:37" s="6" customFormat="1">
      <c r="A2316" s="6" t="s">
        <v>9806</v>
      </c>
      <c r="B2316" s="6" t="s">
        <v>9807</v>
      </c>
      <c r="C2316" s="6" t="s">
        <v>43</v>
      </c>
      <c r="D2316" s="6" t="s">
        <v>1545</v>
      </c>
      <c r="E2316" s="6" t="s">
        <v>9743</v>
      </c>
      <c r="F2316" s="6" t="s">
        <v>46</v>
      </c>
      <c r="G2316" s="6" t="s">
        <v>9808</v>
      </c>
      <c r="H2316" s="7"/>
      <c r="I2316" s="19" t="s">
        <v>48</v>
      </c>
      <c r="J2316" s="19" t="s">
        <v>48</v>
      </c>
      <c r="AG2316" s="15" t="s">
        <v>55</v>
      </c>
      <c r="AH2316" s="15"/>
      <c r="AI2316" s="15"/>
    </row>
    <row r="2317" spans="1:37" s="6" customFormat="1">
      <c r="A2317" s="6" t="s">
        <v>9809</v>
      </c>
      <c r="B2317" s="6" t="s">
        <v>9810</v>
      </c>
      <c r="C2317" s="6" t="s">
        <v>43</v>
      </c>
      <c r="D2317" s="6" t="s">
        <v>1545</v>
      </c>
      <c r="E2317" s="6" t="s">
        <v>9743</v>
      </c>
      <c r="F2317" s="6" t="s">
        <v>46</v>
      </c>
      <c r="G2317" s="6" t="s">
        <v>9811</v>
      </c>
      <c r="H2317" s="7"/>
      <c r="I2317" s="19" t="s">
        <v>48</v>
      </c>
      <c r="J2317" s="19" t="s">
        <v>48</v>
      </c>
      <c r="AG2317" s="15" t="s">
        <v>55</v>
      </c>
      <c r="AH2317" s="15"/>
      <c r="AI2317" s="15"/>
    </row>
    <row r="2318" spans="1:37" s="6" customFormat="1">
      <c r="A2318" s="6" t="s">
        <v>9812</v>
      </c>
      <c r="B2318" s="6" t="s">
        <v>9813</v>
      </c>
      <c r="C2318" s="6" t="s">
        <v>43</v>
      </c>
      <c r="D2318" s="6" t="s">
        <v>1545</v>
      </c>
      <c r="E2318" s="6" t="s">
        <v>9743</v>
      </c>
      <c r="F2318" s="6" t="s">
        <v>46</v>
      </c>
      <c r="G2318" s="6" t="s">
        <v>9795</v>
      </c>
      <c r="H2318" s="7"/>
      <c r="I2318" s="19" t="s">
        <v>48</v>
      </c>
      <c r="J2318" s="19" t="s">
        <v>48</v>
      </c>
      <c r="AG2318" s="15" t="s">
        <v>55</v>
      </c>
      <c r="AH2318" s="15"/>
      <c r="AI2318" s="15"/>
    </row>
    <row r="2319" spans="1:37" s="6" customFormat="1">
      <c r="A2319" s="6" t="s">
        <v>9814</v>
      </c>
      <c r="B2319" s="6" t="s">
        <v>9815</v>
      </c>
      <c r="C2319" s="6" t="s">
        <v>43</v>
      </c>
      <c r="D2319" s="6" t="s">
        <v>1545</v>
      </c>
      <c r="E2319" s="6" t="s">
        <v>9743</v>
      </c>
      <c r="F2319" s="6" t="s">
        <v>46</v>
      </c>
      <c r="G2319" s="6" t="s">
        <v>8020</v>
      </c>
      <c r="H2319" s="7"/>
      <c r="I2319" s="19" t="s">
        <v>48</v>
      </c>
      <c r="J2319" s="19" t="s">
        <v>48</v>
      </c>
      <c r="AG2319" s="15" t="s">
        <v>55</v>
      </c>
      <c r="AH2319" s="15"/>
      <c r="AI2319" s="15"/>
    </row>
    <row r="2320" spans="1:37" s="6" customFormat="1">
      <c r="A2320" s="5" t="s">
        <v>9816</v>
      </c>
      <c r="B2320" s="5" t="s">
        <v>9817</v>
      </c>
      <c r="C2320" s="6" t="s">
        <v>43</v>
      </c>
      <c r="D2320" s="6" t="s">
        <v>1545</v>
      </c>
      <c r="E2320" s="6" t="s">
        <v>9756</v>
      </c>
      <c r="F2320" s="6" t="s">
        <v>46</v>
      </c>
      <c r="G2320" s="6" t="s">
        <v>9818</v>
      </c>
      <c r="H2320" s="18">
        <v>140</v>
      </c>
      <c r="I2320" s="19" t="s">
        <v>1882</v>
      </c>
      <c r="J2320" s="19" t="s">
        <v>9758</v>
      </c>
      <c r="K2320" s="5" t="s">
        <v>9819</v>
      </c>
      <c r="L2320" s="5" t="s">
        <v>9820</v>
      </c>
      <c r="M2320" s="5" t="s">
        <v>9821</v>
      </c>
      <c r="N2320" s="5" t="s">
        <v>9822</v>
      </c>
      <c r="O2320" s="5" t="s">
        <v>9823</v>
      </c>
      <c r="P2320" s="5" t="s">
        <v>9824</v>
      </c>
      <c r="Q2320" s="5" t="s">
        <v>9825</v>
      </c>
      <c r="R2320" s="5" t="s">
        <v>9826</v>
      </c>
      <c r="S2320" s="5"/>
      <c r="T2320" s="5"/>
      <c r="U2320" s="5"/>
      <c r="V2320" s="5"/>
      <c r="W2320" s="5" t="s">
        <v>9767</v>
      </c>
      <c r="X2320" s="5"/>
      <c r="Y2320" s="5"/>
      <c r="Z2320" s="5"/>
      <c r="AA2320" s="5"/>
      <c r="AB2320" s="5"/>
      <c r="AC2320" s="5"/>
      <c r="AD2320" s="5"/>
      <c r="AE2320" s="5"/>
      <c r="AF2320" s="5"/>
      <c r="AG2320" s="14" t="s">
        <v>49</v>
      </c>
      <c r="AH2320" s="14" t="s">
        <v>9768</v>
      </c>
      <c r="AI2320" s="14" t="s">
        <v>9769</v>
      </c>
      <c r="AJ2320" s="5" t="s">
        <v>9770</v>
      </c>
      <c r="AK2320" s="5"/>
    </row>
    <row r="2321" spans="1:37">
      <c r="A2321" s="5" t="s">
        <v>9827</v>
      </c>
      <c r="B2321" s="5" t="s">
        <v>9828</v>
      </c>
      <c r="C2321" s="6" t="s">
        <v>43</v>
      </c>
      <c r="D2321" s="6" t="s">
        <v>1545</v>
      </c>
      <c r="E2321" s="6" t="s">
        <v>9756</v>
      </c>
      <c r="F2321" s="6" t="s">
        <v>46</v>
      </c>
      <c r="G2321" s="6" t="s">
        <v>9829</v>
      </c>
      <c r="H2321" s="18">
        <v>155</v>
      </c>
      <c r="I2321" s="19" t="s">
        <v>1882</v>
      </c>
      <c r="J2321" s="19" t="s">
        <v>9758</v>
      </c>
      <c r="K2321" s="6" t="s">
        <v>9819</v>
      </c>
      <c r="L2321" s="6" t="s">
        <v>9820</v>
      </c>
      <c r="M2321" s="6" t="s">
        <v>9821</v>
      </c>
      <c r="N2321" s="5" t="s">
        <v>9822</v>
      </c>
      <c r="O2321" s="6" t="s">
        <v>9830</v>
      </c>
      <c r="P2321" s="6" t="s">
        <v>9831</v>
      </c>
      <c r="Q2321" s="6" t="s">
        <v>9832</v>
      </c>
      <c r="R2321" s="6" t="s">
        <v>9833</v>
      </c>
      <c r="W2321" s="5" t="s">
        <v>9767</v>
      </c>
      <c r="AG2321" s="14" t="s">
        <v>49</v>
      </c>
      <c r="AH2321" s="14" t="s">
        <v>9768</v>
      </c>
      <c r="AI2321" s="14" t="s">
        <v>9769</v>
      </c>
      <c r="AJ2321" s="5" t="s">
        <v>9770</v>
      </c>
    </row>
    <row r="2322" spans="1:37">
      <c r="A2322" s="5" t="s">
        <v>9834</v>
      </c>
      <c r="B2322" s="5" t="s">
        <v>9835</v>
      </c>
      <c r="C2322" s="6" t="s">
        <v>43</v>
      </c>
      <c r="D2322" s="6" t="s">
        <v>1545</v>
      </c>
      <c r="E2322" s="6" t="s">
        <v>9756</v>
      </c>
      <c r="F2322" s="6" t="s">
        <v>46</v>
      </c>
      <c r="G2322" s="6" t="s">
        <v>9836</v>
      </c>
      <c r="H2322" s="18">
        <v>205</v>
      </c>
      <c r="I2322" s="19" t="s">
        <v>1882</v>
      </c>
      <c r="J2322" s="19" t="s">
        <v>9758</v>
      </c>
      <c r="K2322" s="6" t="s">
        <v>9819</v>
      </c>
      <c r="L2322" s="6" t="s">
        <v>9820</v>
      </c>
      <c r="M2322" s="6" t="s">
        <v>9821</v>
      </c>
      <c r="N2322" s="5" t="s">
        <v>9822</v>
      </c>
      <c r="O2322" s="6" t="s">
        <v>9837</v>
      </c>
      <c r="P2322" s="6" t="s">
        <v>9838</v>
      </c>
      <c r="Q2322" s="6" t="s">
        <v>9839</v>
      </c>
      <c r="R2322" s="6" t="s">
        <v>9840</v>
      </c>
      <c r="W2322" s="5" t="s">
        <v>9767</v>
      </c>
      <c r="AG2322" s="14" t="s">
        <v>49</v>
      </c>
      <c r="AH2322" s="14" t="s">
        <v>9768</v>
      </c>
      <c r="AI2322" s="14" t="s">
        <v>9769</v>
      </c>
      <c r="AJ2322" s="5" t="s">
        <v>9770</v>
      </c>
    </row>
    <row r="2323" spans="1:37">
      <c r="A2323" s="6" t="s">
        <v>9841</v>
      </c>
      <c r="B2323" s="6" t="s">
        <v>9842</v>
      </c>
      <c r="C2323" s="6" t="s">
        <v>43</v>
      </c>
      <c r="D2323" s="6" t="s">
        <v>1545</v>
      </c>
      <c r="E2323" s="6" t="s">
        <v>9756</v>
      </c>
      <c r="F2323" s="6" t="s">
        <v>46</v>
      </c>
      <c r="G2323" s="6" t="s">
        <v>9843</v>
      </c>
      <c r="I2323" s="19" t="s">
        <v>48</v>
      </c>
      <c r="J2323" s="19" t="s">
        <v>48</v>
      </c>
      <c r="K2323" s="6"/>
      <c r="L2323" s="6"/>
      <c r="M2323" s="6"/>
      <c r="N2323" s="6"/>
      <c r="O2323" s="6"/>
      <c r="P2323" s="6"/>
      <c r="Q2323" s="6"/>
      <c r="R2323" s="6"/>
      <c r="S2323" s="6"/>
      <c r="T2323" s="6"/>
      <c r="U2323" s="6"/>
      <c r="V2323" s="6"/>
      <c r="W2323" s="6"/>
      <c r="X2323" s="6"/>
      <c r="Y2323" s="6"/>
      <c r="Z2323" s="6"/>
      <c r="AA2323" s="6"/>
      <c r="AB2323" s="6"/>
      <c r="AC2323" s="6"/>
      <c r="AD2323" s="6"/>
      <c r="AE2323" s="6"/>
      <c r="AF2323" s="6"/>
      <c r="AG2323" s="15" t="s">
        <v>55</v>
      </c>
      <c r="AH2323" s="15"/>
      <c r="AI2323" s="15"/>
      <c r="AJ2323" s="6"/>
      <c r="AK2323" s="6"/>
    </row>
    <row r="2324" spans="1:37" s="6" customFormat="1">
      <c r="A2324" s="6" t="s">
        <v>9844</v>
      </c>
      <c r="B2324" s="6" t="s">
        <v>9845</v>
      </c>
      <c r="C2324" s="6" t="s">
        <v>43</v>
      </c>
      <c r="D2324" s="6" t="s">
        <v>1545</v>
      </c>
      <c r="E2324" s="6" t="s">
        <v>9743</v>
      </c>
      <c r="F2324" s="6" t="s">
        <v>46</v>
      </c>
      <c r="G2324" s="6" t="s">
        <v>9846</v>
      </c>
      <c r="H2324" s="7"/>
      <c r="I2324" s="19" t="s">
        <v>48</v>
      </c>
      <c r="J2324" s="19" t="s">
        <v>48</v>
      </c>
      <c r="AG2324" s="15" t="s">
        <v>55</v>
      </c>
      <c r="AH2324" s="15"/>
      <c r="AI2324" s="15"/>
    </row>
    <row r="2325" spans="1:37" s="6" customFormat="1">
      <c r="A2325" s="6" t="s">
        <v>9847</v>
      </c>
      <c r="B2325" s="6" t="s">
        <v>9848</v>
      </c>
      <c r="C2325" s="6" t="s">
        <v>43</v>
      </c>
      <c r="D2325" s="6" t="s">
        <v>1545</v>
      </c>
      <c r="E2325" s="6" t="s">
        <v>9743</v>
      </c>
      <c r="F2325" s="6" t="s">
        <v>46</v>
      </c>
      <c r="G2325" s="6" t="s">
        <v>9849</v>
      </c>
      <c r="H2325" s="7"/>
      <c r="I2325" s="19" t="s">
        <v>48</v>
      </c>
      <c r="J2325" s="19" t="s">
        <v>48</v>
      </c>
      <c r="AG2325" s="15" t="s">
        <v>55</v>
      </c>
      <c r="AH2325" s="15"/>
      <c r="AI2325" s="15"/>
    </row>
    <row r="2326" spans="1:37" s="6" customFormat="1">
      <c r="A2326" s="5" t="s">
        <v>9850</v>
      </c>
      <c r="B2326" s="5" t="s">
        <v>9851</v>
      </c>
      <c r="C2326" s="6" t="s">
        <v>43</v>
      </c>
      <c r="D2326" s="6" t="s">
        <v>52</v>
      </c>
      <c r="E2326" s="6" t="s">
        <v>9852</v>
      </c>
      <c r="F2326" s="6" t="s">
        <v>46</v>
      </c>
      <c r="G2326" s="6" t="s">
        <v>9853</v>
      </c>
      <c r="H2326" s="18">
        <v>164</v>
      </c>
      <c r="I2326" s="19" t="s">
        <v>219</v>
      </c>
      <c r="J2326" s="19" t="s">
        <v>9854</v>
      </c>
      <c r="K2326" s="5" t="s">
        <v>9855</v>
      </c>
      <c r="L2326" s="5" t="s">
        <v>9855</v>
      </c>
      <c r="M2326" s="5" t="s">
        <v>9855</v>
      </c>
      <c r="N2326" s="5" t="s">
        <v>9855</v>
      </c>
      <c r="O2326" s="5" t="s">
        <v>9856</v>
      </c>
      <c r="P2326" s="5" t="s">
        <v>9857</v>
      </c>
      <c r="Q2326" s="5" t="s">
        <v>9858</v>
      </c>
      <c r="R2326" s="5" t="s">
        <v>9859</v>
      </c>
      <c r="S2326" s="5" t="s">
        <v>9860</v>
      </c>
      <c r="T2326" s="5" t="s">
        <v>9861</v>
      </c>
      <c r="U2326" s="5" t="s">
        <v>9862</v>
      </c>
      <c r="V2326" s="5" t="s">
        <v>9863</v>
      </c>
      <c r="W2326" s="5" t="s">
        <v>9864</v>
      </c>
      <c r="X2326" s="5" t="s">
        <v>9865</v>
      </c>
      <c r="Y2326" s="5" t="s">
        <v>9866</v>
      </c>
      <c r="Z2326" s="5" t="s">
        <v>9867</v>
      </c>
      <c r="AA2326" s="5" t="s">
        <v>9868</v>
      </c>
      <c r="AB2326" s="5" t="s">
        <v>9869</v>
      </c>
      <c r="AC2326" s="5" t="s">
        <v>9870</v>
      </c>
      <c r="AD2326" s="5" t="s">
        <v>9871</v>
      </c>
      <c r="AE2326" s="5" t="s">
        <v>9872</v>
      </c>
      <c r="AF2326" s="5"/>
      <c r="AG2326" s="14" t="s">
        <v>55</v>
      </c>
      <c r="AH2326" s="14" t="s">
        <v>234</v>
      </c>
      <c r="AI2326" s="14" t="s">
        <v>1408</v>
      </c>
      <c r="AJ2326" s="5" t="s">
        <v>9873</v>
      </c>
      <c r="AK2326" s="5"/>
    </row>
    <row r="2327" spans="1:37">
      <c r="A2327" s="5" t="s">
        <v>9874</v>
      </c>
      <c r="B2327" s="5" t="s">
        <v>9875</v>
      </c>
      <c r="C2327" s="6" t="s">
        <v>43</v>
      </c>
      <c r="D2327" s="6" t="s">
        <v>52</v>
      </c>
      <c r="E2327" s="6" t="s">
        <v>9852</v>
      </c>
      <c r="F2327" s="6" t="s">
        <v>46</v>
      </c>
      <c r="G2327" s="6" t="s">
        <v>1944</v>
      </c>
      <c r="H2327" s="18">
        <v>104</v>
      </c>
      <c r="I2327" s="19" t="s">
        <v>219</v>
      </c>
      <c r="J2327" s="19" t="s">
        <v>9854</v>
      </c>
      <c r="K2327" s="5" t="s">
        <v>9876</v>
      </c>
      <c r="L2327" s="5" t="s">
        <v>9876</v>
      </c>
      <c r="M2327" s="5" t="s">
        <v>9876</v>
      </c>
      <c r="N2327" s="5" t="s">
        <v>9876</v>
      </c>
      <c r="O2327" s="5" t="s">
        <v>9856</v>
      </c>
      <c r="P2327" s="5" t="s">
        <v>9857</v>
      </c>
      <c r="Q2327" s="5" t="s">
        <v>9858</v>
      </c>
      <c r="R2327" s="5" t="s">
        <v>9859</v>
      </c>
      <c r="S2327" s="5" t="s">
        <v>9860</v>
      </c>
      <c r="T2327" s="5" t="s">
        <v>9877</v>
      </c>
      <c r="U2327" s="5" t="s">
        <v>9862</v>
      </c>
      <c r="V2327" s="5" t="s">
        <v>9863</v>
      </c>
      <c r="W2327" s="5" t="s">
        <v>9864</v>
      </c>
      <c r="X2327" s="5" t="s">
        <v>9865</v>
      </c>
      <c r="Y2327" s="5" t="s">
        <v>9866</v>
      </c>
      <c r="Z2327" s="5" t="s">
        <v>9867</v>
      </c>
      <c r="AA2327" s="5" t="s">
        <v>9868</v>
      </c>
      <c r="AB2327" s="5" t="s">
        <v>9878</v>
      </c>
      <c r="AC2327" s="5" t="s">
        <v>9870</v>
      </c>
      <c r="AD2327" s="5" t="s">
        <v>9871</v>
      </c>
      <c r="AE2327" s="5" t="s">
        <v>9879</v>
      </c>
      <c r="AG2327" s="14" t="s">
        <v>55</v>
      </c>
      <c r="AH2327" s="14" t="s">
        <v>234</v>
      </c>
      <c r="AI2327" s="14" t="s">
        <v>1408</v>
      </c>
      <c r="AJ2327" s="5" t="s">
        <v>9873</v>
      </c>
    </row>
    <row r="2328" spans="1:37">
      <c r="A2328" s="6" t="s">
        <v>9880</v>
      </c>
      <c r="B2328" s="6" t="s">
        <v>9881</v>
      </c>
      <c r="C2328" s="6" t="s">
        <v>43</v>
      </c>
      <c r="D2328" s="6" t="s">
        <v>850</v>
      </c>
      <c r="E2328" s="6" t="s">
        <v>9882</v>
      </c>
      <c r="F2328" s="6" t="s">
        <v>46</v>
      </c>
      <c r="G2328" s="6" t="s">
        <v>9883</v>
      </c>
      <c r="I2328" s="5" t="s">
        <v>48</v>
      </c>
      <c r="J2328" s="5" t="s">
        <v>48</v>
      </c>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15" t="s">
        <v>55</v>
      </c>
      <c r="AH2328" s="15"/>
      <c r="AI2328" s="15"/>
      <c r="AJ2328" s="6"/>
      <c r="AK2328" s="6"/>
    </row>
    <row r="2329" spans="1:37" s="6" customFormat="1">
      <c r="A2329" s="6" t="s">
        <v>9884</v>
      </c>
      <c r="B2329" s="6" t="s">
        <v>9885</v>
      </c>
      <c r="C2329" s="6" t="s">
        <v>43</v>
      </c>
      <c r="D2329" s="6" t="s">
        <v>850</v>
      </c>
      <c r="E2329" s="6" t="s">
        <v>9882</v>
      </c>
      <c r="F2329" s="6" t="s">
        <v>46</v>
      </c>
      <c r="G2329" s="6" t="s">
        <v>9886</v>
      </c>
      <c r="H2329" s="7"/>
      <c r="I2329" s="5" t="s">
        <v>48</v>
      </c>
      <c r="J2329" s="5" t="s">
        <v>48</v>
      </c>
      <c r="AG2329" s="15" t="s">
        <v>55</v>
      </c>
      <c r="AH2329" s="15"/>
      <c r="AI2329" s="15"/>
    </row>
    <row r="2330" spans="1:37" s="6" customFormat="1">
      <c r="A2330" s="6" t="s">
        <v>9887</v>
      </c>
      <c r="B2330" s="6" t="s">
        <v>9888</v>
      </c>
      <c r="C2330" s="6" t="s">
        <v>43</v>
      </c>
      <c r="D2330" s="6" t="s">
        <v>850</v>
      </c>
      <c r="E2330" s="6" t="s">
        <v>9882</v>
      </c>
      <c r="F2330" s="6" t="s">
        <v>46</v>
      </c>
      <c r="G2330" s="6" t="s">
        <v>9889</v>
      </c>
      <c r="H2330" s="7"/>
      <c r="I2330" s="5" t="s">
        <v>48</v>
      </c>
      <c r="J2330" s="5" t="s">
        <v>48</v>
      </c>
      <c r="AG2330" s="15" t="s">
        <v>55</v>
      </c>
      <c r="AH2330" s="15"/>
      <c r="AI2330" s="15"/>
    </row>
    <row r="2331" spans="1:37" s="6" customFormat="1">
      <c r="A2331" s="6" t="s">
        <v>9890</v>
      </c>
      <c r="B2331" s="6" t="s">
        <v>9891</v>
      </c>
      <c r="C2331" s="6" t="s">
        <v>43</v>
      </c>
      <c r="D2331" s="6" t="s">
        <v>850</v>
      </c>
      <c r="E2331" s="6" t="s">
        <v>9882</v>
      </c>
      <c r="F2331" s="6" t="s">
        <v>46</v>
      </c>
      <c r="G2331" s="6" t="s">
        <v>9892</v>
      </c>
      <c r="H2331" s="7"/>
      <c r="I2331" s="5" t="s">
        <v>48</v>
      </c>
      <c r="J2331" s="5" t="s">
        <v>48</v>
      </c>
      <c r="AG2331" s="15" t="s">
        <v>55</v>
      </c>
      <c r="AH2331" s="15"/>
      <c r="AI2331" s="15"/>
    </row>
    <row r="2332" spans="1:37" s="6" customFormat="1">
      <c r="A2332" s="6" t="s">
        <v>9893</v>
      </c>
      <c r="B2332" s="6" t="s">
        <v>9894</v>
      </c>
      <c r="C2332" s="6" t="s">
        <v>43</v>
      </c>
      <c r="D2332" s="6" t="s">
        <v>850</v>
      </c>
      <c r="E2332" s="6" t="s">
        <v>9882</v>
      </c>
      <c r="F2332" s="6" t="s">
        <v>46</v>
      </c>
      <c r="G2332" s="6" t="s">
        <v>9895</v>
      </c>
      <c r="H2332" s="7"/>
      <c r="I2332" s="5" t="s">
        <v>48</v>
      </c>
      <c r="J2332" s="5" t="s">
        <v>48</v>
      </c>
      <c r="AG2332" s="15" t="s">
        <v>55</v>
      </c>
      <c r="AH2332" s="15"/>
      <c r="AI2332" s="15"/>
    </row>
    <row r="2333" spans="1:37" s="6" customFormat="1">
      <c r="A2333" s="6" t="s">
        <v>9896</v>
      </c>
      <c r="B2333" s="6" t="s">
        <v>9897</v>
      </c>
      <c r="C2333" s="6" t="s">
        <v>43</v>
      </c>
      <c r="D2333" s="6" t="s">
        <v>850</v>
      </c>
      <c r="E2333" s="6" t="s">
        <v>9882</v>
      </c>
      <c r="F2333" s="6" t="s">
        <v>46</v>
      </c>
      <c r="G2333" s="6" t="s">
        <v>9898</v>
      </c>
      <c r="H2333" s="7"/>
      <c r="I2333" s="5" t="s">
        <v>48</v>
      </c>
      <c r="J2333" s="5" t="s">
        <v>48</v>
      </c>
      <c r="AG2333" s="15" t="s">
        <v>55</v>
      </c>
      <c r="AH2333" s="15"/>
      <c r="AI2333" s="15"/>
    </row>
    <row r="2334" spans="1:37" s="6" customFormat="1">
      <c r="A2334" s="6" t="s">
        <v>9899</v>
      </c>
      <c r="B2334" s="6" t="s">
        <v>9900</v>
      </c>
      <c r="C2334" s="6" t="s">
        <v>43</v>
      </c>
      <c r="D2334" s="6" t="s">
        <v>850</v>
      </c>
      <c r="E2334" s="6" t="s">
        <v>9882</v>
      </c>
      <c r="F2334" s="6" t="s">
        <v>46</v>
      </c>
      <c r="G2334" s="6" t="s">
        <v>9901</v>
      </c>
      <c r="H2334" s="7"/>
      <c r="I2334" s="5" t="s">
        <v>48</v>
      </c>
      <c r="J2334" s="5" t="s">
        <v>48</v>
      </c>
      <c r="AG2334" s="15" t="s">
        <v>55</v>
      </c>
      <c r="AH2334" s="15"/>
      <c r="AI2334" s="15"/>
    </row>
    <row r="2335" spans="1:37" s="6" customFormat="1">
      <c r="A2335" s="6" t="s">
        <v>9902</v>
      </c>
      <c r="B2335" s="6" t="s">
        <v>9903</v>
      </c>
      <c r="C2335" s="6" t="s">
        <v>43</v>
      </c>
      <c r="D2335" s="6" t="s">
        <v>850</v>
      </c>
      <c r="E2335" s="6" t="s">
        <v>9882</v>
      </c>
      <c r="F2335" s="6" t="s">
        <v>46</v>
      </c>
      <c r="G2335" s="6" t="s">
        <v>9904</v>
      </c>
      <c r="H2335" s="7"/>
      <c r="I2335" s="5" t="s">
        <v>48</v>
      </c>
      <c r="J2335" s="5" t="s">
        <v>48</v>
      </c>
      <c r="AG2335" s="15" t="s">
        <v>55</v>
      </c>
      <c r="AH2335" s="15"/>
      <c r="AI2335" s="15"/>
    </row>
    <row r="2336" spans="1:37" s="6" customFormat="1">
      <c r="A2336" s="6" t="s">
        <v>9905</v>
      </c>
      <c r="B2336" s="6" t="s">
        <v>9906</v>
      </c>
      <c r="C2336" s="6" t="s">
        <v>43</v>
      </c>
      <c r="D2336" s="6" t="s">
        <v>850</v>
      </c>
      <c r="E2336" s="6" t="s">
        <v>9882</v>
      </c>
      <c r="F2336" s="6" t="s">
        <v>46</v>
      </c>
      <c r="G2336" s="6" t="s">
        <v>9907</v>
      </c>
      <c r="H2336" s="7"/>
      <c r="I2336" s="5" t="s">
        <v>48</v>
      </c>
      <c r="J2336" s="5" t="s">
        <v>48</v>
      </c>
      <c r="AG2336" s="15" t="s">
        <v>55</v>
      </c>
      <c r="AH2336" s="15"/>
      <c r="AI2336" s="15"/>
    </row>
    <row r="2337" spans="1:37" s="6" customFormat="1">
      <c r="A2337" s="6" t="s">
        <v>9908</v>
      </c>
      <c r="B2337" s="6" t="s">
        <v>9908</v>
      </c>
      <c r="C2337" s="6" t="s">
        <v>9909</v>
      </c>
      <c r="D2337" s="6" t="s">
        <v>9910</v>
      </c>
      <c r="E2337" s="6" t="s">
        <v>53</v>
      </c>
      <c r="F2337" s="6" t="s">
        <v>46</v>
      </c>
      <c r="G2337" s="6" t="s">
        <v>43</v>
      </c>
      <c r="H2337" s="7"/>
      <c r="I2337" s="6" t="s">
        <v>48</v>
      </c>
      <c r="J2337" s="6" t="s">
        <v>48</v>
      </c>
      <c r="AG2337" s="15" t="s">
        <v>55</v>
      </c>
      <c r="AH2337" s="15"/>
      <c r="AI2337" s="15"/>
    </row>
    <row r="2338" spans="1:37" s="6" customFormat="1">
      <c r="A2338" s="6" t="s">
        <v>9911</v>
      </c>
      <c r="B2338" s="6" t="s">
        <v>9912</v>
      </c>
      <c r="C2338" s="6" t="s">
        <v>43</v>
      </c>
      <c r="D2338" s="6" t="s">
        <v>850</v>
      </c>
      <c r="E2338" s="6" t="s">
        <v>218</v>
      </c>
      <c r="F2338" s="6" t="s">
        <v>46</v>
      </c>
      <c r="G2338" s="6" t="s">
        <v>9913</v>
      </c>
      <c r="H2338" s="7"/>
      <c r="I2338" s="6" t="s">
        <v>48</v>
      </c>
      <c r="J2338" s="6" t="s">
        <v>48</v>
      </c>
      <c r="AG2338" s="15" t="s">
        <v>49</v>
      </c>
      <c r="AH2338" s="15"/>
      <c r="AI2338" s="15"/>
    </row>
    <row r="2339" spans="1:37" s="6" customFormat="1">
      <c r="A2339" s="6" t="s">
        <v>9914</v>
      </c>
      <c r="B2339" s="6" t="s">
        <v>9915</v>
      </c>
      <c r="C2339" s="6" t="s">
        <v>43</v>
      </c>
      <c r="D2339" s="6" t="s">
        <v>850</v>
      </c>
      <c r="E2339" s="6" t="s">
        <v>218</v>
      </c>
      <c r="F2339" s="6" t="s">
        <v>46</v>
      </c>
      <c r="G2339" s="6" t="s">
        <v>9916</v>
      </c>
      <c r="H2339" s="7"/>
      <c r="I2339" s="6" t="s">
        <v>48</v>
      </c>
      <c r="J2339" s="6" t="s">
        <v>48</v>
      </c>
      <c r="AG2339" s="15" t="s">
        <v>49</v>
      </c>
      <c r="AH2339" s="15"/>
      <c r="AI2339" s="15"/>
    </row>
    <row r="2340" spans="1:37" s="6" customFormat="1">
      <c r="A2340" s="6" t="s">
        <v>9917</v>
      </c>
      <c r="B2340" s="6" t="s">
        <v>9918</v>
      </c>
      <c r="C2340" s="6" t="s">
        <v>9919</v>
      </c>
      <c r="D2340" s="6" t="s">
        <v>1545</v>
      </c>
      <c r="E2340" s="6" t="s">
        <v>9920</v>
      </c>
      <c r="F2340" s="6" t="s">
        <v>46</v>
      </c>
      <c r="G2340" s="6" t="s">
        <v>5008</v>
      </c>
      <c r="H2340" s="7"/>
      <c r="I2340" s="6" t="s">
        <v>48</v>
      </c>
      <c r="J2340" s="6" t="s">
        <v>48</v>
      </c>
      <c r="AG2340" s="15" t="s">
        <v>55</v>
      </c>
      <c r="AH2340" s="15"/>
      <c r="AI2340" s="15"/>
    </row>
    <row r="2341" spans="1:37" s="6" customFormat="1">
      <c r="A2341" s="6" t="s">
        <v>9921</v>
      </c>
      <c r="B2341" s="6" t="s">
        <v>9922</v>
      </c>
      <c r="C2341" s="6" t="s">
        <v>2853</v>
      </c>
      <c r="D2341" s="6" t="s">
        <v>1545</v>
      </c>
      <c r="E2341" s="6" t="s">
        <v>9920</v>
      </c>
      <c r="F2341" s="6" t="s">
        <v>46</v>
      </c>
      <c r="G2341" s="6" t="s">
        <v>1969</v>
      </c>
      <c r="H2341" s="7"/>
      <c r="I2341" s="6" t="s">
        <v>48</v>
      </c>
      <c r="J2341" s="6" t="s">
        <v>48</v>
      </c>
      <c r="AG2341" s="15" t="s">
        <v>55</v>
      </c>
      <c r="AH2341" s="15"/>
      <c r="AI2341" s="15"/>
    </row>
    <row r="2342" spans="1:37" s="6" customFormat="1">
      <c r="A2342" s="6" t="s">
        <v>9923</v>
      </c>
      <c r="B2342" s="6" t="s">
        <v>9924</v>
      </c>
      <c r="C2342" s="6" t="s">
        <v>9925</v>
      </c>
      <c r="D2342" s="6" t="s">
        <v>1545</v>
      </c>
      <c r="E2342" s="6" t="s">
        <v>9926</v>
      </c>
      <c r="F2342" s="6" t="s">
        <v>46</v>
      </c>
      <c r="G2342" s="6" t="s">
        <v>9927</v>
      </c>
      <c r="H2342" s="7"/>
      <c r="I2342" s="6" t="s">
        <v>48</v>
      </c>
      <c r="J2342" s="6" t="s">
        <v>48</v>
      </c>
      <c r="AG2342" s="15" t="s">
        <v>55</v>
      </c>
      <c r="AH2342" s="15"/>
      <c r="AI2342" s="15"/>
    </row>
    <row r="2343" spans="1:37" s="6" customFormat="1">
      <c r="A2343" s="6" t="s">
        <v>9928</v>
      </c>
      <c r="B2343" s="6" t="s">
        <v>9924</v>
      </c>
      <c r="C2343" s="6" t="s">
        <v>9925</v>
      </c>
      <c r="D2343" s="6" t="s">
        <v>1545</v>
      </c>
      <c r="E2343" s="6" t="s">
        <v>9920</v>
      </c>
      <c r="F2343" s="6" t="s">
        <v>46</v>
      </c>
      <c r="G2343" s="6" t="s">
        <v>9929</v>
      </c>
      <c r="H2343" s="7"/>
      <c r="I2343" s="6" t="s">
        <v>48</v>
      </c>
      <c r="J2343" s="6" t="s">
        <v>48</v>
      </c>
      <c r="AG2343" s="15" t="s">
        <v>55</v>
      </c>
      <c r="AH2343" s="15"/>
      <c r="AI2343" s="15"/>
    </row>
    <row r="2344" spans="1:37" s="6" customFormat="1">
      <c r="A2344" s="6" t="s">
        <v>9930</v>
      </c>
      <c r="B2344" s="6" t="s">
        <v>9931</v>
      </c>
      <c r="C2344" s="6" t="s">
        <v>9932</v>
      </c>
      <c r="D2344" s="6" t="s">
        <v>1545</v>
      </c>
      <c r="E2344" s="6" t="s">
        <v>9926</v>
      </c>
      <c r="F2344" s="6" t="s">
        <v>46</v>
      </c>
      <c r="G2344" s="6" t="s">
        <v>8476</v>
      </c>
      <c r="H2344" s="7"/>
      <c r="I2344" s="6" t="s">
        <v>48</v>
      </c>
      <c r="J2344" s="6" t="s">
        <v>48</v>
      </c>
      <c r="AG2344" s="15" t="s">
        <v>55</v>
      </c>
      <c r="AH2344" s="15"/>
      <c r="AI2344" s="15"/>
    </row>
    <row r="2345" spans="1:37" s="6" customFormat="1">
      <c r="A2345" s="6" t="s">
        <v>9933</v>
      </c>
      <c r="B2345" s="6" t="s">
        <v>9931</v>
      </c>
      <c r="C2345" s="6" t="s">
        <v>9932</v>
      </c>
      <c r="D2345" s="6" t="s">
        <v>1545</v>
      </c>
      <c r="E2345" s="6" t="s">
        <v>9920</v>
      </c>
      <c r="F2345" s="6" t="s">
        <v>46</v>
      </c>
      <c r="G2345" s="6" t="s">
        <v>1463</v>
      </c>
      <c r="H2345" s="7"/>
      <c r="I2345" s="6" t="s">
        <v>48</v>
      </c>
      <c r="J2345" s="6" t="s">
        <v>48</v>
      </c>
      <c r="AG2345" s="15" t="s">
        <v>55</v>
      </c>
      <c r="AH2345" s="15"/>
      <c r="AI2345" s="15"/>
    </row>
    <row r="2346" spans="1:37" s="6" customFormat="1">
      <c r="A2346" s="6" t="s">
        <v>9934</v>
      </c>
      <c r="B2346" s="6" t="s">
        <v>9935</v>
      </c>
      <c r="C2346" s="6" t="s">
        <v>9936</v>
      </c>
      <c r="D2346" s="6" t="s">
        <v>1545</v>
      </c>
      <c r="E2346" s="6" t="s">
        <v>9920</v>
      </c>
      <c r="F2346" s="6" t="s">
        <v>46</v>
      </c>
      <c r="G2346" s="6" t="s">
        <v>9937</v>
      </c>
      <c r="H2346" s="7"/>
      <c r="I2346" s="6" t="s">
        <v>48</v>
      </c>
      <c r="J2346" s="6" t="s">
        <v>48</v>
      </c>
      <c r="AG2346" s="15" t="s">
        <v>55</v>
      </c>
      <c r="AH2346" s="15"/>
      <c r="AI2346" s="15"/>
    </row>
    <row r="2347" spans="1:37" s="6" customFormat="1">
      <c r="A2347" s="6" t="s">
        <v>9938</v>
      </c>
      <c r="B2347" s="6" t="s">
        <v>9939</v>
      </c>
      <c r="C2347" s="6" t="s">
        <v>2853</v>
      </c>
      <c r="D2347" s="6" t="s">
        <v>1545</v>
      </c>
      <c r="E2347" s="6" t="s">
        <v>9920</v>
      </c>
      <c r="F2347" s="6" t="s">
        <v>46</v>
      </c>
      <c r="G2347" s="6" t="s">
        <v>2022</v>
      </c>
      <c r="H2347" s="7"/>
      <c r="I2347" s="6" t="s">
        <v>48</v>
      </c>
      <c r="J2347" s="6" t="s">
        <v>48</v>
      </c>
      <c r="AG2347" s="15" t="s">
        <v>55</v>
      </c>
      <c r="AH2347" s="15"/>
      <c r="AI2347" s="15"/>
    </row>
    <row r="2348" spans="1:37" s="6" customFormat="1">
      <c r="A2348" s="5" t="s">
        <v>9940</v>
      </c>
      <c r="B2348" s="5" t="s">
        <v>9941</v>
      </c>
      <c r="C2348" s="6" t="s">
        <v>43</v>
      </c>
      <c r="D2348" s="6" t="s">
        <v>850</v>
      </c>
      <c r="E2348" s="6" t="s">
        <v>218</v>
      </c>
      <c r="F2348" s="6" t="s">
        <v>46</v>
      </c>
      <c r="G2348" s="6" t="s">
        <v>9942</v>
      </c>
      <c r="H2348" s="18">
        <v>78</v>
      </c>
      <c r="I2348" s="19" t="s">
        <v>1882</v>
      </c>
      <c r="J2348" s="19" t="s">
        <v>9943</v>
      </c>
      <c r="K2348" s="5" t="s">
        <v>9944</v>
      </c>
      <c r="L2348" s="5" t="s">
        <v>9945</v>
      </c>
      <c r="M2348" s="5" t="s">
        <v>9946</v>
      </c>
      <c r="N2348" s="5" t="s">
        <v>9947</v>
      </c>
      <c r="O2348" s="5" t="s">
        <v>9948</v>
      </c>
      <c r="P2348" s="5" t="s">
        <v>9949</v>
      </c>
      <c r="Q2348" s="5" t="s">
        <v>9950</v>
      </c>
      <c r="R2348" s="5" t="s">
        <v>9951</v>
      </c>
      <c r="S2348" s="5" t="s">
        <v>9952</v>
      </c>
      <c r="T2348" s="5" t="s">
        <v>9953</v>
      </c>
      <c r="U2348" s="5" t="s">
        <v>9954</v>
      </c>
      <c r="V2348" s="5" t="s">
        <v>9955</v>
      </c>
      <c r="W2348" s="5" t="s">
        <v>9956</v>
      </c>
      <c r="X2348" s="5" t="s">
        <v>9957</v>
      </c>
      <c r="Y2348" s="5" t="s">
        <v>9958</v>
      </c>
      <c r="Z2348" s="5" t="s">
        <v>9959</v>
      </c>
      <c r="AA2348" s="5" t="s">
        <v>9960</v>
      </c>
      <c r="AB2348" s="5" t="s">
        <v>9961</v>
      </c>
      <c r="AC2348" s="5" t="s">
        <v>9962</v>
      </c>
      <c r="AD2348" s="5" t="s">
        <v>9963</v>
      </c>
      <c r="AE2348" s="5" t="s">
        <v>9964</v>
      </c>
      <c r="AF2348" s="5"/>
      <c r="AG2348" s="14" t="s">
        <v>49</v>
      </c>
      <c r="AH2348" s="14" t="s">
        <v>55</v>
      </c>
      <c r="AI2348" s="14" t="s">
        <v>9965</v>
      </c>
      <c r="AJ2348" s="5" t="s">
        <v>9966</v>
      </c>
      <c r="AK2348" s="5"/>
    </row>
    <row r="2349" spans="1:37">
      <c r="A2349" s="5" t="s">
        <v>9967</v>
      </c>
      <c r="B2349" s="5" t="s">
        <v>9968</v>
      </c>
      <c r="C2349" s="6" t="s">
        <v>43</v>
      </c>
      <c r="D2349" s="6" t="s">
        <v>850</v>
      </c>
      <c r="E2349" s="6" t="s">
        <v>218</v>
      </c>
      <c r="F2349" s="6" t="s">
        <v>46</v>
      </c>
      <c r="G2349" s="6" t="s">
        <v>9969</v>
      </c>
      <c r="H2349" s="18">
        <v>89</v>
      </c>
      <c r="I2349" s="19" t="s">
        <v>1882</v>
      </c>
      <c r="J2349" s="19" t="s">
        <v>9943</v>
      </c>
      <c r="K2349" s="5" t="s">
        <v>9970</v>
      </c>
      <c r="L2349" s="5" t="s">
        <v>9971</v>
      </c>
      <c r="M2349" s="5" t="s">
        <v>9972</v>
      </c>
      <c r="N2349" s="5" t="s">
        <v>9973</v>
      </c>
      <c r="O2349" s="5" t="s">
        <v>9974</v>
      </c>
      <c r="P2349" s="5" t="s">
        <v>9975</v>
      </c>
      <c r="Q2349" s="5" t="s">
        <v>9976</v>
      </c>
      <c r="R2349" s="5" t="s">
        <v>9977</v>
      </c>
      <c r="S2349" s="5" t="s">
        <v>9952</v>
      </c>
      <c r="T2349" s="5" t="s">
        <v>9978</v>
      </c>
      <c r="U2349" s="5" t="s">
        <v>9954</v>
      </c>
      <c r="V2349" s="5" t="s">
        <v>9955</v>
      </c>
      <c r="W2349" s="5" t="s">
        <v>9956</v>
      </c>
      <c r="X2349" s="5" t="s">
        <v>9957</v>
      </c>
      <c r="Y2349" s="5" t="s">
        <v>9958</v>
      </c>
      <c r="Z2349" s="5" t="s">
        <v>9959</v>
      </c>
      <c r="AA2349" s="5" t="s">
        <v>9960</v>
      </c>
      <c r="AB2349" s="5" t="s">
        <v>9961</v>
      </c>
      <c r="AC2349" s="5" t="s">
        <v>9962</v>
      </c>
      <c r="AD2349" s="5" t="s">
        <v>9963</v>
      </c>
      <c r="AE2349" s="5" t="s">
        <v>9979</v>
      </c>
      <c r="AG2349" s="14" t="s">
        <v>49</v>
      </c>
      <c r="AH2349" s="14" t="s">
        <v>55</v>
      </c>
      <c r="AI2349" s="14" t="s">
        <v>9965</v>
      </c>
      <c r="AJ2349" s="5" t="s">
        <v>9966</v>
      </c>
    </row>
    <row r="2350" spans="1:37">
      <c r="A2350" s="5" t="s">
        <v>9980</v>
      </c>
      <c r="B2350" s="5" t="s">
        <v>9981</v>
      </c>
      <c r="C2350" s="6" t="s">
        <v>43</v>
      </c>
      <c r="D2350" s="6" t="s">
        <v>850</v>
      </c>
      <c r="E2350" s="6" t="s">
        <v>218</v>
      </c>
      <c r="F2350" s="6" t="s">
        <v>46</v>
      </c>
      <c r="G2350" s="6" t="s">
        <v>9982</v>
      </c>
      <c r="H2350" s="18">
        <v>106</v>
      </c>
      <c r="I2350" s="19" t="s">
        <v>1882</v>
      </c>
      <c r="J2350" s="19" t="s">
        <v>9943</v>
      </c>
      <c r="K2350" s="5" t="s">
        <v>9983</v>
      </c>
      <c r="L2350" s="5" t="s">
        <v>9984</v>
      </c>
      <c r="M2350" s="5" t="s">
        <v>9985</v>
      </c>
      <c r="N2350" s="5" t="s">
        <v>9986</v>
      </c>
      <c r="O2350" s="5" t="s">
        <v>9987</v>
      </c>
      <c r="P2350" s="5" t="s">
        <v>9988</v>
      </c>
      <c r="Q2350" s="5" t="s">
        <v>9989</v>
      </c>
      <c r="R2350" s="5" t="s">
        <v>9990</v>
      </c>
      <c r="S2350" s="5" t="s">
        <v>9952</v>
      </c>
      <c r="T2350" s="5" t="s">
        <v>9978</v>
      </c>
      <c r="U2350" s="5" t="s">
        <v>9954</v>
      </c>
      <c r="V2350" s="5" t="s">
        <v>9955</v>
      </c>
      <c r="W2350" s="5" t="s">
        <v>9956</v>
      </c>
      <c r="X2350" s="5" t="s">
        <v>9957</v>
      </c>
      <c r="Y2350" s="5" t="s">
        <v>9958</v>
      </c>
      <c r="Z2350" s="5" t="s">
        <v>9959</v>
      </c>
      <c r="AA2350" s="5" t="s">
        <v>9960</v>
      </c>
      <c r="AB2350" s="5" t="s">
        <v>9961</v>
      </c>
      <c r="AC2350" s="5" t="s">
        <v>9962</v>
      </c>
      <c r="AD2350" s="5" t="s">
        <v>9963</v>
      </c>
      <c r="AE2350" s="5" t="s">
        <v>9991</v>
      </c>
      <c r="AG2350" s="14" t="s">
        <v>49</v>
      </c>
      <c r="AH2350" s="14" t="s">
        <v>55</v>
      </c>
      <c r="AI2350" s="14" t="s">
        <v>9965</v>
      </c>
      <c r="AJ2350" s="5" t="s">
        <v>9966</v>
      </c>
    </row>
    <row r="2351" spans="1:37">
      <c r="A2351" s="5" t="s">
        <v>9992</v>
      </c>
      <c r="B2351" s="5" t="s">
        <v>9993</v>
      </c>
      <c r="C2351" s="6" t="s">
        <v>43</v>
      </c>
      <c r="D2351" s="6" t="s">
        <v>850</v>
      </c>
      <c r="E2351" s="6" t="s">
        <v>9994</v>
      </c>
      <c r="F2351" s="6" t="s">
        <v>46</v>
      </c>
      <c r="G2351" s="6" t="s">
        <v>9995</v>
      </c>
      <c r="H2351" s="18">
        <v>21.85</v>
      </c>
      <c r="I2351" s="19" t="s">
        <v>1882</v>
      </c>
      <c r="J2351" s="19" t="s">
        <v>9996</v>
      </c>
      <c r="K2351" s="5" t="s">
        <v>9997</v>
      </c>
      <c r="L2351" s="5" t="s">
        <v>9998</v>
      </c>
      <c r="M2351" s="5" t="s">
        <v>9999</v>
      </c>
      <c r="N2351" s="5" t="s">
        <v>10000</v>
      </c>
      <c r="O2351" s="5" t="s">
        <v>10001</v>
      </c>
      <c r="P2351" s="5" t="s">
        <v>10002</v>
      </c>
      <c r="Q2351" s="5" t="s">
        <v>10003</v>
      </c>
      <c r="R2351" s="5" t="s">
        <v>10004</v>
      </c>
      <c r="S2351" s="5" t="s">
        <v>10005</v>
      </c>
      <c r="T2351" s="5" t="s">
        <v>10006</v>
      </c>
      <c r="U2351" s="5" t="s">
        <v>10007</v>
      </c>
      <c r="V2351" s="5" t="s">
        <v>10008</v>
      </c>
      <c r="AA2351" s="5" t="s">
        <v>10009</v>
      </c>
      <c r="AB2351" s="5" t="s">
        <v>10010</v>
      </c>
      <c r="AC2351" s="5" t="s">
        <v>10011</v>
      </c>
      <c r="AD2351" s="5" t="s">
        <v>10012</v>
      </c>
      <c r="AG2351" s="14" t="s">
        <v>55</v>
      </c>
      <c r="AH2351" s="14" t="s">
        <v>234</v>
      </c>
      <c r="AI2351" s="14" t="s">
        <v>9965</v>
      </c>
      <c r="AJ2351" s="5" t="s">
        <v>10013</v>
      </c>
    </row>
    <row r="2352" spans="1:37">
      <c r="A2352" s="5" t="s">
        <v>10014</v>
      </c>
      <c r="B2352" s="5" t="s">
        <v>10015</v>
      </c>
      <c r="C2352" s="6" t="s">
        <v>43</v>
      </c>
      <c r="D2352" s="6" t="s">
        <v>850</v>
      </c>
      <c r="E2352" s="6" t="s">
        <v>9994</v>
      </c>
      <c r="F2352" s="6" t="s">
        <v>46</v>
      </c>
      <c r="G2352" s="6" t="s">
        <v>8352</v>
      </c>
      <c r="H2352" s="18">
        <v>25.15</v>
      </c>
      <c r="I2352" s="19" t="s">
        <v>1882</v>
      </c>
      <c r="J2352" s="19" t="s">
        <v>9996</v>
      </c>
      <c r="K2352" s="5" t="s">
        <v>10016</v>
      </c>
      <c r="L2352" s="5" t="s">
        <v>10017</v>
      </c>
      <c r="M2352" s="5" t="s">
        <v>10018</v>
      </c>
      <c r="N2352" s="5" t="s">
        <v>10019</v>
      </c>
      <c r="O2352" s="5" t="s">
        <v>10020</v>
      </c>
      <c r="P2352" s="5" t="s">
        <v>10021</v>
      </c>
      <c r="Q2352" s="5" t="s">
        <v>10022</v>
      </c>
      <c r="R2352" s="5" t="s">
        <v>10023</v>
      </c>
      <c r="S2352" s="5" t="s">
        <v>10005</v>
      </c>
      <c r="T2352" s="5" t="s">
        <v>10006</v>
      </c>
      <c r="U2352" s="5" t="s">
        <v>10007</v>
      </c>
      <c r="V2352" s="5" t="s">
        <v>10008</v>
      </c>
      <c r="AA2352" s="5" t="s">
        <v>10009</v>
      </c>
      <c r="AB2352" s="5" t="s">
        <v>10010</v>
      </c>
      <c r="AC2352" s="5" t="s">
        <v>10011</v>
      </c>
      <c r="AD2352" s="5" t="s">
        <v>10012</v>
      </c>
      <c r="AG2352" s="14" t="s">
        <v>55</v>
      </c>
      <c r="AH2352" s="14" t="s">
        <v>234</v>
      </c>
      <c r="AI2352" s="14" t="s">
        <v>9965</v>
      </c>
      <c r="AJ2352" s="5" t="s">
        <v>10013</v>
      </c>
    </row>
    <row r="2353" spans="1:37">
      <c r="A2353" s="5" t="s">
        <v>10024</v>
      </c>
      <c r="B2353" s="5" t="s">
        <v>10015</v>
      </c>
      <c r="C2353" s="6" t="s">
        <v>43</v>
      </c>
      <c r="D2353" s="6" t="s">
        <v>850</v>
      </c>
      <c r="E2353" s="6" t="s">
        <v>2070</v>
      </c>
      <c r="F2353" s="6" t="s">
        <v>46</v>
      </c>
      <c r="G2353" s="6" t="s">
        <v>7692</v>
      </c>
      <c r="H2353" s="18">
        <v>25.15</v>
      </c>
      <c r="I2353" s="19" t="s">
        <v>1882</v>
      </c>
      <c r="J2353" s="19" t="s">
        <v>9996</v>
      </c>
      <c r="K2353" s="5" t="s">
        <v>10016</v>
      </c>
      <c r="L2353" s="5" t="s">
        <v>10017</v>
      </c>
      <c r="M2353" s="5" t="s">
        <v>10018</v>
      </c>
      <c r="N2353" s="5" t="s">
        <v>10019</v>
      </c>
      <c r="O2353" s="5" t="s">
        <v>10020</v>
      </c>
      <c r="P2353" s="5" t="s">
        <v>10021</v>
      </c>
      <c r="Q2353" s="5" t="s">
        <v>10022</v>
      </c>
      <c r="R2353" s="5" t="s">
        <v>10023</v>
      </c>
      <c r="S2353" s="5" t="s">
        <v>10005</v>
      </c>
      <c r="T2353" s="5" t="s">
        <v>10006</v>
      </c>
      <c r="U2353" s="5" t="s">
        <v>10007</v>
      </c>
      <c r="V2353" s="5" t="s">
        <v>10008</v>
      </c>
      <c r="AA2353" s="5" t="s">
        <v>10009</v>
      </c>
      <c r="AB2353" s="5" t="s">
        <v>10010</v>
      </c>
      <c r="AC2353" s="5" t="s">
        <v>10011</v>
      </c>
      <c r="AD2353" s="5" t="s">
        <v>10012</v>
      </c>
      <c r="AG2353" s="14" t="s">
        <v>55</v>
      </c>
      <c r="AH2353" s="14" t="s">
        <v>234</v>
      </c>
      <c r="AI2353" s="14" t="s">
        <v>9965</v>
      </c>
      <c r="AJ2353" s="5" t="s">
        <v>10013</v>
      </c>
    </row>
    <row r="2354" spans="1:37">
      <c r="A2354" s="6" t="s">
        <v>10025</v>
      </c>
      <c r="B2354" s="6" t="s">
        <v>10026</v>
      </c>
      <c r="C2354" s="6" t="s">
        <v>43</v>
      </c>
      <c r="D2354" s="6" t="s">
        <v>850</v>
      </c>
      <c r="E2354" s="6" t="s">
        <v>9994</v>
      </c>
      <c r="F2354" s="6" t="s">
        <v>46</v>
      </c>
      <c r="G2354" s="6" t="s">
        <v>1500</v>
      </c>
      <c r="I2354" s="19" t="s">
        <v>48</v>
      </c>
      <c r="J2354" s="19" t="s">
        <v>48</v>
      </c>
      <c r="K2354" s="6"/>
      <c r="L2354" s="6"/>
      <c r="M2354" s="6"/>
      <c r="N2354" s="6"/>
      <c r="O2354" s="6"/>
      <c r="P2354" s="6"/>
      <c r="Q2354" s="6"/>
      <c r="R2354" s="6"/>
      <c r="S2354" s="6"/>
      <c r="T2354" s="6"/>
      <c r="U2354" s="6"/>
      <c r="V2354" s="6"/>
      <c r="W2354" s="6"/>
      <c r="X2354" s="6"/>
      <c r="Y2354" s="6"/>
      <c r="Z2354" s="6"/>
      <c r="AA2354" s="6"/>
      <c r="AB2354" s="6"/>
      <c r="AC2354" s="6"/>
      <c r="AD2354" s="6"/>
      <c r="AE2354" s="6"/>
      <c r="AF2354" s="6"/>
      <c r="AG2354" s="15" t="s">
        <v>55</v>
      </c>
      <c r="AH2354" s="15"/>
      <c r="AI2354" s="15"/>
      <c r="AJ2354" s="6"/>
      <c r="AK2354" s="6"/>
    </row>
    <row r="2355" spans="1:37" s="6" customFormat="1">
      <c r="A2355" s="5" t="s">
        <v>10027</v>
      </c>
      <c r="B2355" s="5" t="s">
        <v>10028</v>
      </c>
      <c r="C2355" s="6" t="s">
        <v>10029</v>
      </c>
      <c r="D2355" s="6" t="s">
        <v>850</v>
      </c>
      <c r="E2355" s="6" t="s">
        <v>10030</v>
      </c>
      <c r="F2355" s="6" t="s">
        <v>46</v>
      </c>
      <c r="G2355" s="6" t="s">
        <v>10031</v>
      </c>
      <c r="H2355" s="18">
        <v>11.9</v>
      </c>
      <c r="I2355" s="19" t="s">
        <v>1882</v>
      </c>
      <c r="J2355" s="19" t="s">
        <v>9996</v>
      </c>
      <c r="K2355" s="5" t="s">
        <v>10032</v>
      </c>
      <c r="L2355" s="5" t="s">
        <v>10033</v>
      </c>
      <c r="M2355" s="5" t="s">
        <v>10034</v>
      </c>
      <c r="N2355" s="5" t="s">
        <v>10035</v>
      </c>
      <c r="O2355" s="5" t="s">
        <v>10036</v>
      </c>
      <c r="P2355" s="5" t="s">
        <v>10037</v>
      </c>
      <c r="Q2355" s="5" t="s">
        <v>10038</v>
      </c>
      <c r="R2355" s="5" t="s">
        <v>10039</v>
      </c>
      <c r="S2355" s="5" t="s">
        <v>10005</v>
      </c>
      <c r="T2355" s="5" t="s">
        <v>10006</v>
      </c>
      <c r="U2355" s="5" t="s">
        <v>10007</v>
      </c>
      <c r="V2355" s="5" t="s">
        <v>10008</v>
      </c>
      <c r="W2355" s="5"/>
      <c r="X2355" s="5"/>
      <c r="Y2355" s="5"/>
      <c r="Z2355" s="5"/>
      <c r="AA2355" s="5" t="s">
        <v>10009</v>
      </c>
      <c r="AB2355" s="5" t="s">
        <v>10010</v>
      </c>
      <c r="AC2355" s="5" t="s">
        <v>10011</v>
      </c>
      <c r="AD2355" s="5" t="s">
        <v>10012</v>
      </c>
      <c r="AE2355" s="5"/>
      <c r="AF2355" s="5"/>
      <c r="AG2355" s="14" t="s">
        <v>55</v>
      </c>
      <c r="AH2355" s="14" t="s">
        <v>234</v>
      </c>
      <c r="AI2355" s="14" t="s">
        <v>9965</v>
      </c>
      <c r="AJ2355" s="5" t="s">
        <v>10013</v>
      </c>
      <c r="AK2355" s="5"/>
    </row>
    <row r="2356" spans="1:37">
      <c r="A2356" s="5" t="s">
        <v>10040</v>
      </c>
      <c r="B2356" s="5" t="s">
        <v>10028</v>
      </c>
      <c r="C2356" s="6" t="s">
        <v>10029</v>
      </c>
      <c r="D2356" s="6" t="s">
        <v>850</v>
      </c>
      <c r="E2356" s="6" t="s">
        <v>9994</v>
      </c>
      <c r="F2356" s="6" t="s">
        <v>46</v>
      </c>
      <c r="G2356" s="6" t="s">
        <v>10041</v>
      </c>
      <c r="H2356" s="18">
        <v>11.9</v>
      </c>
      <c r="I2356" s="19" t="s">
        <v>1882</v>
      </c>
      <c r="J2356" s="19" t="s">
        <v>9996</v>
      </c>
      <c r="K2356" s="5" t="s">
        <v>10032</v>
      </c>
      <c r="L2356" s="5" t="s">
        <v>10033</v>
      </c>
      <c r="M2356" s="5" t="s">
        <v>10034</v>
      </c>
      <c r="N2356" s="5" t="s">
        <v>10035</v>
      </c>
      <c r="O2356" s="5" t="s">
        <v>10036</v>
      </c>
      <c r="P2356" s="5" t="s">
        <v>10037</v>
      </c>
      <c r="Q2356" s="5" t="s">
        <v>10038</v>
      </c>
      <c r="R2356" s="5" t="s">
        <v>10039</v>
      </c>
      <c r="S2356" s="5" t="s">
        <v>10005</v>
      </c>
      <c r="T2356" s="5" t="s">
        <v>10006</v>
      </c>
      <c r="U2356" s="5" t="s">
        <v>10007</v>
      </c>
      <c r="V2356" s="5" t="s">
        <v>10008</v>
      </c>
      <c r="AA2356" s="5" t="s">
        <v>10009</v>
      </c>
      <c r="AB2356" s="5" t="s">
        <v>10010</v>
      </c>
      <c r="AC2356" s="5" t="s">
        <v>10011</v>
      </c>
      <c r="AD2356" s="5" t="s">
        <v>10012</v>
      </c>
      <c r="AG2356" s="14" t="s">
        <v>55</v>
      </c>
      <c r="AH2356" s="14" t="s">
        <v>234</v>
      </c>
      <c r="AI2356" s="14" t="s">
        <v>9965</v>
      </c>
      <c r="AJ2356" s="5" t="s">
        <v>10013</v>
      </c>
    </row>
    <row r="2357" spans="1:37">
      <c r="A2357" s="5" t="s">
        <v>10042</v>
      </c>
      <c r="B2357" s="5" t="s">
        <v>10028</v>
      </c>
      <c r="C2357" s="6" t="s">
        <v>10029</v>
      </c>
      <c r="D2357" s="6" t="s">
        <v>850</v>
      </c>
      <c r="E2357" s="6" t="s">
        <v>1587</v>
      </c>
      <c r="F2357" s="6" t="s">
        <v>46</v>
      </c>
      <c r="G2357" s="6" t="s">
        <v>10043</v>
      </c>
      <c r="H2357" s="18">
        <v>11.9</v>
      </c>
      <c r="I2357" s="19" t="s">
        <v>1882</v>
      </c>
      <c r="J2357" s="19" t="s">
        <v>9996</v>
      </c>
      <c r="K2357" s="5" t="s">
        <v>10032</v>
      </c>
      <c r="L2357" s="5" t="s">
        <v>10033</v>
      </c>
      <c r="M2357" s="5" t="s">
        <v>10034</v>
      </c>
      <c r="N2357" s="5" t="s">
        <v>10035</v>
      </c>
      <c r="O2357" s="5" t="s">
        <v>10036</v>
      </c>
      <c r="P2357" s="5" t="s">
        <v>10037</v>
      </c>
      <c r="Q2357" s="5" t="s">
        <v>10038</v>
      </c>
      <c r="R2357" s="5" t="s">
        <v>10039</v>
      </c>
      <c r="S2357" s="5" t="s">
        <v>10005</v>
      </c>
      <c r="T2357" s="5" t="s">
        <v>10006</v>
      </c>
      <c r="U2357" s="5" t="s">
        <v>10007</v>
      </c>
      <c r="V2357" s="5" t="s">
        <v>10008</v>
      </c>
      <c r="AA2357" s="5" t="s">
        <v>10009</v>
      </c>
      <c r="AB2357" s="5" t="s">
        <v>10010</v>
      </c>
      <c r="AC2357" s="5" t="s">
        <v>10011</v>
      </c>
      <c r="AD2357" s="5" t="s">
        <v>10012</v>
      </c>
      <c r="AG2357" s="14" t="s">
        <v>55</v>
      </c>
      <c r="AH2357" s="14" t="s">
        <v>234</v>
      </c>
      <c r="AI2357" s="14" t="s">
        <v>9965</v>
      </c>
      <c r="AJ2357" s="5" t="s">
        <v>10013</v>
      </c>
    </row>
    <row r="2358" spans="1:37">
      <c r="A2358" s="5" t="s">
        <v>10044</v>
      </c>
      <c r="B2358" s="5" t="s">
        <v>10028</v>
      </c>
      <c r="C2358" s="6" t="s">
        <v>10029</v>
      </c>
      <c r="D2358" s="6" t="s">
        <v>850</v>
      </c>
      <c r="E2358" s="6" t="s">
        <v>9994</v>
      </c>
      <c r="F2358" s="6" t="s">
        <v>46</v>
      </c>
      <c r="G2358" s="6" t="s">
        <v>10045</v>
      </c>
      <c r="H2358" s="18">
        <v>11.9</v>
      </c>
      <c r="I2358" s="19" t="s">
        <v>1882</v>
      </c>
      <c r="J2358" s="19" t="s">
        <v>9996</v>
      </c>
      <c r="K2358" s="5" t="s">
        <v>10032</v>
      </c>
      <c r="L2358" s="5" t="s">
        <v>10033</v>
      </c>
      <c r="M2358" s="5" t="s">
        <v>10034</v>
      </c>
      <c r="N2358" s="5" t="s">
        <v>10035</v>
      </c>
      <c r="O2358" s="5" t="s">
        <v>10036</v>
      </c>
      <c r="P2358" s="5" t="s">
        <v>10037</v>
      </c>
      <c r="Q2358" s="5" t="s">
        <v>10038</v>
      </c>
      <c r="R2358" s="5" t="s">
        <v>10039</v>
      </c>
      <c r="S2358" s="5" t="s">
        <v>10005</v>
      </c>
      <c r="T2358" s="5" t="s">
        <v>10006</v>
      </c>
      <c r="U2358" s="5" t="s">
        <v>10007</v>
      </c>
      <c r="V2358" s="5" t="s">
        <v>10008</v>
      </c>
      <c r="AA2358" s="5" t="s">
        <v>10009</v>
      </c>
      <c r="AB2358" s="5" t="s">
        <v>10010</v>
      </c>
      <c r="AC2358" s="5" t="s">
        <v>10011</v>
      </c>
      <c r="AD2358" s="5" t="s">
        <v>10012</v>
      </c>
      <c r="AG2358" s="14" t="s">
        <v>55</v>
      </c>
      <c r="AH2358" s="14" t="s">
        <v>234</v>
      </c>
      <c r="AI2358" s="14" t="s">
        <v>9965</v>
      </c>
      <c r="AJ2358" s="5" t="s">
        <v>10013</v>
      </c>
    </row>
    <row r="2359" spans="1:37">
      <c r="A2359" s="5" t="s">
        <v>10046</v>
      </c>
      <c r="B2359" s="5" t="s">
        <v>10047</v>
      </c>
      <c r="C2359" s="6" t="s">
        <v>43</v>
      </c>
      <c r="D2359" s="6" t="s">
        <v>850</v>
      </c>
      <c r="E2359" s="6" t="s">
        <v>10030</v>
      </c>
      <c r="F2359" s="6" t="s">
        <v>46</v>
      </c>
      <c r="G2359" s="6" t="s">
        <v>10048</v>
      </c>
      <c r="H2359" s="18">
        <v>15.35</v>
      </c>
      <c r="I2359" s="19" t="s">
        <v>1882</v>
      </c>
      <c r="J2359" s="19" t="s">
        <v>9996</v>
      </c>
      <c r="K2359" s="5" t="s">
        <v>10049</v>
      </c>
      <c r="L2359" s="5" t="s">
        <v>10050</v>
      </c>
      <c r="M2359" s="5" t="s">
        <v>10051</v>
      </c>
      <c r="N2359" s="5" t="s">
        <v>10052</v>
      </c>
      <c r="O2359" s="5" t="s">
        <v>10053</v>
      </c>
      <c r="P2359" s="5" t="s">
        <v>10054</v>
      </c>
      <c r="Q2359" s="5" t="s">
        <v>10055</v>
      </c>
      <c r="R2359" s="5" t="s">
        <v>10056</v>
      </c>
      <c r="S2359" s="5" t="s">
        <v>10005</v>
      </c>
      <c r="T2359" s="5" t="s">
        <v>10006</v>
      </c>
      <c r="U2359" s="5" t="s">
        <v>10007</v>
      </c>
      <c r="V2359" s="5" t="s">
        <v>10008</v>
      </c>
      <c r="AA2359" s="5" t="s">
        <v>10009</v>
      </c>
      <c r="AB2359" s="5" t="s">
        <v>10010</v>
      </c>
      <c r="AC2359" s="5" t="s">
        <v>10011</v>
      </c>
      <c r="AD2359" s="5" t="s">
        <v>10012</v>
      </c>
      <c r="AG2359" s="14" t="s">
        <v>55</v>
      </c>
      <c r="AH2359" s="14" t="s">
        <v>234</v>
      </c>
      <c r="AI2359" s="14" t="s">
        <v>9965</v>
      </c>
      <c r="AJ2359" s="5" t="s">
        <v>10013</v>
      </c>
    </row>
    <row r="2360" spans="1:37">
      <c r="A2360" s="5" t="s">
        <v>10057</v>
      </c>
      <c r="B2360" s="5" t="s">
        <v>10047</v>
      </c>
      <c r="C2360" s="6" t="s">
        <v>43</v>
      </c>
      <c r="D2360" s="6" t="s">
        <v>850</v>
      </c>
      <c r="E2360" s="6" t="s">
        <v>9994</v>
      </c>
      <c r="F2360" s="6" t="s">
        <v>46</v>
      </c>
      <c r="G2360" s="6" t="s">
        <v>10058</v>
      </c>
      <c r="H2360" s="18">
        <v>15.35</v>
      </c>
      <c r="I2360" s="19" t="s">
        <v>1882</v>
      </c>
      <c r="J2360" s="19" t="s">
        <v>9996</v>
      </c>
      <c r="K2360" s="5" t="s">
        <v>10049</v>
      </c>
      <c r="L2360" s="5" t="s">
        <v>10050</v>
      </c>
      <c r="M2360" s="5" t="s">
        <v>10051</v>
      </c>
      <c r="N2360" s="5" t="s">
        <v>10052</v>
      </c>
      <c r="O2360" s="5" t="s">
        <v>10053</v>
      </c>
      <c r="P2360" s="5" t="s">
        <v>10054</v>
      </c>
      <c r="Q2360" s="5" t="s">
        <v>10055</v>
      </c>
      <c r="R2360" s="5" t="s">
        <v>10056</v>
      </c>
      <c r="S2360" s="5" t="s">
        <v>10005</v>
      </c>
      <c r="T2360" s="5" t="s">
        <v>10006</v>
      </c>
      <c r="U2360" s="5" t="s">
        <v>10007</v>
      </c>
      <c r="V2360" s="5" t="s">
        <v>10008</v>
      </c>
      <c r="AA2360" s="5" t="s">
        <v>10009</v>
      </c>
      <c r="AB2360" s="5" t="s">
        <v>10010</v>
      </c>
      <c r="AC2360" s="5" t="s">
        <v>10011</v>
      </c>
      <c r="AD2360" s="5" t="s">
        <v>10012</v>
      </c>
      <c r="AG2360" s="14" t="s">
        <v>55</v>
      </c>
      <c r="AH2360" s="14" t="s">
        <v>234</v>
      </c>
      <c r="AI2360" s="14" t="s">
        <v>9965</v>
      </c>
      <c r="AJ2360" s="5" t="s">
        <v>10013</v>
      </c>
    </row>
    <row r="2361" spans="1:37">
      <c r="A2361" s="5" t="s">
        <v>10059</v>
      </c>
      <c r="B2361" s="5" t="s">
        <v>10047</v>
      </c>
      <c r="C2361" s="6" t="s">
        <v>43</v>
      </c>
      <c r="D2361" s="6" t="s">
        <v>850</v>
      </c>
      <c r="E2361" s="6" t="s">
        <v>1587</v>
      </c>
      <c r="F2361" s="6" t="s">
        <v>46</v>
      </c>
      <c r="G2361" s="6" t="s">
        <v>10060</v>
      </c>
      <c r="H2361" s="18">
        <v>15.35</v>
      </c>
      <c r="I2361" s="19" t="s">
        <v>1882</v>
      </c>
      <c r="J2361" s="19" t="s">
        <v>9996</v>
      </c>
      <c r="K2361" s="5" t="s">
        <v>10049</v>
      </c>
      <c r="L2361" s="5" t="s">
        <v>10050</v>
      </c>
      <c r="M2361" s="5" t="s">
        <v>10051</v>
      </c>
      <c r="N2361" s="5" t="s">
        <v>10052</v>
      </c>
      <c r="O2361" s="5" t="s">
        <v>10053</v>
      </c>
      <c r="P2361" s="5" t="s">
        <v>10054</v>
      </c>
      <c r="Q2361" s="5" t="s">
        <v>10055</v>
      </c>
      <c r="R2361" s="5" t="s">
        <v>10056</v>
      </c>
      <c r="S2361" s="5" t="s">
        <v>10005</v>
      </c>
      <c r="T2361" s="5" t="s">
        <v>10006</v>
      </c>
      <c r="U2361" s="5" t="s">
        <v>10007</v>
      </c>
      <c r="V2361" s="5" t="s">
        <v>10008</v>
      </c>
      <c r="AA2361" s="5" t="s">
        <v>10009</v>
      </c>
      <c r="AB2361" s="5" t="s">
        <v>10010</v>
      </c>
      <c r="AC2361" s="5" t="s">
        <v>10011</v>
      </c>
      <c r="AD2361" s="5" t="s">
        <v>10012</v>
      </c>
      <c r="AG2361" s="14" t="s">
        <v>55</v>
      </c>
      <c r="AH2361" s="14" t="s">
        <v>234</v>
      </c>
      <c r="AI2361" s="14" t="s">
        <v>9965</v>
      </c>
      <c r="AJ2361" s="5" t="s">
        <v>10013</v>
      </c>
    </row>
    <row r="2362" spans="1:37">
      <c r="A2362" s="5" t="s">
        <v>10061</v>
      </c>
      <c r="B2362" s="5" t="s">
        <v>10047</v>
      </c>
      <c r="C2362" s="6" t="s">
        <v>43</v>
      </c>
      <c r="D2362" s="6" t="s">
        <v>850</v>
      </c>
      <c r="E2362" s="6" t="s">
        <v>2070</v>
      </c>
      <c r="F2362" s="6" t="s">
        <v>46</v>
      </c>
      <c r="G2362" s="6" t="s">
        <v>10062</v>
      </c>
      <c r="H2362" s="18">
        <v>15.35</v>
      </c>
      <c r="I2362" s="19" t="s">
        <v>1882</v>
      </c>
      <c r="J2362" s="19" t="s">
        <v>9996</v>
      </c>
      <c r="K2362" s="5" t="s">
        <v>10049</v>
      </c>
      <c r="L2362" s="5" t="s">
        <v>10050</v>
      </c>
      <c r="M2362" s="5" t="s">
        <v>10051</v>
      </c>
      <c r="N2362" s="5" t="s">
        <v>10052</v>
      </c>
      <c r="O2362" s="5" t="s">
        <v>10053</v>
      </c>
      <c r="P2362" s="5" t="s">
        <v>10054</v>
      </c>
      <c r="Q2362" s="5" t="s">
        <v>10055</v>
      </c>
      <c r="R2362" s="5" t="s">
        <v>10056</v>
      </c>
      <c r="S2362" s="5" t="s">
        <v>10005</v>
      </c>
      <c r="T2362" s="5" t="s">
        <v>10006</v>
      </c>
      <c r="U2362" s="5" t="s">
        <v>10007</v>
      </c>
      <c r="V2362" s="5" t="s">
        <v>10008</v>
      </c>
      <c r="AA2362" s="5" t="s">
        <v>10009</v>
      </c>
      <c r="AB2362" s="5" t="s">
        <v>10010</v>
      </c>
      <c r="AC2362" s="5" t="s">
        <v>10011</v>
      </c>
      <c r="AD2362" s="5" t="s">
        <v>10012</v>
      </c>
      <c r="AG2362" s="14" t="s">
        <v>55</v>
      </c>
      <c r="AH2362" s="14" t="s">
        <v>234</v>
      </c>
      <c r="AI2362" s="14" t="s">
        <v>9965</v>
      </c>
      <c r="AJ2362" s="5" t="s">
        <v>10013</v>
      </c>
    </row>
    <row r="2363" spans="1:37">
      <c r="A2363" s="5" t="s">
        <v>10063</v>
      </c>
      <c r="B2363" s="5" t="s">
        <v>10064</v>
      </c>
      <c r="C2363" s="6" t="s">
        <v>43</v>
      </c>
      <c r="D2363" s="6" t="s">
        <v>850</v>
      </c>
      <c r="E2363" s="6" t="s">
        <v>10030</v>
      </c>
      <c r="F2363" s="6" t="s">
        <v>46</v>
      </c>
      <c r="G2363" s="6" t="s">
        <v>10065</v>
      </c>
      <c r="H2363" s="18">
        <v>18</v>
      </c>
      <c r="I2363" s="19" t="s">
        <v>1882</v>
      </c>
      <c r="J2363" s="19" t="s">
        <v>9996</v>
      </c>
      <c r="K2363" s="5" t="s">
        <v>10066</v>
      </c>
      <c r="L2363" s="5" t="s">
        <v>10067</v>
      </c>
      <c r="M2363" s="5" t="s">
        <v>10068</v>
      </c>
      <c r="N2363" s="5" t="s">
        <v>10069</v>
      </c>
      <c r="O2363" s="5" t="s">
        <v>10070</v>
      </c>
      <c r="P2363" s="5" t="s">
        <v>10071</v>
      </c>
      <c r="Q2363" s="5" t="s">
        <v>10072</v>
      </c>
      <c r="R2363" s="5" t="s">
        <v>10073</v>
      </c>
      <c r="S2363" s="5" t="s">
        <v>10005</v>
      </c>
      <c r="T2363" s="5" t="s">
        <v>10006</v>
      </c>
      <c r="U2363" s="5" t="s">
        <v>10007</v>
      </c>
      <c r="V2363" s="5" t="s">
        <v>10008</v>
      </c>
      <c r="AA2363" s="5" t="s">
        <v>10009</v>
      </c>
      <c r="AB2363" s="5" t="s">
        <v>10010</v>
      </c>
      <c r="AC2363" s="5" t="s">
        <v>10011</v>
      </c>
      <c r="AD2363" s="5" t="s">
        <v>10012</v>
      </c>
      <c r="AG2363" s="14" t="s">
        <v>55</v>
      </c>
      <c r="AH2363" s="14" t="s">
        <v>234</v>
      </c>
      <c r="AI2363" s="14" t="s">
        <v>9965</v>
      </c>
      <c r="AJ2363" s="5" t="s">
        <v>10013</v>
      </c>
    </row>
    <row r="2364" spans="1:37">
      <c r="A2364" s="5" t="s">
        <v>10074</v>
      </c>
      <c r="B2364" s="5" t="s">
        <v>10064</v>
      </c>
      <c r="C2364" s="6" t="s">
        <v>43</v>
      </c>
      <c r="D2364" s="6" t="s">
        <v>850</v>
      </c>
      <c r="E2364" s="6" t="s">
        <v>9994</v>
      </c>
      <c r="F2364" s="6" t="s">
        <v>46</v>
      </c>
      <c r="G2364" s="6" t="s">
        <v>10075</v>
      </c>
      <c r="H2364" s="18">
        <v>18</v>
      </c>
      <c r="I2364" s="19" t="s">
        <v>1882</v>
      </c>
      <c r="J2364" s="19" t="s">
        <v>9996</v>
      </c>
      <c r="K2364" s="5" t="s">
        <v>10066</v>
      </c>
      <c r="L2364" s="5" t="s">
        <v>10067</v>
      </c>
      <c r="M2364" s="5" t="s">
        <v>10068</v>
      </c>
      <c r="N2364" s="5" t="s">
        <v>10069</v>
      </c>
      <c r="O2364" s="5" t="s">
        <v>10070</v>
      </c>
      <c r="P2364" s="5" t="s">
        <v>10071</v>
      </c>
      <c r="Q2364" s="5" t="s">
        <v>10072</v>
      </c>
      <c r="R2364" s="5" t="s">
        <v>10073</v>
      </c>
      <c r="S2364" s="5" t="s">
        <v>10005</v>
      </c>
      <c r="T2364" s="5" t="s">
        <v>10006</v>
      </c>
      <c r="U2364" s="5" t="s">
        <v>10007</v>
      </c>
      <c r="V2364" s="5" t="s">
        <v>10008</v>
      </c>
      <c r="AA2364" s="5" t="s">
        <v>10009</v>
      </c>
      <c r="AB2364" s="5" t="s">
        <v>10010</v>
      </c>
      <c r="AC2364" s="5" t="s">
        <v>10011</v>
      </c>
      <c r="AD2364" s="5" t="s">
        <v>10012</v>
      </c>
      <c r="AG2364" s="14" t="s">
        <v>55</v>
      </c>
      <c r="AH2364" s="14" t="s">
        <v>234</v>
      </c>
      <c r="AI2364" s="14" t="s">
        <v>9965</v>
      </c>
      <c r="AJ2364" s="5" t="s">
        <v>10013</v>
      </c>
    </row>
    <row r="2365" spans="1:37">
      <c r="A2365" s="5" t="s">
        <v>10076</v>
      </c>
      <c r="B2365" s="5" t="s">
        <v>10064</v>
      </c>
      <c r="C2365" s="6" t="s">
        <v>43</v>
      </c>
      <c r="D2365" s="6" t="s">
        <v>850</v>
      </c>
      <c r="E2365" s="6" t="s">
        <v>2070</v>
      </c>
      <c r="F2365" s="6" t="s">
        <v>46</v>
      </c>
      <c r="G2365" s="6" t="s">
        <v>10077</v>
      </c>
      <c r="H2365" s="18">
        <v>18</v>
      </c>
      <c r="I2365" s="19" t="s">
        <v>1882</v>
      </c>
      <c r="J2365" s="19" t="s">
        <v>9996</v>
      </c>
      <c r="K2365" s="5" t="s">
        <v>10066</v>
      </c>
      <c r="L2365" s="5" t="s">
        <v>10067</v>
      </c>
      <c r="M2365" s="5" t="s">
        <v>10068</v>
      </c>
      <c r="N2365" s="5" t="s">
        <v>10069</v>
      </c>
      <c r="O2365" s="5" t="s">
        <v>10070</v>
      </c>
      <c r="P2365" s="5" t="s">
        <v>10071</v>
      </c>
      <c r="Q2365" s="5" t="s">
        <v>10072</v>
      </c>
      <c r="R2365" s="5" t="s">
        <v>10073</v>
      </c>
      <c r="S2365" s="5" t="s">
        <v>10005</v>
      </c>
      <c r="T2365" s="5" t="s">
        <v>10006</v>
      </c>
      <c r="U2365" s="5" t="s">
        <v>10007</v>
      </c>
      <c r="V2365" s="5" t="s">
        <v>10008</v>
      </c>
      <c r="AA2365" s="5" t="s">
        <v>10009</v>
      </c>
      <c r="AB2365" s="5" t="s">
        <v>10010</v>
      </c>
      <c r="AC2365" s="5" t="s">
        <v>10011</v>
      </c>
      <c r="AD2365" s="5" t="s">
        <v>10012</v>
      </c>
      <c r="AG2365" s="14" t="s">
        <v>55</v>
      </c>
      <c r="AH2365" s="14" t="s">
        <v>234</v>
      </c>
      <c r="AI2365" s="14" t="s">
        <v>9965</v>
      </c>
      <c r="AJ2365" s="5" t="s">
        <v>10013</v>
      </c>
    </row>
    <row r="2366" spans="1:37">
      <c r="A2366" s="6" t="s">
        <v>10078</v>
      </c>
      <c r="B2366" s="6" t="s">
        <v>10079</v>
      </c>
      <c r="C2366" s="6" t="s">
        <v>43</v>
      </c>
      <c r="D2366" s="6" t="s">
        <v>850</v>
      </c>
      <c r="E2366" s="6" t="s">
        <v>1671</v>
      </c>
      <c r="F2366" s="6" t="s">
        <v>46</v>
      </c>
      <c r="G2366" s="6" t="s">
        <v>8309</v>
      </c>
      <c r="I2366" s="19" t="s">
        <v>48</v>
      </c>
      <c r="J2366" s="19" t="s">
        <v>48</v>
      </c>
      <c r="K2366" s="6"/>
      <c r="L2366" s="6"/>
      <c r="M2366" s="6"/>
      <c r="N2366" s="6"/>
      <c r="O2366" s="6"/>
      <c r="P2366" s="6"/>
      <c r="Q2366" s="6"/>
      <c r="R2366" s="6"/>
      <c r="S2366" s="6"/>
      <c r="T2366" s="6"/>
      <c r="U2366" s="6"/>
      <c r="V2366" s="6"/>
      <c r="W2366" s="6"/>
      <c r="X2366" s="6"/>
      <c r="Y2366" s="6"/>
      <c r="Z2366" s="6"/>
      <c r="AA2366" s="6"/>
      <c r="AB2366" s="6"/>
      <c r="AC2366" s="6"/>
      <c r="AD2366" s="6"/>
      <c r="AE2366" s="6"/>
      <c r="AF2366" s="6"/>
      <c r="AG2366" s="15" t="s">
        <v>55</v>
      </c>
      <c r="AH2366" s="15"/>
      <c r="AI2366" s="15"/>
      <c r="AJ2366" s="6"/>
      <c r="AK2366" s="6"/>
    </row>
    <row r="2367" spans="1:37" s="6" customFormat="1">
      <c r="A2367" s="5" t="s">
        <v>10080</v>
      </c>
      <c r="B2367" s="5" t="s">
        <v>10081</v>
      </c>
      <c r="C2367" s="6" t="s">
        <v>43</v>
      </c>
      <c r="D2367" s="6" t="s">
        <v>850</v>
      </c>
      <c r="E2367" s="6" t="s">
        <v>218</v>
      </c>
      <c r="F2367" s="6" t="s">
        <v>46</v>
      </c>
      <c r="G2367" s="6" t="s">
        <v>10082</v>
      </c>
      <c r="H2367" s="7">
        <v>68</v>
      </c>
      <c r="I2367" s="19" t="s">
        <v>1507</v>
      </c>
      <c r="J2367" s="19" t="s">
        <v>10083</v>
      </c>
      <c r="K2367" s="5" t="s">
        <v>10084</v>
      </c>
      <c r="L2367" s="5" t="s">
        <v>10085</v>
      </c>
      <c r="M2367" s="5" t="s">
        <v>10086</v>
      </c>
      <c r="N2367" s="5" t="s">
        <v>10087</v>
      </c>
      <c r="O2367" s="5" t="s">
        <v>10088</v>
      </c>
      <c r="P2367" s="5" t="s">
        <v>10089</v>
      </c>
      <c r="Q2367" s="5" t="s">
        <v>10090</v>
      </c>
      <c r="R2367" s="5" t="s">
        <v>10091</v>
      </c>
      <c r="S2367" s="5" t="s">
        <v>10092</v>
      </c>
      <c r="T2367" s="5" t="s">
        <v>10093</v>
      </c>
      <c r="U2367" s="5" t="s">
        <v>10094</v>
      </c>
      <c r="V2367" s="5" t="s">
        <v>10095</v>
      </c>
      <c r="W2367" s="5" t="s">
        <v>10096</v>
      </c>
      <c r="X2367" s="23" t="s">
        <v>10097</v>
      </c>
      <c r="Y2367" s="5" t="s">
        <v>10098</v>
      </c>
      <c r="Z2367" s="5" t="s">
        <v>10099</v>
      </c>
      <c r="AA2367" s="5"/>
      <c r="AB2367" s="5"/>
      <c r="AC2367" s="5"/>
      <c r="AD2367" s="5"/>
      <c r="AE2367" s="5"/>
      <c r="AF2367" s="5"/>
      <c r="AG2367" s="14" t="s">
        <v>49</v>
      </c>
      <c r="AH2367" s="14" t="s">
        <v>1517</v>
      </c>
      <c r="AI2367" s="14" t="s">
        <v>49</v>
      </c>
      <c r="AJ2367" s="5" t="s">
        <v>10100</v>
      </c>
      <c r="AK2367" s="5"/>
    </row>
    <row r="2368" spans="1:37">
      <c r="A2368" s="5" t="s">
        <v>10101</v>
      </c>
      <c r="B2368" s="5" t="s">
        <v>10102</v>
      </c>
      <c r="C2368" s="6" t="s">
        <v>43</v>
      </c>
      <c r="D2368" s="6" t="s">
        <v>850</v>
      </c>
      <c r="E2368" s="6" t="s">
        <v>218</v>
      </c>
      <c r="F2368" s="6" t="s">
        <v>46</v>
      </c>
      <c r="G2368" s="6" t="s">
        <v>10103</v>
      </c>
      <c r="H2368" s="7">
        <v>80.599999999999994</v>
      </c>
      <c r="I2368" s="19" t="s">
        <v>1507</v>
      </c>
      <c r="J2368" s="19" t="s">
        <v>10083</v>
      </c>
      <c r="K2368" s="6" t="s">
        <v>10104</v>
      </c>
      <c r="L2368" s="6" t="s">
        <v>10105</v>
      </c>
      <c r="M2368" s="6" t="s">
        <v>10106</v>
      </c>
      <c r="N2368" s="6" t="s">
        <v>10107</v>
      </c>
      <c r="O2368" s="6" t="s">
        <v>10108</v>
      </c>
      <c r="P2368" s="6" t="s">
        <v>10109</v>
      </c>
      <c r="Q2368" s="6" t="s">
        <v>10110</v>
      </c>
      <c r="R2368" s="6" t="s">
        <v>10111</v>
      </c>
      <c r="S2368" s="6" t="s">
        <v>10092</v>
      </c>
      <c r="T2368" s="6" t="s">
        <v>10093</v>
      </c>
      <c r="U2368" s="6" t="s">
        <v>10094</v>
      </c>
      <c r="V2368" s="6" t="s">
        <v>10095</v>
      </c>
      <c r="W2368" s="6" t="s">
        <v>10096</v>
      </c>
      <c r="X2368" s="25" t="s">
        <v>10097</v>
      </c>
      <c r="Y2368" s="6" t="s">
        <v>10098</v>
      </c>
      <c r="Z2368" s="6" t="s">
        <v>10099</v>
      </c>
      <c r="AG2368" s="14" t="s">
        <v>49</v>
      </c>
      <c r="AH2368" s="14" t="s">
        <v>1517</v>
      </c>
      <c r="AI2368" s="14" t="s">
        <v>49</v>
      </c>
      <c r="AJ2368" s="5" t="s">
        <v>10100</v>
      </c>
    </row>
    <row r="2369" spans="1:37">
      <c r="A2369" s="5" t="s">
        <v>10112</v>
      </c>
      <c r="B2369" s="5" t="s">
        <v>10102</v>
      </c>
      <c r="C2369" s="6" t="s">
        <v>43</v>
      </c>
      <c r="D2369" s="6" t="s">
        <v>850</v>
      </c>
      <c r="E2369" s="6" t="s">
        <v>503</v>
      </c>
      <c r="F2369" s="6" t="s">
        <v>46</v>
      </c>
      <c r="G2369" s="6" t="s">
        <v>10113</v>
      </c>
      <c r="H2369" s="7">
        <v>80.599999999999994</v>
      </c>
      <c r="I2369" s="19" t="s">
        <v>1507</v>
      </c>
      <c r="J2369" s="19" t="s">
        <v>10083</v>
      </c>
      <c r="K2369" s="6" t="s">
        <v>10104</v>
      </c>
      <c r="L2369" s="6" t="s">
        <v>10105</v>
      </c>
      <c r="M2369" s="6" t="s">
        <v>10106</v>
      </c>
      <c r="N2369" s="6" t="s">
        <v>10107</v>
      </c>
      <c r="O2369" s="6" t="s">
        <v>10114</v>
      </c>
      <c r="P2369" s="6" t="s">
        <v>10115</v>
      </c>
      <c r="Q2369" s="6" t="s">
        <v>10116</v>
      </c>
      <c r="R2369" s="6" t="s">
        <v>10117</v>
      </c>
      <c r="S2369" s="6" t="s">
        <v>10092</v>
      </c>
      <c r="T2369" s="6" t="s">
        <v>10093</v>
      </c>
      <c r="U2369" s="6" t="s">
        <v>10094</v>
      </c>
      <c r="V2369" s="6" t="s">
        <v>10095</v>
      </c>
      <c r="W2369" s="6" t="s">
        <v>10096</v>
      </c>
      <c r="X2369" s="25" t="s">
        <v>10097</v>
      </c>
      <c r="Y2369" s="6" t="s">
        <v>10098</v>
      </c>
      <c r="Z2369" s="6" t="s">
        <v>10099</v>
      </c>
      <c r="AG2369" s="14" t="s">
        <v>55</v>
      </c>
      <c r="AH2369" s="14" t="s">
        <v>1517</v>
      </c>
      <c r="AI2369" s="14" t="s">
        <v>1836</v>
      </c>
      <c r="AJ2369" s="5" t="s">
        <v>10118</v>
      </c>
    </row>
    <row r="2370" spans="1:37">
      <c r="A2370" s="5" t="s">
        <v>10119</v>
      </c>
      <c r="B2370" s="5" t="s">
        <v>10120</v>
      </c>
      <c r="C2370" s="6" t="s">
        <v>43</v>
      </c>
      <c r="D2370" s="6" t="s">
        <v>850</v>
      </c>
      <c r="E2370" s="6" t="s">
        <v>503</v>
      </c>
      <c r="F2370" s="6" t="s">
        <v>46</v>
      </c>
      <c r="G2370" s="6" t="s">
        <v>10121</v>
      </c>
      <c r="H2370" s="7">
        <v>95.95</v>
      </c>
      <c r="I2370" s="19" t="s">
        <v>1507</v>
      </c>
      <c r="J2370" s="19" t="s">
        <v>10083</v>
      </c>
      <c r="K2370" s="6" t="s">
        <v>10122</v>
      </c>
      <c r="L2370" s="6" t="s">
        <v>10123</v>
      </c>
      <c r="M2370" s="6" t="s">
        <v>10124</v>
      </c>
      <c r="N2370" s="6" t="s">
        <v>10125</v>
      </c>
      <c r="O2370" s="6" t="s">
        <v>10126</v>
      </c>
      <c r="P2370" s="6" t="s">
        <v>10127</v>
      </c>
      <c r="Q2370" s="6" t="s">
        <v>10128</v>
      </c>
      <c r="R2370" s="6" t="s">
        <v>10129</v>
      </c>
      <c r="S2370" s="6" t="s">
        <v>10092</v>
      </c>
      <c r="T2370" s="6" t="s">
        <v>10093</v>
      </c>
      <c r="U2370" s="6" t="s">
        <v>10094</v>
      </c>
      <c r="V2370" s="6" t="s">
        <v>10095</v>
      </c>
      <c r="W2370" s="6" t="s">
        <v>10096</v>
      </c>
      <c r="X2370" s="25" t="s">
        <v>10097</v>
      </c>
      <c r="Y2370" s="6" t="s">
        <v>10098</v>
      </c>
      <c r="Z2370" s="6" t="s">
        <v>10099</v>
      </c>
      <c r="AG2370" s="14" t="s">
        <v>55</v>
      </c>
      <c r="AH2370" s="14" t="s">
        <v>1517</v>
      </c>
      <c r="AI2370" s="14" t="s">
        <v>1836</v>
      </c>
      <c r="AJ2370" s="5" t="s">
        <v>10118</v>
      </c>
    </row>
    <row r="2371" spans="1:37">
      <c r="A2371" s="5" t="s">
        <v>10130</v>
      </c>
      <c r="B2371" s="5" t="s">
        <v>10131</v>
      </c>
      <c r="C2371" s="6" t="s">
        <v>10132</v>
      </c>
      <c r="D2371" s="6" t="s">
        <v>909</v>
      </c>
      <c r="E2371" s="6" t="s">
        <v>10133</v>
      </c>
      <c r="F2371" s="6" t="s">
        <v>46</v>
      </c>
      <c r="G2371" s="6" t="s">
        <v>10134</v>
      </c>
      <c r="H2371" s="7">
        <v>65</v>
      </c>
      <c r="I2371" s="19" t="s">
        <v>1507</v>
      </c>
      <c r="J2371" s="19" t="s">
        <v>10135</v>
      </c>
      <c r="K2371" s="6" t="s">
        <v>10136</v>
      </c>
      <c r="L2371" s="6" t="s">
        <v>10137</v>
      </c>
      <c r="M2371" s="6" t="s">
        <v>10138</v>
      </c>
      <c r="N2371" s="6" t="s">
        <v>10139</v>
      </c>
      <c r="O2371" s="6" t="s">
        <v>10140</v>
      </c>
      <c r="P2371" s="6" t="s">
        <v>10141</v>
      </c>
      <c r="Q2371" s="6" t="s">
        <v>10142</v>
      </c>
      <c r="R2371" s="6" t="s">
        <v>10143</v>
      </c>
      <c r="S2371" s="6" t="s">
        <v>10092</v>
      </c>
      <c r="T2371" s="6" t="s">
        <v>10093</v>
      </c>
      <c r="U2371" s="6" t="s">
        <v>10094</v>
      </c>
      <c r="V2371" s="6" t="s">
        <v>10095</v>
      </c>
      <c r="W2371" s="6" t="s">
        <v>10096</v>
      </c>
      <c r="X2371" s="6" t="s">
        <v>10097</v>
      </c>
      <c r="Y2371" s="6" t="s">
        <v>10098</v>
      </c>
      <c r="Z2371" s="28" t="s">
        <v>10099</v>
      </c>
      <c r="AG2371" s="14" t="s">
        <v>55</v>
      </c>
      <c r="AH2371" s="14" t="s">
        <v>1517</v>
      </c>
      <c r="AI2371" s="14" t="s">
        <v>1836</v>
      </c>
      <c r="AJ2371" s="5" t="s">
        <v>10118</v>
      </c>
    </row>
    <row r="2372" spans="1:37">
      <c r="A2372" s="5" t="s">
        <v>10144</v>
      </c>
      <c r="B2372" s="5" t="s">
        <v>10131</v>
      </c>
      <c r="C2372" s="6" t="s">
        <v>10132</v>
      </c>
      <c r="D2372" s="6" t="s">
        <v>909</v>
      </c>
      <c r="E2372" s="6" t="s">
        <v>218</v>
      </c>
      <c r="F2372" s="6" t="s">
        <v>46</v>
      </c>
      <c r="G2372" s="6" t="s">
        <v>10145</v>
      </c>
      <c r="H2372" s="7">
        <v>65</v>
      </c>
      <c r="I2372" s="19" t="s">
        <v>1507</v>
      </c>
      <c r="J2372" s="19" t="s">
        <v>10135</v>
      </c>
      <c r="K2372" s="6" t="s">
        <v>10136</v>
      </c>
      <c r="L2372" s="6" t="s">
        <v>10137</v>
      </c>
      <c r="M2372" s="6" t="s">
        <v>10138</v>
      </c>
      <c r="N2372" s="6" t="s">
        <v>10139</v>
      </c>
      <c r="O2372" s="6" t="s">
        <v>10140</v>
      </c>
      <c r="P2372" s="6" t="s">
        <v>10141</v>
      </c>
      <c r="Q2372" s="6" t="s">
        <v>10142</v>
      </c>
      <c r="R2372" s="6" t="s">
        <v>10143</v>
      </c>
      <c r="S2372" s="6" t="s">
        <v>10092</v>
      </c>
      <c r="T2372" s="6" t="s">
        <v>10093</v>
      </c>
      <c r="U2372" s="6" t="s">
        <v>10094</v>
      </c>
      <c r="V2372" s="6" t="s">
        <v>10095</v>
      </c>
      <c r="W2372" s="6" t="s">
        <v>10096</v>
      </c>
      <c r="X2372" s="6" t="s">
        <v>10097</v>
      </c>
      <c r="Y2372" s="6" t="s">
        <v>10098</v>
      </c>
      <c r="Z2372" s="28" t="s">
        <v>10099</v>
      </c>
      <c r="AG2372" s="14" t="s">
        <v>49</v>
      </c>
      <c r="AH2372" s="14" t="s">
        <v>1517</v>
      </c>
      <c r="AI2372" s="14" t="s">
        <v>10146</v>
      </c>
      <c r="AJ2372" s="5" t="s">
        <v>10147</v>
      </c>
    </row>
    <row r="2373" spans="1:37">
      <c r="A2373" s="5" t="s">
        <v>10148</v>
      </c>
      <c r="B2373" s="5" t="s">
        <v>10131</v>
      </c>
      <c r="C2373" s="6" t="s">
        <v>10132</v>
      </c>
      <c r="D2373" s="6" t="s">
        <v>909</v>
      </c>
      <c r="E2373" s="6" t="s">
        <v>757</v>
      </c>
      <c r="F2373" s="6" t="s">
        <v>46</v>
      </c>
      <c r="G2373" s="6" t="s">
        <v>10149</v>
      </c>
      <c r="H2373" s="7">
        <v>65</v>
      </c>
      <c r="I2373" s="19" t="s">
        <v>1507</v>
      </c>
      <c r="J2373" s="19" t="s">
        <v>10135</v>
      </c>
      <c r="K2373" s="6" t="s">
        <v>10136</v>
      </c>
      <c r="L2373" s="6" t="s">
        <v>10137</v>
      </c>
      <c r="M2373" s="6" t="s">
        <v>10138</v>
      </c>
      <c r="N2373" s="6" t="s">
        <v>10139</v>
      </c>
      <c r="O2373" s="6" t="s">
        <v>10140</v>
      </c>
      <c r="P2373" s="6" t="s">
        <v>10141</v>
      </c>
      <c r="Q2373" s="6" t="s">
        <v>10142</v>
      </c>
      <c r="R2373" s="6" t="s">
        <v>10143</v>
      </c>
      <c r="S2373" s="6" t="s">
        <v>10092</v>
      </c>
      <c r="T2373" s="6" t="s">
        <v>10093</v>
      </c>
      <c r="U2373" s="6" t="s">
        <v>10094</v>
      </c>
      <c r="V2373" s="6" t="s">
        <v>10095</v>
      </c>
      <c r="W2373" s="6" t="s">
        <v>10096</v>
      </c>
      <c r="X2373" s="6" t="s">
        <v>10097</v>
      </c>
      <c r="Y2373" s="6" t="s">
        <v>10098</v>
      </c>
      <c r="Z2373" s="28" t="s">
        <v>10099</v>
      </c>
      <c r="AG2373" s="14" t="s">
        <v>49</v>
      </c>
      <c r="AH2373" s="14" t="s">
        <v>1517</v>
      </c>
      <c r="AI2373" s="14" t="s">
        <v>10146</v>
      </c>
      <c r="AJ2373" s="5" t="s">
        <v>10147</v>
      </c>
    </row>
    <row r="2374" spans="1:37">
      <c r="A2374" s="5" t="s">
        <v>10150</v>
      </c>
      <c r="B2374" s="5" t="s">
        <v>10151</v>
      </c>
      <c r="C2374" s="6" t="s">
        <v>43</v>
      </c>
      <c r="D2374" s="6" t="s">
        <v>909</v>
      </c>
      <c r="E2374" s="6" t="s">
        <v>10152</v>
      </c>
      <c r="F2374" s="6" t="s">
        <v>46</v>
      </c>
      <c r="G2374" s="6" t="s">
        <v>10153</v>
      </c>
      <c r="H2374" s="7">
        <v>85</v>
      </c>
      <c r="I2374" s="19" t="s">
        <v>1507</v>
      </c>
      <c r="J2374" s="19" t="s">
        <v>10135</v>
      </c>
      <c r="K2374" s="6" t="s">
        <v>10154</v>
      </c>
      <c r="L2374" s="6" t="s">
        <v>10155</v>
      </c>
      <c r="M2374" s="6" t="s">
        <v>10156</v>
      </c>
      <c r="N2374" s="6" t="s">
        <v>10157</v>
      </c>
      <c r="O2374" s="6" t="s">
        <v>10158</v>
      </c>
      <c r="P2374" s="6" t="s">
        <v>10159</v>
      </c>
      <c r="Q2374" s="6" t="s">
        <v>10160</v>
      </c>
      <c r="R2374" s="6" t="s">
        <v>10161</v>
      </c>
      <c r="S2374" s="6" t="s">
        <v>10092</v>
      </c>
      <c r="T2374" s="6" t="s">
        <v>10093</v>
      </c>
      <c r="U2374" s="6" t="s">
        <v>10094</v>
      </c>
      <c r="V2374" s="6" t="s">
        <v>10095</v>
      </c>
      <c r="W2374" s="6" t="s">
        <v>10096</v>
      </c>
      <c r="X2374" s="6" t="s">
        <v>10097</v>
      </c>
      <c r="Y2374" s="6" t="s">
        <v>10098</v>
      </c>
      <c r="Z2374" s="28" t="s">
        <v>10099</v>
      </c>
      <c r="AG2374" s="14" t="s">
        <v>55</v>
      </c>
      <c r="AH2374" s="14" t="s">
        <v>1517</v>
      </c>
      <c r="AI2374" s="14" t="s">
        <v>1836</v>
      </c>
      <c r="AJ2374" s="5" t="s">
        <v>10118</v>
      </c>
    </row>
    <row r="2375" spans="1:37">
      <c r="A2375" s="5" t="s">
        <v>10162</v>
      </c>
      <c r="B2375" s="5" t="s">
        <v>10163</v>
      </c>
      <c r="C2375" s="6" t="s">
        <v>10132</v>
      </c>
      <c r="D2375" s="6" t="s">
        <v>909</v>
      </c>
      <c r="E2375" s="6" t="s">
        <v>218</v>
      </c>
      <c r="F2375" s="6" t="s">
        <v>46</v>
      </c>
      <c r="G2375" s="6" t="s">
        <v>10164</v>
      </c>
      <c r="H2375" s="7">
        <v>85</v>
      </c>
      <c r="I2375" s="19" t="s">
        <v>1507</v>
      </c>
      <c r="J2375" s="19" t="s">
        <v>10135</v>
      </c>
      <c r="K2375" s="5" t="s">
        <v>10165</v>
      </c>
      <c r="L2375" s="5" t="s">
        <v>10166</v>
      </c>
      <c r="M2375" s="5" t="s">
        <v>10167</v>
      </c>
      <c r="N2375" s="5" t="s">
        <v>10168</v>
      </c>
      <c r="O2375" s="5" t="s">
        <v>10169</v>
      </c>
      <c r="P2375" s="5" t="s">
        <v>10170</v>
      </c>
      <c r="Q2375" s="5" t="s">
        <v>10171</v>
      </c>
      <c r="R2375" s="5" t="s">
        <v>10172</v>
      </c>
      <c r="S2375" s="5" t="s">
        <v>10092</v>
      </c>
      <c r="T2375" s="5" t="s">
        <v>10093</v>
      </c>
      <c r="U2375" s="5" t="s">
        <v>10094</v>
      </c>
      <c r="V2375" s="5" t="s">
        <v>10095</v>
      </c>
      <c r="W2375" s="5" t="s">
        <v>10096</v>
      </c>
      <c r="X2375" s="5" t="s">
        <v>10097</v>
      </c>
      <c r="Y2375" s="5" t="s">
        <v>10098</v>
      </c>
      <c r="Z2375" s="17" t="s">
        <v>10099</v>
      </c>
      <c r="AG2375" s="14" t="s">
        <v>49</v>
      </c>
      <c r="AH2375" s="14" t="s">
        <v>1517</v>
      </c>
      <c r="AI2375" s="14" t="s">
        <v>10146</v>
      </c>
      <c r="AJ2375" s="5" t="s">
        <v>10147</v>
      </c>
    </row>
    <row r="2376" spans="1:37">
      <c r="A2376" s="5" t="s">
        <v>10173</v>
      </c>
      <c r="B2376" s="5" t="s">
        <v>10163</v>
      </c>
      <c r="C2376" s="6" t="s">
        <v>10132</v>
      </c>
      <c r="D2376" s="6" t="s">
        <v>909</v>
      </c>
      <c r="E2376" s="6" t="s">
        <v>757</v>
      </c>
      <c r="F2376" s="6" t="s">
        <v>46</v>
      </c>
      <c r="G2376" s="6" t="s">
        <v>10174</v>
      </c>
      <c r="H2376" s="7">
        <v>85</v>
      </c>
      <c r="I2376" s="19" t="s">
        <v>1507</v>
      </c>
      <c r="J2376" s="19" t="s">
        <v>10135</v>
      </c>
      <c r="K2376" s="6" t="s">
        <v>10165</v>
      </c>
      <c r="L2376" s="6" t="s">
        <v>10166</v>
      </c>
      <c r="M2376" s="6" t="s">
        <v>10167</v>
      </c>
      <c r="N2376" s="6" t="s">
        <v>10168</v>
      </c>
      <c r="O2376" s="6" t="s">
        <v>10175</v>
      </c>
      <c r="P2376" s="6" t="s">
        <v>10176</v>
      </c>
      <c r="Q2376" s="6" t="s">
        <v>10177</v>
      </c>
      <c r="R2376" s="6" t="s">
        <v>10178</v>
      </c>
      <c r="S2376" s="6" t="s">
        <v>10092</v>
      </c>
      <c r="T2376" s="6" t="s">
        <v>10093</v>
      </c>
      <c r="U2376" s="6" t="s">
        <v>10094</v>
      </c>
      <c r="V2376" s="6" t="s">
        <v>10095</v>
      </c>
      <c r="W2376" s="6" t="s">
        <v>10096</v>
      </c>
      <c r="X2376" s="6" t="s">
        <v>10097</v>
      </c>
      <c r="Y2376" s="6" t="s">
        <v>10098</v>
      </c>
      <c r="Z2376" s="28" t="s">
        <v>10099</v>
      </c>
      <c r="AG2376" s="14" t="s">
        <v>49</v>
      </c>
      <c r="AH2376" s="14" t="s">
        <v>1517</v>
      </c>
      <c r="AI2376" s="14" t="s">
        <v>10146</v>
      </c>
      <c r="AJ2376" s="5" t="s">
        <v>10147</v>
      </c>
    </row>
    <row r="2377" spans="1:37">
      <c r="A2377" s="5" t="s">
        <v>10179</v>
      </c>
      <c r="B2377" s="5" t="s">
        <v>10180</v>
      </c>
      <c r="C2377" s="6" t="s">
        <v>10132</v>
      </c>
      <c r="D2377" s="6" t="s">
        <v>909</v>
      </c>
      <c r="E2377" s="6" t="s">
        <v>10152</v>
      </c>
      <c r="F2377" s="6" t="s">
        <v>46</v>
      </c>
      <c r="G2377" s="6" t="s">
        <v>2423</v>
      </c>
      <c r="H2377" s="7">
        <v>99.75</v>
      </c>
      <c r="I2377" s="19" t="s">
        <v>1507</v>
      </c>
      <c r="J2377" s="19" t="s">
        <v>10135</v>
      </c>
      <c r="K2377" s="6" t="s">
        <v>10181</v>
      </c>
      <c r="L2377" s="6" t="s">
        <v>10182</v>
      </c>
      <c r="M2377" s="6" t="s">
        <v>10183</v>
      </c>
      <c r="N2377" s="6" t="s">
        <v>10184</v>
      </c>
      <c r="O2377" s="6" t="s">
        <v>10185</v>
      </c>
      <c r="P2377" s="6" t="s">
        <v>10186</v>
      </c>
      <c r="Q2377" s="6" t="s">
        <v>10187</v>
      </c>
      <c r="R2377" s="6" t="s">
        <v>10188</v>
      </c>
      <c r="S2377" s="6" t="s">
        <v>10092</v>
      </c>
      <c r="T2377" s="6" t="s">
        <v>10093</v>
      </c>
      <c r="U2377" s="6" t="s">
        <v>10094</v>
      </c>
      <c r="V2377" s="6" t="s">
        <v>10095</v>
      </c>
      <c r="W2377" s="6" t="s">
        <v>10096</v>
      </c>
      <c r="X2377" s="6" t="s">
        <v>10097</v>
      </c>
      <c r="Y2377" s="6" t="s">
        <v>10098</v>
      </c>
      <c r="Z2377" s="28" t="s">
        <v>10099</v>
      </c>
      <c r="AG2377" s="14" t="s">
        <v>55</v>
      </c>
      <c r="AH2377" s="14" t="s">
        <v>1517</v>
      </c>
      <c r="AI2377" s="14" t="s">
        <v>1836</v>
      </c>
      <c r="AJ2377" s="5" t="s">
        <v>10118</v>
      </c>
    </row>
    <row r="2378" spans="1:37">
      <c r="A2378" s="6" t="s">
        <v>10189</v>
      </c>
      <c r="B2378" s="6" t="s">
        <v>10190</v>
      </c>
      <c r="C2378" s="6" t="s">
        <v>10132</v>
      </c>
      <c r="D2378" s="6" t="s">
        <v>909</v>
      </c>
      <c r="E2378" s="6" t="s">
        <v>218</v>
      </c>
      <c r="F2378" s="6" t="s">
        <v>46</v>
      </c>
      <c r="G2378" s="6" t="s">
        <v>7701</v>
      </c>
      <c r="I2378" s="19" t="s">
        <v>48</v>
      </c>
      <c r="J2378" s="5" t="s">
        <v>48</v>
      </c>
      <c r="K2378" s="6"/>
      <c r="L2378" s="6"/>
      <c r="M2378" s="6"/>
      <c r="N2378" s="6"/>
      <c r="O2378" s="6"/>
      <c r="P2378" s="6"/>
      <c r="Q2378" s="6"/>
      <c r="R2378" s="6"/>
      <c r="S2378" s="6"/>
      <c r="T2378" s="6"/>
      <c r="U2378" s="6"/>
      <c r="V2378" s="6"/>
      <c r="W2378" s="6"/>
      <c r="X2378" s="6"/>
      <c r="Y2378" s="6"/>
      <c r="Z2378" s="6"/>
      <c r="AA2378" s="6"/>
      <c r="AB2378" s="6"/>
      <c r="AC2378" s="6"/>
      <c r="AD2378" s="6"/>
      <c r="AE2378" s="6"/>
      <c r="AF2378" s="6"/>
      <c r="AG2378" s="15" t="s">
        <v>49</v>
      </c>
      <c r="AH2378" s="15"/>
      <c r="AI2378" s="15"/>
      <c r="AJ2378" s="6"/>
      <c r="AK2378" s="6"/>
    </row>
    <row r="2379" spans="1:37" s="6" customFormat="1">
      <c r="A2379" s="5" t="s">
        <v>10191</v>
      </c>
      <c r="B2379" s="5" t="s">
        <v>10192</v>
      </c>
      <c r="C2379" s="6" t="s">
        <v>43</v>
      </c>
      <c r="D2379" s="6" t="s">
        <v>909</v>
      </c>
      <c r="E2379" s="6" t="s">
        <v>757</v>
      </c>
      <c r="F2379" s="6" t="s">
        <v>46</v>
      </c>
      <c r="G2379" s="6" t="s">
        <v>10193</v>
      </c>
      <c r="H2379" s="7">
        <v>120</v>
      </c>
      <c r="I2379" s="19" t="s">
        <v>1507</v>
      </c>
      <c r="J2379" s="19" t="s">
        <v>10194</v>
      </c>
      <c r="K2379" s="6" t="s">
        <v>10195</v>
      </c>
      <c r="L2379" s="6" t="s">
        <v>10196</v>
      </c>
      <c r="M2379" s="6" t="s">
        <v>10197</v>
      </c>
      <c r="N2379" s="6" t="s">
        <v>10198</v>
      </c>
      <c r="O2379" s="6" t="s">
        <v>10199</v>
      </c>
      <c r="P2379" s="6" t="s">
        <v>10200</v>
      </c>
      <c r="Q2379" s="6" t="s">
        <v>10201</v>
      </c>
      <c r="R2379" s="6" t="s">
        <v>10202</v>
      </c>
      <c r="S2379" s="6" t="s">
        <v>10203</v>
      </c>
      <c r="T2379" s="6" t="s">
        <v>10204</v>
      </c>
      <c r="U2379" s="6" t="s">
        <v>10205</v>
      </c>
      <c r="V2379" s="6" t="s">
        <v>10206</v>
      </c>
      <c r="W2379" s="6" t="s">
        <v>10096</v>
      </c>
      <c r="X2379" s="6" t="s">
        <v>10097</v>
      </c>
      <c r="Y2379" s="6" t="s">
        <v>10098</v>
      </c>
      <c r="Z2379" s="6" t="s">
        <v>10099</v>
      </c>
      <c r="AA2379" s="5"/>
      <c r="AB2379" s="5"/>
      <c r="AC2379" s="5"/>
      <c r="AD2379" s="5"/>
      <c r="AE2379" s="5"/>
      <c r="AF2379" s="5"/>
      <c r="AG2379" s="14" t="s">
        <v>49</v>
      </c>
      <c r="AH2379" s="14" t="s">
        <v>1517</v>
      </c>
      <c r="AI2379" s="14" t="s">
        <v>10146</v>
      </c>
      <c r="AJ2379" s="5" t="s">
        <v>10147</v>
      </c>
      <c r="AK2379" s="5"/>
    </row>
    <row r="2380" spans="1:37">
      <c r="A2380" s="5" t="s">
        <v>10207</v>
      </c>
      <c r="B2380" s="5" t="s">
        <v>10208</v>
      </c>
      <c r="C2380" s="6" t="s">
        <v>43</v>
      </c>
      <c r="D2380" s="6" t="s">
        <v>909</v>
      </c>
      <c r="E2380" s="6" t="s">
        <v>757</v>
      </c>
      <c r="F2380" s="6" t="s">
        <v>46</v>
      </c>
      <c r="G2380" s="6" t="s">
        <v>10193</v>
      </c>
      <c r="H2380" s="7">
        <v>150</v>
      </c>
      <c r="I2380" s="19" t="s">
        <v>1507</v>
      </c>
      <c r="J2380" s="19" t="s">
        <v>10194</v>
      </c>
      <c r="K2380" s="5" t="s">
        <v>10209</v>
      </c>
      <c r="L2380" s="5" t="s">
        <v>10210</v>
      </c>
      <c r="M2380" s="5" t="s">
        <v>10211</v>
      </c>
      <c r="N2380" s="5" t="s">
        <v>10212</v>
      </c>
      <c r="O2380" s="5" t="s">
        <v>10213</v>
      </c>
      <c r="P2380" s="5" t="s">
        <v>10214</v>
      </c>
      <c r="Q2380" s="5" t="s">
        <v>10215</v>
      </c>
      <c r="R2380" s="5" t="s">
        <v>10216</v>
      </c>
      <c r="S2380" s="5" t="s">
        <v>10203</v>
      </c>
      <c r="T2380" s="5" t="s">
        <v>10204</v>
      </c>
      <c r="U2380" s="5" t="s">
        <v>10205</v>
      </c>
      <c r="V2380" s="5" t="s">
        <v>10206</v>
      </c>
      <c r="W2380" s="5" t="s">
        <v>10096</v>
      </c>
      <c r="X2380" s="5" t="s">
        <v>10097</v>
      </c>
      <c r="Y2380" s="5" t="s">
        <v>10098</v>
      </c>
      <c r="Z2380" s="5" t="s">
        <v>10099</v>
      </c>
      <c r="AG2380" s="14" t="s">
        <v>49</v>
      </c>
      <c r="AH2380" s="14" t="s">
        <v>1517</v>
      </c>
      <c r="AI2380" s="14" t="s">
        <v>10146</v>
      </c>
      <c r="AJ2380" s="5" t="s">
        <v>10147</v>
      </c>
    </row>
    <row r="2381" spans="1:37">
      <c r="A2381" s="5" t="s">
        <v>10217</v>
      </c>
      <c r="B2381" s="5" t="s">
        <v>10208</v>
      </c>
      <c r="C2381" s="6" t="s">
        <v>43</v>
      </c>
      <c r="D2381" s="6" t="s">
        <v>909</v>
      </c>
      <c r="E2381" s="6" t="s">
        <v>10152</v>
      </c>
      <c r="F2381" s="6" t="s">
        <v>46</v>
      </c>
      <c r="G2381" s="6" t="s">
        <v>1947</v>
      </c>
      <c r="H2381" s="7">
        <v>150</v>
      </c>
      <c r="I2381" s="19" t="s">
        <v>1507</v>
      </c>
      <c r="J2381" s="19" t="s">
        <v>10194</v>
      </c>
      <c r="K2381" s="6" t="s">
        <v>10209</v>
      </c>
      <c r="L2381" s="6" t="s">
        <v>10210</v>
      </c>
      <c r="M2381" s="6" t="s">
        <v>10211</v>
      </c>
      <c r="N2381" s="6" t="s">
        <v>10212</v>
      </c>
      <c r="O2381" s="6" t="s">
        <v>10218</v>
      </c>
      <c r="P2381" s="6" t="s">
        <v>10219</v>
      </c>
      <c r="Q2381" s="6" t="s">
        <v>10220</v>
      </c>
      <c r="R2381" s="6" t="s">
        <v>10221</v>
      </c>
      <c r="S2381" s="6" t="s">
        <v>10203</v>
      </c>
      <c r="T2381" s="6" t="s">
        <v>10204</v>
      </c>
      <c r="U2381" s="6" t="s">
        <v>10205</v>
      </c>
      <c r="V2381" s="6" t="s">
        <v>10206</v>
      </c>
      <c r="W2381" s="6" t="s">
        <v>10096</v>
      </c>
      <c r="X2381" s="6" t="s">
        <v>10097</v>
      </c>
      <c r="Y2381" s="6" t="s">
        <v>10098</v>
      </c>
      <c r="Z2381" s="6" t="s">
        <v>10099</v>
      </c>
      <c r="AG2381" s="14" t="s">
        <v>55</v>
      </c>
      <c r="AH2381" s="14" t="s">
        <v>1517</v>
      </c>
      <c r="AI2381" s="14" t="s">
        <v>1836</v>
      </c>
      <c r="AJ2381" s="5" t="s">
        <v>10118</v>
      </c>
    </row>
    <row r="2382" spans="1:37">
      <c r="A2382" s="5" t="s">
        <v>10222</v>
      </c>
      <c r="B2382" s="5" t="s">
        <v>10223</v>
      </c>
      <c r="C2382" s="6" t="s">
        <v>43</v>
      </c>
      <c r="D2382" s="6" t="s">
        <v>909</v>
      </c>
      <c r="E2382" s="6" t="s">
        <v>45</v>
      </c>
      <c r="F2382" s="6" t="s">
        <v>46</v>
      </c>
      <c r="G2382" s="6" t="s">
        <v>10224</v>
      </c>
      <c r="H2382" s="7">
        <v>168.25</v>
      </c>
      <c r="I2382" s="19" t="s">
        <v>1507</v>
      </c>
      <c r="J2382" s="19" t="s">
        <v>10194</v>
      </c>
      <c r="K2382" s="6" t="s">
        <v>10225</v>
      </c>
      <c r="L2382" s="6" t="s">
        <v>10226</v>
      </c>
      <c r="M2382" s="6" t="s">
        <v>10227</v>
      </c>
      <c r="N2382" s="6" t="s">
        <v>10228</v>
      </c>
      <c r="O2382" s="6" t="s">
        <v>10229</v>
      </c>
      <c r="P2382" s="6" t="s">
        <v>10230</v>
      </c>
      <c r="Q2382" s="6" t="s">
        <v>10231</v>
      </c>
      <c r="R2382" s="6" t="s">
        <v>10232</v>
      </c>
      <c r="S2382" s="6" t="s">
        <v>10203</v>
      </c>
      <c r="T2382" s="6" t="s">
        <v>10204</v>
      </c>
      <c r="U2382" s="6" t="s">
        <v>10205</v>
      </c>
      <c r="V2382" s="6" t="s">
        <v>10206</v>
      </c>
      <c r="W2382" s="6" t="s">
        <v>10096</v>
      </c>
      <c r="X2382" s="6" t="s">
        <v>10097</v>
      </c>
      <c r="Y2382" s="6" t="s">
        <v>10098</v>
      </c>
      <c r="Z2382" s="6" t="s">
        <v>10099</v>
      </c>
      <c r="AG2382" s="14" t="s">
        <v>49</v>
      </c>
      <c r="AH2382" s="14" t="s">
        <v>1517</v>
      </c>
      <c r="AI2382" s="14" t="s">
        <v>10146</v>
      </c>
      <c r="AJ2382" s="5" t="s">
        <v>10147</v>
      </c>
    </row>
    <row r="2383" spans="1:37">
      <c r="A2383" s="5" t="s">
        <v>10233</v>
      </c>
      <c r="B2383" s="5" t="s">
        <v>10223</v>
      </c>
      <c r="C2383" s="6" t="s">
        <v>43</v>
      </c>
      <c r="D2383" s="6" t="s">
        <v>909</v>
      </c>
      <c r="E2383" s="6" t="s">
        <v>757</v>
      </c>
      <c r="F2383" s="6" t="s">
        <v>46</v>
      </c>
      <c r="G2383" s="6" t="s">
        <v>10234</v>
      </c>
      <c r="H2383" s="7">
        <v>168.25</v>
      </c>
      <c r="I2383" s="19" t="s">
        <v>1507</v>
      </c>
      <c r="J2383" s="19" t="s">
        <v>10194</v>
      </c>
      <c r="K2383" s="6" t="s">
        <v>10225</v>
      </c>
      <c r="L2383" s="6" t="s">
        <v>10226</v>
      </c>
      <c r="M2383" s="6" t="s">
        <v>10227</v>
      </c>
      <c r="N2383" s="6" t="s">
        <v>10228</v>
      </c>
      <c r="O2383" s="6" t="s">
        <v>10235</v>
      </c>
      <c r="P2383" s="6" t="s">
        <v>10236</v>
      </c>
      <c r="Q2383" s="6" t="s">
        <v>10237</v>
      </c>
      <c r="R2383" s="6" t="s">
        <v>10238</v>
      </c>
      <c r="S2383" s="6" t="s">
        <v>10203</v>
      </c>
      <c r="T2383" s="6" t="s">
        <v>10204</v>
      </c>
      <c r="U2383" s="6" t="s">
        <v>10205</v>
      </c>
      <c r="V2383" s="6" t="s">
        <v>10206</v>
      </c>
      <c r="W2383" s="6" t="s">
        <v>10096</v>
      </c>
      <c r="X2383" s="6" t="s">
        <v>10097</v>
      </c>
      <c r="Y2383" s="6" t="s">
        <v>10098</v>
      </c>
      <c r="Z2383" s="6" t="s">
        <v>10099</v>
      </c>
      <c r="AG2383" s="14" t="s">
        <v>49</v>
      </c>
      <c r="AH2383" s="14" t="s">
        <v>1517</v>
      </c>
      <c r="AI2383" s="14" t="s">
        <v>10146</v>
      </c>
      <c r="AJ2383" s="5" t="s">
        <v>10147</v>
      </c>
    </row>
    <row r="2384" spans="1:37">
      <c r="A2384" s="5" t="s">
        <v>10239</v>
      </c>
      <c r="B2384" s="5" t="s">
        <v>10240</v>
      </c>
      <c r="C2384" s="6" t="s">
        <v>43</v>
      </c>
      <c r="D2384" s="6" t="s">
        <v>909</v>
      </c>
      <c r="E2384" s="6" t="s">
        <v>10152</v>
      </c>
      <c r="F2384" s="6" t="s">
        <v>46</v>
      </c>
      <c r="G2384" s="6" t="s">
        <v>10241</v>
      </c>
      <c r="H2384" s="7">
        <v>120</v>
      </c>
      <c r="I2384" s="19" t="s">
        <v>1507</v>
      </c>
      <c r="J2384" s="19" t="s">
        <v>10242</v>
      </c>
      <c r="K2384" s="5" t="s">
        <v>10243</v>
      </c>
      <c r="L2384" s="5" t="s">
        <v>10244</v>
      </c>
      <c r="M2384" s="5" t="s">
        <v>10245</v>
      </c>
      <c r="N2384" s="5" t="s">
        <v>10246</v>
      </c>
      <c r="O2384" s="5" t="s">
        <v>10247</v>
      </c>
      <c r="P2384" s="5" t="s">
        <v>10248</v>
      </c>
      <c r="Q2384" s="5" t="s">
        <v>10249</v>
      </c>
      <c r="R2384" s="5" t="s">
        <v>10250</v>
      </c>
      <c r="S2384" s="5" t="s">
        <v>10251</v>
      </c>
      <c r="T2384" s="5" t="s">
        <v>10252</v>
      </c>
      <c r="U2384" s="5" t="s">
        <v>10253</v>
      </c>
      <c r="V2384" s="5" t="s">
        <v>10254</v>
      </c>
      <c r="W2384" s="5" t="s">
        <v>10096</v>
      </c>
      <c r="X2384" s="5" t="s">
        <v>10097</v>
      </c>
      <c r="Y2384" s="5" t="s">
        <v>10098</v>
      </c>
      <c r="Z2384" s="5" t="s">
        <v>10099</v>
      </c>
      <c r="AG2384" s="14" t="s">
        <v>55</v>
      </c>
      <c r="AH2384" s="14" t="s">
        <v>1517</v>
      </c>
      <c r="AI2384" s="14" t="s">
        <v>1836</v>
      </c>
      <c r="AJ2384" s="5" t="s">
        <v>10118</v>
      </c>
    </row>
    <row r="2385" spans="1:37">
      <c r="A2385" s="6" t="s">
        <v>10255</v>
      </c>
      <c r="B2385" s="6" t="s">
        <v>10256</v>
      </c>
      <c r="C2385" s="6" t="s">
        <v>43</v>
      </c>
      <c r="D2385" s="6" t="s">
        <v>850</v>
      </c>
      <c r="E2385" s="6" t="s">
        <v>218</v>
      </c>
      <c r="F2385" s="6" t="s">
        <v>46</v>
      </c>
      <c r="G2385" s="6" t="s">
        <v>10257</v>
      </c>
      <c r="I2385" s="19" t="s">
        <v>48</v>
      </c>
      <c r="J2385" s="5" t="s">
        <v>48</v>
      </c>
      <c r="K2385" s="6"/>
      <c r="L2385" s="6"/>
      <c r="M2385" s="6"/>
      <c r="N2385" s="6"/>
      <c r="O2385" s="6"/>
      <c r="P2385" s="6"/>
      <c r="Q2385" s="6"/>
      <c r="R2385" s="6"/>
      <c r="S2385" s="6"/>
      <c r="T2385" s="6"/>
      <c r="U2385" s="6"/>
      <c r="V2385" s="6"/>
      <c r="W2385" s="6"/>
      <c r="X2385" s="6"/>
      <c r="Y2385" s="6"/>
      <c r="Z2385" s="6"/>
      <c r="AA2385" s="6"/>
      <c r="AB2385" s="6"/>
      <c r="AC2385" s="6"/>
      <c r="AD2385" s="6"/>
      <c r="AE2385" s="6"/>
      <c r="AF2385" s="6"/>
      <c r="AG2385" s="15" t="s">
        <v>49</v>
      </c>
      <c r="AH2385" s="15"/>
      <c r="AI2385" s="15"/>
      <c r="AJ2385" s="6"/>
      <c r="AK2385" s="6"/>
    </row>
    <row r="2386" spans="1:37" s="6" customFormat="1">
      <c r="A2386" s="5" t="s">
        <v>10258</v>
      </c>
      <c r="B2386" s="5" t="s">
        <v>10259</v>
      </c>
      <c r="C2386" s="6" t="s">
        <v>43</v>
      </c>
      <c r="D2386" s="6" t="s">
        <v>850</v>
      </c>
      <c r="E2386" s="6" t="s">
        <v>218</v>
      </c>
      <c r="F2386" s="6" t="s">
        <v>46</v>
      </c>
      <c r="G2386" s="6" t="s">
        <v>7473</v>
      </c>
      <c r="H2386" s="7">
        <v>45</v>
      </c>
      <c r="I2386" s="19" t="s">
        <v>1507</v>
      </c>
      <c r="J2386" s="19" t="s">
        <v>10260</v>
      </c>
      <c r="K2386" s="6" t="s">
        <v>10261</v>
      </c>
      <c r="L2386" s="6" t="s">
        <v>10262</v>
      </c>
      <c r="M2386" s="6" t="s">
        <v>10263</v>
      </c>
      <c r="N2386" s="6" t="s">
        <v>10264</v>
      </c>
      <c r="O2386" s="6" t="s">
        <v>10265</v>
      </c>
      <c r="P2386" s="6" t="s">
        <v>10266</v>
      </c>
      <c r="Q2386" s="6" t="s">
        <v>10267</v>
      </c>
      <c r="R2386" s="6" t="s">
        <v>10268</v>
      </c>
      <c r="S2386" s="6" t="s">
        <v>10269</v>
      </c>
      <c r="T2386" s="6" t="s">
        <v>10270</v>
      </c>
      <c r="U2386" s="6" t="s">
        <v>10271</v>
      </c>
      <c r="V2386" s="6" t="s">
        <v>10272</v>
      </c>
      <c r="W2386" s="6" t="s">
        <v>10096</v>
      </c>
      <c r="X2386" s="6" t="s">
        <v>10097</v>
      </c>
      <c r="Y2386" s="6" t="s">
        <v>10098</v>
      </c>
      <c r="Z2386" s="6" t="s">
        <v>10099</v>
      </c>
      <c r="AA2386" s="5"/>
      <c r="AB2386" s="5"/>
      <c r="AC2386" s="5"/>
      <c r="AD2386" s="5"/>
      <c r="AE2386" s="5"/>
      <c r="AF2386" s="5"/>
      <c r="AG2386" s="14" t="s">
        <v>49</v>
      </c>
      <c r="AH2386" s="14" t="s">
        <v>1517</v>
      </c>
      <c r="AI2386" s="14" t="s">
        <v>149</v>
      </c>
      <c r="AJ2386" s="5" t="s">
        <v>10273</v>
      </c>
      <c r="AK2386" s="5"/>
    </row>
    <row r="2387" spans="1:37">
      <c r="A2387" s="6" t="s">
        <v>10274</v>
      </c>
      <c r="B2387" s="6" t="s">
        <v>10275</v>
      </c>
      <c r="C2387" s="6" t="s">
        <v>43</v>
      </c>
      <c r="D2387" s="6" t="s">
        <v>850</v>
      </c>
      <c r="E2387" s="6" t="s">
        <v>218</v>
      </c>
      <c r="F2387" s="6" t="s">
        <v>46</v>
      </c>
      <c r="G2387" s="6" t="s">
        <v>10276</v>
      </c>
      <c r="I2387" s="19" t="s">
        <v>48</v>
      </c>
      <c r="J2387" s="5" t="s">
        <v>48</v>
      </c>
      <c r="K2387" s="6"/>
      <c r="L2387" s="6"/>
      <c r="M2387" s="6"/>
      <c r="N2387" s="6"/>
      <c r="O2387" s="6"/>
      <c r="P2387" s="6"/>
      <c r="Q2387" s="6"/>
      <c r="R2387" s="6"/>
      <c r="S2387" s="6"/>
      <c r="T2387" s="6"/>
      <c r="U2387" s="6"/>
      <c r="V2387" s="6"/>
      <c r="W2387" s="6"/>
      <c r="X2387" s="6"/>
      <c r="Y2387" s="6"/>
      <c r="Z2387" s="6"/>
      <c r="AA2387" s="6"/>
      <c r="AB2387" s="6"/>
      <c r="AC2387" s="6"/>
      <c r="AD2387" s="6"/>
      <c r="AE2387" s="6"/>
      <c r="AF2387" s="6"/>
      <c r="AG2387" s="15" t="s">
        <v>49</v>
      </c>
      <c r="AH2387" s="15"/>
      <c r="AI2387" s="15"/>
      <c r="AJ2387" s="6"/>
      <c r="AK2387" s="6"/>
    </row>
    <row r="2388" spans="1:37" s="6" customFormat="1">
      <c r="A2388" s="5" t="s">
        <v>10277</v>
      </c>
      <c r="B2388" s="5" t="s">
        <v>10278</v>
      </c>
      <c r="C2388" s="6" t="s">
        <v>43</v>
      </c>
      <c r="D2388" s="6" t="s">
        <v>850</v>
      </c>
      <c r="E2388" s="6" t="s">
        <v>218</v>
      </c>
      <c r="F2388" s="6" t="s">
        <v>46</v>
      </c>
      <c r="G2388" s="6" t="s">
        <v>10279</v>
      </c>
      <c r="H2388" s="7">
        <v>50</v>
      </c>
      <c r="I2388" s="19" t="s">
        <v>1507</v>
      </c>
      <c r="J2388" s="19" t="s">
        <v>10260</v>
      </c>
      <c r="K2388" s="5" t="s">
        <v>10280</v>
      </c>
      <c r="L2388" s="5" t="s">
        <v>10281</v>
      </c>
      <c r="M2388" s="5" t="s">
        <v>10282</v>
      </c>
      <c r="N2388" s="5" t="s">
        <v>10283</v>
      </c>
      <c r="O2388" s="5" t="s">
        <v>10284</v>
      </c>
      <c r="P2388" s="5" t="s">
        <v>10285</v>
      </c>
      <c r="Q2388" s="5" t="s">
        <v>10286</v>
      </c>
      <c r="R2388" s="5" t="s">
        <v>10287</v>
      </c>
      <c r="S2388" s="5" t="s">
        <v>10269</v>
      </c>
      <c r="T2388" s="5" t="s">
        <v>10270</v>
      </c>
      <c r="U2388" s="5" t="s">
        <v>10271</v>
      </c>
      <c r="V2388" s="5" t="s">
        <v>10272</v>
      </c>
      <c r="W2388" s="5" t="s">
        <v>10096</v>
      </c>
      <c r="X2388" s="5" t="s">
        <v>10097</v>
      </c>
      <c r="Y2388" s="5" t="s">
        <v>10098</v>
      </c>
      <c r="Z2388" s="5" t="s">
        <v>10099</v>
      </c>
      <c r="AA2388" s="5"/>
      <c r="AB2388" s="5"/>
      <c r="AC2388" s="5"/>
      <c r="AD2388" s="5"/>
      <c r="AE2388" s="5"/>
      <c r="AF2388" s="5"/>
      <c r="AG2388" s="14" t="s">
        <v>49</v>
      </c>
      <c r="AH2388" s="14" t="s">
        <v>1517</v>
      </c>
      <c r="AI2388" s="14" t="s">
        <v>149</v>
      </c>
      <c r="AJ2388" s="5" t="s">
        <v>10273</v>
      </c>
      <c r="AK2388" s="5"/>
    </row>
    <row r="2389" spans="1:37">
      <c r="A2389" s="5" t="s">
        <v>10288</v>
      </c>
      <c r="B2389" s="5" t="s">
        <v>10278</v>
      </c>
      <c r="C2389" s="6" t="s">
        <v>43</v>
      </c>
      <c r="D2389" s="6" t="s">
        <v>850</v>
      </c>
      <c r="E2389" s="6" t="s">
        <v>757</v>
      </c>
      <c r="F2389" s="6" t="s">
        <v>46</v>
      </c>
      <c r="G2389" s="6" t="s">
        <v>10289</v>
      </c>
      <c r="H2389" s="7">
        <v>50</v>
      </c>
      <c r="I2389" s="19" t="s">
        <v>1507</v>
      </c>
      <c r="J2389" s="19" t="s">
        <v>10260</v>
      </c>
      <c r="K2389" s="6" t="s">
        <v>10280</v>
      </c>
      <c r="L2389" s="6" t="s">
        <v>10281</v>
      </c>
      <c r="M2389" s="6" t="s">
        <v>10282</v>
      </c>
      <c r="N2389" s="6" t="s">
        <v>10283</v>
      </c>
      <c r="O2389" s="6" t="s">
        <v>10284</v>
      </c>
      <c r="P2389" s="6" t="s">
        <v>10285</v>
      </c>
      <c r="Q2389" s="6" t="s">
        <v>10286</v>
      </c>
      <c r="R2389" s="6" t="s">
        <v>10287</v>
      </c>
      <c r="S2389" s="6" t="s">
        <v>10269</v>
      </c>
      <c r="T2389" s="6" t="s">
        <v>10270</v>
      </c>
      <c r="U2389" s="6" t="s">
        <v>10271</v>
      </c>
      <c r="V2389" s="6" t="s">
        <v>10272</v>
      </c>
      <c r="W2389" s="6" t="s">
        <v>10096</v>
      </c>
      <c r="X2389" s="6" t="s">
        <v>10097</v>
      </c>
      <c r="Y2389" s="6" t="s">
        <v>10098</v>
      </c>
      <c r="Z2389" s="6" t="s">
        <v>10099</v>
      </c>
      <c r="AG2389" s="14" t="s">
        <v>49</v>
      </c>
      <c r="AH2389" s="14" t="s">
        <v>1517</v>
      </c>
      <c r="AI2389" s="14" t="s">
        <v>149</v>
      </c>
      <c r="AJ2389" s="5" t="s">
        <v>10273</v>
      </c>
    </row>
    <row r="2390" spans="1:37">
      <c r="A2390" s="5" t="s">
        <v>10290</v>
      </c>
      <c r="B2390" s="5" t="s">
        <v>10291</v>
      </c>
      <c r="C2390" s="6" t="s">
        <v>43</v>
      </c>
      <c r="D2390" s="6" t="s">
        <v>850</v>
      </c>
      <c r="E2390" s="6" t="s">
        <v>218</v>
      </c>
      <c r="F2390" s="6" t="s">
        <v>46</v>
      </c>
      <c r="G2390" s="6" t="s">
        <v>3917</v>
      </c>
      <c r="H2390" s="7">
        <v>60.5</v>
      </c>
      <c r="I2390" s="19" t="s">
        <v>1507</v>
      </c>
      <c r="J2390" s="19" t="s">
        <v>10260</v>
      </c>
      <c r="K2390" s="6" t="s">
        <v>10292</v>
      </c>
      <c r="L2390" s="6" t="s">
        <v>10293</v>
      </c>
      <c r="M2390" s="6" t="s">
        <v>10294</v>
      </c>
      <c r="N2390" s="6" t="s">
        <v>10295</v>
      </c>
      <c r="O2390" s="6" t="s">
        <v>10296</v>
      </c>
      <c r="P2390" s="6" t="s">
        <v>10297</v>
      </c>
      <c r="Q2390" s="6" t="s">
        <v>10298</v>
      </c>
      <c r="R2390" s="6" t="s">
        <v>10299</v>
      </c>
      <c r="S2390" s="6" t="s">
        <v>10269</v>
      </c>
      <c r="T2390" s="6" t="s">
        <v>10270</v>
      </c>
      <c r="U2390" s="6" t="s">
        <v>10271</v>
      </c>
      <c r="V2390" s="6" t="s">
        <v>10272</v>
      </c>
      <c r="W2390" s="6" t="s">
        <v>10096</v>
      </c>
      <c r="X2390" s="6" t="s">
        <v>10097</v>
      </c>
      <c r="Y2390" s="6" t="s">
        <v>10098</v>
      </c>
      <c r="Z2390" s="6" t="s">
        <v>10099</v>
      </c>
      <c r="AG2390" s="14" t="s">
        <v>49</v>
      </c>
      <c r="AH2390" s="14" t="s">
        <v>1517</v>
      </c>
      <c r="AI2390" s="14" t="s">
        <v>149</v>
      </c>
      <c r="AJ2390" s="5" t="s">
        <v>10273</v>
      </c>
    </row>
    <row r="2391" spans="1:37">
      <c r="A2391" s="5" t="s">
        <v>10300</v>
      </c>
      <c r="B2391" s="5" t="s">
        <v>10291</v>
      </c>
      <c r="C2391" s="6" t="s">
        <v>43</v>
      </c>
      <c r="D2391" s="6" t="s">
        <v>850</v>
      </c>
      <c r="E2391" s="6" t="s">
        <v>757</v>
      </c>
      <c r="F2391" s="6" t="s">
        <v>46</v>
      </c>
      <c r="G2391" s="6" t="s">
        <v>10301</v>
      </c>
      <c r="H2391" s="7">
        <v>60.5</v>
      </c>
      <c r="I2391" s="19" t="s">
        <v>1507</v>
      </c>
      <c r="J2391" s="19" t="s">
        <v>10260</v>
      </c>
      <c r="K2391" s="6" t="s">
        <v>10292</v>
      </c>
      <c r="L2391" s="6" t="s">
        <v>10293</v>
      </c>
      <c r="M2391" s="6" t="s">
        <v>10294</v>
      </c>
      <c r="N2391" s="6" t="s">
        <v>10295</v>
      </c>
      <c r="O2391" s="6" t="s">
        <v>10296</v>
      </c>
      <c r="P2391" s="6" t="s">
        <v>10297</v>
      </c>
      <c r="Q2391" s="6" t="s">
        <v>10298</v>
      </c>
      <c r="R2391" s="6" t="s">
        <v>10299</v>
      </c>
      <c r="S2391" s="6" t="s">
        <v>10269</v>
      </c>
      <c r="T2391" s="6" t="s">
        <v>10270</v>
      </c>
      <c r="U2391" s="6" t="s">
        <v>10271</v>
      </c>
      <c r="V2391" s="6" t="s">
        <v>10272</v>
      </c>
      <c r="W2391" s="6" t="s">
        <v>10096</v>
      </c>
      <c r="X2391" s="6" t="s">
        <v>10097</v>
      </c>
      <c r="Y2391" s="6" t="s">
        <v>10098</v>
      </c>
      <c r="Z2391" s="6" t="s">
        <v>10099</v>
      </c>
      <c r="AG2391" s="14" t="s">
        <v>49</v>
      </c>
      <c r="AH2391" s="14" t="s">
        <v>1517</v>
      </c>
      <c r="AI2391" s="14" t="s">
        <v>149</v>
      </c>
      <c r="AJ2391" s="5" t="s">
        <v>10273</v>
      </c>
    </row>
    <row r="2392" spans="1:37">
      <c r="A2392" s="5" t="s">
        <v>10302</v>
      </c>
      <c r="B2392" s="5" t="s">
        <v>10303</v>
      </c>
      <c r="C2392" s="6" t="s">
        <v>43</v>
      </c>
      <c r="D2392" s="6" t="s">
        <v>850</v>
      </c>
      <c r="E2392" s="6" t="s">
        <v>218</v>
      </c>
      <c r="F2392" s="6" t="s">
        <v>46</v>
      </c>
      <c r="G2392" s="6" t="s">
        <v>2479</v>
      </c>
      <c r="H2392" s="7">
        <v>68.75</v>
      </c>
      <c r="I2392" s="19" t="s">
        <v>1507</v>
      </c>
      <c r="J2392" s="19" t="s">
        <v>10260</v>
      </c>
      <c r="K2392" s="6" t="s">
        <v>10304</v>
      </c>
      <c r="L2392" s="6" t="s">
        <v>10305</v>
      </c>
      <c r="M2392" s="6" t="s">
        <v>10306</v>
      </c>
      <c r="N2392" s="6" t="s">
        <v>10307</v>
      </c>
      <c r="O2392" s="6" t="s">
        <v>10308</v>
      </c>
      <c r="P2392" s="6" t="s">
        <v>10309</v>
      </c>
      <c r="Q2392" s="6" t="s">
        <v>10310</v>
      </c>
      <c r="R2392" s="6" t="s">
        <v>10311</v>
      </c>
      <c r="S2392" s="6" t="s">
        <v>10269</v>
      </c>
      <c r="T2392" s="6" t="s">
        <v>10270</v>
      </c>
      <c r="U2392" s="6" t="s">
        <v>10271</v>
      </c>
      <c r="V2392" s="6" t="s">
        <v>10272</v>
      </c>
      <c r="W2392" s="6" t="s">
        <v>10096</v>
      </c>
      <c r="X2392" s="6" t="s">
        <v>10097</v>
      </c>
      <c r="Y2392" s="6" t="s">
        <v>10098</v>
      </c>
      <c r="Z2392" s="6" t="s">
        <v>10099</v>
      </c>
      <c r="AG2392" s="14" t="s">
        <v>49</v>
      </c>
      <c r="AH2392" s="14" t="s">
        <v>1517</v>
      </c>
      <c r="AI2392" s="14" t="s">
        <v>149</v>
      </c>
      <c r="AJ2392" s="5" t="s">
        <v>10273</v>
      </c>
    </row>
    <row r="2393" spans="1:37">
      <c r="A2393" s="5" t="s">
        <v>10312</v>
      </c>
      <c r="B2393" s="5" t="s">
        <v>10313</v>
      </c>
      <c r="C2393" s="6" t="s">
        <v>43</v>
      </c>
      <c r="D2393" s="6" t="s">
        <v>850</v>
      </c>
      <c r="E2393" s="6" t="s">
        <v>218</v>
      </c>
      <c r="F2393" s="6" t="s">
        <v>46</v>
      </c>
      <c r="G2393" s="6" t="s">
        <v>10314</v>
      </c>
      <c r="H2393" s="7">
        <v>60.5</v>
      </c>
      <c r="I2393" s="19" t="s">
        <v>1507</v>
      </c>
      <c r="J2393" s="19" t="s">
        <v>10260</v>
      </c>
      <c r="K2393" s="6" t="s">
        <v>10292</v>
      </c>
      <c r="L2393" s="6" t="s">
        <v>10293</v>
      </c>
      <c r="M2393" s="6" t="s">
        <v>10294</v>
      </c>
      <c r="N2393" s="6" t="s">
        <v>10295</v>
      </c>
      <c r="O2393" s="6" t="s">
        <v>10315</v>
      </c>
      <c r="P2393" s="6" t="s">
        <v>10316</v>
      </c>
      <c r="Q2393" s="6" t="s">
        <v>10317</v>
      </c>
      <c r="R2393" s="6" t="s">
        <v>10318</v>
      </c>
      <c r="S2393" s="6" t="s">
        <v>10269</v>
      </c>
      <c r="T2393" s="6" t="s">
        <v>10270</v>
      </c>
      <c r="U2393" s="6" t="s">
        <v>10271</v>
      </c>
      <c r="V2393" s="6" t="s">
        <v>10272</v>
      </c>
      <c r="W2393" s="6" t="s">
        <v>10096</v>
      </c>
      <c r="X2393" s="6" t="s">
        <v>10097</v>
      </c>
      <c r="Y2393" s="6" t="s">
        <v>10098</v>
      </c>
      <c r="Z2393" s="6" t="s">
        <v>10099</v>
      </c>
      <c r="AG2393" s="14" t="s">
        <v>49</v>
      </c>
      <c r="AH2393" s="14" t="s">
        <v>1517</v>
      </c>
      <c r="AI2393" s="14" t="s">
        <v>149</v>
      </c>
      <c r="AJ2393" s="5" t="s">
        <v>10273</v>
      </c>
    </row>
    <row r="2394" spans="1:37">
      <c r="A2394" s="5" t="s">
        <v>10319</v>
      </c>
      <c r="B2394" s="5" t="s">
        <v>10320</v>
      </c>
      <c r="C2394" s="6" t="s">
        <v>43</v>
      </c>
      <c r="D2394" s="6" t="s">
        <v>850</v>
      </c>
      <c r="E2394" s="6" t="s">
        <v>218</v>
      </c>
      <c r="F2394" s="6" t="s">
        <v>46</v>
      </c>
      <c r="G2394" s="6" t="s">
        <v>10321</v>
      </c>
      <c r="H2394" s="7">
        <v>60.5</v>
      </c>
      <c r="I2394" s="19" t="s">
        <v>1507</v>
      </c>
      <c r="J2394" s="19" t="s">
        <v>10260</v>
      </c>
      <c r="K2394" s="6" t="s">
        <v>10292</v>
      </c>
      <c r="L2394" s="6" t="s">
        <v>10293</v>
      </c>
      <c r="M2394" s="6" t="s">
        <v>10294</v>
      </c>
      <c r="N2394" s="6" t="s">
        <v>10295</v>
      </c>
      <c r="O2394" s="6" t="s">
        <v>10322</v>
      </c>
      <c r="P2394" s="6" t="s">
        <v>10323</v>
      </c>
      <c r="Q2394" s="6" t="s">
        <v>10324</v>
      </c>
      <c r="R2394" s="6" t="s">
        <v>10325</v>
      </c>
      <c r="S2394" s="6" t="s">
        <v>10269</v>
      </c>
      <c r="T2394" s="6" t="s">
        <v>10270</v>
      </c>
      <c r="U2394" s="6" t="s">
        <v>10271</v>
      </c>
      <c r="V2394" s="6" t="s">
        <v>10272</v>
      </c>
      <c r="W2394" s="6" t="s">
        <v>10096</v>
      </c>
      <c r="X2394" s="6" t="s">
        <v>10097</v>
      </c>
      <c r="Y2394" s="6" t="s">
        <v>10098</v>
      </c>
      <c r="Z2394" s="6" t="s">
        <v>10099</v>
      </c>
      <c r="AG2394" s="14" t="s">
        <v>49</v>
      </c>
      <c r="AH2394" s="14" t="s">
        <v>1517</v>
      </c>
      <c r="AI2394" s="14" t="s">
        <v>149</v>
      </c>
      <c r="AJ2394" s="5" t="s">
        <v>10273</v>
      </c>
    </row>
    <row r="2395" spans="1:37">
      <c r="A2395" s="5" t="s">
        <v>10326</v>
      </c>
      <c r="B2395" s="5" t="s">
        <v>10327</v>
      </c>
      <c r="C2395" s="6" t="s">
        <v>43</v>
      </c>
      <c r="D2395" s="6" t="s">
        <v>850</v>
      </c>
      <c r="E2395" s="6" t="s">
        <v>218</v>
      </c>
      <c r="F2395" s="6" t="s">
        <v>46</v>
      </c>
      <c r="G2395" s="6" t="s">
        <v>10328</v>
      </c>
      <c r="H2395" s="7">
        <v>88.25</v>
      </c>
      <c r="I2395" s="19" t="s">
        <v>1507</v>
      </c>
      <c r="J2395" s="19" t="s">
        <v>10260</v>
      </c>
      <c r="K2395" s="6" t="s">
        <v>10329</v>
      </c>
      <c r="L2395" s="6" t="s">
        <v>10330</v>
      </c>
      <c r="M2395" s="6" t="s">
        <v>10331</v>
      </c>
      <c r="N2395" s="6" t="s">
        <v>10332</v>
      </c>
      <c r="O2395" s="6" t="s">
        <v>10333</v>
      </c>
      <c r="P2395" s="6" t="s">
        <v>10334</v>
      </c>
      <c r="Q2395" s="6" t="s">
        <v>10267</v>
      </c>
      <c r="R2395" s="6" t="s">
        <v>10268</v>
      </c>
      <c r="S2395" s="6" t="s">
        <v>10269</v>
      </c>
      <c r="T2395" s="6" t="s">
        <v>10270</v>
      </c>
      <c r="U2395" s="6" t="s">
        <v>10271</v>
      </c>
      <c r="V2395" s="6" t="s">
        <v>10272</v>
      </c>
      <c r="W2395" s="6" t="s">
        <v>10096</v>
      </c>
      <c r="X2395" s="6" t="s">
        <v>10097</v>
      </c>
      <c r="Y2395" s="6" t="s">
        <v>10098</v>
      </c>
      <c r="Z2395" s="6" t="s">
        <v>10099</v>
      </c>
      <c r="AG2395" s="14" t="s">
        <v>49</v>
      </c>
      <c r="AH2395" s="14" t="s">
        <v>1517</v>
      </c>
      <c r="AI2395" s="14" t="s">
        <v>149</v>
      </c>
      <c r="AJ2395" s="5" t="s">
        <v>10273</v>
      </c>
    </row>
    <row r="2396" spans="1:37">
      <c r="A2396" s="5" t="s">
        <v>10335</v>
      </c>
      <c r="B2396" s="5" t="s">
        <v>10327</v>
      </c>
      <c r="C2396" s="6" t="s">
        <v>43</v>
      </c>
      <c r="D2396" s="6" t="s">
        <v>850</v>
      </c>
      <c r="E2396" s="6" t="s">
        <v>503</v>
      </c>
      <c r="F2396" s="6" t="s">
        <v>46</v>
      </c>
      <c r="G2396" s="6" t="s">
        <v>10336</v>
      </c>
      <c r="H2396" s="7">
        <v>88.25</v>
      </c>
      <c r="I2396" s="19" t="s">
        <v>1507</v>
      </c>
      <c r="J2396" s="19" t="s">
        <v>10260</v>
      </c>
      <c r="K2396" s="6" t="s">
        <v>10329</v>
      </c>
      <c r="L2396" s="6" t="s">
        <v>10330</v>
      </c>
      <c r="M2396" s="6" t="s">
        <v>10331</v>
      </c>
      <c r="N2396" s="6" t="s">
        <v>10332</v>
      </c>
      <c r="O2396" s="6" t="s">
        <v>10333</v>
      </c>
      <c r="P2396" s="6" t="s">
        <v>10334</v>
      </c>
      <c r="Q2396" s="6" t="s">
        <v>10267</v>
      </c>
      <c r="R2396" s="6" t="s">
        <v>10268</v>
      </c>
      <c r="S2396" s="6" t="s">
        <v>10269</v>
      </c>
      <c r="T2396" s="6" t="s">
        <v>10270</v>
      </c>
      <c r="U2396" s="6" t="s">
        <v>10271</v>
      </c>
      <c r="V2396" s="6" t="s">
        <v>10272</v>
      </c>
      <c r="W2396" s="6" t="s">
        <v>10096</v>
      </c>
      <c r="X2396" s="6" t="s">
        <v>10097</v>
      </c>
      <c r="Y2396" s="6" t="s">
        <v>10098</v>
      </c>
      <c r="Z2396" s="6" t="s">
        <v>10099</v>
      </c>
      <c r="AG2396" s="14" t="s">
        <v>49</v>
      </c>
      <c r="AH2396" s="14" t="s">
        <v>1517</v>
      </c>
      <c r="AI2396" s="14" t="s">
        <v>149</v>
      </c>
      <c r="AJ2396" s="5" t="s">
        <v>10273</v>
      </c>
    </row>
    <row r="2397" spans="1:37">
      <c r="A2397" s="5" t="s">
        <v>10337</v>
      </c>
      <c r="B2397" s="5" t="s">
        <v>10338</v>
      </c>
      <c r="C2397" s="6" t="s">
        <v>43</v>
      </c>
      <c r="D2397" s="6" t="s">
        <v>850</v>
      </c>
      <c r="E2397" s="6" t="s">
        <v>218</v>
      </c>
      <c r="F2397" s="6" t="s">
        <v>46</v>
      </c>
      <c r="G2397" s="6" t="s">
        <v>10339</v>
      </c>
      <c r="H2397" s="7">
        <v>50</v>
      </c>
      <c r="I2397" s="19" t="s">
        <v>1507</v>
      </c>
      <c r="J2397" s="19" t="s">
        <v>10260</v>
      </c>
      <c r="K2397" s="6" t="s">
        <v>10280</v>
      </c>
      <c r="L2397" s="6" t="s">
        <v>10281</v>
      </c>
      <c r="M2397" s="6" t="s">
        <v>10282</v>
      </c>
      <c r="N2397" s="6" t="s">
        <v>10283</v>
      </c>
      <c r="O2397" s="6" t="s">
        <v>10340</v>
      </c>
      <c r="P2397" s="6" t="s">
        <v>10341</v>
      </c>
      <c r="Q2397" s="6" t="s">
        <v>10342</v>
      </c>
      <c r="R2397" s="6" t="s">
        <v>10343</v>
      </c>
      <c r="S2397" s="6" t="s">
        <v>10269</v>
      </c>
      <c r="T2397" s="6" t="s">
        <v>10270</v>
      </c>
      <c r="U2397" s="6" t="s">
        <v>10271</v>
      </c>
      <c r="V2397" s="6" t="s">
        <v>10272</v>
      </c>
      <c r="W2397" s="6" t="s">
        <v>10096</v>
      </c>
      <c r="X2397" s="6" t="s">
        <v>10097</v>
      </c>
      <c r="Y2397" s="6" t="s">
        <v>10098</v>
      </c>
      <c r="Z2397" s="6" t="s">
        <v>10099</v>
      </c>
      <c r="AG2397" s="14" t="s">
        <v>49</v>
      </c>
      <c r="AH2397" s="14" t="s">
        <v>1517</v>
      </c>
      <c r="AI2397" s="14" t="s">
        <v>149</v>
      </c>
      <c r="AJ2397" s="5" t="s">
        <v>10273</v>
      </c>
    </row>
    <row r="2398" spans="1:37">
      <c r="A2398" s="5" t="s">
        <v>10344</v>
      </c>
      <c r="B2398" s="5" t="s">
        <v>10345</v>
      </c>
      <c r="C2398" s="6" t="s">
        <v>43</v>
      </c>
      <c r="D2398" s="6" t="s">
        <v>850</v>
      </c>
      <c r="E2398" s="6" t="s">
        <v>218</v>
      </c>
      <c r="F2398" s="6" t="s">
        <v>46</v>
      </c>
      <c r="G2398" s="6" t="s">
        <v>10346</v>
      </c>
      <c r="H2398" s="7">
        <v>60.5</v>
      </c>
      <c r="I2398" s="19" t="s">
        <v>1507</v>
      </c>
      <c r="J2398" s="19" t="s">
        <v>10260</v>
      </c>
      <c r="K2398" s="6" t="s">
        <v>10292</v>
      </c>
      <c r="L2398" s="6" t="s">
        <v>10293</v>
      </c>
      <c r="M2398" s="6" t="s">
        <v>10294</v>
      </c>
      <c r="N2398" s="6" t="s">
        <v>10295</v>
      </c>
      <c r="O2398" s="6" t="s">
        <v>10347</v>
      </c>
      <c r="P2398" s="6" t="s">
        <v>10348</v>
      </c>
      <c r="Q2398" s="6" t="s">
        <v>10349</v>
      </c>
      <c r="R2398" s="6" t="s">
        <v>10350</v>
      </c>
      <c r="S2398" s="6" t="s">
        <v>10269</v>
      </c>
      <c r="T2398" s="6" t="s">
        <v>10270</v>
      </c>
      <c r="U2398" s="6" t="s">
        <v>10271</v>
      </c>
      <c r="V2398" s="6" t="s">
        <v>10272</v>
      </c>
      <c r="W2398" s="6" t="s">
        <v>10096</v>
      </c>
      <c r="X2398" s="6" t="s">
        <v>10097</v>
      </c>
      <c r="Y2398" s="6" t="s">
        <v>10098</v>
      </c>
      <c r="Z2398" s="6" t="s">
        <v>10099</v>
      </c>
      <c r="AG2398" s="14" t="s">
        <v>49</v>
      </c>
      <c r="AH2398" s="14" t="s">
        <v>1517</v>
      </c>
      <c r="AI2398" s="14" t="s">
        <v>149</v>
      </c>
      <c r="AJ2398" s="5" t="s">
        <v>10273</v>
      </c>
    </row>
    <row r="2399" spans="1:37">
      <c r="A2399" s="5" t="s">
        <v>10351</v>
      </c>
      <c r="B2399" s="5" t="s">
        <v>10352</v>
      </c>
      <c r="C2399" s="6" t="s">
        <v>43</v>
      </c>
      <c r="D2399" s="6" t="s">
        <v>850</v>
      </c>
      <c r="E2399" s="6" t="s">
        <v>218</v>
      </c>
      <c r="F2399" s="6" t="s">
        <v>46</v>
      </c>
      <c r="G2399" s="6" t="s">
        <v>10353</v>
      </c>
      <c r="H2399" s="7">
        <v>50</v>
      </c>
      <c r="I2399" s="19" t="s">
        <v>1507</v>
      </c>
      <c r="J2399" s="19" t="s">
        <v>10260</v>
      </c>
      <c r="K2399" s="6" t="s">
        <v>10280</v>
      </c>
      <c r="L2399" s="6" t="s">
        <v>10281</v>
      </c>
      <c r="M2399" s="6" t="s">
        <v>10282</v>
      </c>
      <c r="N2399" s="6" t="s">
        <v>10283</v>
      </c>
      <c r="O2399" s="6" t="s">
        <v>10354</v>
      </c>
      <c r="P2399" s="6" t="s">
        <v>10355</v>
      </c>
      <c r="Q2399" s="6" t="s">
        <v>10356</v>
      </c>
      <c r="R2399" s="6" t="s">
        <v>10357</v>
      </c>
      <c r="S2399" s="6" t="s">
        <v>10269</v>
      </c>
      <c r="T2399" s="6" t="s">
        <v>10270</v>
      </c>
      <c r="U2399" s="6" t="s">
        <v>10271</v>
      </c>
      <c r="V2399" s="6" t="s">
        <v>10272</v>
      </c>
      <c r="W2399" s="6" t="s">
        <v>10096</v>
      </c>
      <c r="X2399" s="6" t="s">
        <v>10097</v>
      </c>
      <c r="Y2399" s="6" t="s">
        <v>10098</v>
      </c>
      <c r="Z2399" s="6" t="s">
        <v>10099</v>
      </c>
      <c r="AG2399" s="14" t="s">
        <v>49</v>
      </c>
      <c r="AH2399" s="14" t="s">
        <v>1517</v>
      </c>
      <c r="AI2399" s="14" t="s">
        <v>149</v>
      </c>
      <c r="AJ2399" s="5" t="s">
        <v>10273</v>
      </c>
    </row>
    <row r="2400" spans="1:37">
      <c r="A2400" s="5" t="s">
        <v>10358</v>
      </c>
      <c r="B2400" s="5" t="s">
        <v>10359</v>
      </c>
      <c r="C2400" s="6" t="s">
        <v>43</v>
      </c>
      <c r="D2400" s="6" t="s">
        <v>850</v>
      </c>
      <c r="E2400" s="6" t="s">
        <v>218</v>
      </c>
      <c r="F2400" s="6" t="s">
        <v>46</v>
      </c>
      <c r="G2400" s="6" t="s">
        <v>10360</v>
      </c>
      <c r="H2400" s="7">
        <v>60.5</v>
      </c>
      <c r="I2400" s="19" t="s">
        <v>1507</v>
      </c>
      <c r="J2400" s="19" t="s">
        <v>10260</v>
      </c>
      <c r="K2400" s="6" t="s">
        <v>10292</v>
      </c>
      <c r="L2400" s="6" t="s">
        <v>10293</v>
      </c>
      <c r="M2400" s="6" t="s">
        <v>10294</v>
      </c>
      <c r="N2400" s="6" t="s">
        <v>10295</v>
      </c>
      <c r="O2400" s="6" t="s">
        <v>10361</v>
      </c>
      <c r="P2400" s="6" t="s">
        <v>10362</v>
      </c>
      <c r="Q2400" s="6" t="s">
        <v>10363</v>
      </c>
      <c r="R2400" s="6" t="s">
        <v>10364</v>
      </c>
      <c r="S2400" s="6" t="s">
        <v>10269</v>
      </c>
      <c r="T2400" s="6" t="s">
        <v>10270</v>
      </c>
      <c r="U2400" s="6" t="s">
        <v>10271</v>
      </c>
      <c r="V2400" s="6" t="s">
        <v>10272</v>
      </c>
      <c r="W2400" s="6" t="s">
        <v>10096</v>
      </c>
      <c r="X2400" s="6" t="s">
        <v>10097</v>
      </c>
      <c r="Y2400" s="6" t="s">
        <v>10098</v>
      </c>
      <c r="Z2400" s="6" t="s">
        <v>10099</v>
      </c>
      <c r="AG2400" s="14" t="s">
        <v>49</v>
      </c>
      <c r="AH2400" s="14" t="s">
        <v>1517</v>
      </c>
      <c r="AI2400" s="14" t="s">
        <v>149</v>
      </c>
      <c r="AJ2400" s="5" t="s">
        <v>10273</v>
      </c>
    </row>
    <row r="2401" spans="1:37">
      <c r="A2401" s="5" t="s">
        <v>10365</v>
      </c>
      <c r="B2401" s="5" t="s">
        <v>10366</v>
      </c>
      <c r="C2401" s="6" t="s">
        <v>43</v>
      </c>
      <c r="D2401" s="6" t="s">
        <v>850</v>
      </c>
      <c r="E2401" s="6" t="s">
        <v>218</v>
      </c>
      <c r="F2401" s="6" t="s">
        <v>46</v>
      </c>
      <c r="G2401" s="6" t="s">
        <v>10367</v>
      </c>
      <c r="H2401" s="7">
        <v>60.5</v>
      </c>
      <c r="I2401" s="19" t="s">
        <v>1507</v>
      </c>
      <c r="J2401" s="19" t="s">
        <v>10368</v>
      </c>
      <c r="K2401" s="17" t="s">
        <v>10369</v>
      </c>
      <c r="L2401" s="5" t="s">
        <v>10370</v>
      </c>
      <c r="M2401" s="5" t="s">
        <v>10371</v>
      </c>
      <c r="N2401" s="5" t="s">
        <v>10372</v>
      </c>
      <c r="O2401" s="5" t="s">
        <v>10373</v>
      </c>
      <c r="P2401" s="5" t="s">
        <v>10374</v>
      </c>
      <c r="Q2401" s="5" t="s">
        <v>10375</v>
      </c>
      <c r="R2401" s="5" t="s">
        <v>10376</v>
      </c>
      <c r="S2401" s="5" t="s">
        <v>10377</v>
      </c>
      <c r="T2401" s="5" t="s">
        <v>10378</v>
      </c>
      <c r="U2401" s="5" t="s">
        <v>10379</v>
      </c>
      <c r="V2401" s="5" t="s">
        <v>10380</v>
      </c>
      <c r="W2401" s="5" t="s">
        <v>10096</v>
      </c>
      <c r="X2401" s="5" t="s">
        <v>10097</v>
      </c>
      <c r="Y2401" s="5" t="s">
        <v>10098</v>
      </c>
      <c r="Z2401" s="5" t="s">
        <v>10099</v>
      </c>
      <c r="AG2401" s="14" t="s">
        <v>49</v>
      </c>
      <c r="AH2401" s="14" t="s">
        <v>1517</v>
      </c>
      <c r="AI2401" s="14" t="s">
        <v>149</v>
      </c>
      <c r="AJ2401" s="5" t="s">
        <v>10273</v>
      </c>
    </row>
    <row r="2402" spans="1:37">
      <c r="A2402" s="5" t="s">
        <v>10381</v>
      </c>
      <c r="B2402" s="5" t="s">
        <v>10382</v>
      </c>
      <c r="C2402" s="6" t="s">
        <v>43</v>
      </c>
      <c r="D2402" s="6" t="s">
        <v>850</v>
      </c>
      <c r="E2402" s="6" t="s">
        <v>218</v>
      </c>
      <c r="F2402" s="6" t="s">
        <v>46</v>
      </c>
      <c r="G2402" s="6" t="s">
        <v>10383</v>
      </c>
      <c r="H2402" s="7">
        <v>68.75</v>
      </c>
      <c r="I2402" s="19" t="s">
        <v>1507</v>
      </c>
      <c r="J2402" s="19" t="s">
        <v>10368</v>
      </c>
      <c r="K2402" s="28" t="s">
        <v>10384</v>
      </c>
      <c r="L2402" s="6" t="s">
        <v>10385</v>
      </c>
      <c r="M2402" s="6" t="s">
        <v>10386</v>
      </c>
      <c r="N2402" s="6" t="s">
        <v>10387</v>
      </c>
      <c r="O2402" s="6" t="s">
        <v>10388</v>
      </c>
      <c r="P2402" s="6" t="s">
        <v>10389</v>
      </c>
      <c r="Q2402" s="6" t="s">
        <v>10390</v>
      </c>
      <c r="R2402" s="6" t="s">
        <v>10391</v>
      </c>
      <c r="S2402" s="6" t="s">
        <v>10377</v>
      </c>
      <c r="T2402" s="6" t="s">
        <v>10378</v>
      </c>
      <c r="U2402" s="6" t="s">
        <v>10379</v>
      </c>
      <c r="V2402" s="6" t="s">
        <v>10380</v>
      </c>
      <c r="W2402" s="6" t="s">
        <v>10096</v>
      </c>
      <c r="X2402" s="6" t="s">
        <v>10097</v>
      </c>
      <c r="Y2402" s="6" t="s">
        <v>10098</v>
      </c>
      <c r="Z2402" s="6" t="s">
        <v>10099</v>
      </c>
      <c r="AG2402" s="14" t="s">
        <v>49</v>
      </c>
      <c r="AH2402" s="14" t="s">
        <v>1517</v>
      </c>
      <c r="AI2402" s="14" t="s">
        <v>149</v>
      </c>
      <c r="AJ2402" s="5" t="s">
        <v>10273</v>
      </c>
    </row>
    <row r="2403" spans="1:37">
      <c r="A2403" s="5" t="s">
        <v>10392</v>
      </c>
      <c r="B2403" s="5" t="s">
        <v>10393</v>
      </c>
      <c r="C2403" s="6" t="s">
        <v>43</v>
      </c>
      <c r="D2403" s="6" t="s">
        <v>850</v>
      </c>
      <c r="E2403" s="6" t="s">
        <v>218</v>
      </c>
      <c r="F2403" s="6" t="s">
        <v>46</v>
      </c>
      <c r="G2403" s="6" t="s">
        <v>10394</v>
      </c>
      <c r="H2403" s="7">
        <v>88.25</v>
      </c>
      <c r="I2403" s="19" t="s">
        <v>1507</v>
      </c>
      <c r="J2403" s="19" t="s">
        <v>10368</v>
      </c>
      <c r="K2403" s="28" t="s">
        <v>10395</v>
      </c>
      <c r="L2403" s="6" t="s">
        <v>10396</v>
      </c>
      <c r="M2403" s="6" t="s">
        <v>10397</v>
      </c>
      <c r="N2403" s="6" t="s">
        <v>10398</v>
      </c>
      <c r="O2403" s="6" t="s">
        <v>10399</v>
      </c>
      <c r="P2403" s="6" t="s">
        <v>10400</v>
      </c>
      <c r="Q2403" s="6" t="s">
        <v>10401</v>
      </c>
      <c r="R2403" s="6" t="s">
        <v>10402</v>
      </c>
      <c r="S2403" s="6" t="s">
        <v>10377</v>
      </c>
      <c r="T2403" s="6" t="s">
        <v>10378</v>
      </c>
      <c r="U2403" s="6" t="s">
        <v>10379</v>
      </c>
      <c r="V2403" s="6" t="s">
        <v>10380</v>
      </c>
      <c r="W2403" s="6" t="s">
        <v>10096</v>
      </c>
      <c r="X2403" s="6" t="s">
        <v>10097</v>
      </c>
      <c r="Y2403" s="6" t="s">
        <v>10098</v>
      </c>
      <c r="Z2403" s="6" t="s">
        <v>10099</v>
      </c>
      <c r="AG2403" s="14" t="s">
        <v>49</v>
      </c>
      <c r="AH2403" s="14" t="s">
        <v>1517</v>
      </c>
      <c r="AI2403" s="14" t="s">
        <v>149</v>
      </c>
      <c r="AJ2403" s="5" t="s">
        <v>10273</v>
      </c>
    </row>
    <row r="2404" spans="1:37">
      <c r="A2404" s="5" t="s">
        <v>10403</v>
      </c>
      <c r="B2404" s="5" t="s">
        <v>10393</v>
      </c>
      <c r="C2404" s="6" t="s">
        <v>43</v>
      </c>
      <c r="D2404" s="6" t="s">
        <v>850</v>
      </c>
      <c r="E2404" s="6" t="s">
        <v>2461</v>
      </c>
      <c r="F2404" s="6" t="s">
        <v>46</v>
      </c>
      <c r="G2404" s="6" t="s">
        <v>2111</v>
      </c>
      <c r="H2404" s="7">
        <v>88.25</v>
      </c>
      <c r="I2404" s="19" t="s">
        <v>1507</v>
      </c>
      <c r="J2404" s="19" t="s">
        <v>10368</v>
      </c>
      <c r="K2404" s="28" t="s">
        <v>10395</v>
      </c>
      <c r="L2404" s="6" t="s">
        <v>10396</v>
      </c>
      <c r="M2404" s="6" t="s">
        <v>10397</v>
      </c>
      <c r="N2404" s="6" t="s">
        <v>10398</v>
      </c>
      <c r="O2404" s="6" t="s">
        <v>10399</v>
      </c>
      <c r="P2404" s="6" t="s">
        <v>10400</v>
      </c>
      <c r="Q2404" s="6" t="s">
        <v>10401</v>
      </c>
      <c r="R2404" s="6" t="s">
        <v>10402</v>
      </c>
      <c r="S2404" s="6" t="s">
        <v>10377</v>
      </c>
      <c r="T2404" s="6" t="s">
        <v>10378</v>
      </c>
      <c r="U2404" s="6" t="s">
        <v>10379</v>
      </c>
      <c r="V2404" s="6" t="s">
        <v>10380</v>
      </c>
      <c r="W2404" s="6" t="s">
        <v>10096</v>
      </c>
      <c r="X2404" s="6" t="s">
        <v>10097</v>
      </c>
      <c r="Y2404" s="6" t="s">
        <v>10098</v>
      </c>
      <c r="Z2404" s="6" t="s">
        <v>10099</v>
      </c>
      <c r="AG2404" s="14" t="s">
        <v>55</v>
      </c>
      <c r="AH2404" s="14" t="s">
        <v>1517</v>
      </c>
      <c r="AI2404" s="14" t="s">
        <v>1409</v>
      </c>
      <c r="AJ2404" s="5" t="s">
        <v>10404</v>
      </c>
    </row>
    <row r="2405" spans="1:37">
      <c r="A2405" s="5" t="s">
        <v>10405</v>
      </c>
      <c r="B2405" s="5" t="s">
        <v>10393</v>
      </c>
      <c r="C2405" s="6" t="s">
        <v>43</v>
      </c>
      <c r="D2405" s="6" t="s">
        <v>850</v>
      </c>
      <c r="E2405" s="6" t="s">
        <v>757</v>
      </c>
      <c r="F2405" s="6" t="s">
        <v>46</v>
      </c>
      <c r="G2405" s="6" t="s">
        <v>10406</v>
      </c>
      <c r="H2405" s="7">
        <v>88.25</v>
      </c>
      <c r="I2405" s="19" t="s">
        <v>1507</v>
      </c>
      <c r="J2405" s="19" t="s">
        <v>10368</v>
      </c>
      <c r="K2405" s="28" t="s">
        <v>10395</v>
      </c>
      <c r="L2405" s="6" t="s">
        <v>10396</v>
      </c>
      <c r="M2405" s="6" t="s">
        <v>10397</v>
      </c>
      <c r="N2405" s="6" t="s">
        <v>10398</v>
      </c>
      <c r="O2405" s="6" t="s">
        <v>10399</v>
      </c>
      <c r="P2405" s="6" t="s">
        <v>10400</v>
      </c>
      <c r="Q2405" s="6" t="s">
        <v>10401</v>
      </c>
      <c r="R2405" s="6" t="s">
        <v>10402</v>
      </c>
      <c r="S2405" s="6" t="s">
        <v>10377</v>
      </c>
      <c r="T2405" s="6" t="s">
        <v>10378</v>
      </c>
      <c r="U2405" s="6" t="s">
        <v>10379</v>
      </c>
      <c r="V2405" s="6" t="s">
        <v>10380</v>
      </c>
      <c r="W2405" s="6" t="s">
        <v>10096</v>
      </c>
      <c r="X2405" s="6" t="s">
        <v>10097</v>
      </c>
      <c r="Y2405" s="6" t="s">
        <v>10098</v>
      </c>
      <c r="Z2405" s="6" t="s">
        <v>10099</v>
      </c>
      <c r="AG2405" s="14" t="s">
        <v>49</v>
      </c>
      <c r="AH2405" s="14" t="s">
        <v>1517</v>
      </c>
      <c r="AI2405" s="14" t="s">
        <v>149</v>
      </c>
      <c r="AJ2405" s="5" t="s">
        <v>10273</v>
      </c>
    </row>
    <row r="2406" spans="1:37">
      <c r="A2406" s="5" t="s">
        <v>10407</v>
      </c>
      <c r="B2406" s="5" t="s">
        <v>10408</v>
      </c>
      <c r="C2406" s="6" t="s">
        <v>43</v>
      </c>
      <c r="D2406" s="6" t="s">
        <v>850</v>
      </c>
      <c r="E2406" s="6" t="s">
        <v>218</v>
      </c>
      <c r="F2406" s="6" t="s">
        <v>46</v>
      </c>
      <c r="G2406" s="6" t="s">
        <v>10409</v>
      </c>
      <c r="H2406" s="7">
        <v>52</v>
      </c>
      <c r="I2406" s="19" t="s">
        <v>1507</v>
      </c>
      <c r="J2406" s="19" t="s">
        <v>10410</v>
      </c>
      <c r="K2406" s="6" t="s">
        <v>10411</v>
      </c>
      <c r="L2406" s="6" t="s">
        <v>10412</v>
      </c>
      <c r="M2406" s="6" t="s">
        <v>10413</v>
      </c>
      <c r="N2406" s="6" t="s">
        <v>10414</v>
      </c>
      <c r="O2406" s="6" t="s">
        <v>10415</v>
      </c>
      <c r="P2406" s="6" t="s">
        <v>10416</v>
      </c>
      <c r="Q2406" s="6" t="s">
        <v>10417</v>
      </c>
      <c r="R2406" s="6" t="s">
        <v>10418</v>
      </c>
      <c r="S2406" s="6" t="s">
        <v>10269</v>
      </c>
      <c r="T2406" s="6" t="s">
        <v>10270</v>
      </c>
      <c r="U2406" s="6" t="s">
        <v>10271</v>
      </c>
      <c r="V2406" s="6" t="s">
        <v>10272</v>
      </c>
      <c r="W2406" s="6" t="s">
        <v>10419</v>
      </c>
      <c r="X2406" s="6" t="s">
        <v>10420</v>
      </c>
      <c r="Y2406" s="6" t="s">
        <v>10421</v>
      </c>
      <c r="Z2406" s="6" t="s">
        <v>10422</v>
      </c>
      <c r="AG2406" s="14" t="s">
        <v>49</v>
      </c>
      <c r="AH2406" s="14" t="s">
        <v>1517</v>
      </c>
      <c r="AI2406" s="14" t="s">
        <v>1408</v>
      </c>
      <c r="AJ2406" s="5" t="s">
        <v>10423</v>
      </c>
    </row>
    <row r="2407" spans="1:37">
      <c r="A2407" s="5" t="s">
        <v>10424</v>
      </c>
      <c r="B2407" s="5" t="s">
        <v>10425</v>
      </c>
      <c r="C2407" s="6" t="s">
        <v>43</v>
      </c>
      <c r="D2407" s="6" t="s">
        <v>850</v>
      </c>
      <c r="E2407" s="6" t="s">
        <v>218</v>
      </c>
      <c r="F2407" s="6" t="s">
        <v>46</v>
      </c>
      <c r="G2407" s="6" t="s">
        <v>7606</v>
      </c>
      <c r="H2407" s="7">
        <v>68.25</v>
      </c>
      <c r="I2407" s="19" t="s">
        <v>1507</v>
      </c>
      <c r="J2407" s="19" t="s">
        <v>10410</v>
      </c>
      <c r="K2407" s="5" t="s">
        <v>10426</v>
      </c>
      <c r="L2407" s="5" t="s">
        <v>10427</v>
      </c>
      <c r="M2407" s="5" t="s">
        <v>10428</v>
      </c>
      <c r="N2407" s="5" t="s">
        <v>10429</v>
      </c>
      <c r="O2407" s="5" t="s">
        <v>10430</v>
      </c>
      <c r="P2407" s="5" t="s">
        <v>10431</v>
      </c>
      <c r="Q2407" s="5" t="s">
        <v>10432</v>
      </c>
      <c r="R2407" s="5" t="s">
        <v>10433</v>
      </c>
      <c r="S2407" s="5" t="s">
        <v>10269</v>
      </c>
      <c r="T2407" s="5" t="s">
        <v>10270</v>
      </c>
      <c r="U2407" s="5" t="s">
        <v>10271</v>
      </c>
      <c r="V2407" s="5" t="s">
        <v>10272</v>
      </c>
      <c r="W2407" s="5" t="s">
        <v>10419</v>
      </c>
      <c r="X2407" s="5" t="s">
        <v>10420</v>
      </c>
      <c r="Y2407" s="5" t="s">
        <v>10421</v>
      </c>
      <c r="Z2407" s="5" t="s">
        <v>10422</v>
      </c>
      <c r="AG2407" s="14" t="s">
        <v>49</v>
      </c>
      <c r="AH2407" s="14" t="s">
        <v>1517</v>
      </c>
      <c r="AI2407" s="14" t="s">
        <v>1408</v>
      </c>
      <c r="AJ2407" s="5" t="s">
        <v>10423</v>
      </c>
    </row>
    <row r="2408" spans="1:37">
      <c r="A2408" s="5" t="s">
        <v>10434</v>
      </c>
      <c r="B2408" s="5" t="s">
        <v>10435</v>
      </c>
      <c r="C2408" s="6" t="s">
        <v>43</v>
      </c>
      <c r="D2408" s="6" t="s">
        <v>850</v>
      </c>
      <c r="E2408" s="6" t="s">
        <v>218</v>
      </c>
      <c r="F2408" s="6" t="s">
        <v>46</v>
      </c>
      <c r="G2408" s="6" t="s">
        <v>10436</v>
      </c>
      <c r="H2408" s="7">
        <v>85.25</v>
      </c>
      <c r="I2408" s="19" t="s">
        <v>1507</v>
      </c>
      <c r="J2408" s="19" t="s">
        <v>10410</v>
      </c>
      <c r="K2408" s="6" t="s">
        <v>10437</v>
      </c>
      <c r="L2408" s="6" t="s">
        <v>10438</v>
      </c>
      <c r="M2408" s="6" t="s">
        <v>10439</v>
      </c>
      <c r="N2408" s="6" t="s">
        <v>10440</v>
      </c>
      <c r="O2408" s="6" t="s">
        <v>10441</v>
      </c>
      <c r="P2408" s="6" t="s">
        <v>10442</v>
      </c>
      <c r="Q2408" s="6" t="s">
        <v>10443</v>
      </c>
      <c r="R2408" s="6" t="s">
        <v>10444</v>
      </c>
      <c r="S2408" s="6" t="s">
        <v>10269</v>
      </c>
      <c r="T2408" s="6" t="s">
        <v>10270</v>
      </c>
      <c r="U2408" s="6" t="s">
        <v>10271</v>
      </c>
      <c r="V2408" s="6" t="s">
        <v>10272</v>
      </c>
      <c r="W2408" s="6" t="s">
        <v>10419</v>
      </c>
      <c r="X2408" s="6" t="s">
        <v>10420</v>
      </c>
      <c r="Y2408" s="6" t="s">
        <v>10421</v>
      </c>
      <c r="AG2408" s="14" t="s">
        <v>49</v>
      </c>
      <c r="AH2408" s="14" t="s">
        <v>1517</v>
      </c>
      <c r="AI2408" s="14" t="s">
        <v>1408</v>
      </c>
      <c r="AJ2408" s="5" t="s">
        <v>10423</v>
      </c>
    </row>
    <row r="2409" spans="1:37">
      <c r="A2409" s="5" t="s">
        <v>10445</v>
      </c>
      <c r="B2409" s="5" t="s">
        <v>10446</v>
      </c>
      <c r="C2409" s="6" t="s">
        <v>43</v>
      </c>
      <c r="D2409" s="6" t="s">
        <v>850</v>
      </c>
      <c r="E2409" s="6" t="s">
        <v>218</v>
      </c>
      <c r="F2409" s="6" t="s">
        <v>46</v>
      </c>
      <c r="G2409" s="6" t="s">
        <v>10447</v>
      </c>
      <c r="H2409" s="7">
        <v>102.25</v>
      </c>
      <c r="I2409" s="19" t="s">
        <v>1507</v>
      </c>
      <c r="J2409" s="19" t="s">
        <v>10410</v>
      </c>
      <c r="K2409" s="6" t="s">
        <v>10448</v>
      </c>
      <c r="L2409" s="6" t="s">
        <v>10449</v>
      </c>
      <c r="M2409" s="6" t="s">
        <v>10450</v>
      </c>
      <c r="N2409" s="6" t="s">
        <v>10451</v>
      </c>
      <c r="O2409" s="6" t="s">
        <v>10452</v>
      </c>
      <c r="P2409" s="6" t="s">
        <v>10453</v>
      </c>
      <c r="Q2409" s="6" t="s">
        <v>10454</v>
      </c>
      <c r="R2409" s="6" t="s">
        <v>10455</v>
      </c>
      <c r="S2409" s="6" t="s">
        <v>10269</v>
      </c>
      <c r="T2409" s="6" t="s">
        <v>10270</v>
      </c>
      <c r="U2409" s="6" t="s">
        <v>10271</v>
      </c>
      <c r="V2409" s="6" t="s">
        <v>10272</v>
      </c>
      <c r="W2409" s="6" t="s">
        <v>10419</v>
      </c>
      <c r="X2409" s="6" t="s">
        <v>10420</v>
      </c>
      <c r="Y2409" s="6" t="s">
        <v>10421</v>
      </c>
      <c r="AG2409" s="14" t="s">
        <v>49</v>
      </c>
      <c r="AH2409" s="14" t="s">
        <v>1517</v>
      </c>
      <c r="AI2409" s="14" t="s">
        <v>1408</v>
      </c>
      <c r="AJ2409" s="5" t="s">
        <v>10423</v>
      </c>
    </row>
    <row r="2410" spans="1:37">
      <c r="A2410" s="5" t="s">
        <v>10456</v>
      </c>
      <c r="B2410" s="5" t="s">
        <v>10457</v>
      </c>
      <c r="C2410" s="6" t="s">
        <v>43</v>
      </c>
      <c r="D2410" s="6" t="s">
        <v>850</v>
      </c>
      <c r="E2410" s="6" t="s">
        <v>218</v>
      </c>
      <c r="F2410" s="6" t="s">
        <v>46</v>
      </c>
      <c r="G2410" s="6" t="s">
        <v>10458</v>
      </c>
      <c r="H2410" s="7">
        <v>52.25</v>
      </c>
      <c r="I2410" s="19" t="s">
        <v>1507</v>
      </c>
      <c r="J2410" s="19" t="s">
        <v>10459</v>
      </c>
      <c r="K2410" s="5" t="s">
        <v>10460</v>
      </c>
      <c r="L2410" s="5" t="s">
        <v>10461</v>
      </c>
      <c r="M2410" s="5" t="s">
        <v>10462</v>
      </c>
      <c r="N2410" s="5" t="s">
        <v>10463</v>
      </c>
      <c r="O2410" s="5" t="s">
        <v>10464</v>
      </c>
      <c r="P2410" s="5" t="s">
        <v>10465</v>
      </c>
      <c r="Q2410" s="5" t="s">
        <v>10466</v>
      </c>
      <c r="R2410" s="5" t="s">
        <v>10467</v>
      </c>
      <c r="S2410" s="5" t="s">
        <v>10468</v>
      </c>
      <c r="T2410" s="5" t="s">
        <v>10469</v>
      </c>
      <c r="U2410" s="5" t="s">
        <v>10470</v>
      </c>
      <c r="V2410" s="5" t="s">
        <v>10471</v>
      </c>
      <c r="W2410" s="5" t="s">
        <v>10096</v>
      </c>
      <c r="X2410" s="5" t="s">
        <v>10097</v>
      </c>
      <c r="Y2410" s="5" t="s">
        <v>10098</v>
      </c>
      <c r="Z2410" s="5" t="s">
        <v>10099</v>
      </c>
      <c r="AG2410" s="14" t="s">
        <v>49</v>
      </c>
      <c r="AH2410" s="14" t="s">
        <v>1517</v>
      </c>
      <c r="AI2410" s="14" t="s">
        <v>1408</v>
      </c>
      <c r="AJ2410" s="5" t="s">
        <v>10423</v>
      </c>
    </row>
    <row r="2411" spans="1:37">
      <c r="A2411" s="5" t="s">
        <v>10472</v>
      </c>
      <c r="B2411" s="5" t="s">
        <v>10457</v>
      </c>
      <c r="C2411" s="6" t="s">
        <v>43</v>
      </c>
      <c r="D2411" s="6" t="s">
        <v>850</v>
      </c>
      <c r="E2411" s="6" t="s">
        <v>10152</v>
      </c>
      <c r="F2411" s="6" t="s">
        <v>46</v>
      </c>
      <c r="G2411" s="6" t="s">
        <v>3900</v>
      </c>
      <c r="H2411" s="7">
        <v>52.25</v>
      </c>
      <c r="I2411" s="19" t="s">
        <v>1507</v>
      </c>
      <c r="J2411" s="19" t="s">
        <v>10459</v>
      </c>
      <c r="K2411" s="6" t="s">
        <v>10460</v>
      </c>
      <c r="L2411" s="6" t="s">
        <v>10461</v>
      </c>
      <c r="M2411" s="6" t="s">
        <v>10462</v>
      </c>
      <c r="N2411" s="6" t="s">
        <v>10463</v>
      </c>
      <c r="O2411" s="6" t="s">
        <v>10464</v>
      </c>
      <c r="P2411" s="6" t="s">
        <v>10465</v>
      </c>
      <c r="Q2411" s="6" t="s">
        <v>10466</v>
      </c>
      <c r="R2411" s="6" t="s">
        <v>10467</v>
      </c>
      <c r="S2411" s="6" t="s">
        <v>10468</v>
      </c>
      <c r="T2411" s="6" t="s">
        <v>10473</v>
      </c>
      <c r="U2411" s="6" t="s">
        <v>10470</v>
      </c>
      <c r="V2411" s="6" t="s">
        <v>10471</v>
      </c>
      <c r="W2411" s="6" t="s">
        <v>10096</v>
      </c>
      <c r="X2411" s="6" t="s">
        <v>10097</v>
      </c>
      <c r="Y2411" s="6" t="s">
        <v>10098</v>
      </c>
      <c r="Z2411" s="6" t="s">
        <v>10099</v>
      </c>
      <c r="AG2411" s="14" t="s">
        <v>55</v>
      </c>
      <c r="AH2411" s="14" t="s">
        <v>1517</v>
      </c>
      <c r="AI2411" s="14" t="s">
        <v>1408</v>
      </c>
      <c r="AJ2411" s="5" t="s">
        <v>10423</v>
      </c>
    </row>
    <row r="2412" spans="1:37">
      <c r="A2412" s="5" t="s">
        <v>10474</v>
      </c>
      <c r="B2412" s="5" t="s">
        <v>10475</v>
      </c>
      <c r="C2412" s="6" t="s">
        <v>43</v>
      </c>
      <c r="D2412" s="6" t="s">
        <v>850</v>
      </c>
      <c r="E2412" s="6" t="s">
        <v>218</v>
      </c>
      <c r="F2412" s="6" t="s">
        <v>46</v>
      </c>
      <c r="G2412" s="6" t="s">
        <v>10476</v>
      </c>
      <c r="H2412" s="7">
        <v>60.5</v>
      </c>
      <c r="I2412" s="19" t="s">
        <v>1507</v>
      </c>
      <c r="J2412" s="19" t="s">
        <v>10459</v>
      </c>
      <c r="K2412" s="6" t="s">
        <v>10477</v>
      </c>
      <c r="L2412" s="6" t="s">
        <v>10478</v>
      </c>
      <c r="M2412" s="6" t="s">
        <v>10479</v>
      </c>
      <c r="N2412" s="6" t="s">
        <v>10480</v>
      </c>
      <c r="O2412" s="6" t="s">
        <v>10481</v>
      </c>
      <c r="P2412" s="6" t="s">
        <v>10482</v>
      </c>
      <c r="Q2412" s="6" t="s">
        <v>10483</v>
      </c>
      <c r="R2412" s="6" t="s">
        <v>10484</v>
      </c>
      <c r="S2412" s="6" t="s">
        <v>10468</v>
      </c>
      <c r="T2412" s="6" t="s">
        <v>10473</v>
      </c>
      <c r="U2412" s="6" t="s">
        <v>10470</v>
      </c>
      <c r="V2412" s="6" t="s">
        <v>10471</v>
      </c>
      <c r="W2412" s="6" t="s">
        <v>10096</v>
      </c>
      <c r="X2412" s="6" t="s">
        <v>10097</v>
      </c>
      <c r="Y2412" s="6" t="s">
        <v>10098</v>
      </c>
      <c r="Z2412" s="6" t="s">
        <v>10099</v>
      </c>
      <c r="AG2412" s="14" t="s">
        <v>49</v>
      </c>
      <c r="AH2412" s="14" t="s">
        <v>1517</v>
      </c>
      <c r="AI2412" s="14" t="s">
        <v>1408</v>
      </c>
      <c r="AJ2412" s="5" t="s">
        <v>10423</v>
      </c>
    </row>
    <row r="2413" spans="1:37">
      <c r="A2413" s="5" t="s">
        <v>10485</v>
      </c>
      <c r="B2413" s="5" t="s">
        <v>10475</v>
      </c>
      <c r="C2413" s="6" t="s">
        <v>43</v>
      </c>
      <c r="D2413" s="6" t="s">
        <v>850</v>
      </c>
      <c r="E2413" s="6" t="s">
        <v>10152</v>
      </c>
      <c r="F2413" s="6" t="s">
        <v>46</v>
      </c>
      <c r="G2413" s="6" t="s">
        <v>10486</v>
      </c>
      <c r="H2413" s="7">
        <v>60.5</v>
      </c>
      <c r="I2413" s="19" t="s">
        <v>1507</v>
      </c>
      <c r="J2413" s="19" t="s">
        <v>10459</v>
      </c>
      <c r="K2413" s="6" t="s">
        <v>10477</v>
      </c>
      <c r="L2413" s="6" t="s">
        <v>10478</v>
      </c>
      <c r="M2413" s="6" t="s">
        <v>10479</v>
      </c>
      <c r="N2413" s="6" t="s">
        <v>10480</v>
      </c>
      <c r="O2413" s="6" t="s">
        <v>10481</v>
      </c>
      <c r="P2413" s="6" t="s">
        <v>10482</v>
      </c>
      <c r="Q2413" s="6" t="s">
        <v>10483</v>
      </c>
      <c r="R2413" s="6" t="s">
        <v>10484</v>
      </c>
      <c r="S2413" s="6" t="s">
        <v>10468</v>
      </c>
      <c r="T2413" s="6" t="s">
        <v>10473</v>
      </c>
      <c r="U2413" s="6" t="s">
        <v>10470</v>
      </c>
      <c r="V2413" s="6" t="s">
        <v>10471</v>
      </c>
      <c r="W2413" s="6" t="s">
        <v>10096</v>
      </c>
      <c r="X2413" s="6" t="s">
        <v>10097</v>
      </c>
      <c r="Y2413" s="6" t="s">
        <v>10098</v>
      </c>
      <c r="Z2413" s="6" t="s">
        <v>10099</v>
      </c>
      <c r="AG2413" s="14" t="s">
        <v>55</v>
      </c>
      <c r="AH2413" s="14" t="s">
        <v>1517</v>
      </c>
      <c r="AI2413" s="14" t="s">
        <v>1408</v>
      </c>
      <c r="AJ2413" s="5" t="s">
        <v>10423</v>
      </c>
    </row>
    <row r="2414" spans="1:37">
      <c r="A2414" s="6" t="s">
        <v>10487</v>
      </c>
      <c r="B2414" s="6" t="s">
        <v>10488</v>
      </c>
      <c r="C2414" s="6" t="s">
        <v>43</v>
      </c>
      <c r="D2414" s="6" t="s">
        <v>10489</v>
      </c>
      <c r="E2414" s="6" t="s">
        <v>53</v>
      </c>
      <c r="F2414" s="6" t="s">
        <v>46</v>
      </c>
      <c r="G2414" s="6" t="s">
        <v>43</v>
      </c>
      <c r="I2414" s="6" t="s">
        <v>48</v>
      </c>
      <c r="J2414" s="6" t="s">
        <v>48</v>
      </c>
      <c r="K2414" s="6"/>
      <c r="L2414" s="6"/>
      <c r="M2414" s="6"/>
      <c r="N2414" s="6"/>
      <c r="O2414" s="6"/>
      <c r="P2414" s="6"/>
      <c r="Q2414" s="6"/>
      <c r="R2414" s="6"/>
      <c r="S2414" s="6"/>
      <c r="T2414" s="6"/>
      <c r="U2414" s="6"/>
      <c r="V2414" s="6"/>
      <c r="W2414" s="6"/>
      <c r="X2414" s="6"/>
      <c r="Y2414" s="6"/>
      <c r="Z2414" s="6"/>
      <c r="AA2414" s="6"/>
      <c r="AB2414" s="6"/>
      <c r="AC2414" s="6"/>
      <c r="AD2414" s="6"/>
      <c r="AE2414" s="6"/>
      <c r="AF2414" s="6"/>
      <c r="AG2414" s="15" t="s">
        <v>55</v>
      </c>
      <c r="AH2414" s="15"/>
      <c r="AI2414" s="15"/>
      <c r="AJ2414" s="6"/>
      <c r="AK2414" s="6"/>
    </row>
    <row r="2415" spans="1:37" s="6" customFormat="1">
      <c r="A2415" s="6" t="s">
        <v>10490</v>
      </c>
      <c r="B2415" s="6" t="s">
        <v>10491</v>
      </c>
      <c r="C2415" s="6" t="s">
        <v>43</v>
      </c>
      <c r="D2415" s="6" t="s">
        <v>850</v>
      </c>
      <c r="E2415" s="6" t="s">
        <v>757</v>
      </c>
      <c r="F2415" s="6" t="s">
        <v>46</v>
      </c>
      <c r="G2415" s="6" t="s">
        <v>4816</v>
      </c>
      <c r="H2415" s="7"/>
      <c r="I2415" s="6" t="s">
        <v>48</v>
      </c>
      <c r="J2415" s="6" t="s">
        <v>48</v>
      </c>
      <c r="AG2415" s="15" t="s">
        <v>49</v>
      </c>
      <c r="AH2415" s="15"/>
      <c r="AI2415" s="15"/>
    </row>
    <row r="2416" spans="1:37" s="6" customFormat="1">
      <c r="A2416" s="6" t="s">
        <v>10492</v>
      </c>
      <c r="B2416" s="6" t="s">
        <v>10493</v>
      </c>
      <c r="C2416" s="6" t="s">
        <v>43</v>
      </c>
      <c r="D2416" s="6" t="s">
        <v>850</v>
      </c>
      <c r="E2416" s="6" t="s">
        <v>757</v>
      </c>
      <c r="F2416" s="6" t="s">
        <v>46</v>
      </c>
      <c r="G2416" s="6" t="s">
        <v>3346</v>
      </c>
      <c r="H2416" s="7"/>
      <c r="I2416" s="6" t="s">
        <v>48</v>
      </c>
      <c r="J2416" s="6" t="s">
        <v>48</v>
      </c>
      <c r="AG2416" s="15" t="s">
        <v>49</v>
      </c>
      <c r="AH2416" s="15"/>
      <c r="AI2416" s="15"/>
    </row>
    <row r="2417" spans="1:35" s="6" customFormat="1">
      <c r="A2417" s="6" t="s">
        <v>10494</v>
      </c>
      <c r="B2417" s="6" t="s">
        <v>10495</v>
      </c>
      <c r="C2417" s="6" t="s">
        <v>43</v>
      </c>
      <c r="D2417" s="6" t="s">
        <v>850</v>
      </c>
      <c r="E2417" s="6" t="s">
        <v>757</v>
      </c>
      <c r="F2417" s="6" t="s">
        <v>46</v>
      </c>
      <c r="G2417" s="6" t="s">
        <v>10496</v>
      </c>
      <c r="H2417" s="7"/>
      <c r="I2417" s="6" t="s">
        <v>48</v>
      </c>
      <c r="J2417" s="6" t="s">
        <v>48</v>
      </c>
      <c r="AG2417" s="15" t="s">
        <v>49</v>
      </c>
      <c r="AH2417" s="15"/>
      <c r="AI2417" s="15"/>
    </row>
    <row r="2418" spans="1:35" s="6" customFormat="1">
      <c r="A2418" s="6" t="s">
        <v>10497</v>
      </c>
      <c r="B2418" s="6" t="s">
        <v>10498</v>
      </c>
      <c r="C2418" s="6" t="s">
        <v>43</v>
      </c>
      <c r="D2418" s="6" t="s">
        <v>850</v>
      </c>
      <c r="E2418" s="6" t="s">
        <v>757</v>
      </c>
      <c r="F2418" s="6" t="s">
        <v>46</v>
      </c>
      <c r="G2418" s="6" t="s">
        <v>10499</v>
      </c>
      <c r="H2418" s="7"/>
      <c r="I2418" s="6" t="s">
        <v>48</v>
      </c>
      <c r="J2418" s="6" t="s">
        <v>48</v>
      </c>
      <c r="AG2418" s="15" t="s">
        <v>49</v>
      </c>
      <c r="AH2418" s="15"/>
      <c r="AI2418" s="15"/>
    </row>
    <row r="2419" spans="1:35" s="6" customFormat="1">
      <c r="A2419" s="6" t="s">
        <v>10500</v>
      </c>
      <c r="B2419" s="6" t="s">
        <v>10501</v>
      </c>
      <c r="C2419" s="6" t="s">
        <v>43</v>
      </c>
      <c r="D2419" s="6" t="s">
        <v>850</v>
      </c>
      <c r="E2419" s="6" t="s">
        <v>757</v>
      </c>
      <c r="F2419" s="6" t="s">
        <v>46</v>
      </c>
      <c r="G2419" s="6" t="s">
        <v>10502</v>
      </c>
      <c r="H2419" s="7"/>
      <c r="I2419" s="6" t="s">
        <v>48</v>
      </c>
      <c r="J2419" s="6" t="s">
        <v>48</v>
      </c>
      <c r="AG2419" s="15" t="s">
        <v>49</v>
      </c>
      <c r="AH2419" s="15"/>
      <c r="AI2419" s="15"/>
    </row>
    <row r="2420" spans="1:35" s="6" customFormat="1">
      <c r="A2420" s="6" t="s">
        <v>10503</v>
      </c>
      <c r="B2420" s="6" t="s">
        <v>10504</v>
      </c>
      <c r="C2420" s="6" t="s">
        <v>43</v>
      </c>
      <c r="D2420" s="6" t="s">
        <v>850</v>
      </c>
      <c r="E2420" s="6" t="s">
        <v>757</v>
      </c>
      <c r="F2420" s="6" t="s">
        <v>46</v>
      </c>
      <c r="G2420" s="6" t="s">
        <v>7371</v>
      </c>
      <c r="H2420" s="7"/>
      <c r="I2420" s="6" t="s">
        <v>48</v>
      </c>
      <c r="J2420" s="6" t="s">
        <v>48</v>
      </c>
      <c r="AG2420" s="15" t="s">
        <v>49</v>
      </c>
      <c r="AH2420" s="15"/>
      <c r="AI2420" s="15"/>
    </row>
    <row r="2421" spans="1:35" s="6" customFormat="1">
      <c r="A2421" s="6" t="s">
        <v>10505</v>
      </c>
      <c r="B2421" s="6" t="s">
        <v>10506</v>
      </c>
      <c r="C2421" s="6" t="s">
        <v>43</v>
      </c>
      <c r="D2421" s="6" t="s">
        <v>850</v>
      </c>
      <c r="E2421" s="6" t="s">
        <v>757</v>
      </c>
      <c r="F2421" s="6" t="s">
        <v>46</v>
      </c>
      <c r="G2421" s="6" t="s">
        <v>7915</v>
      </c>
      <c r="H2421" s="7"/>
      <c r="I2421" s="6" t="s">
        <v>48</v>
      </c>
      <c r="J2421" s="6" t="s">
        <v>48</v>
      </c>
      <c r="AG2421" s="15" t="s">
        <v>49</v>
      </c>
      <c r="AH2421" s="15"/>
      <c r="AI2421" s="15"/>
    </row>
    <row r="2422" spans="1:35" s="6" customFormat="1">
      <c r="A2422" s="6" t="s">
        <v>10507</v>
      </c>
      <c r="B2422" s="6" t="s">
        <v>10508</v>
      </c>
      <c r="C2422" s="6" t="s">
        <v>43</v>
      </c>
      <c r="D2422" s="6" t="s">
        <v>850</v>
      </c>
      <c r="E2422" s="6" t="s">
        <v>757</v>
      </c>
      <c r="F2422" s="6" t="s">
        <v>46</v>
      </c>
      <c r="G2422" s="6" t="s">
        <v>9111</v>
      </c>
      <c r="H2422" s="7"/>
      <c r="I2422" s="6" t="s">
        <v>48</v>
      </c>
      <c r="J2422" s="6" t="s">
        <v>48</v>
      </c>
      <c r="AG2422" s="15" t="s">
        <v>49</v>
      </c>
      <c r="AH2422" s="15"/>
      <c r="AI2422" s="15"/>
    </row>
    <row r="2423" spans="1:35" s="6" customFormat="1">
      <c r="A2423" s="6" t="s">
        <v>10509</v>
      </c>
      <c r="B2423" s="6" t="s">
        <v>10510</v>
      </c>
      <c r="C2423" s="6" t="s">
        <v>43</v>
      </c>
      <c r="D2423" s="6" t="s">
        <v>850</v>
      </c>
      <c r="E2423" s="6" t="s">
        <v>757</v>
      </c>
      <c r="F2423" s="6" t="s">
        <v>46</v>
      </c>
      <c r="G2423" s="6" t="s">
        <v>4052</v>
      </c>
      <c r="H2423" s="7"/>
      <c r="I2423" s="6" t="s">
        <v>48</v>
      </c>
      <c r="J2423" s="6" t="s">
        <v>48</v>
      </c>
      <c r="AG2423" s="15" t="s">
        <v>49</v>
      </c>
      <c r="AH2423" s="15"/>
      <c r="AI2423" s="15"/>
    </row>
    <row r="2424" spans="1:35" s="6" customFormat="1">
      <c r="A2424" s="6" t="s">
        <v>10511</v>
      </c>
      <c r="B2424" s="6" t="s">
        <v>10512</v>
      </c>
      <c r="C2424" s="6" t="s">
        <v>43</v>
      </c>
      <c r="D2424" s="6" t="s">
        <v>850</v>
      </c>
      <c r="E2424" s="6" t="s">
        <v>218</v>
      </c>
      <c r="F2424" s="6" t="s">
        <v>46</v>
      </c>
      <c r="G2424" s="6" t="s">
        <v>10513</v>
      </c>
      <c r="H2424" s="7"/>
      <c r="I2424" s="6" t="s">
        <v>48</v>
      </c>
      <c r="J2424" s="6" t="s">
        <v>48</v>
      </c>
      <c r="AG2424" s="15" t="s">
        <v>49</v>
      </c>
      <c r="AH2424" s="15"/>
      <c r="AI2424" s="15"/>
    </row>
    <row r="2425" spans="1:35" s="6" customFormat="1">
      <c r="A2425" s="6" t="s">
        <v>10514</v>
      </c>
      <c r="B2425" s="6" t="s">
        <v>10515</v>
      </c>
      <c r="C2425" s="6" t="s">
        <v>43</v>
      </c>
      <c r="D2425" s="6" t="s">
        <v>850</v>
      </c>
      <c r="E2425" s="6" t="s">
        <v>757</v>
      </c>
      <c r="F2425" s="6" t="s">
        <v>46</v>
      </c>
      <c r="G2425" s="6" t="s">
        <v>10516</v>
      </c>
      <c r="H2425" s="7"/>
      <c r="I2425" s="6" t="s">
        <v>48</v>
      </c>
      <c r="J2425" s="6" t="s">
        <v>48</v>
      </c>
      <c r="AG2425" s="15" t="s">
        <v>49</v>
      </c>
      <c r="AH2425" s="15"/>
      <c r="AI2425" s="15"/>
    </row>
    <row r="2426" spans="1:35" s="6" customFormat="1">
      <c r="A2426" s="6" t="s">
        <v>10517</v>
      </c>
      <c r="B2426" s="6" t="s">
        <v>10518</v>
      </c>
      <c r="C2426" s="6" t="s">
        <v>43</v>
      </c>
      <c r="D2426" s="6" t="s">
        <v>850</v>
      </c>
      <c r="E2426" s="6" t="s">
        <v>757</v>
      </c>
      <c r="F2426" s="6" t="s">
        <v>46</v>
      </c>
      <c r="G2426" s="6" t="s">
        <v>10519</v>
      </c>
      <c r="H2426" s="7"/>
      <c r="I2426" s="6" t="s">
        <v>48</v>
      </c>
      <c r="J2426" s="6" t="s">
        <v>48</v>
      </c>
      <c r="AG2426" s="15" t="s">
        <v>49</v>
      </c>
      <c r="AH2426" s="15"/>
      <c r="AI2426" s="15"/>
    </row>
    <row r="2427" spans="1:35" s="6" customFormat="1">
      <c r="A2427" s="6" t="s">
        <v>10520</v>
      </c>
      <c r="B2427" s="6" t="s">
        <v>10521</v>
      </c>
      <c r="C2427" s="6" t="s">
        <v>43</v>
      </c>
      <c r="D2427" s="6" t="s">
        <v>850</v>
      </c>
      <c r="E2427" s="6" t="s">
        <v>757</v>
      </c>
      <c r="F2427" s="6" t="s">
        <v>46</v>
      </c>
      <c r="G2427" s="6" t="s">
        <v>7578</v>
      </c>
      <c r="H2427" s="7"/>
      <c r="I2427" s="6" t="s">
        <v>48</v>
      </c>
      <c r="J2427" s="6" t="s">
        <v>48</v>
      </c>
      <c r="AG2427" s="15" t="s">
        <v>49</v>
      </c>
      <c r="AH2427" s="15"/>
      <c r="AI2427" s="15"/>
    </row>
    <row r="2428" spans="1:35" s="6" customFormat="1">
      <c r="A2428" s="6" t="s">
        <v>10522</v>
      </c>
      <c r="B2428" s="6" t="s">
        <v>10523</v>
      </c>
      <c r="C2428" s="6" t="s">
        <v>43</v>
      </c>
      <c r="D2428" s="6" t="s">
        <v>850</v>
      </c>
      <c r="E2428" s="6" t="s">
        <v>757</v>
      </c>
      <c r="F2428" s="6" t="s">
        <v>46</v>
      </c>
      <c r="G2428" s="6" t="s">
        <v>10524</v>
      </c>
      <c r="H2428" s="7"/>
      <c r="I2428" s="6" t="s">
        <v>48</v>
      </c>
      <c r="J2428" s="6" t="s">
        <v>48</v>
      </c>
      <c r="AG2428" s="15" t="s">
        <v>49</v>
      </c>
      <c r="AH2428" s="15"/>
      <c r="AI2428" s="15"/>
    </row>
    <row r="2429" spans="1:35" s="6" customFormat="1">
      <c r="A2429" s="6" t="s">
        <v>10525</v>
      </c>
      <c r="B2429" s="6" t="s">
        <v>10526</v>
      </c>
      <c r="C2429" s="6" t="s">
        <v>43</v>
      </c>
      <c r="D2429" s="6" t="s">
        <v>850</v>
      </c>
      <c r="E2429" s="6" t="s">
        <v>757</v>
      </c>
      <c r="F2429" s="6" t="s">
        <v>46</v>
      </c>
      <c r="G2429" s="6" t="s">
        <v>10527</v>
      </c>
      <c r="H2429" s="7"/>
      <c r="I2429" s="6" t="s">
        <v>48</v>
      </c>
      <c r="J2429" s="6" t="s">
        <v>48</v>
      </c>
      <c r="AG2429" s="15" t="s">
        <v>49</v>
      </c>
      <c r="AH2429" s="15"/>
      <c r="AI2429" s="15"/>
    </row>
    <row r="2430" spans="1:35" s="6" customFormat="1">
      <c r="A2430" s="6" t="s">
        <v>10528</v>
      </c>
      <c r="B2430" s="6" t="s">
        <v>10529</v>
      </c>
      <c r="C2430" s="6" t="s">
        <v>43</v>
      </c>
      <c r="D2430" s="6" t="s">
        <v>850</v>
      </c>
      <c r="E2430" s="6" t="s">
        <v>757</v>
      </c>
      <c r="F2430" s="6" t="s">
        <v>46</v>
      </c>
      <c r="G2430" s="6" t="s">
        <v>10530</v>
      </c>
      <c r="H2430" s="7"/>
      <c r="I2430" s="6" t="s">
        <v>48</v>
      </c>
      <c r="J2430" s="6" t="s">
        <v>48</v>
      </c>
      <c r="AG2430" s="15" t="s">
        <v>49</v>
      </c>
      <c r="AH2430" s="15"/>
      <c r="AI2430" s="15"/>
    </row>
    <row r="2431" spans="1:35" s="6" customFormat="1">
      <c r="A2431" s="6" t="s">
        <v>10531</v>
      </c>
      <c r="B2431" s="6" t="s">
        <v>10532</v>
      </c>
      <c r="C2431" s="6" t="s">
        <v>43</v>
      </c>
      <c r="D2431" s="6" t="s">
        <v>850</v>
      </c>
      <c r="E2431" s="6" t="s">
        <v>757</v>
      </c>
      <c r="F2431" s="6" t="s">
        <v>46</v>
      </c>
      <c r="G2431" s="6" t="s">
        <v>10533</v>
      </c>
      <c r="H2431" s="7"/>
      <c r="I2431" s="6" t="s">
        <v>48</v>
      </c>
      <c r="J2431" s="6" t="s">
        <v>48</v>
      </c>
      <c r="AG2431" s="15" t="s">
        <v>49</v>
      </c>
      <c r="AH2431" s="15"/>
      <c r="AI2431" s="15"/>
    </row>
    <row r="2432" spans="1:35" s="6" customFormat="1">
      <c r="A2432" s="6" t="s">
        <v>10534</v>
      </c>
      <c r="B2432" s="6" t="s">
        <v>10535</v>
      </c>
      <c r="C2432" s="6" t="s">
        <v>43</v>
      </c>
      <c r="D2432" s="6" t="s">
        <v>850</v>
      </c>
      <c r="E2432" s="6" t="s">
        <v>757</v>
      </c>
      <c r="F2432" s="6" t="s">
        <v>46</v>
      </c>
      <c r="G2432" s="6" t="s">
        <v>10536</v>
      </c>
      <c r="H2432" s="7"/>
      <c r="I2432" s="6" t="s">
        <v>48</v>
      </c>
      <c r="J2432" s="6" t="s">
        <v>48</v>
      </c>
      <c r="AG2432" s="15" t="s">
        <v>49</v>
      </c>
      <c r="AH2432" s="15"/>
      <c r="AI2432" s="15"/>
    </row>
    <row r="2433" spans="1:35" s="6" customFormat="1">
      <c r="A2433" s="6" t="s">
        <v>10537</v>
      </c>
      <c r="B2433" s="6" t="s">
        <v>10538</v>
      </c>
      <c r="C2433" s="6" t="s">
        <v>43</v>
      </c>
      <c r="D2433" s="6" t="s">
        <v>850</v>
      </c>
      <c r="E2433" s="6" t="s">
        <v>10152</v>
      </c>
      <c r="F2433" s="6" t="s">
        <v>46</v>
      </c>
      <c r="G2433" s="6" t="s">
        <v>10539</v>
      </c>
      <c r="H2433" s="7"/>
      <c r="I2433" s="6" t="s">
        <v>48</v>
      </c>
      <c r="J2433" s="6" t="s">
        <v>48</v>
      </c>
      <c r="AG2433" s="15" t="s">
        <v>55</v>
      </c>
      <c r="AH2433" s="15"/>
      <c r="AI2433" s="15"/>
    </row>
    <row r="2434" spans="1:35" s="6" customFormat="1">
      <c r="A2434" s="6" t="s">
        <v>10540</v>
      </c>
      <c r="B2434" s="6" t="s">
        <v>10541</v>
      </c>
      <c r="C2434" s="6" t="s">
        <v>43</v>
      </c>
      <c r="D2434" s="6" t="s">
        <v>850</v>
      </c>
      <c r="E2434" s="6" t="s">
        <v>757</v>
      </c>
      <c r="F2434" s="6" t="s">
        <v>46</v>
      </c>
      <c r="G2434" s="6" t="s">
        <v>10542</v>
      </c>
      <c r="H2434" s="7"/>
      <c r="I2434" s="6" t="s">
        <v>48</v>
      </c>
      <c r="J2434" s="6" t="s">
        <v>48</v>
      </c>
      <c r="AG2434" s="15" t="s">
        <v>49</v>
      </c>
      <c r="AH2434" s="15"/>
      <c r="AI2434" s="15"/>
    </row>
    <row r="2435" spans="1:35" s="6" customFormat="1">
      <c r="A2435" s="6" t="s">
        <v>10543</v>
      </c>
      <c r="B2435" s="6" t="s">
        <v>10544</v>
      </c>
      <c r="C2435" s="6" t="s">
        <v>43</v>
      </c>
      <c r="D2435" s="6" t="s">
        <v>850</v>
      </c>
      <c r="E2435" s="6" t="s">
        <v>757</v>
      </c>
      <c r="F2435" s="6" t="s">
        <v>46</v>
      </c>
      <c r="G2435" s="6" t="s">
        <v>10542</v>
      </c>
      <c r="H2435" s="7"/>
      <c r="I2435" s="6" t="s">
        <v>48</v>
      </c>
      <c r="J2435" s="6" t="s">
        <v>48</v>
      </c>
      <c r="AG2435" s="15" t="s">
        <v>49</v>
      </c>
      <c r="AH2435" s="15"/>
      <c r="AI2435" s="15"/>
    </row>
    <row r="2436" spans="1:35" s="6" customFormat="1">
      <c r="A2436" s="6" t="s">
        <v>10545</v>
      </c>
      <c r="B2436" s="6" t="s">
        <v>10546</v>
      </c>
      <c r="C2436" s="6" t="s">
        <v>43</v>
      </c>
      <c r="D2436" s="6" t="s">
        <v>850</v>
      </c>
      <c r="E2436" s="6" t="s">
        <v>757</v>
      </c>
      <c r="F2436" s="6" t="s">
        <v>46</v>
      </c>
      <c r="G2436" s="6" t="s">
        <v>8761</v>
      </c>
      <c r="H2436" s="7"/>
      <c r="I2436" s="6" t="s">
        <v>48</v>
      </c>
      <c r="J2436" s="6" t="s">
        <v>48</v>
      </c>
      <c r="AG2436" s="15" t="s">
        <v>49</v>
      </c>
      <c r="AH2436" s="15"/>
      <c r="AI2436" s="15"/>
    </row>
    <row r="2437" spans="1:35" s="6" customFormat="1">
      <c r="A2437" s="6" t="s">
        <v>10547</v>
      </c>
      <c r="B2437" s="6" t="s">
        <v>10548</v>
      </c>
      <c r="C2437" s="6" t="s">
        <v>43</v>
      </c>
      <c r="D2437" s="6" t="s">
        <v>850</v>
      </c>
      <c r="E2437" s="6" t="s">
        <v>757</v>
      </c>
      <c r="F2437" s="6" t="s">
        <v>46</v>
      </c>
      <c r="G2437" s="6" t="s">
        <v>10549</v>
      </c>
      <c r="H2437" s="7"/>
      <c r="I2437" s="6" t="s">
        <v>48</v>
      </c>
      <c r="J2437" s="6" t="s">
        <v>48</v>
      </c>
      <c r="AG2437" s="15" t="s">
        <v>49</v>
      </c>
      <c r="AH2437" s="15"/>
      <c r="AI2437" s="15"/>
    </row>
    <row r="2438" spans="1:35" s="6" customFormat="1">
      <c r="A2438" s="6" t="s">
        <v>10550</v>
      </c>
      <c r="B2438" s="6" t="s">
        <v>10551</v>
      </c>
      <c r="C2438" s="6" t="s">
        <v>43</v>
      </c>
      <c r="D2438" s="6" t="s">
        <v>850</v>
      </c>
      <c r="E2438" s="6" t="s">
        <v>757</v>
      </c>
      <c r="F2438" s="6" t="s">
        <v>46</v>
      </c>
      <c r="G2438" s="6" t="s">
        <v>10552</v>
      </c>
      <c r="H2438" s="7"/>
      <c r="I2438" s="6" t="s">
        <v>48</v>
      </c>
      <c r="J2438" s="6" t="s">
        <v>48</v>
      </c>
      <c r="AG2438" s="15" t="s">
        <v>49</v>
      </c>
      <c r="AH2438" s="15"/>
      <c r="AI2438" s="15"/>
    </row>
    <row r="2439" spans="1:35" s="6" customFormat="1">
      <c r="A2439" s="6" t="s">
        <v>10553</v>
      </c>
      <c r="B2439" s="6" t="s">
        <v>10554</v>
      </c>
      <c r="C2439" s="6" t="s">
        <v>43</v>
      </c>
      <c r="D2439" s="6" t="s">
        <v>850</v>
      </c>
      <c r="E2439" s="6" t="s">
        <v>757</v>
      </c>
      <c r="F2439" s="6" t="s">
        <v>46</v>
      </c>
      <c r="G2439" s="6" t="s">
        <v>10555</v>
      </c>
      <c r="H2439" s="7"/>
      <c r="I2439" s="6" t="s">
        <v>48</v>
      </c>
      <c r="J2439" s="6" t="s">
        <v>48</v>
      </c>
      <c r="AG2439" s="15" t="s">
        <v>49</v>
      </c>
      <c r="AH2439" s="15"/>
      <c r="AI2439" s="15"/>
    </row>
    <row r="2440" spans="1:35" s="6" customFormat="1">
      <c r="A2440" s="6" t="s">
        <v>10556</v>
      </c>
      <c r="B2440" s="6" t="s">
        <v>10557</v>
      </c>
      <c r="C2440" s="6" t="s">
        <v>43</v>
      </c>
      <c r="D2440" s="6" t="s">
        <v>850</v>
      </c>
      <c r="E2440" s="6" t="s">
        <v>218</v>
      </c>
      <c r="F2440" s="6" t="s">
        <v>46</v>
      </c>
      <c r="G2440" s="6" t="s">
        <v>10558</v>
      </c>
      <c r="H2440" s="7"/>
      <c r="I2440" s="6" t="s">
        <v>48</v>
      </c>
      <c r="J2440" s="6" t="s">
        <v>48</v>
      </c>
      <c r="AG2440" s="15" t="s">
        <v>49</v>
      </c>
      <c r="AH2440" s="15"/>
      <c r="AI2440" s="15"/>
    </row>
    <row r="2441" spans="1:35" s="6" customFormat="1">
      <c r="A2441" s="6" t="s">
        <v>10559</v>
      </c>
      <c r="B2441" s="6" t="s">
        <v>10560</v>
      </c>
      <c r="C2441" s="6" t="s">
        <v>43</v>
      </c>
      <c r="D2441" s="6" t="s">
        <v>850</v>
      </c>
      <c r="E2441" s="6" t="s">
        <v>757</v>
      </c>
      <c r="F2441" s="6" t="s">
        <v>46</v>
      </c>
      <c r="G2441" s="6" t="s">
        <v>10561</v>
      </c>
      <c r="H2441" s="7"/>
      <c r="I2441" s="6" t="s">
        <v>48</v>
      </c>
      <c r="J2441" s="6" t="s">
        <v>48</v>
      </c>
      <c r="AG2441" s="15" t="s">
        <v>49</v>
      </c>
      <c r="AH2441" s="15"/>
      <c r="AI2441" s="15"/>
    </row>
    <row r="2442" spans="1:35" s="6" customFormat="1">
      <c r="A2442" s="6" t="s">
        <v>10562</v>
      </c>
      <c r="B2442" s="6" t="s">
        <v>10563</v>
      </c>
      <c r="C2442" s="6" t="s">
        <v>43</v>
      </c>
      <c r="D2442" s="6" t="s">
        <v>850</v>
      </c>
      <c r="E2442" s="6" t="s">
        <v>757</v>
      </c>
      <c r="F2442" s="6" t="s">
        <v>46</v>
      </c>
      <c r="G2442" s="6" t="s">
        <v>43</v>
      </c>
      <c r="H2442" s="7"/>
      <c r="I2442" s="6" t="s">
        <v>48</v>
      </c>
      <c r="J2442" s="6" t="s">
        <v>48</v>
      </c>
      <c r="AG2442" s="15" t="s">
        <v>49</v>
      </c>
      <c r="AH2442" s="15"/>
      <c r="AI2442" s="15"/>
    </row>
    <row r="2443" spans="1:35" s="6" customFormat="1">
      <c r="A2443" s="6" t="s">
        <v>10564</v>
      </c>
      <c r="B2443" s="6" t="s">
        <v>10565</v>
      </c>
      <c r="C2443" s="6" t="s">
        <v>43</v>
      </c>
      <c r="D2443" s="6" t="s">
        <v>850</v>
      </c>
      <c r="E2443" s="6" t="s">
        <v>218</v>
      </c>
      <c r="F2443" s="6" t="s">
        <v>46</v>
      </c>
      <c r="G2443" s="6" t="s">
        <v>10566</v>
      </c>
      <c r="H2443" s="7"/>
      <c r="I2443" s="6" t="s">
        <v>48</v>
      </c>
      <c r="J2443" s="6" t="s">
        <v>48</v>
      </c>
      <c r="AG2443" s="15" t="s">
        <v>49</v>
      </c>
      <c r="AH2443" s="15"/>
      <c r="AI2443" s="15"/>
    </row>
    <row r="2444" spans="1:35" s="6" customFormat="1">
      <c r="A2444" s="6" t="s">
        <v>10567</v>
      </c>
      <c r="B2444" s="6" t="s">
        <v>10568</v>
      </c>
      <c r="C2444" s="6" t="s">
        <v>43</v>
      </c>
      <c r="D2444" s="6" t="s">
        <v>850</v>
      </c>
      <c r="E2444" s="6" t="s">
        <v>757</v>
      </c>
      <c r="F2444" s="6" t="s">
        <v>46</v>
      </c>
      <c r="G2444" s="6" t="s">
        <v>8214</v>
      </c>
      <c r="H2444" s="7"/>
      <c r="I2444" s="6" t="s">
        <v>48</v>
      </c>
      <c r="J2444" s="6" t="s">
        <v>48</v>
      </c>
      <c r="AG2444" s="15" t="s">
        <v>49</v>
      </c>
      <c r="AH2444" s="15"/>
      <c r="AI2444" s="15"/>
    </row>
    <row r="2445" spans="1:35" s="6" customFormat="1">
      <c r="A2445" s="6" t="s">
        <v>10569</v>
      </c>
      <c r="B2445" s="6" t="s">
        <v>10570</v>
      </c>
      <c r="C2445" s="6" t="s">
        <v>43</v>
      </c>
      <c r="D2445" s="6" t="s">
        <v>850</v>
      </c>
      <c r="E2445" s="6" t="s">
        <v>218</v>
      </c>
      <c r="F2445" s="6" t="s">
        <v>46</v>
      </c>
      <c r="G2445" s="6" t="s">
        <v>10571</v>
      </c>
      <c r="H2445" s="7"/>
      <c r="I2445" s="6" t="s">
        <v>48</v>
      </c>
      <c r="J2445" s="6" t="s">
        <v>48</v>
      </c>
      <c r="AG2445" s="15" t="s">
        <v>49</v>
      </c>
      <c r="AH2445" s="15"/>
      <c r="AI2445" s="15"/>
    </row>
    <row r="2446" spans="1:35" s="6" customFormat="1">
      <c r="A2446" s="6" t="s">
        <v>10572</v>
      </c>
      <c r="B2446" s="6" t="s">
        <v>10573</v>
      </c>
      <c r="C2446" s="6" t="s">
        <v>43</v>
      </c>
      <c r="D2446" s="6" t="s">
        <v>850</v>
      </c>
      <c r="E2446" s="6" t="s">
        <v>757</v>
      </c>
      <c r="F2446" s="6" t="s">
        <v>46</v>
      </c>
      <c r="G2446" s="6" t="s">
        <v>10574</v>
      </c>
      <c r="H2446" s="7"/>
      <c r="I2446" s="6" t="s">
        <v>48</v>
      </c>
      <c r="J2446" s="6" t="s">
        <v>48</v>
      </c>
      <c r="AG2446" s="15" t="s">
        <v>49</v>
      </c>
      <c r="AH2446" s="15"/>
      <c r="AI2446" s="15"/>
    </row>
    <row r="2447" spans="1:35" s="6" customFormat="1">
      <c r="A2447" s="6" t="s">
        <v>10575</v>
      </c>
      <c r="B2447" s="6" t="s">
        <v>10576</v>
      </c>
      <c r="C2447" s="6" t="s">
        <v>43</v>
      </c>
      <c r="D2447" s="6" t="s">
        <v>850</v>
      </c>
      <c r="E2447" s="6" t="s">
        <v>757</v>
      </c>
      <c r="F2447" s="6" t="s">
        <v>46</v>
      </c>
      <c r="G2447" s="6" t="s">
        <v>4559</v>
      </c>
      <c r="H2447" s="7"/>
      <c r="I2447" s="6" t="s">
        <v>48</v>
      </c>
      <c r="J2447" s="6" t="s">
        <v>48</v>
      </c>
      <c r="AG2447" s="15" t="s">
        <v>49</v>
      </c>
      <c r="AH2447" s="15"/>
      <c r="AI2447" s="15"/>
    </row>
    <row r="2448" spans="1:35" s="6" customFormat="1">
      <c r="A2448" s="6" t="s">
        <v>10577</v>
      </c>
      <c r="B2448" s="6" t="s">
        <v>10578</v>
      </c>
      <c r="C2448" s="6" t="s">
        <v>43</v>
      </c>
      <c r="D2448" s="6" t="s">
        <v>850</v>
      </c>
      <c r="E2448" s="6" t="s">
        <v>757</v>
      </c>
      <c r="F2448" s="6" t="s">
        <v>46</v>
      </c>
      <c r="G2448" s="6" t="s">
        <v>10579</v>
      </c>
      <c r="H2448" s="7"/>
      <c r="I2448" s="6" t="s">
        <v>48</v>
      </c>
      <c r="J2448" s="6" t="s">
        <v>48</v>
      </c>
      <c r="AG2448" s="15" t="s">
        <v>49</v>
      </c>
      <c r="AH2448" s="15"/>
      <c r="AI2448" s="15"/>
    </row>
    <row r="2449" spans="1:35" s="6" customFormat="1">
      <c r="A2449" s="6" t="s">
        <v>10580</v>
      </c>
      <c r="B2449" s="6" t="s">
        <v>10581</v>
      </c>
      <c r="C2449" s="6" t="s">
        <v>43</v>
      </c>
      <c r="D2449" s="6" t="s">
        <v>850</v>
      </c>
      <c r="E2449" s="6" t="s">
        <v>218</v>
      </c>
      <c r="F2449" s="6" t="s">
        <v>46</v>
      </c>
      <c r="G2449" s="6" t="s">
        <v>10582</v>
      </c>
      <c r="H2449" s="7"/>
      <c r="I2449" s="6" t="s">
        <v>48</v>
      </c>
      <c r="J2449" s="6" t="s">
        <v>48</v>
      </c>
      <c r="AG2449" s="15" t="s">
        <v>49</v>
      </c>
      <c r="AH2449" s="15"/>
      <c r="AI2449" s="15"/>
    </row>
    <row r="2450" spans="1:35" s="6" customFormat="1">
      <c r="A2450" s="6" t="s">
        <v>10583</v>
      </c>
      <c r="B2450" s="6" t="s">
        <v>10584</v>
      </c>
      <c r="C2450" s="6" t="s">
        <v>43</v>
      </c>
      <c r="D2450" s="6" t="s">
        <v>850</v>
      </c>
      <c r="E2450" s="6" t="s">
        <v>757</v>
      </c>
      <c r="F2450" s="6" t="s">
        <v>46</v>
      </c>
      <c r="G2450" s="6" t="s">
        <v>10585</v>
      </c>
      <c r="H2450" s="7"/>
      <c r="I2450" s="6" t="s">
        <v>48</v>
      </c>
      <c r="J2450" s="6" t="s">
        <v>48</v>
      </c>
      <c r="AG2450" s="15" t="s">
        <v>49</v>
      </c>
      <c r="AH2450" s="15"/>
      <c r="AI2450" s="15"/>
    </row>
    <row r="2451" spans="1:35" s="6" customFormat="1">
      <c r="A2451" s="6" t="s">
        <v>10586</v>
      </c>
      <c r="B2451" s="6" t="s">
        <v>10587</v>
      </c>
      <c r="C2451" s="6" t="s">
        <v>43</v>
      </c>
      <c r="D2451" s="6" t="s">
        <v>850</v>
      </c>
      <c r="E2451" s="6" t="s">
        <v>218</v>
      </c>
      <c r="F2451" s="6" t="s">
        <v>46</v>
      </c>
      <c r="G2451" s="6" t="s">
        <v>10588</v>
      </c>
      <c r="H2451" s="7"/>
      <c r="I2451" s="6" t="s">
        <v>48</v>
      </c>
      <c r="J2451" s="6" t="s">
        <v>48</v>
      </c>
      <c r="AG2451" s="15" t="s">
        <v>49</v>
      </c>
      <c r="AH2451" s="15"/>
      <c r="AI2451" s="15"/>
    </row>
    <row r="2452" spans="1:35" s="6" customFormat="1">
      <c r="A2452" s="6" t="s">
        <v>10589</v>
      </c>
      <c r="B2452" s="6" t="s">
        <v>10590</v>
      </c>
      <c r="C2452" s="6" t="s">
        <v>43</v>
      </c>
      <c r="D2452" s="6" t="s">
        <v>850</v>
      </c>
      <c r="E2452" s="6" t="s">
        <v>757</v>
      </c>
      <c r="F2452" s="6" t="s">
        <v>46</v>
      </c>
      <c r="G2452" s="6" t="s">
        <v>10591</v>
      </c>
      <c r="H2452" s="7"/>
      <c r="I2452" s="6" t="s">
        <v>48</v>
      </c>
      <c r="J2452" s="6" t="s">
        <v>48</v>
      </c>
      <c r="AG2452" s="15" t="s">
        <v>49</v>
      </c>
      <c r="AH2452" s="15"/>
      <c r="AI2452" s="15"/>
    </row>
    <row r="2453" spans="1:35" s="6" customFormat="1">
      <c r="A2453" s="6" t="s">
        <v>10592</v>
      </c>
      <c r="B2453" s="6" t="s">
        <v>10593</v>
      </c>
      <c r="C2453" s="6" t="s">
        <v>43</v>
      </c>
      <c r="D2453" s="6" t="s">
        <v>850</v>
      </c>
      <c r="E2453" s="6" t="s">
        <v>218</v>
      </c>
      <c r="F2453" s="6" t="s">
        <v>46</v>
      </c>
      <c r="G2453" s="6" t="s">
        <v>10594</v>
      </c>
      <c r="H2453" s="7"/>
      <c r="I2453" s="6" t="s">
        <v>48</v>
      </c>
      <c r="J2453" s="6" t="s">
        <v>48</v>
      </c>
      <c r="AG2453" s="15" t="s">
        <v>49</v>
      </c>
      <c r="AH2453" s="15"/>
      <c r="AI2453" s="15"/>
    </row>
    <row r="2454" spans="1:35" s="6" customFormat="1">
      <c r="A2454" s="6" t="s">
        <v>10595</v>
      </c>
      <c r="B2454" s="6" t="s">
        <v>10596</v>
      </c>
      <c r="C2454" s="6" t="s">
        <v>43</v>
      </c>
      <c r="D2454" s="6" t="s">
        <v>850</v>
      </c>
      <c r="E2454" s="6" t="s">
        <v>757</v>
      </c>
      <c r="F2454" s="6" t="s">
        <v>46</v>
      </c>
      <c r="G2454" s="6" t="s">
        <v>10597</v>
      </c>
      <c r="H2454" s="7"/>
      <c r="I2454" s="6" t="s">
        <v>48</v>
      </c>
      <c r="J2454" s="6" t="s">
        <v>48</v>
      </c>
      <c r="AG2454" s="15" t="s">
        <v>49</v>
      </c>
      <c r="AH2454" s="15"/>
      <c r="AI2454" s="15"/>
    </row>
    <row r="2455" spans="1:35" s="6" customFormat="1">
      <c r="A2455" s="6" t="s">
        <v>10598</v>
      </c>
      <c r="B2455" s="6" t="s">
        <v>10599</v>
      </c>
      <c r="C2455" s="6" t="s">
        <v>43</v>
      </c>
      <c r="D2455" s="6" t="s">
        <v>850</v>
      </c>
      <c r="E2455" s="6" t="s">
        <v>757</v>
      </c>
      <c r="F2455" s="6" t="s">
        <v>46</v>
      </c>
      <c r="G2455" s="6" t="s">
        <v>7371</v>
      </c>
      <c r="H2455" s="7"/>
      <c r="I2455" s="6" t="s">
        <v>48</v>
      </c>
      <c r="J2455" s="6" t="s">
        <v>48</v>
      </c>
      <c r="AG2455" s="15" t="s">
        <v>49</v>
      </c>
      <c r="AH2455" s="15"/>
      <c r="AI2455" s="15"/>
    </row>
    <row r="2456" spans="1:35" s="6" customFormat="1">
      <c r="A2456" s="6" t="s">
        <v>10600</v>
      </c>
      <c r="B2456" s="6" t="s">
        <v>10601</v>
      </c>
      <c r="C2456" s="6" t="s">
        <v>43</v>
      </c>
      <c r="D2456" s="6" t="s">
        <v>850</v>
      </c>
      <c r="E2456" s="6" t="s">
        <v>757</v>
      </c>
      <c r="F2456" s="6" t="s">
        <v>46</v>
      </c>
      <c r="G2456" s="6" t="s">
        <v>7915</v>
      </c>
      <c r="H2456" s="7"/>
      <c r="I2456" s="6" t="s">
        <v>48</v>
      </c>
      <c r="J2456" s="6" t="s">
        <v>48</v>
      </c>
      <c r="AG2456" s="15" t="s">
        <v>49</v>
      </c>
      <c r="AH2456" s="15"/>
      <c r="AI2456" s="15"/>
    </row>
    <row r="2457" spans="1:35" s="6" customFormat="1">
      <c r="A2457" s="6" t="s">
        <v>10602</v>
      </c>
      <c r="B2457" s="6" t="s">
        <v>10603</v>
      </c>
      <c r="C2457" s="6" t="s">
        <v>43</v>
      </c>
      <c r="D2457" s="6" t="s">
        <v>850</v>
      </c>
      <c r="E2457" s="6" t="s">
        <v>757</v>
      </c>
      <c r="F2457" s="6" t="s">
        <v>46</v>
      </c>
      <c r="G2457" s="6" t="s">
        <v>2872</v>
      </c>
      <c r="H2457" s="7"/>
      <c r="I2457" s="6" t="s">
        <v>48</v>
      </c>
      <c r="J2457" s="6" t="s">
        <v>48</v>
      </c>
      <c r="AG2457" s="15" t="s">
        <v>49</v>
      </c>
      <c r="AH2457" s="15"/>
      <c r="AI2457" s="15"/>
    </row>
    <row r="2458" spans="1:35" s="6" customFormat="1">
      <c r="A2458" s="6" t="s">
        <v>10604</v>
      </c>
      <c r="B2458" s="6" t="s">
        <v>10605</v>
      </c>
      <c r="C2458" s="6" t="s">
        <v>43</v>
      </c>
      <c r="D2458" s="6" t="s">
        <v>850</v>
      </c>
      <c r="E2458" s="6" t="s">
        <v>218</v>
      </c>
      <c r="F2458" s="6" t="s">
        <v>46</v>
      </c>
      <c r="G2458" s="6" t="s">
        <v>10606</v>
      </c>
      <c r="H2458" s="7"/>
      <c r="I2458" s="6" t="s">
        <v>48</v>
      </c>
      <c r="J2458" s="6" t="s">
        <v>48</v>
      </c>
      <c r="AG2458" s="15" t="s">
        <v>49</v>
      </c>
      <c r="AH2458" s="15"/>
      <c r="AI2458" s="15"/>
    </row>
    <row r="2459" spans="1:35" s="6" customFormat="1">
      <c r="A2459" s="6" t="s">
        <v>10607</v>
      </c>
      <c r="B2459" s="6" t="s">
        <v>10608</v>
      </c>
      <c r="C2459" s="6" t="s">
        <v>43</v>
      </c>
      <c r="D2459" s="6" t="s">
        <v>850</v>
      </c>
      <c r="E2459" s="6" t="s">
        <v>757</v>
      </c>
      <c r="F2459" s="6" t="s">
        <v>46</v>
      </c>
      <c r="G2459" s="6" t="s">
        <v>10609</v>
      </c>
      <c r="H2459" s="7"/>
      <c r="I2459" s="6" t="s">
        <v>48</v>
      </c>
      <c r="J2459" s="6" t="s">
        <v>48</v>
      </c>
      <c r="AG2459" s="15" t="s">
        <v>49</v>
      </c>
      <c r="AH2459" s="15"/>
      <c r="AI2459" s="15"/>
    </row>
    <row r="2460" spans="1:35" s="6" customFormat="1">
      <c r="A2460" s="6" t="s">
        <v>10610</v>
      </c>
      <c r="B2460" s="6" t="s">
        <v>10611</v>
      </c>
      <c r="C2460" s="6" t="s">
        <v>43</v>
      </c>
      <c r="D2460" s="6" t="s">
        <v>850</v>
      </c>
      <c r="E2460" s="6" t="s">
        <v>757</v>
      </c>
      <c r="F2460" s="6" t="s">
        <v>46</v>
      </c>
      <c r="G2460" s="6" t="s">
        <v>10612</v>
      </c>
      <c r="H2460" s="7"/>
      <c r="I2460" s="6" t="s">
        <v>48</v>
      </c>
      <c r="J2460" s="6" t="s">
        <v>48</v>
      </c>
      <c r="AG2460" s="15" t="s">
        <v>49</v>
      </c>
      <c r="AH2460" s="15"/>
      <c r="AI2460" s="15"/>
    </row>
    <row r="2461" spans="1:35" s="6" customFormat="1">
      <c r="A2461" s="6" t="s">
        <v>10613</v>
      </c>
      <c r="B2461" s="6" t="s">
        <v>10614</v>
      </c>
      <c r="C2461" s="6" t="s">
        <v>43</v>
      </c>
      <c r="D2461" s="6" t="s">
        <v>850</v>
      </c>
      <c r="E2461" s="6" t="s">
        <v>218</v>
      </c>
      <c r="F2461" s="6" t="s">
        <v>46</v>
      </c>
      <c r="G2461" s="6" t="s">
        <v>10615</v>
      </c>
      <c r="H2461" s="7"/>
      <c r="I2461" s="6" t="s">
        <v>48</v>
      </c>
      <c r="J2461" s="6" t="s">
        <v>48</v>
      </c>
      <c r="AG2461" s="15" t="s">
        <v>49</v>
      </c>
      <c r="AH2461" s="15"/>
      <c r="AI2461" s="15"/>
    </row>
    <row r="2462" spans="1:35" s="6" customFormat="1">
      <c r="A2462" s="6" t="s">
        <v>10616</v>
      </c>
      <c r="B2462" s="6" t="s">
        <v>10617</v>
      </c>
      <c r="C2462" s="6" t="s">
        <v>43</v>
      </c>
      <c r="D2462" s="6" t="s">
        <v>850</v>
      </c>
      <c r="E2462" s="6" t="s">
        <v>757</v>
      </c>
      <c r="F2462" s="6" t="s">
        <v>46</v>
      </c>
      <c r="G2462" s="6" t="s">
        <v>10618</v>
      </c>
      <c r="H2462" s="7"/>
      <c r="I2462" s="6" t="s">
        <v>48</v>
      </c>
      <c r="J2462" s="6" t="s">
        <v>48</v>
      </c>
      <c r="AG2462" s="15" t="s">
        <v>49</v>
      </c>
      <c r="AH2462" s="15"/>
      <c r="AI2462" s="15"/>
    </row>
    <row r="2463" spans="1:35" s="6" customFormat="1">
      <c r="A2463" s="6" t="s">
        <v>10619</v>
      </c>
      <c r="B2463" s="6" t="s">
        <v>10620</v>
      </c>
      <c r="C2463" s="6" t="s">
        <v>43</v>
      </c>
      <c r="D2463" s="6" t="s">
        <v>850</v>
      </c>
      <c r="E2463" s="6" t="s">
        <v>757</v>
      </c>
      <c r="F2463" s="6" t="s">
        <v>46</v>
      </c>
      <c r="G2463" s="6" t="s">
        <v>10621</v>
      </c>
      <c r="H2463" s="7"/>
      <c r="I2463" s="6" t="s">
        <v>48</v>
      </c>
      <c r="J2463" s="6" t="s">
        <v>48</v>
      </c>
      <c r="AG2463" s="15" t="s">
        <v>49</v>
      </c>
      <c r="AH2463" s="15"/>
      <c r="AI2463" s="15"/>
    </row>
    <row r="2464" spans="1:35" s="6" customFormat="1">
      <c r="A2464" s="6" t="s">
        <v>10622</v>
      </c>
      <c r="B2464" s="6" t="s">
        <v>10623</v>
      </c>
      <c r="C2464" s="6" t="s">
        <v>43</v>
      </c>
      <c r="D2464" s="6" t="s">
        <v>850</v>
      </c>
      <c r="E2464" s="6" t="s">
        <v>218</v>
      </c>
      <c r="F2464" s="6" t="s">
        <v>46</v>
      </c>
      <c r="G2464" s="6" t="s">
        <v>10606</v>
      </c>
      <c r="H2464" s="7"/>
      <c r="I2464" s="6" t="s">
        <v>48</v>
      </c>
      <c r="J2464" s="6" t="s">
        <v>48</v>
      </c>
      <c r="AG2464" s="15" t="s">
        <v>49</v>
      </c>
      <c r="AH2464" s="15"/>
      <c r="AI2464" s="15"/>
    </row>
    <row r="2465" spans="1:35" s="6" customFormat="1">
      <c r="A2465" s="6" t="s">
        <v>10624</v>
      </c>
      <c r="B2465" s="6" t="s">
        <v>10625</v>
      </c>
      <c r="C2465" s="6" t="s">
        <v>43</v>
      </c>
      <c r="D2465" s="6" t="s">
        <v>850</v>
      </c>
      <c r="E2465" s="6" t="s">
        <v>757</v>
      </c>
      <c r="F2465" s="6" t="s">
        <v>46</v>
      </c>
      <c r="G2465" s="6" t="s">
        <v>10626</v>
      </c>
      <c r="H2465" s="7"/>
      <c r="I2465" s="6" t="s">
        <v>48</v>
      </c>
      <c r="J2465" s="6" t="s">
        <v>48</v>
      </c>
      <c r="AG2465" s="15" t="s">
        <v>49</v>
      </c>
      <c r="AH2465" s="15"/>
      <c r="AI2465" s="15"/>
    </row>
    <row r="2466" spans="1:35" s="6" customFormat="1">
      <c r="A2466" s="6" t="s">
        <v>10627</v>
      </c>
      <c r="B2466" s="6" t="s">
        <v>10628</v>
      </c>
      <c r="C2466" s="6" t="s">
        <v>43</v>
      </c>
      <c r="D2466" s="6" t="s">
        <v>850</v>
      </c>
      <c r="E2466" s="6" t="s">
        <v>757</v>
      </c>
      <c r="F2466" s="6" t="s">
        <v>46</v>
      </c>
      <c r="G2466" s="6" t="s">
        <v>10629</v>
      </c>
      <c r="H2466" s="7"/>
      <c r="I2466" s="6" t="s">
        <v>48</v>
      </c>
      <c r="J2466" s="6" t="s">
        <v>48</v>
      </c>
      <c r="AG2466" s="15" t="s">
        <v>49</v>
      </c>
      <c r="AH2466" s="15"/>
      <c r="AI2466" s="15"/>
    </row>
    <row r="2467" spans="1:35" s="6" customFormat="1">
      <c r="A2467" s="6" t="s">
        <v>10630</v>
      </c>
      <c r="B2467" s="6" t="s">
        <v>10631</v>
      </c>
      <c r="C2467" s="6" t="s">
        <v>43</v>
      </c>
      <c r="D2467" s="6" t="s">
        <v>850</v>
      </c>
      <c r="E2467" s="6" t="s">
        <v>757</v>
      </c>
      <c r="F2467" s="6" t="s">
        <v>46</v>
      </c>
      <c r="G2467" s="6" t="s">
        <v>10632</v>
      </c>
      <c r="H2467" s="7"/>
      <c r="I2467" s="6" t="s">
        <v>48</v>
      </c>
      <c r="J2467" s="6" t="s">
        <v>48</v>
      </c>
      <c r="AG2467" s="15" t="s">
        <v>49</v>
      </c>
      <c r="AH2467" s="15"/>
      <c r="AI2467" s="15"/>
    </row>
    <row r="2468" spans="1:35" s="6" customFormat="1">
      <c r="A2468" s="6" t="s">
        <v>10633</v>
      </c>
      <c r="B2468" s="6" t="s">
        <v>10634</v>
      </c>
      <c r="C2468" s="6" t="s">
        <v>43</v>
      </c>
      <c r="D2468" s="6" t="s">
        <v>850</v>
      </c>
      <c r="E2468" s="6" t="s">
        <v>757</v>
      </c>
      <c r="F2468" s="6" t="s">
        <v>46</v>
      </c>
      <c r="G2468" s="6" t="s">
        <v>10635</v>
      </c>
      <c r="H2468" s="7"/>
      <c r="I2468" s="6" t="s">
        <v>48</v>
      </c>
      <c r="J2468" s="6" t="s">
        <v>48</v>
      </c>
      <c r="AG2468" s="15" t="s">
        <v>49</v>
      </c>
      <c r="AH2468" s="15"/>
      <c r="AI2468" s="15"/>
    </row>
    <row r="2469" spans="1:35" s="6" customFormat="1">
      <c r="A2469" s="6" t="s">
        <v>10636</v>
      </c>
      <c r="B2469" s="6" t="s">
        <v>10637</v>
      </c>
      <c r="C2469" s="6" t="s">
        <v>43</v>
      </c>
      <c r="D2469" s="6" t="s">
        <v>850</v>
      </c>
      <c r="E2469" s="6" t="s">
        <v>757</v>
      </c>
      <c r="F2469" s="6" t="s">
        <v>46</v>
      </c>
      <c r="G2469" s="6" t="s">
        <v>10638</v>
      </c>
      <c r="H2469" s="7"/>
      <c r="I2469" s="6" t="s">
        <v>48</v>
      </c>
      <c r="J2469" s="6" t="s">
        <v>48</v>
      </c>
      <c r="AG2469" s="15" t="s">
        <v>49</v>
      </c>
      <c r="AH2469" s="15"/>
      <c r="AI2469" s="15"/>
    </row>
    <row r="2470" spans="1:35" s="6" customFormat="1">
      <c r="A2470" s="6" t="s">
        <v>10639</v>
      </c>
      <c r="B2470" s="6" t="s">
        <v>10640</v>
      </c>
      <c r="C2470" s="6" t="s">
        <v>43</v>
      </c>
      <c r="D2470" s="6" t="s">
        <v>850</v>
      </c>
      <c r="E2470" s="6" t="s">
        <v>218</v>
      </c>
      <c r="F2470" s="6" t="s">
        <v>46</v>
      </c>
      <c r="G2470" s="6" t="s">
        <v>10641</v>
      </c>
      <c r="H2470" s="7"/>
      <c r="I2470" s="6" t="s">
        <v>48</v>
      </c>
      <c r="J2470" s="6" t="s">
        <v>48</v>
      </c>
      <c r="AG2470" s="15" t="s">
        <v>49</v>
      </c>
      <c r="AH2470" s="15"/>
      <c r="AI2470" s="15"/>
    </row>
    <row r="2471" spans="1:35" s="6" customFormat="1">
      <c r="A2471" s="6" t="s">
        <v>10642</v>
      </c>
      <c r="B2471" s="6" t="s">
        <v>10643</v>
      </c>
      <c r="C2471" s="6" t="s">
        <v>43</v>
      </c>
      <c r="D2471" s="6" t="s">
        <v>850</v>
      </c>
      <c r="E2471" s="6" t="s">
        <v>757</v>
      </c>
      <c r="F2471" s="6" t="s">
        <v>46</v>
      </c>
      <c r="G2471" s="6" t="s">
        <v>5128</v>
      </c>
      <c r="H2471" s="7"/>
      <c r="I2471" s="6" t="s">
        <v>48</v>
      </c>
      <c r="J2471" s="6" t="s">
        <v>48</v>
      </c>
      <c r="AG2471" s="15" t="s">
        <v>49</v>
      </c>
      <c r="AH2471" s="15"/>
      <c r="AI2471" s="15"/>
    </row>
    <row r="2472" spans="1:35" s="6" customFormat="1">
      <c r="A2472" s="6" t="s">
        <v>10644</v>
      </c>
      <c r="B2472" s="6" t="s">
        <v>10645</v>
      </c>
      <c r="C2472" s="6" t="s">
        <v>43</v>
      </c>
      <c r="D2472" s="6" t="s">
        <v>850</v>
      </c>
      <c r="E2472" s="6" t="s">
        <v>757</v>
      </c>
      <c r="F2472" s="6" t="s">
        <v>46</v>
      </c>
      <c r="G2472" s="6" t="s">
        <v>10646</v>
      </c>
      <c r="H2472" s="7"/>
      <c r="I2472" s="6" t="s">
        <v>48</v>
      </c>
      <c r="J2472" s="6" t="s">
        <v>48</v>
      </c>
      <c r="AG2472" s="15" t="s">
        <v>49</v>
      </c>
      <c r="AH2472" s="15"/>
      <c r="AI2472" s="15"/>
    </row>
    <row r="2473" spans="1:35" s="6" customFormat="1">
      <c r="A2473" s="6" t="s">
        <v>10647</v>
      </c>
      <c r="B2473" s="6" t="s">
        <v>10648</v>
      </c>
      <c r="C2473" s="6" t="s">
        <v>43</v>
      </c>
      <c r="D2473" s="6" t="s">
        <v>850</v>
      </c>
      <c r="E2473" s="6" t="s">
        <v>218</v>
      </c>
      <c r="F2473" s="6" t="s">
        <v>46</v>
      </c>
      <c r="G2473" s="6" t="s">
        <v>2825</v>
      </c>
      <c r="H2473" s="7"/>
      <c r="I2473" s="6" t="s">
        <v>48</v>
      </c>
      <c r="J2473" s="6" t="s">
        <v>48</v>
      </c>
      <c r="AG2473" s="15" t="s">
        <v>49</v>
      </c>
      <c r="AH2473" s="15"/>
      <c r="AI2473" s="15"/>
    </row>
    <row r="2474" spans="1:35" s="6" customFormat="1">
      <c r="A2474" s="6" t="s">
        <v>10649</v>
      </c>
      <c r="B2474" s="6" t="s">
        <v>10650</v>
      </c>
      <c r="C2474" s="6" t="s">
        <v>43</v>
      </c>
      <c r="D2474" s="6" t="s">
        <v>850</v>
      </c>
      <c r="E2474" s="6" t="s">
        <v>757</v>
      </c>
      <c r="F2474" s="6" t="s">
        <v>46</v>
      </c>
      <c r="G2474" s="6" t="s">
        <v>10651</v>
      </c>
      <c r="H2474" s="7"/>
      <c r="I2474" s="6" t="s">
        <v>48</v>
      </c>
      <c r="J2474" s="6" t="s">
        <v>48</v>
      </c>
      <c r="AG2474" s="15" t="s">
        <v>49</v>
      </c>
      <c r="AH2474" s="15"/>
      <c r="AI2474" s="15"/>
    </row>
    <row r="2475" spans="1:35" s="6" customFormat="1">
      <c r="A2475" s="6" t="s">
        <v>10652</v>
      </c>
      <c r="B2475" s="6" t="s">
        <v>10653</v>
      </c>
      <c r="C2475" s="6" t="s">
        <v>43</v>
      </c>
      <c r="D2475" s="6" t="s">
        <v>850</v>
      </c>
      <c r="E2475" s="6" t="s">
        <v>218</v>
      </c>
      <c r="F2475" s="6" t="s">
        <v>46</v>
      </c>
      <c r="G2475" s="6" t="s">
        <v>10654</v>
      </c>
      <c r="H2475" s="7"/>
      <c r="I2475" s="6" t="s">
        <v>48</v>
      </c>
      <c r="J2475" s="6" t="s">
        <v>48</v>
      </c>
      <c r="AG2475" s="15" t="s">
        <v>49</v>
      </c>
      <c r="AH2475" s="15"/>
      <c r="AI2475" s="15"/>
    </row>
    <row r="2476" spans="1:35" s="6" customFormat="1">
      <c r="A2476" s="6" t="s">
        <v>10655</v>
      </c>
      <c r="B2476" s="6" t="s">
        <v>10656</v>
      </c>
      <c r="C2476" s="6" t="s">
        <v>43</v>
      </c>
      <c r="D2476" s="6" t="s">
        <v>850</v>
      </c>
      <c r="E2476" s="6" t="s">
        <v>757</v>
      </c>
      <c r="F2476" s="6" t="s">
        <v>46</v>
      </c>
      <c r="G2476" s="6" t="s">
        <v>7613</v>
      </c>
      <c r="H2476" s="7"/>
      <c r="I2476" s="6" t="s">
        <v>48</v>
      </c>
      <c r="J2476" s="6" t="s">
        <v>48</v>
      </c>
      <c r="AG2476" s="15" t="s">
        <v>49</v>
      </c>
      <c r="AH2476" s="15"/>
      <c r="AI2476" s="15"/>
    </row>
    <row r="2477" spans="1:35" s="6" customFormat="1">
      <c r="A2477" s="6" t="s">
        <v>10657</v>
      </c>
      <c r="B2477" s="6" t="s">
        <v>10658</v>
      </c>
      <c r="C2477" s="6" t="s">
        <v>43</v>
      </c>
      <c r="D2477" s="6" t="s">
        <v>850</v>
      </c>
      <c r="E2477" s="6" t="s">
        <v>757</v>
      </c>
      <c r="F2477" s="6" t="s">
        <v>46</v>
      </c>
      <c r="G2477" s="6" t="s">
        <v>7613</v>
      </c>
      <c r="H2477" s="7"/>
      <c r="I2477" s="6" t="s">
        <v>48</v>
      </c>
      <c r="J2477" s="6" t="s">
        <v>48</v>
      </c>
      <c r="AG2477" s="15" t="s">
        <v>49</v>
      </c>
      <c r="AH2477" s="15"/>
      <c r="AI2477" s="15"/>
    </row>
    <row r="2478" spans="1:35" s="6" customFormat="1">
      <c r="A2478" s="6" t="s">
        <v>10659</v>
      </c>
      <c r="B2478" s="6" t="s">
        <v>10660</v>
      </c>
      <c r="C2478" s="6" t="s">
        <v>43</v>
      </c>
      <c r="D2478" s="6" t="s">
        <v>850</v>
      </c>
      <c r="E2478" s="6" t="s">
        <v>218</v>
      </c>
      <c r="F2478" s="6" t="s">
        <v>46</v>
      </c>
      <c r="G2478" s="6" t="s">
        <v>8676</v>
      </c>
      <c r="H2478" s="7"/>
      <c r="I2478" s="6" t="s">
        <v>48</v>
      </c>
      <c r="J2478" s="6" t="s">
        <v>48</v>
      </c>
      <c r="AG2478" s="15" t="s">
        <v>49</v>
      </c>
      <c r="AH2478" s="15"/>
      <c r="AI2478" s="15"/>
    </row>
    <row r="2479" spans="1:35" s="6" customFormat="1">
      <c r="A2479" s="6" t="s">
        <v>10661</v>
      </c>
      <c r="B2479" s="6" t="s">
        <v>10662</v>
      </c>
      <c r="C2479" s="6" t="s">
        <v>43</v>
      </c>
      <c r="D2479" s="6" t="s">
        <v>850</v>
      </c>
      <c r="E2479" s="6" t="s">
        <v>757</v>
      </c>
      <c r="F2479" s="6" t="s">
        <v>46</v>
      </c>
      <c r="G2479" s="6" t="s">
        <v>10663</v>
      </c>
      <c r="H2479" s="7"/>
      <c r="I2479" s="6" t="s">
        <v>48</v>
      </c>
      <c r="J2479" s="6" t="s">
        <v>48</v>
      </c>
      <c r="AG2479" s="15" t="s">
        <v>49</v>
      </c>
      <c r="AH2479" s="15"/>
      <c r="AI2479" s="15"/>
    </row>
    <row r="2480" spans="1:35" s="6" customFormat="1">
      <c r="A2480" s="6" t="s">
        <v>10664</v>
      </c>
      <c r="B2480" s="6" t="s">
        <v>10665</v>
      </c>
      <c r="C2480" s="6" t="s">
        <v>43</v>
      </c>
      <c r="D2480" s="6" t="s">
        <v>850</v>
      </c>
      <c r="E2480" s="6" t="s">
        <v>757</v>
      </c>
      <c r="F2480" s="6" t="s">
        <v>46</v>
      </c>
      <c r="G2480" s="6" t="s">
        <v>9548</v>
      </c>
      <c r="H2480" s="7"/>
      <c r="I2480" s="6" t="s">
        <v>48</v>
      </c>
      <c r="J2480" s="6" t="s">
        <v>48</v>
      </c>
      <c r="AG2480" s="15" t="s">
        <v>49</v>
      </c>
      <c r="AH2480" s="15"/>
      <c r="AI2480" s="15"/>
    </row>
    <row r="2481" spans="1:35" s="6" customFormat="1">
      <c r="A2481" s="6" t="s">
        <v>10666</v>
      </c>
      <c r="B2481" s="6" t="s">
        <v>10667</v>
      </c>
      <c r="C2481" s="6" t="s">
        <v>43</v>
      </c>
      <c r="D2481" s="6" t="s">
        <v>850</v>
      </c>
      <c r="E2481" s="6" t="s">
        <v>218</v>
      </c>
      <c r="F2481" s="6" t="s">
        <v>46</v>
      </c>
      <c r="G2481" s="6" t="s">
        <v>10668</v>
      </c>
      <c r="H2481" s="7"/>
      <c r="I2481" s="6" t="s">
        <v>48</v>
      </c>
      <c r="J2481" s="6" t="s">
        <v>48</v>
      </c>
      <c r="AG2481" s="15" t="s">
        <v>49</v>
      </c>
      <c r="AH2481" s="15"/>
      <c r="AI2481" s="15"/>
    </row>
    <row r="2482" spans="1:35" s="6" customFormat="1">
      <c r="A2482" s="6" t="s">
        <v>10669</v>
      </c>
      <c r="B2482" s="6" t="s">
        <v>10670</v>
      </c>
      <c r="C2482" s="6" t="s">
        <v>43</v>
      </c>
      <c r="D2482" s="6" t="s">
        <v>850</v>
      </c>
      <c r="E2482" s="6" t="s">
        <v>757</v>
      </c>
      <c r="F2482" s="6" t="s">
        <v>46</v>
      </c>
      <c r="G2482" s="6" t="s">
        <v>10671</v>
      </c>
      <c r="H2482" s="7"/>
      <c r="I2482" s="6" t="s">
        <v>48</v>
      </c>
      <c r="J2482" s="6" t="s">
        <v>48</v>
      </c>
      <c r="AG2482" s="15" t="s">
        <v>49</v>
      </c>
      <c r="AH2482" s="15"/>
      <c r="AI2482" s="15"/>
    </row>
    <row r="2483" spans="1:35" s="6" customFormat="1">
      <c r="A2483" s="6" t="s">
        <v>10672</v>
      </c>
      <c r="B2483" s="6" t="s">
        <v>10673</v>
      </c>
      <c r="C2483" s="6" t="s">
        <v>43</v>
      </c>
      <c r="D2483" s="6" t="s">
        <v>850</v>
      </c>
      <c r="E2483" s="6" t="s">
        <v>757</v>
      </c>
      <c r="F2483" s="6" t="s">
        <v>46</v>
      </c>
      <c r="G2483" s="6" t="s">
        <v>3901</v>
      </c>
      <c r="H2483" s="7"/>
      <c r="I2483" s="6" t="s">
        <v>48</v>
      </c>
      <c r="J2483" s="6" t="s">
        <v>48</v>
      </c>
      <c r="AG2483" s="15" t="s">
        <v>49</v>
      </c>
      <c r="AH2483" s="15"/>
      <c r="AI2483" s="15"/>
    </row>
    <row r="2484" spans="1:35" s="6" customFormat="1">
      <c r="A2484" s="6" t="s">
        <v>10674</v>
      </c>
      <c r="B2484" s="6" t="s">
        <v>10675</v>
      </c>
      <c r="C2484" s="6" t="s">
        <v>43</v>
      </c>
      <c r="D2484" s="6" t="s">
        <v>850</v>
      </c>
      <c r="E2484" s="6" t="s">
        <v>218</v>
      </c>
      <c r="F2484" s="6" t="s">
        <v>46</v>
      </c>
      <c r="G2484" s="6" t="s">
        <v>10257</v>
      </c>
      <c r="H2484" s="7"/>
      <c r="I2484" s="6" t="s">
        <v>48</v>
      </c>
      <c r="J2484" s="6" t="s">
        <v>48</v>
      </c>
      <c r="AG2484" s="15" t="s">
        <v>49</v>
      </c>
      <c r="AH2484" s="15"/>
      <c r="AI2484" s="15"/>
    </row>
    <row r="2485" spans="1:35" s="6" customFormat="1">
      <c r="A2485" s="6" t="s">
        <v>10676</v>
      </c>
      <c r="B2485" s="6" t="s">
        <v>10677</v>
      </c>
      <c r="C2485" s="6" t="s">
        <v>43</v>
      </c>
      <c r="D2485" s="6" t="s">
        <v>850</v>
      </c>
      <c r="E2485" s="6" t="s">
        <v>757</v>
      </c>
      <c r="F2485" s="6" t="s">
        <v>46</v>
      </c>
      <c r="G2485" s="6" t="s">
        <v>10678</v>
      </c>
      <c r="H2485" s="7"/>
      <c r="I2485" s="6" t="s">
        <v>48</v>
      </c>
      <c r="J2485" s="6" t="s">
        <v>48</v>
      </c>
      <c r="AG2485" s="15" t="s">
        <v>49</v>
      </c>
      <c r="AH2485" s="15"/>
      <c r="AI2485" s="15"/>
    </row>
    <row r="2486" spans="1:35" s="6" customFormat="1">
      <c r="A2486" s="6" t="s">
        <v>10679</v>
      </c>
      <c r="B2486" s="6" t="s">
        <v>10680</v>
      </c>
      <c r="C2486" s="6" t="s">
        <v>43</v>
      </c>
      <c r="D2486" s="6" t="s">
        <v>850</v>
      </c>
      <c r="E2486" s="6" t="s">
        <v>757</v>
      </c>
      <c r="F2486" s="6" t="s">
        <v>46</v>
      </c>
      <c r="G2486" s="6" t="s">
        <v>5022</v>
      </c>
      <c r="H2486" s="7"/>
      <c r="I2486" s="6" t="s">
        <v>48</v>
      </c>
      <c r="J2486" s="6" t="s">
        <v>48</v>
      </c>
      <c r="AG2486" s="15" t="s">
        <v>49</v>
      </c>
      <c r="AH2486" s="15"/>
      <c r="AI2486" s="15"/>
    </row>
    <row r="2487" spans="1:35" s="6" customFormat="1">
      <c r="A2487" s="6" t="s">
        <v>10681</v>
      </c>
      <c r="B2487" s="6" t="s">
        <v>10682</v>
      </c>
      <c r="C2487" s="6" t="s">
        <v>43</v>
      </c>
      <c r="D2487" s="6" t="s">
        <v>850</v>
      </c>
      <c r="E2487" s="6" t="s">
        <v>218</v>
      </c>
      <c r="F2487" s="6" t="s">
        <v>46</v>
      </c>
      <c r="G2487" s="6" t="s">
        <v>10683</v>
      </c>
      <c r="H2487" s="7"/>
      <c r="I2487" s="6" t="s">
        <v>48</v>
      </c>
      <c r="J2487" s="6" t="s">
        <v>48</v>
      </c>
      <c r="AG2487" s="15" t="s">
        <v>49</v>
      </c>
      <c r="AH2487" s="15"/>
      <c r="AI2487" s="15"/>
    </row>
    <row r="2488" spans="1:35" s="6" customFormat="1">
      <c r="A2488" s="6" t="s">
        <v>10684</v>
      </c>
      <c r="B2488" s="6" t="s">
        <v>10685</v>
      </c>
      <c r="C2488" s="6" t="s">
        <v>43</v>
      </c>
      <c r="D2488" s="6" t="s">
        <v>850</v>
      </c>
      <c r="E2488" s="6" t="s">
        <v>757</v>
      </c>
      <c r="F2488" s="6" t="s">
        <v>46</v>
      </c>
      <c r="G2488" s="6" t="s">
        <v>8989</v>
      </c>
      <c r="H2488" s="7"/>
      <c r="I2488" s="6" t="s">
        <v>48</v>
      </c>
      <c r="J2488" s="6" t="s">
        <v>48</v>
      </c>
      <c r="AG2488" s="15" t="s">
        <v>49</v>
      </c>
      <c r="AH2488" s="15"/>
      <c r="AI2488" s="15"/>
    </row>
    <row r="2489" spans="1:35" s="6" customFormat="1">
      <c r="A2489" s="6" t="s">
        <v>10686</v>
      </c>
      <c r="B2489" s="6" t="s">
        <v>10687</v>
      </c>
      <c r="C2489" s="6" t="s">
        <v>43</v>
      </c>
      <c r="D2489" s="6" t="s">
        <v>850</v>
      </c>
      <c r="E2489" s="6" t="s">
        <v>218</v>
      </c>
      <c r="F2489" s="6" t="s">
        <v>46</v>
      </c>
      <c r="G2489" s="6" t="s">
        <v>10688</v>
      </c>
      <c r="H2489" s="7"/>
      <c r="I2489" s="6" t="s">
        <v>48</v>
      </c>
      <c r="J2489" s="6" t="s">
        <v>48</v>
      </c>
      <c r="AG2489" s="15" t="s">
        <v>49</v>
      </c>
      <c r="AH2489" s="15"/>
      <c r="AI2489" s="15"/>
    </row>
    <row r="2490" spans="1:35" s="6" customFormat="1">
      <c r="A2490" s="6" t="s">
        <v>10689</v>
      </c>
      <c r="B2490" s="6" t="s">
        <v>10690</v>
      </c>
      <c r="C2490" s="6" t="s">
        <v>43</v>
      </c>
      <c r="D2490" s="6" t="s">
        <v>850</v>
      </c>
      <c r="E2490" s="6" t="s">
        <v>757</v>
      </c>
      <c r="F2490" s="6" t="s">
        <v>46</v>
      </c>
      <c r="G2490" s="6" t="s">
        <v>10691</v>
      </c>
      <c r="H2490" s="7"/>
      <c r="I2490" s="6" t="s">
        <v>48</v>
      </c>
      <c r="J2490" s="6" t="s">
        <v>48</v>
      </c>
      <c r="AG2490" s="15" t="s">
        <v>49</v>
      </c>
      <c r="AH2490" s="15"/>
      <c r="AI2490" s="15"/>
    </row>
    <row r="2491" spans="1:35" s="6" customFormat="1">
      <c r="A2491" s="6" t="s">
        <v>10692</v>
      </c>
      <c r="B2491" s="6" t="s">
        <v>10693</v>
      </c>
      <c r="C2491" s="6" t="s">
        <v>43</v>
      </c>
      <c r="D2491" s="6" t="s">
        <v>850</v>
      </c>
      <c r="E2491" s="6" t="s">
        <v>757</v>
      </c>
      <c r="F2491" s="6" t="s">
        <v>46</v>
      </c>
      <c r="G2491" s="6" t="s">
        <v>10694</v>
      </c>
      <c r="H2491" s="7"/>
      <c r="I2491" s="6" t="s">
        <v>48</v>
      </c>
      <c r="J2491" s="6" t="s">
        <v>48</v>
      </c>
      <c r="AG2491" s="15" t="s">
        <v>49</v>
      </c>
      <c r="AH2491" s="15"/>
      <c r="AI2491" s="15"/>
    </row>
    <row r="2492" spans="1:35" s="6" customFormat="1">
      <c r="A2492" s="6" t="s">
        <v>10695</v>
      </c>
      <c r="B2492" s="6" t="s">
        <v>10696</v>
      </c>
      <c r="C2492" s="6" t="s">
        <v>43</v>
      </c>
      <c r="D2492" s="6" t="s">
        <v>850</v>
      </c>
      <c r="E2492" s="6" t="s">
        <v>218</v>
      </c>
      <c r="F2492" s="6" t="s">
        <v>46</v>
      </c>
      <c r="G2492" s="6" t="s">
        <v>10697</v>
      </c>
      <c r="H2492" s="7"/>
      <c r="I2492" s="6" t="s">
        <v>48</v>
      </c>
      <c r="J2492" s="6" t="s">
        <v>48</v>
      </c>
      <c r="AG2492" s="15" t="s">
        <v>49</v>
      </c>
      <c r="AH2492" s="15"/>
      <c r="AI2492" s="15"/>
    </row>
    <row r="2493" spans="1:35" s="6" customFormat="1">
      <c r="A2493" s="6" t="s">
        <v>10698</v>
      </c>
      <c r="B2493" s="6" t="s">
        <v>10699</v>
      </c>
      <c r="C2493" s="6" t="s">
        <v>43</v>
      </c>
      <c r="D2493" s="6" t="s">
        <v>850</v>
      </c>
      <c r="E2493" s="6" t="s">
        <v>757</v>
      </c>
      <c r="F2493" s="6" t="s">
        <v>46</v>
      </c>
      <c r="G2493" s="6" t="s">
        <v>10700</v>
      </c>
      <c r="H2493" s="7"/>
      <c r="I2493" s="6" t="s">
        <v>48</v>
      </c>
      <c r="J2493" s="6" t="s">
        <v>48</v>
      </c>
      <c r="AG2493" s="15" t="s">
        <v>49</v>
      </c>
      <c r="AH2493" s="15"/>
      <c r="AI2493" s="15"/>
    </row>
    <row r="2494" spans="1:35" s="6" customFormat="1">
      <c r="A2494" s="6" t="s">
        <v>10701</v>
      </c>
      <c r="B2494" s="6" t="s">
        <v>10702</v>
      </c>
      <c r="C2494" s="6" t="s">
        <v>43</v>
      </c>
      <c r="D2494" s="6" t="s">
        <v>850</v>
      </c>
      <c r="E2494" s="6" t="s">
        <v>757</v>
      </c>
      <c r="F2494" s="6" t="s">
        <v>46</v>
      </c>
      <c r="G2494" s="6" t="s">
        <v>10703</v>
      </c>
      <c r="H2494" s="7"/>
      <c r="I2494" s="6" t="s">
        <v>48</v>
      </c>
      <c r="J2494" s="6" t="s">
        <v>48</v>
      </c>
      <c r="AG2494" s="15" t="s">
        <v>49</v>
      </c>
      <c r="AH2494" s="15"/>
      <c r="AI2494" s="15"/>
    </row>
    <row r="2495" spans="1:35" s="6" customFormat="1">
      <c r="A2495" s="6" t="s">
        <v>10704</v>
      </c>
      <c r="B2495" s="6" t="s">
        <v>10705</v>
      </c>
      <c r="C2495" s="6" t="s">
        <v>43</v>
      </c>
      <c r="D2495" s="6" t="s">
        <v>850</v>
      </c>
      <c r="E2495" s="6" t="s">
        <v>218</v>
      </c>
      <c r="F2495" s="6" t="s">
        <v>46</v>
      </c>
      <c r="G2495" s="6" t="s">
        <v>10706</v>
      </c>
      <c r="H2495" s="7"/>
      <c r="I2495" s="6" t="s">
        <v>48</v>
      </c>
      <c r="J2495" s="6" t="s">
        <v>48</v>
      </c>
      <c r="AG2495" s="15" t="s">
        <v>49</v>
      </c>
      <c r="AH2495" s="15"/>
      <c r="AI2495" s="15"/>
    </row>
    <row r="2496" spans="1:35" s="6" customFormat="1">
      <c r="A2496" s="6" t="s">
        <v>10707</v>
      </c>
      <c r="B2496" s="6" t="s">
        <v>10708</v>
      </c>
      <c r="C2496" s="6" t="s">
        <v>43</v>
      </c>
      <c r="D2496" s="6" t="s">
        <v>850</v>
      </c>
      <c r="E2496" s="6" t="s">
        <v>757</v>
      </c>
      <c r="F2496" s="6" t="s">
        <v>46</v>
      </c>
      <c r="G2496" s="6" t="s">
        <v>10709</v>
      </c>
      <c r="H2496" s="7"/>
      <c r="I2496" s="6" t="s">
        <v>48</v>
      </c>
      <c r="J2496" s="6" t="s">
        <v>48</v>
      </c>
      <c r="AG2496" s="15" t="s">
        <v>49</v>
      </c>
      <c r="AH2496" s="15"/>
      <c r="AI2496" s="15"/>
    </row>
    <row r="2497" spans="1:35" s="6" customFormat="1">
      <c r="A2497" s="6" t="s">
        <v>10710</v>
      </c>
      <c r="B2497" s="6" t="s">
        <v>10711</v>
      </c>
      <c r="C2497" s="6" t="s">
        <v>43</v>
      </c>
      <c r="D2497" s="6" t="s">
        <v>850</v>
      </c>
      <c r="E2497" s="6" t="s">
        <v>757</v>
      </c>
      <c r="F2497" s="6" t="s">
        <v>46</v>
      </c>
      <c r="G2497" s="6" t="s">
        <v>10712</v>
      </c>
      <c r="H2497" s="7"/>
      <c r="I2497" s="6" t="s">
        <v>48</v>
      </c>
      <c r="J2497" s="6" t="s">
        <v>48</v>
      </c>
      <c r="AG2497" s="15" t="s">
        <v>49</v>
      </c>
      <c r="AH2497" s="15"/>
      <c r="AI2497" s="15"/>
    </row>
    <row r="2498" spans="1:35" s="6" customFormat="1">
      <c r="A2498" s="6" t="s">
        <v>10713</v>
      </c>
      <c r="B2498" s="6" t="s">
        <v>10714</v>
      </c>
      <c r="C2498" s="6" t="s">
        <v>43</v>
      </c>
      <c r="D2498" s="6" t="s">
        <v>850</v>
      </c>
      <c r="E2498" s="6" t="s">
        <v>757</v>
      </c>
      <c r="F2498" s="6" t="s">
        <v>46</v>
      </c>
      <c r="G2498" s="6" t="s">
        <v>10715</v>
      </c>
      <c r="H2498" s="7"/>
      <c r="I2498" s="6" t="s">
        <v>48</v>
      </c>
      <c r="J2498" s="6" t="s">
        <v>48</v>
      </c>
      <c r="AG2498" s="15" t="s">
        <v>49</v>
      </c>
      <c r="AH2498" s="15"/>
      <c r="AI2498" s="15"/>
    </row>
    <row r="2499" spans="1:35" s="6" customFormat="1">
      <c r="A2499" s="6" t="s">
        <v>10716</v>
      </c>
      <c r="B2499" s="6" t="s">
        <v>10717</v>
      </c>
      <c r="C2499" s="6" t="s">
        <v>43</v>
      </c>
      <c r="D2499" s="6" t="s">
        <v>850</v>
      </c>
      <c r="E2499" s="6" t="s">
        <v>218</v>
      </c>
      <c r="F2499" s="6" t="s">
        <v>46</v>
      </c>
      <c r="G2499" s="6" t="s">
        <v>10718</v>
      </c>
      <c r="H2499" s="7"/>
      <c r="I2499" s="6" t="s">
        <v>48</v>
      </c>
      <c r="J2499" s="6" t="s">
        <v>48</v>
      </c>
      <c r="AG2499" s="15" t="s">
        <v>49</v>
      </c>
      <c r="AH2499" s="15"/>
      <c r="AI2499" s="15"/>
    </row>
    <row r="2500" spans="1:35" s="6" customFormat="1">
      <c r="A2500" s="6" t="s">
        <v>10719</v>
      </c>
      <c r="B2500" s="6" t="s">
        <v>10720</v>
      </c>
      <c r="C2500" s="6" t="s">
        <v>43</v>
      </c>
      <c r="D2500" s="6" t="s">
        <v>850</v>
      </c>
      <c r="E2500" s="6" t="s">
        <v>218</v>
      </c>
      <c r="F2500" s="6" t="s">
        <v>46</v>
      </c>
      <c r="G2500" s="6" t="s">
        <v>10721</v>
      </c>
      <c r="H2500" s="7"/>
      <c r="I2500" s="6" t="s">
        <v>48</v>
      </c>
      <c r="J2500" s="6" t="s">
        <v>48</v>
      </c>
      <c r="AG2500" s="15" t="s">
        <v>49</v>
      </c>
      <c r="AH2500" s="15"/>
      <c r="AI2500" s="15"/>
    </row>
    <row r="2501" spans="1:35" s="6" customFormat="1">
      <c r="A2501" s="6" t="s">
        <v>10722</v>
      </c>
      <c r="B2501" s="6" t="s">
        <v>10723</v>
      </c>
      <c r="C2501" s="6" t="s">
        <v>43</v>
      </c>
      <c r="D2501" s="6" t="s">
        <v>850</v>
      </c>
      <c r="E2501" s="6" t="s">
        <v>218</v>
      </c>
      <c r="F2501" s="6" t="s">
        <v>46</v>
      </c>
      <c r="G2501" s="6" t="s">
        <v>10724</v>
      </c>
      <c r="H2501" s="7"/>
      <c r="I2501" s="6" t="s">
        <v>48</v>
      </c>
      <c r="J2501" s="6" t="s">
        <v>48</v>
      </c>
      <c r="AG2501" s="15" t="s">
        <v>49</v>
      </c>
      <c r="AH2501" s="15"/>
      <c r="AI2501" s="15"/>
    </row>
    <row r="2502" spans="1:35" s="6" customFormat="1">
      <c r="A2502" s="6" t="s">
        <v>10725</v>
      </c>
      <c r="B2502" s="6" t="s">
        <v>10726</v>
      </c>
      <c r="C2502" s="6" t="s">
        <v>43</v>
      </c>
      <c r="D2502" s="6" t="s">
        <v>850</v>
      </c>
      <c r="E2502" s="6" t="s">
        <v>757</v>
      </c>
      <c r="F2502" s="6" t="s">
        <v>46</v>
      </c>
      <c r="G2502" s="6" t="s">
        <v>43</v>
      </c>
      <c r="H2502" s="7"/>
      <c r="I2502" s="6" t="s">
        <v>48</v>
      </c>
      <c r="J2502" s="6" t="s">
        <v>48</v>
      </c>
      <c r="AG2502" s="15" t="s">
        <v>49</v>
      </c>
      <c r="AH2502" s="15"/>
      <c r="AI2502" s="15"/>
    </row>
    <row r="2503" spans="1:35" s="6" customFormat="1">
      <c r="A2503" s="6" t="s">
        <v>10727</v>
      </c>
      <c r="B2503" s="6" t="s">
        <v>10728</v>
      </c>
      <c r="C2503" s="6" t="s">
        <v>43</v>
      </c>
      <c r="D2503" s="6" t="s">
        <v>850</v>
      </c>
      <c r="E2503" s="6" t="s">
        <v>218</v>
      </c>
      <c r="F2503" s="6" t="s">
        <v>46</v>
      </c>
      <c r="G2503" s="6" t="s">
        <v>10729</v>
      </c>
      <c r="H2503" s="7"/>
      <c r="I2503" s="6" t="s">
        <v>48</v>
      </c>
      <c r="J2503" s="6" t="s">
        <v>48</v>
      </c>
      <c r="AG2503" s="15" t="s">
        <v>49</v>
      </c>
      <c r="AH2503" s="15"/>
      <c r="AI2503" s="15"/>
    </row>
    <row r="2504" spans="1:35" s="6" customFormat="1">
      <c r="A2504" s="6" t="s">
        <v>10730</v>
      </c>
      <c r="B2504" s="6" t="s">
        <v>10731</v>
      </c>
      <c r="C2504" s="6" t="s">
        <v>43</v>
      </c>
      <c r="D2504" s="6" t="s">
        <v>850</v>
      </c>
      <c r="E2504" s="6" t="s">
        <v>757</v>
      </c>
      <c r="F2504" s="6" t="s">
        <v>46</v>
      </c>
      <c r="G2504" s="6" t="s">
        <v>10651</v>
      </c>
      <c r="H2504" s="7"/>
      <c r="I2504" s="6" t="s">
        <v>48</v>
      </c>
      <c r="J2504" s="6" t="s">
        <v>48</v>
      </c>
      <c r="AG2504" s="15" t="s">
        <v>49</v>
      </c>
      <c r="AH2504" s="15"/>
      <c r="AI2504" s="15"/>
    </row>
    <row r="2505" spans="1:35" s="6" customFormat="1">
      <c r="A2505" s="6" t="s">
        <v>10732</v>
      </c>
      <c r="B2505" s="6" t="s">
        <v>10733</v>
      </c>
      <c r="C2505" s="6" t="s">
        <v>43</v>
      </c>
      <c r="D2505" s="6" t="s">
        <v>850</v>
      </c>
      <c r="E2505" s="6" t="s">
        <v>757</v>
      </c>
      <c r="F2505" s="6" t="s">
        <v>46</v>
      </c>
      <c r="G2505" s="6" t="s">
        <v>10734</v>
      </c>
      <c r="H2505" s="7"/>
      <c r="I2505" s="6" t="s">
        <v>48</v>
      </c>
      <c r="J2505" s="6" t="s">
        <v>48</v>
      </c>
      <c r="AG2505" s="15" t="s">
        <v>49</v>
      </c>
      <c r="AH2505" s="15"/>
      <c r="AI2505" s="15"/>
    </row>
    <row r="2506" spans="1:35" s="6" customFormat="1">
      <c r="A2506" s="6" t="s">
        <v>10735</v>
      </c>
      <c r="B2506" s="6" t="s">
        <v>10736</v>
      </c>
      <c r="C2506" s="6" t="s">
        <v>43</v>
      </c>
      <c r="D2506" s="6" t="s">
        <v>850</v>
      </c>
      <c r="E2506" s="6" t="s">
        <v>218</v>
      </c>
      <c r="F2506" s="6" t="s">
        <v>46</v>
      </c>
      <c r="G2506" s="6" t="s">
        <v>3634</v>
      </c>
      <c r="H2506" s="7"/>
      <c r="I2506" s="6" t="s">
        <v>48</v>
      </c>
      <c r="J2506" s="6" t="s">
        <v>48</v>
      </c>
      <c r="AG2506" s="15" t="s">
        <v>49</v>
      </c>
      <c r="AH2506" s="15"/>
      <c r="AI2506" s="15"/>
    </row>
    <row r="2507" spans="1:35" s="6" customFormat="1">
      <c r="A2507" s="6" t="s">
        <v>10737</v>
      </c>
      <c r="B2507" s="6" t="s">
        <v>10738</v>
      </c>
      <c r="C2507" s="6" t="s">
        <v>43</v>
      </c>
      <c r="D2507" s="6" t="s">
        <v>850</v>
      </c>
      <c r="E2507" s="6" t="s">
        <v>757</v>
      </c>
      <c r="F2507" s="6" t="s">
        <v>46</v>
      </c>
      <c r="G2507" s="6" t="s">
        <v>7793</v>
      </c>
      <c r="H2507" s="7"/>
      <c r="I2507" s="6" t="s">
        <v>48</v>
      </c>
      <c r="J2507" s="6" t="s">
        <v>48</v>
      </c>
      <c r="AG2507" s="15" t="s">
        <v>49</v>
      </c>
      <c r="AH2507" s="15"/>
      <c r="AI2507" s="15"/>
    </row>
    <row r="2508" spans="1:35" s="6" customFormat="1">
      <c r="A2508" s="6" t="s">
        <v>10739</v>
      </c>
      <c r="B2508" s="6" t="s">
        <v>10740</v>
      </c>
      <c r="C2508" s="6" t="s">
        <v>43</v>
      </c>
      <c r="D2508" s="6" t="s">
        <v>850</v>
      </c>
      <c r="E2508" s="6" t="s">
        <v>757</v>
      </c>
      <c r="F2508" s="6" t="s">
        <v>46</v>
      </c>
      <c r="G2508" s="6" t="s">
        <v>10741</v>
      </c>
      <c r="H2508" s="7"/>
      <c r="I2508" s="6" t="s">
        <v>48</v>
      </c>
      <c r="J2508" s="6" t="s">
        <v>48</v>
      </c>
      <c r="AG2508" s="15" t="s">
        <v>49</v>
      </c>
      <c r="AH2508" s="15"/>
      <c r="AI2508" s="15"/>
    </row>
    <row r="2509" spans="1:35" s="6" customFormat="1">
      <c r="A2509" s="6" t="s">
        <v>10742</v>
      </c>
      <c r="B2509" s="6" t="s">
        <v>10743</v>
      </c>
      <c r="C2509" s="6" t="s">
        <v>43</v>
      </c>
      <c r="D2509" s="6" t="s">
        <v>850</v>
      </c>
      <c r="E2509" s="6" t="s">
        <v>218</v>
      </c>
      <c r="F2509" s="6" t="s">
        <v>46</v>
      </c>
      <c r="G2509" s="6" t="s">
        <v>8160</v>
      </c>
      <c r="H2509" s="7"/>
      <c r="I2509" s="6" t="s">
        <v>48</v>
      </c>
      <c r="J2509" s="6" t="s">
        <v>48</v>
      </c>
      <c r="AG2509" s="15" t="s">
        <v>49</v>
      </c>
      <c r="AH2509" s="15"/>
      <c r="AI2509" s="15"/>
    </row>
    <row r="2510" spans="1:35" s="6" customFormat="1">
      <c r="A2510" s="6" t="s">
        <v>10744</v>
      </c>
      <c r="B2510" s="6" t="s">
        <v>10745</v>
      </c>
      <c r="C2510" s="6" t="s">
        <v>43</v>
      </c>
      <c r="D2510" s="6" t="s">
        <v>850</v>
      </c>
      <c r="E2510" s="6" t="s">
        <v>757</v>
      </c>
      <c r="F2510" s="6" t="s">
        <v>46</v>
      </c>
      <c r="G2510" s="6" t="s">
        <v>10746</v>
      </c>
      <c r="H2510" s="7"/>
      <c r="I2510" s="6" t="s">
        <v>48</v>
      </c>
      <c r="J2510" s="6" t="s">
        <v>48</v>
      </c>
      <c r="AG2510" s="15" t="s">
        <v>49</v>
      </c>
      <c r="AH2510" s="15"/>
      <c r="AI2510" s="15"/>
    </row>
    <row r="2511" spans="1:35" s="6" customFormat="1">
      <c r="A2511" s="6" t="s">
        <v>10747</v>
      </c>
      <c r="B2511" s="6" t="s">
        <v>10748</v>
      </c>
      <c r="C2511" s="6" t="s">
        <v>43</v>
      </c>
      <c r="D2511" s="6" t="s">
        <v>850</v>
      </c>
      <c r="E2511" s="6" t="s">
        <v>757</v>
      </c>
      <c r="F2511" s="6" t="s">
        <v>46</v>
      </c>
      <c r="G2511" s="6" t="s">
        <v>10746</v>
      </c>
      <c r="H2511" s="7"/>
      <c r="I2511" s="6" t="s">
        <v>48</v>
      </c>
      <c r="J2511" s="6" t="s">
        <v>48</v>
      </c>
      <c r="AG2511" s="15" t="s">
        <v>49</v>
      </c>
      <c r="AH2511" s="15"/>
      <c r="AI2511" s="15"/>
    </row>
    <row r="2512" spans="1:35" s="6" customFormat="1">
      <c r="A2512" s="6" t="s">
        <v>10749</v>
      </c>
      <c r="B2512" s="6" t="s">
        <v>10750</v>
      </c>
      <c r="C2512" s="6" t="s">
        <v>43</v>
      </c>
      <c r="D2512" s="6" t="s">
        <v>850</v>
      </c>
      <c r="E2512" s="6" t="s">
        <v>218</v>
      </c>
      <c r="F2512" s="6" t="s">
        <v>46</v>
      </c>
      <c r="G2512" s="6" t="s">
        <v>9699</v>
      </c>
      <c r="H2512" s="7"/>
      <c r="I2512" s="6" t="s">
        <v>48</v>
      </c>
      <c r="J2512" s="6" t="s">
        <v>48</v>
      </c>
      <c r="AG2512" s="15" t="s">
        <v>49</v>
      </c>
      <c r="AH2512" s="15"/>
      <c r="AI2512" s="15"/>
    </row>
    <row r="2513" spans="1:35" s="6" customFormat="1">
      <c r="A2513" s="6" t="s">
        <v>10751</v>
      </c>
      <c r="B2513" s="6" t="s">
        <v>10752</v>
      </c>
      <c r="C2513" s="6" t="s">
        <v>43</v>
      </c>
      <c r="D2513" s="6" t="s">
        <v>850</v>
      </c>
      <c r="E2513" s="6" t="s">
        <v>757</v>
      </c>
      <c r="F2513" s="6" t="s">
        <v>46</v>
      </c>
      <c r="G2513" s="6" t="s">
        <v>10753</v>
      </c>
      <c r="H2513" s="7"/>
      <c r="I2513" s="6" t="s">
        <v>48</v>
      </c>
      <c r="J2513" s="6" t="s">
        <v>48</v>
      </c>
      <c r="AG2513" s="15" t="s">
        <v>49</v>
      </c>
      <c r="AH2513" s="15"/>
      <c r="AI2513" s="15"/>
    </row>
    <row r="2514" spans="1:35" s="6" customFormat="1">
      <c r="A2514" s="6" t="s">
        <v>10754</v>
      </c>
      <c r="B2514" s="6" t="s">
        <v>10755</v>
      </c>
      <c r="C2514" s="6" t="s">
        <v>43</v>
      </c>
      <c r="D2514" s="6" t="s">
        <v>850</v>
      </c>
      <c r="E2514" s="6" t="s">
        <v>757</v>
      </c>
      <c r="F2514" s="6" t="s">
        <v>46</v>
      </c>
      <c r="G2514" s="6" t="s">
        <v>10756</v>
      </c>
      <c r="H2514" s="7"/>
      <c r="I2514" s="6" t="s">
        <v>48</v>
      </c>
      <c r="J2514" s="6" t="s">
        <v>48</v>
      </c>
      <c r="AG2514" s="15" t="s">
        <v>49</v>
      </c>
      <c r="AH2514" s="15"/>
      <c r="AI2514" s="15"/>
    </row>
    <row r="2515" spans="1:35" s="6" customFormat="1">
      <c r="A2515" s="6" t="s">
        <v>10757</v>
      </c>
      <c r="B2515" s="6" t="s">
        <v>10758</v>
      </c>
      <c r="C2515" s="6" t="s">
        <v>43</v>
      </c>
      <c r="D2515" s="6" t="s">
        <v>850</v>
      </c>
      <c r="E2515" s="6" t="s">
        <v>218</v>
      </c>
      <c r="F2515" s="6" t="s">
        <v>46</v>
      </c>
      <c r="G2515" s="6" t="s">
        <v>4956</v>
      </c>
      <c r="H2515" s="7"/>
      <c r="I2515" s="6" t="s">
        <v>48</v>
      </c>
      <c r="J2515" s="6" t="s">
        <v>48</v>
      </c>
      <c r="AG2515" s="15" t="s">
        <v>49</v>
      </c>
      <c r="AH2515" s="15"/>
      <c r="AI2515" s="15"/>
    </row>
    <row r="2516" spans="1:35" s="6" customFormat="1">
      <c r="A2516" s="6" t="s">
        <v>10759</v>
      </c>
      <c r="B2516" s="6" t="s">
        <v>10760</v>
      </c>
      <c r="C2516" s="6" t="s">
        <v>43</v>
      </c>
      <c r="D2516" s="6" t="s">
        <v>850</v>
      </c>
      <c r="E2516" s="6" t="s">
        <v>757</v>
      </c>
      <c r="F2516" s="6" t="s">
        <v>46</v>
      </c>
      <c r="G2516" s="6" t="s">
        <v>10761</v>
      </c>
      <c r="H2516" s="7"/>
      <c r="I2516" s="6" t="s">
        <v>48</v>
      </c>
      <c r="J2516" s="6" t="s">
        <v>48</v>
      </c>
      <c r="AG2516" s="15" t="s">
        <v>49</v>
      </c>
      <c r="AH2516" s="15"/>
      <c r="AI2516" s="15"/>
    </row>
    <row r="2517" spans="1:35" s="6" customFormat="1">
      <c r="A2517" s="6" t="s">
        <v>10762</v>
      </c>
      <c r="B2517" s="6" t="s">
        <v>10763</v>
      </c>
      <c r="C2517" s="6" t="s">
        <v>43</v>
      </c>
      <c r="D2517" s="6" t="s">
        <v>850</v>
      </c>
      <c r="E2517" s="6" t="s">
        <v>218</v>
      </c>
      <c r="F2517" s="6" t="s">
        <v>46</v>
      </c>
      <c r="G2517" s="6" t="s">
        <v>10764</v>
      </c>
      <c r="H2517" s="7"/>
      <c r="I2517" s="6" t="s">
        <v>48</v>
      </c>
      <c r="J2517" s="6" t="s">
        <v>48</v>
      </c>
      <c r="AG2517" s="15" t="s">
        <v>49</v>
      </c>
      <c r="AH2517" s="15"/>
      <c r="AI2517" s="15"/>
    </row>
    <row r="2518" spans="1:35" s="6" customFormat="1">
      <c r="A2518" s="6" t="s">
        <v>10765</v>
      </c>
      <c r="B2518" s="6" t="s">
        <v>10766</v>
      </c>
      <c r="C2518" s="6" t="s">
        <v>43</v>
      </c>
      <c r="D2518" s="6" t="s">
        <v>850</v>
      </c>
      <c r="E2518" s="6" t="s">
        <v>757</v>
      </c>
      <c r="F2518" s="6" t="s">
        <v>46</v>
      </c>
      <c r="G2518" s="6" t="s">
        <v>10767</v>
      </c>
      <c r="H2518" s="7"/>
      <c r="I2518" s="6" t="s">
        <v>48</v>
      </c>
      <c r="J2518" s="6" t="s">
        <v>48</v>
      </c>
      <c r="AG2518" s="15" t="s">
        <v>49</v>
      </c>
      <c r="AH2518" s="15"/>
      <c r="AI2518" s="15"/>
    </row>
    <row r="2519" spans="1:35" s="6" customFormat="1">
      <c r="A2519" s="6" t="s">
        <v>10768</v>
      </c>
      <c r="B2519" s="6" t="s">
        <v>10769</v>
      </c>
      <c r="C2519" s="6" t="s">
        <v>43</v>
      </c>
      <c r="D2519" s="6" t="s">
        <v>850</v>
      </c>
      <c r="E2519" s="6" t="s">
        <v>757</v>
      </c>
      <c r="F2519" s="6" t="s">
        <v>46</v>
      </c>
      <c r="G2519" s="6" t="s">
        <v>10770</v>
      </c>
      <c r="H2519" s="7"/>
      <c r="I2519" s="6" t="s">
        <v>48</v>
      </c>
      <c r="J2519" s="6" t="s">
        <v>48</v>
      </c>
      <c r="AG2519" s="15" t="s">
        <v>49</v>
      </c>
      <c r="AH2519" s="15"/>
      <c r="AI2519" s="15"/>
    </row>
    <row r="2520" spans="1:35" s="6" customFormat="1">
      <c r="A2520" s="6" t="s">
        <v>10771</v>
      </c>
      <c r="B2520" s="6" t="s">
        <v>10772</v>
      </c>
      <c r="C2520" s="6" t="s">
        <v>43</v>
      </c>
      <c r="D2520" s="6" t="s">
        <v>850</v>
      </c>
      <c r="E2520" s="6" t="s">
        <v>218</v>
      </c>
      <c r="F2520" s="6" t="s">
        <v>46</v>
      </c>
      <c r="G2520" s="6" t="s">
        <v>10773</v>
      </c>
      <c r="H2520" s="7"/>
      <c r="I2520" s="6" t="s">
        <v>48</v>
      </c>
      <c r="J2520" s="6" t="s">
        <v>48</v>
      </c>
      <c r="AG2520" s="15" t="s">
        <v>49</v>
      </c>
      <c r="AH2520" s="15"/>
      <c r="AI2520" s="15"/>
    </row>
    <row r="2521" spans="1:35" s="6" customFormat="1">
      <c r="A2521" s="6" t="s">
        <v>10774</v>
      </c>
      <c r="B2521" s="6" t="s">
        <v>10775</v>
      </c>
      <c r="C2521" s="6" t="s">
        <v>43</v>
      </c>
      <c r="D2521" s="6" t="s">
        <v>850</v>
      </c>
      <c r="E2521" s="6" t="s">
        <v>757</v>
      </c>
      <c r="F2521" s="6" t="s">
        <v>46</v>
      </c>
      <c r="G2521" s="6" t="s">
        <v>10753</v>
      </c>
      <c r="H2521" s="7"/>
      <c r="I2521" s="6" t="s">
        <v>48</v>
      </c>
      <c r="J2521" s="6" t="s">
        <v>48</v>
      </c>
      <c r="AG2521" s="15" t="s">
        <v>49</v>
      </c>
      <c r="AH2521" s="15"/>
      <c r="AI2521" s="15"/>
    </row>
    <row r="2522" spans="1:35" s="6" customFormat="1">
      <c r="A2522" s="6" t="s">
        <v>10776</v>
      </c>
      <c r="B2522" s="6" t="s">
        <v>10777</v>
      </c>
      <c r="C2522" s="6" t="s">
        <v>43</v>
      </c>
      <c r="D2522" s="6" t="s">
        <v>850</v>
      </c>
      <c r="E2522" s="6" t="s">
        <v>218</v>
      </c>
      <c r="F2522" s="6" t="s">
        <v>46</v>
      </c>
      <c r="G2522" s="6" t="s">
        <v>10778</v>
      </c>
      <c r="H2522" s="7"/>
      <c r="I2522" s="6" t="s">
        <v>48</v>
      </c>
      <c r="J2522" s="6" t="s">
        <v>48</v>
      </c>
      <c r="AG2522" s="15" t="s">
        <v>49</v>
      </c>
      <c r="AH2522" s="15"/>
      <c r="AI2522" s="15"/>
    </row>
    <row r="2523" spans="1:35" s="6" customFormat="1">
      <c r="A2523" s="6" t="s">
        <v>10779</v>
      </c>
      <c r="B2523" s="6" t="s">
        <v>10780</v>
      </c>
      <c r="C2523" s="6" t="s">
        <v>43</v>
      </c>
      <c r="D2523" s="6" t="s">
        <v>850</v>
      </c>
      <c r="E2523" s="6" t="s">
        <v>757</v>
      </c>
      <c r="F2523" s="6" t="s">
        <v>46</v>
      </c>
      <c r="G2523" s="6" t="s">
        <v>10781</v>
      </c>
      <c r="H2523" s="7"/>
      <c r="I2523" s="6" t="s">
        <v>48</v>
      </c>
      <c r="J2523" s="6" t="s">
        <v>48</v>
      </c>
      <c r="AG2523" s="15" t="s">
        <v>49</v>
      </c>
      <c r="AH2523" s="15"/>
      <c r="AI2523" s="15"/>
    </row>
    <row r="2524" spans="1:35" s="6" customFormat="1">
      <c r="A2524" s="6" t="s">
        <v>10782</v>
      </c>
      <c r="B2524" s="6" t="s">
        <v>10783</v>
      </c>
      <c r="C2524" s="6" t="s">
        <v>43</v>
      </c>
      <c r="D2524" s="6" t="s">
        <v>850</v>
      </c>
      <c r="E2524" s="6" t="s">
        <v>757</v>
      </c>
      <c r="F2524" s="6" t="s">
        <v>46</v>
      </c>
      <c r="G2524" s="6" t="s">
        <v>10709</v>
      </c>
      <c r="H2524" s="7"/>
      <c r="I2524" s="6" t="s">
        <v>48</v>
      </c>
      <c r="J2524" s="6" t="s">
        <v>48</v>
      </c>
      <c r="AG2524" s="15" t="s">
        <v>49</v>
      </c>
      <c r="AH2524" s="15"/>
      <c r="AI2524" s="15"/>
    </row>
    <row r="2525" spans="1:35" s="6" customFormat="1">
      <c r="A2525" s="6" t="s">
        <v>10784</v>
      </c>
      <c r="B2525" s="6" t="s">
        <v>10785</v>
      </c>
      <c r="C2525" s="6" t="s">
        <v>43</v>
      </c>
      <c r="D2525" s="6" t="s">
        <v>850</v>
      </c>
      <c r="E2525" s="6" t="s">
        <v>757</v>
      </c>
      <c r="F2525" s="6" t="s">
        <v>46</v>
      </c>
      <c r="G2525" s="6" t="s">
        <v>10786</v>
      </c>
      <c r="H2525" s="7"/>
      <c r="I2525" s="6" t="s">
        <v>48</v>
      </c>
      <c r="J2525" s="6" t="s">
        <v>48</v>
      </c>
      <c r="AG2525" s="15" t="s">
        <v>49</v>
      </c>
      <c r="AH2525" s="15"/>
      <c r="AI2525" s="15"/>
    </row>
    <row r="2526" spans="1:35" s="6" customFormat="1">
      <c r="A2526" s="6" t="s">
        <v>10787</v>
      </c>
      <c r="B2526" s="6" t="s">
        <v>10788</v>
      </c>
      <c r="C2526" s="6" t="s">
        <v>43</v>
      </c>
      <c r="D2526" s="6" t="s">
        <v>850</v>
      </c>
      <c r="E2526" s="6" t="s">
        <v>218</v>
      </c>
      <c r="F2526" s="6" t="s">
        <v>46</v>
      </c>
      <c r="G2526" s="6" t="s">
        <v>10789</v>
      </c>
      <c r="H2526" s="7"/>
      <c r="I2526" s="6" t="s">
        <v>48</v>
      </c>
      <c r="J2526" s="6" t="s">
        <v>48</v>
      </c>
      <c r="AG2526" s="15" t="s">
        <v>49</v>
      </c>
      <c r="AH2526" s="15"/>
      <c r="AI2526" s="15"/>
    </row>
    <row r="2527" spans="1:35" s="6" customFormat="1">
      <c r="A2527" s="6" t="s">
        <v>10790</v>
      </c>
      <c r="B2527" s="6" t="s">
        <v>10791</v>
      </c>
      <c r="C2527" s="6" t="s">
        <v>43</v>
      </c>
      <c r="D2527" s="6" t="s">
        <v>850</v>
      </c>
      <c r="E2527" s="6" t="s">
        <v>218</v>
      </c>
      <c r="F2527" s="6" t="s">
        <v>46</v>
      </c>
      <c r="G2527" s="6" t="s">
        <v>4479</v>
      </c>
      <c r="H2527" s="7"/>
      <c r="I2527" s="6" t="s">
        <v>48</v>
      </c>
      <c r="J2527" s="6" t="s">
        <v>48</v>
      </c>
      <c r="AG2527" s="15" t="s">
        <v>49</v>
      </c>
      <c r="AH2527" s="15"/>
      <c r="AI2527" s="15"/>
    </row>
    <row r="2528" spans="1:35" s="6" customFormat="1">
      <c r="A2528" s="6" t="s">
        <v>10792</v>
      </c>
      <c r="B2528" s="6" t="s">
        <v>10793</v>
      </c>
      <c r="C2528" s="6" t="s">
        <v>43</v>
      </c>
      <c r="D2528" s="6" t="s">
        <v>850</v>
      </c>
      <c r="E2528" s="6" t="s">
        <v>218</v>
      </c>
      <c r="F2528" s="6" t="s">
        <v>46</v>
      </c>
      <c r="G2528" s="6" t="s">
        <v>10794</v>
      </c>
      <c r="H2528" s="7"/>
      <c r="I2528" s="6" t="s">
        <v>48</v>
      </c>
      <c r="J2528" s="6" t="s">
        <v>48</v>
      </c>
      <c r="AG2528" s="15" t="s">
        <v>49</v>
      </c>
      <c r="AH2528" s="15"/>
      <c r="AI2528" s="15"/>
    </row>
    <row r="2529" spans="1:37" s="6" customFormat="1">
      <c r="A2529" s="6" t="s">
        <v>10795</v>
      </c>
      <c r="B2529" s="6" t="s">
        <v>10796</v>
      </c>
      <c r="C2529" s="6" t="s">
        <v>43</v>
      </c>
      <c r="D2529" s="6" t="s">
        <v>850</v>
      </c>
      <c r="E2529" s="6" t="s">
        <v>757</v>
      </c>
      <c r="F2529" s="6" t="s">
        <v>46</v>
      </c>
      <c r="G2529" s="6" t="s">
        <v>10797</v>
      </c>
      <c r="H2529" s="7"/>
      <c r="I2529" s="6" t="s">
        <v>48</v>
      </c>
      <c r="J2529" s="6" t="s">
        <v>48</v>
      </c>
      <c r="AG2529" s="15" t="s">
        <v>49</v>
      </c>
      <c r="AH2529" s="15"/>
      <c r="AI2529" s="15"/>
    </row>
    <row r="2530" spans="1:37" s="6" customFormat="1">
      <c r="A2530" s="6" t="s">
        <v>10798</v>
      </c>
      <c r="B2530" s="6" t="s">
        <v>10799</v>
      </c>
      <c r="C2530" s="6" t="s">
        <v>43</v>
      </c>
      <c r="D2530" s="6" t="s">
        <v>850</v>
      </c>
      <c r="E2530" s="6" t="s">
        <v>218</v>
      </c>
      <c r="F2530" s="6" t="s">
        <v>46</v>
      </c>
      <c r="G2530" s="6" t="s">
        <v>3296</v>
      </c>
      <c r="H2530" s="7"/>
      <c r="I2530" s="6" t="s">
        <v>48</v>
      </c>
      <c r="J2530" s="6" t="s">
        <v>48</v>
      </c>
      <c r="AG2530" s="15" t="s">
        <v>49</v>
      </c>
      <c r="AH2530" s="15"/>
      <c r="AI2530" s="15"/>
    </row>
    <row r="2531" spans="1:37" s="6" customFormat="1">
      <c r="A2531" s="6" t="s">
        <v>10800</v>
      </c>
      <c r="B2531" s="6" t="s">
        <v>10801</v>
      </c>
      <c r="C2531" s="6" t="s">
        <v>10802</v>
      </c>
      <c r="D2531" s="6" t="s">
        <v>850</v>
      </c>
      <c r="E2531" s="6" t="s">
        <v>218</v>
      </c>
      <c r="F2531" s="6" t="s">
        <v>46</v>
      </c>
      <c r="G2531" s="6" t="s">
        <v>10803</v>
      </c>
      <c r="H2531" s="7"/>
      <c r="I2531" s="19" t="s">
        <v>48</v>
      </c>
      <c r="J2531" s="19" t="s">
        <v>48</v>
      </c>
      <c r="AG2531" s="15" t="s">
        <v>49</v>
      </c>
      <c r="AH2531" s="15"/>
      <c r="AI2531" s="15"/>
    </row>
    <row r="2532" spans="1:37" s="6" customFormat="1">
      <c r="A2532" s="5" t="s">
        <v>10804</v>
      </c>
      <c r="B2532" s="5" t="s">
        <v>10805</v>
      </c>
      <c r="C2532" s="6" t="s">
        <v>10802</v>
      </c>
      <c r="D2532" s="6" t="s">
        <v>850</v>
      </c>
      <c r="E2532" s="6" t="s">
        <v>218</v>
      </c>
      <c r="F2532" s="6" t="s">
        <v>46</v>
      </c>
      <c r="G2532" s="6" t="s">
        <v>10806</v>
      </c>
      <c r="H2532" s="7">
        <v>53.1</v>
      </c>
      <c r="I2532" s="19" t="s">
        <v>1882</v>
      </c>
      <c r="J2532" s="19" t="s">
        <v>9943</v>
      </c>
      <c r="K2532" s="5" t="s">
        <v>10807</v>
      </c>
      <c r="L2532" s="5" t="s">
        <v>10808</v>
      </c>
      <c r="M2532" s="5" t="s">
        <v>10809</v>
      </c>
      <c r="N2532" s="5" t="s">
        <v>10810</v>
      </c>
      <c r="O2532" s="6" t="s">
        <v>10811</v>
      </c>
      <c r="P2532" s="6" t="s">
        <v>10812</v>
      </c>
      <c r="Q2532" s="6" t="s">
        <v>10813</v>
      </c>
      <c r="R2532" s="6" t="s">
        <v>10814</v>
      </c>
      <c r="S2532" s="5" t="s">
        <v>9952</v>
      </c>
      <c r="T2532" s="5" t="s">
        <v>9978</v>
      </c>
      <c r="U2532" s="5" t="s">
        <v>9954</v>
      </c>
      <c r="V2532" s="5" t="s">
        <v>9955</v>
      </c>
      <c r="W2532" s="5" t="s">
        <v>9956</v>
      </c>
      <c r="X2532" s="5" t="s">
        <v>9957</v>
      </c>
      <c r="Y2532" s="5" t="s">
        <v>9958</v>
      </c>
      <c r="Z2532" s="5" t="s">
        <v>9959</v>
      </c>
      <c r="AA2532" s="5" t="s">
        <v>9960</v>
      </c>
      <c r="AB2532" s="5" t="s">
        <v>9961</v>
      </c>
      <c r="AC2532" s="5" t="s">
        <v>9962</v>
      </c>
      <c r="AD2532" s="5" t="s">
        <v>9963</v>
      </c>
      <c r="AE2532" s="5" t="s">
        <v>10815</v>
      </c>
      <c r="AF2532" s="5"/>
      <c r="AG2532" s="14" t="s">
        <v>49</v>
      </c>
      <c r="AH2532" s="14" t="s">
        <v>55</v>
      </c>
      <c r="AI2532" s="14" t="s">
        <v>10816</v>
      </c>
      <c r="AJ2532" s="5" t="s">
        <v>10817</v>
      </c>
      <c r="AK2532" s="5"/>
    </row>
    <row r="2533" spans="1:37">
      <c r="A2533" s="5" t="s">
        <v>10818</v>
      </c>
      <c r="B2533" s="5" t="s">
        <v>10819</v>
      </c>
      <c r="C2533" s="6" t="s">
        <v>43</v>
      </c>
      <c r="D2533" s="6" t="s">
        <v>850</v>
      </c>
      <c r="E2533" s="6" t="s">
        <v>218</v>
      </c>
      <c r="F2533" s="6" t="s">
        <v>46</v>
      </c>
      <c r="G2533" s="6" t="s">
        <v>1871</v>
      </c>
      <c r="H2533" s="7">
        <v>59.25</v>
      </c>
      <c r="I2533" s="19" t="s">
        <v>1882</v>
      </c>
      <c r="J2533" s="19" t="s">
        <v>9943</v>
      </c>
      <c r="K2533" s="5" t="s">
        <v>10820</v>
      </c>
      <c r="L2533" s="5" t="s">
        <v>10821</v>
      </c>
      <c r="M2533" s="5" t="s">
        <v>10822</v>
      </c>
      <c r="N2533" s="5" t="s">
        <v>10823</v>
      </c>
      <c r="O2533" s="6" t="s">
        <v>10824</v>
      </c>
      <c r="P2533" s="6" t="s">
        <v>10825</v>
      </c>
      <c r="Q2533" s="6" t="s">
        <v>10826</v>
      </c>
      <c r="R2533" s="6" t="s">
        <v>10827</v>
      </c>
      <c r="S2533" s="5" t="s">
        <v>9952</v>
      </c>
      <c r="T2533" s="5" t="s">
        <v>9978</v>
      </c>
      <c r="U2533" s="5" t="s">
        <v>9954</v>
      </c>
      <c r="V2533" s="5" t="s">
        <v>9955</v>
      </c>
      <c r="W2533" s="5" t="s">
        <v>9956</v>
      </c>
      <c r="X2533" s="5" t="s">
        <v>9957</v>
      </c>
      <c r="Y2533" s="5" t="s">
        <v>9958</v>
      </c>
      <c r="Z2533" s="5" t="s">
        <v>9959</v>
      </c>
      <c r="AA2533" s="5" t="s">
        <v>9960</v>
      </c>
      <c r="AB2533" s="5" t="s">
        <v>9961</v>
      </c>
      <c r="AC2533" s="5" t="s">
        <v>9962</v>
      </c>
      <c r="AD2533" s="5" t="s">
        <v>9963</v>
      </c>
      <c r="AE2533" s="5" t="s">
        <v>10828</v>
      </c>
      <c r="AG2533" s="14" t="s">
        <v>49</v>
      </c>
      <c r="AH2533" s="14" t="s">
        <v>55</v>
      </c>
      <c r="AI2533" s="14" t="s">
        <v>10816</v>
      </c>
      <c r="AJ2533" s="5" t="s">
        <v>10817</v>
      </c>
    </row>
    <row r="2534" spans="1:37">
      <c r="A2534" s="5" t="s">
        <v>10829</v>
      </c>
      <c r="B2534" s="5" t="s">
        <v>10830</v>
      </c>
      <c r="C2534" s="6" t="s">
        <v>10831</v>
      </c>
      <c r="D2534" s="6" t="s">
        <v>850</v>
      </c>
      <c r="E2534" s="6" t="s">
        <v>218</v>
      </c>
      <c r="F2534" s="6" t="s">
        <v>46</v>
      </c>
      <c r="G2534" s="6" t="s">
        <v>10832</v>
      </c>
      <c r="H2534" s="7">
        <v>62.5</v>
      </c>
      <c r="I2534" s="19" t="s">
        <v>1882</v>
      </c>
      <c r="J2534" s="19" t="s">
        <v>9943</v>
      </c>
      <c r="K2534" s="5" t="s">
        <v>10833</v>
      </c>
      <c r="L2534" s="5" t="s">
        <v>10834</v>
      </c>
      <c r="M2534" s="5" t="s">
        <v>10835</v>
      </c>
      <c r="N2534" s="5" t="s">
        <v>10836</v>
      </c>
      <c r="O2534" s="6" t="s">
        <v>10837</v>
      </c>
      <c r="P2534" s="6" t="s">
        <v>10838</v>
      </c>
      <c r="Q2534" s="6" t="s">
        <v>10839</v>
      </c>
      <c r="R2534" s="6" t="s">
        <v>10840</v>
      </c>
      <c r="S2534" s="5" t="s">
        <v>9952</v>
      </c>
      <c r="T2534" s="5" t="s">
        <v>9978</v>
      </c>
      <c r="U2534" s="5" t="s">
        <v>9954</v>
      </c>
      <c r="V2534" s="5" t="s">
        <v>9955</v>
      </c>
      <c r="W2534" s="5" t="s">
        <v>9956</v>
      </c>
      <c r="X2534" s="5" t="s">
        <v>9957</v>
      </c>
      <c r="Y2534" s="5" t="s">
        <v>9958</v>
      </c>
      <c r="Z2534" s="5" t="s">
        <v>9959</v>
      </c>
      <c r="AA2534" s="5" t="s">
        <v>9960</v>
      </c>
      <c r="AB2534" s="5" t="s">
        <v>9961</v>
      </c>
      <c r="AC2534" s="5" t="s">
        <v>9962</v>
      </c>
      <c r="AD2534" s="5" t="s">
        <v>9963</v>
      </c>
      <c r="AE2534" s="5" t="s">
        <v>10841</v>
      </c>
      <c r="AG2534" s="14" t="s">
        <v>49</v>
      </c>
      <c r="AH2534" s="14" t="s">
        <v>55</v>
      </c>
      <c r="AI2534" s="14" t="s">
        <v>10816</v>
      </c>
      <c r="AJ2534" s="5" t="s">
        <v>10817</v>
      </c>
    </row>
    <row r="2535" spans="1:37">
      <c r="A2535" s="5" t="s">
        <v>10842</v>
      </c>
      <c r="B2535" s="5" t="s">
        <v>10843</v>
      </c>
      <c r="C2535" s="6" t="s">
        <v>43</v>
      </c>
      <c r="D2535" s="6" t="s">
        <v>850</v>
      </c>
      <c r="E2535" s="6" t="s">
        <v>218</v>
      </c>
      <c r="F2535" s="6" t="s">
        <v>46</v>
      </c>
      <c r="G2535" s="6" t="s">
        <v>10844</v>
      </c>
      <c r="H2535" s="7">
        <v>75.400000000000006</v>
      </c>
      <c r="I2535" s="19" t="s">
        <v>1882</v>
      </c>
      <c r="J2535" s="19" t="s">
        <v>9943</v>
      </c>
      <c r="K2535" s="5" t="s">
        <v>10845</v>
      </c>
      <c r="L2535" s="5" t="s">
        <v>10846</v>
      </c>
      <c r="M2535" s="5" t="s">
        <v>10847</v>
      </c>
      <c r="N2535" s="5" t="s">
        <v>10848</v>
      </c>
      <c r="O2535" s="6" t="s">
        <v>10849</v>
      </c>
      <c r="P2535" s="6" t="s">
        <v>10850</v>
      </c>
      <c r="Q2535" s="6" t="s">
        <v>10851</v>
      </c>
      <c r="R2535" s="6" t="s">
        <v>10852</v>
      </c>
      <c r="S2535" s="5" t="s">
        <v>9952</v>
      </c>
      <c r="T2535" s="5" t="s">
        <v>9978</v>
      </c>
      <c r="U2535" s="5" t="s">
        <v>9954</v>
      </c>
      <c r="V2535" s="5" t="s">
        <v>9955</v>
      </c>
      <c r="W2535" s="5" t="s">
        <v>9956</v>
      </c>
      <c r="X2535" s="5" t="s">
        <v>9957</v>
      </c>
      <c r="Y2535" s="5" t="s">
        <v>9958</v>
      </c>
      <c r="Z2535" s="5" t="s">
        <v>9959</v>
      </c>
      <c r="AA2535" s="5" t="s">
        <v>9960</v>
      </c>
      <c r="AB2535" s="5" t="s">
        <v>9961</v>
      </c>
      <c r="AC2535" s="5" t="s">
        <v>9962</v>
      </c>
      <c r="AD2535" s="5" t="s">
        <v>9963</v>
      </c>
      <c r="AE2535" s="5" t="s">
        <v>10853</v>
      </c>
      <c r="AG2535" s="14" t="s">
        <v>49</v>
      </c>
      <c r="AH2535" s="14" t="s">
        <v>55</v>
      </c>
      <c r="AI2535" s="14" t="s">
        <v>10816</v>
      </c>
      <c r="AJ2535" s="5" t="s">
        <v>10817</v>
      </c>
    </row>
    <row r="2536" spans="1:37">
      <c r="A2536" s="5" t="s">
        <v>10854</v>
      </c>
      <c r="B2536" s="5" t="s">
        <v>10855</v>
      </c>
      <c r="C2536" s="6" t="s">
        <v>10802</v>
      </c>
      <c r="D2536" s="6" t="s">
        <v>850</v>
      </c>
      <c r="E2536" s="6" t="s">
        <v>218</v>
      </c>
      <c r="F2536" s="6" t="s">
        <v>46</v>
      </c>
      <c r="G2536" s="6" t="s">
        <v>10856</v>
      </c>
      <c r="H2536" s="7">
        <v>53.1</v>
      </c>
      <c r="I2536" s="19" t="s">
        <v>1882</v>
      </c>
      <c r="J2536" s="19" t="s">
        <v>9943</v>
      </c>
      <c r="K2536" s="5" t="s">
        <v>10857</v>
      </c>
      <c r="L2536" s="5" t="s">
        <v>10858</v>
      </c>
      <c r="M2536" s="5" t="s">
        <v>10859</v>
      </c>
      <c r="N2536" s="5" t="s">
        <v>10860</v>
      </c>
      <c r="O2536" s="6" t="s">
        <v>10811</v>
      </c>
      <c r="P2536" s="6" t="s">
        <v>10812</v>
      </c>
      <c r="Q2536" s="6" t="s">
        <v>10813</v>
      </c>
      <c r="R2536" s="6" t="s">
        <v>10814</v>
      </c>
      <c r="S2536" s="5" t="s">
        <v>9952</v>
      </c>
      <c r="T2536" s="5" t="s">
        <v>9978</v>
      </c>
      <c r="U2536" s="5" t="s">
        <v>9954</v>
      </c>
      <c r="V2536" s="5" t="s">
        <v>9955</v>
      </c>
      <c r="W2536" s="5" t="s">
        <v>9956</v>
      </c>
      <c r="X2536" s="5" t="s">
        <v>9957</v>
      </c>
      <c r="Y2536" s="5" t="s">
        <v>9958</v>
      </c>
      <c r="Z2536" s="5" t="s">
        <v>9959</v>
      </c>
      <c r="AA2536" s="5" t="s">
        <v>9960</v>
      </c>
      <c r="AB2536" s="5" t="s">
        <v>9961</v>
      </c>
      <c r="AC2536" s="5" t="s">
        <v>9962</v>
      </c>
      <c r="AD2536" s="5" t="s">
        <v>9963</v>
      </c>
      <c r="AE2536" s="5" t="s">
        <v>10861</v>
      </c>
      <c r="AG2536" s="14" t="s">
        <v>49</v>
      </c>
      <c r="AH2536" s="14" t="s">
        <v>55</v>
      </c>
      <c r="AI2536" s="14" t="s">
        <v>10816</v>
      </c>
      <c r="AJ2536" s="5" t="s">
        <v>10817</v>
      </c>
    </row>
    <row r="2537" spans="1:37">
      <c r="A2537" s="5" t="s">
        <v>10862</v>
      </c>
      <c r="B2537" s="5" t="s">
        <v>10863</v>
      </c>
      <c r="C2537" s="6" t="s">
        <v>43</v>
      </c>
      <c r="D2537" s="6" t="s">
        <v>850</v>
      </c>
      <c r="E2537" s="6" t="s">
        <v>218</v>
      </c>
      <c r="F2537" s="6" t="s">
        <v>46</v>
      </c>
      <c r="G2537" s="6" t="s">
        <v>10864</v>
      </c>
      <c r="H2537" s="7">
        <v>59.25</v>
      </c>
      <c r="I2537" s="19" t="s">
        <v>1882</v>
      </c>
      <c r="J2537" s="19" t="s">
        <v>9943</v>
      </c>
      <c r="K2537" s="5" t="s">
        <v>10865</v>
      </c>
      <c r="L2537" s="5" t="s">
        <v>10866</v>
      </c>
      <c r="M2537" s="5" t="s">
        <v>10867</v>
      </c>
      <c r="N2537" s="5" t="s">
        <v>10868</v>
      </c>
      <c r="O2537" s="6" t="s">
        <v>10824</v>
      </c>
      <c r="P2537" s="6" t="s">
        <v>10825</v>
      </c>
      <c r="Q2537" s="6" t="s">
        <v>10826</v>
      </c>
      <c r="R2537" s="6" t="s">
        <v>10827</v>
      </c>
      <c r="S2537" s="5" t="s">
        <v>9952</v>
      </c>
      <c r="T2537" s="5" t="s">
        <v>9978</v>
      </c>
      <c r="U2537" s="5" t="s">
        <v>9954</v>
      </c>
      <c r="V2537" s="5" t="s">
        <v>9955</v>
      </c>
      <c r="W2537" s="5" t="s">
        <v>9956</v>
      </c>
      <c r="X2537" s="5" t="s">
        <v>9957</v>
      </c>
      <c r="Y2537" s="5" t="s">
        <v>9958</v>
      </c>
      <c r="Z2537" s="5" t="s">
        <v>9959</v>
      </c>
      <c r="AA2537" s="5" t="s">
        <v>9960</v>
      </c>
      <c r="AB2537" s="5" t="s">
        <v>9961</v>
      </c>
      <c r="AC2537" s="5" t="s">
        <v>9962</v>
      </c>
      <c r="AD2537" s="5" t="s">
        <v>9963</v>
      </c>
      <c r="AE2537" s="5" t="s">
        <v>10869</v>
      </c>
      <c r="AG2537" s="14" t="s">
        <v>49</v>
      </c>
      <c r="AH2537" s="14" t="s">
        <v>55</v>
      </c>
      <c r="AI2537" s="14" t="s">
        <v>10816</v>
      </c>
      <c r="AJ2537" s="5" t="s">
        <v>10817</v>
      </c>
    </row>
    <row r="2538" spans="1:37">
      <c r="A2538" s="5" t="s">
        <v>10870</v>
      </c>
      <c r="B2538" s="5" t="s">
        <v>10871</v>
      </c>
      <c r="C2538" s="6" t="s">
        <v>43</v>
      </c>
      <c r="D2538" s="6" t="s">
        <v>850</v>
      </c>
      <c r="E2538" s="6" t="s">
        <v>218</v>
      </c>
      <c r="F2538" s="6" t="s">
        <v>46</v>
      </c>
      <c r="G2538" s="6" t="s">
        <v>10872</v>
      </c>
      <c r="H2538" s="7">
        <v>75.400000000000006</v>
      </c>
      <c r="I2538" s="19" t="s">
        <v>1882</v>
      </c>
      <c r="J2538" s="19" t="s">
        <v>9943</v>
      </c>
      <c r="K2538" s="5" t="s">
        <v>10873</v>
      </c>
      <c r="L2538" s="5" t="s">
        <v>10874</v>
      </c>
      <c r="M2538" s="5" t="s">
        <v>10875</v>
      </c>
      <c r="N2538" s="5" t="s">
        <v>10876</v>
      </c>
      <c r="O2538" s="6" t="s">
        <v>10849</v>
      </c>
      <c r="P2538" s="6" t="s">
        <v>10850</v>
      </c>
      <c r="Q2538" s="6" t="s">
        <v>10851</v>
      </c>
      <c r="R2538" s="6" t="s">
        <v>10852</v>
      </c>
      <c r="S2538" s="5" t="s">
        <v>9952</v>
      </c>
      <c r="T2538" s="5" t="s">
        <v>9978</v>
      </c>
      <c r="U2538" s="5" t="s">
        <v>9954</v>
      </c>
      <c r="V2538" s="5" t="s">
        <v>9955</v>
      </c>
      <c r="W2538" s="5" t="s">
        <v>9956</v>
      </c>
      <c r="X2538" s="5" t="s">
        <v>9957</v>
      </c>
      <c r="Y2538" s="5" t="s">
        <v>9958</v>
      </c>
      <c r="Z2538" s="5" t="s">
        <v>9959</v>
      </c>
      <c r="AA2538" s="5" t="s">
        <v>9960</v>
      </c>
      <c r="AB2538" s="5" t="s">
        <v>9961</v>
      </c>
      <c r="AC2538" s="5" t="s">
        <v>9962</v>
      </c>
      <c r="AD2538" s="5" t="s">
        <v>9963</v>
      </c>
      <c r="AE2538" s="5" t="s">
        <v>10877</v>
      </c>
      <c r="AG2538" s="14" t="s">
        <v>49</v>
      </c>
      <c r="AH2538" s="14" t="s">
        <v>55</v>
      </c>
      <c r="AI2538" s="14" t="s">
        <v>10816</v>
      </c>
      <c r="AJ2538" s="5" t="s">
        <v>10817</v>
      </c>
    </row>
    <row r="2539" spans="1:37">
      <c r="A2539" s="6" t="s">
        <v>10878</v>
      </c>
      <c r="B2539" s="6" t="s">
        <v>10879</v>
      </c>
      <c r="C2539" s="6" t="s">
        <v>10880</v>
      </c>
      <c r="D2539" s="6" t="s">
        <v>52</v>
      </c>
      <c r="E2539" s="6" t="s">
        <v>218</v>
      </c>
      <c r="F2539" s="6" t="s">
        <v>46</v>
      </c>
      <c r="G2539" s="6" t="s">
        <v>10881</v>
      </c>
      <c r="I2539" s="19" t="s">
        <v>48</v>
      </c>
      <c r="J2539" s="19" t="s">
        <v>48</v>
      </c>
      <c r="K2539" s="6"/>
      <c r="L2539" s="6"/>
      <c r="M2539" s="6"/>
      <c r="N2539" s="6"/>
      <c r="O2539" s="6"/>
      <c r="P2539" s="6"/>
      <c r="Q2539" s="6"/>
      <c r="R2539" s="6"/>
      <c r="S2539" s="6"/>
      <c r="T2539" s="6"/>
      <c r="U2539" s="6"/>
      <c r="V2539" s="6"/>
      <c r="W2539" s="6"/>
      <c r="X2539" s="6"/>
      <c r="Y2539" s="6"/>
      <c r="Z2539" s="6"/>
      <c r="AA2539" s="6"/>
      <c r="AB2539" s="6"/>
      <c r="AC2539" s="6"/>
      <c r="AD2539" s="6"/>
      <c r="AE2539" s="6"/>
      <c r="AF2539" s="6"/>
      <c r="AG2539" s="15" t="s">
        <v>49</v>
      </c>
      <c r="AH2539" s="15"/>
      <c r="AI2539" s="15"/>
      <c r="AJ2539" s="6"/>
      <c r="AK2539" s="6"/>
    </row>
    <row r="2540" spans="1:37" s="6" customFormat="1">
      <c r="A2540" s="5" t="s">
        <v>10882</v>
      </c>
      <c r="B2540" s="5" t="s">
        <v>10883</v>
      </c>
      <c r="C2540" s="6" t="s">
        <v>43</v>
      </c>
      <c r="D2540" s="6" t="s">
        <v>52</v>
      </c>
      <c r="E2540" s="6" t="s">
        <v>218</v>
      </c>
      <c r="F2540" s="6" t="s">
        <v>46</v>
      </c>
      <c r="G2540" s="6" t="s">
        <v>10884</v>
      </c>
      <c r="H2540" s="7">
        <v>2.0499999999999998</v>
      </c>
      <c r="I2540" s="19" t="s">
        <v>1882</v>
      </c>
      <c r="J2540" s="19" t="s">
        <v>9943</v>
      </c>
      <c r="K2540" s="5" t="s">
        <v>10885</v>
      </c>
      <c r="L2540" s="5" t="s">
        <v>10886</v>
      </c>
      <c r="M2540" s="5" t="s">
        <v>10887</v>
      </c>
      <c r="N2540" s="5" t="s">
        <v>10888</v>
      </c>
      <c r="O2540" s="5" t="s">
        <v>10889</v>
      </c>
      <c r="P2540" s="5" t="s">
        <v>10890</v>
      </c>
      <c r="Q2540" s="5" t="s">
        <v>10891</v>
      </c>
      <c r="R2540" s="5" t="s">
        <v>10892</v>
      </c>
      <c r="S2540" s="5"/>
      <c r="T2540" s="5"/>
      <c r="U2540" s="5" t="s">
        <v>10893</v>
      </c>
      <c r="V2540" s="5"/>
      <c r="W2540" s="5"/>
      <c r="X2540" s="5"/>
      <c r="Y2540" s="5"/>
      <c r="Z2540" s="5"/>
      <c r="AA2540" s="5"/>
      <c r="AB2540" s="5"/>
      <c r="AC2540" s="5"/>
      <c r="AD2540" s="5"/>
      <c r="AE2540" s="5" t="s">
        <v>10894</v>
      </c>
      <c r="AF2540" s="5"/>
      <c r="AG2540" s="14" t="s">
        <v>49</v>
      </c>
      <c r="AH2540" s="14" t="s">
        <v>55</v>
      </c>
      <c r="AI2540" s="14" t="s">
        <v>1985</v>
      </c>
      <c r="AJ2540" s="5" t="s">
        <v>10895</v>
      </c>
      <c r="AK2540" s="5"/>
    </row>
    <row r="2541" spans="1:37">
      <c r="A2541" s="6" t="s">
        <v>10896</v>
      </c>
      <c r="B2541" s="6" t="s">
        <v>10897</v>
      </c>
      <c r="C2541" s="6" t="s">
        <v>10880</v>
      </c>
      <c r="D2541" s="6" t="s">
        <v>52</v>
      </c>
      <c r="E2541" s="6" t="s">
        <v>218</v>
      </c>
      <c r="F2541" s="6" t="s">
        <v>46</v>
      </c>
      <c r="G2541" s="6" t="s">
        <v>10898</v>
      </c>
      <c r="I2541" s="19" t="s">
        <v>48</v>
      </c>
      <c r="J2541" s="19" t="s">
        <v>48</v>
      </c>
      <c r="K2541" s="6"/>
      <c r="L2541" s="6"/>
      <c r="M2541" s="6"/>
      <c r="N2541" s="6"/>
      <c r="O2541" s="6"/>
      <c r="P2541" s="6"/>
      <c r="Q2541" s="6"/>
      <c r="R2541" s="6"/>
      <c r="S2541" s="6"/>
      <c r="T2541" s="6"/>
      <c r="U2541" s="6"/>
      <c r="V2541" s="6"/>
      <c r="W2541" s="6"/>
      <c r="X2541" s="6"/>
      <c r="Y2541" s="6"/>
      <c r="Z2541" s="6"/>
      <c r="AA2541" s="6"/>
      <c r="AB2541" s="6"/>
      <c r="AC2541" s="6"/>
      <c r="AD2541" s="6"/>
      <c r="AE2541" s="6"/>
      <c r="AF2541" s="6"/>
      <c r="AG2541" s="15" t="s">
        <v>49</v>
      </c>
      <c r="AH2541" s="15"/>
      <c r="AI2541" s="15"/>
      <c r="AJ2541" s="6"/>
      <c r="AK2541" s="6"/>
    </row>
    <row r="2542" spans="1:37" s="6" customFormat="1">
      <c r="A2542" s="5" t="s">
        <v>10899</v>
      </c>
      <c r="B2542" s="5" t="s">
        <v>10900</v>
      </c>
      <c r="C2542" s="6" t="s">
        <v>43</v>
      </c>
      <c r="D2542" s="6" t="s">
        <v>909</v>
      </c>
      <c r="E2542" s="6" t="s">
        <v>1391</v>
      </c>
      <c r="F2542" s="6" t="s">
        <v>46</v>
      </c>
      <c r="G2542" s="6" t="s">
        <v>10901</v>
      </c>
      <c r="H2542" s="18">
        <v>308</v>
      </c>
      <c r="I2542" s="19" t="s">
        <v>1277</v>
      </c>
      <c r="J2542" s="19" t="s">
        <v>10902</v>
      </c>
      <c r="K2542" s="5" t="s">
        <v>10903</v>
      </c>
      <c r="L2542" s="5" t="s">
        <v>10904</v>
      </c>
      <c r="M2542" s="5" t="s">
        <v>10905</v>
      </c>
      <c r="N2542" s="5" t="s">
        <v>10906</v>
      </c>
      <c r="O2542" s="5"/>
      <c r="P2542" s="5"/>
      <c r="Q2542" s="5"/>
      <c r="R2542" s="5"/>
      <c r="S2542" s="5"/>
      <c r="T2542" s="5"/>
      <c r="U2542" s="5"/>
      <c r="V2542" s="5"/>
      <c r="W2542" s="5"/>
      <c r="X2542" s="5"/>
      <c r="Y2542" s="5"/>
      <c r="Z2542" s="5"/>
      <c r="AA2542" s="5"/>
      <c r="AB2542" s="5"/>
      <c r="AC2542" s="5"/>
      <c r="AD2542" s="5"/>
      <c r="AE2542" s="5"/>
      <c r="AF2542" s="5"/>
      <c r="AG2542" s="14" t="s">
        <v>55</v>
      </c>
      <c r="AH2542" s="14" t="s">
        <v>1283</v>
      </c>
      <c r="AI2542" s="14" t="s">
        <v>1283</v>
      </c>
      <c r="AJ2542" s="5" t="s">
        <v>1284</v>
      </c>
      <c r="AK2542" s="5"/>
    </row>
    <row r="2543" spans="1:37">
      <c r="A2543" s="5" t="s">
        <v>10907</v>
      </c>
      <c r="B2543" s="5" t="s">
        <v>10908</v>
      </c>
      <c r="C2543" s="6" t="s">
        <v>43</v>
      </c>
      <c r="D2543" s="6" t="s">
        <v>909</v>
      </c>
      <c r="E2543" s="6" t="s">
        <v>1391</v>
      </c>
      <c r="F2543" s="6" t="s">
        <v>46</v>
      </c>
      <c r="G2543" s="6" t="s">
        <v>10909</v>
      </c>
      <c r="H2543" s="18">
        <v>340</v>
      </c>
      <c r="I2543" s="19" t="s">
        <v>1277</v>
      </c>
      <c r="J2543" s="19" t="s">
        <v>10902</v>
      </c>
      <c r="K2543" s="5" t="s">
        <v>10910</v>
      </c>
      <c r="L2543" s="5" t="s">
        <v>10911</v>
      </c>
      <c r="M2543" s="5" t="s">
        <v>10912</v>
      </c>
      <c r="N2543" s="5" t="s">
        <v>10913</v>
      </c>
      <c r="R2543" s="5"/>
      <c r="AG2543" s="14" t="s">
        <v>55</v>
      </c>
      <c r="AH2543" s="14" t="s">
        <v>1283</v>
      </c>
      <c r="AI2543" s="14" t="s">
        <v>1283</v>
      </c>
      <c r="AJ2543" s="5" t="s">
        <v>1284</v>
      </c>
    </row>
    <row r="2544" spans="1:37">
      <c r="A2544" s="5" t="s">
        <v>10914</v>
      </c>
      <c r="B2544" s="5" t="s">
        <v>10915</v>
      </c>
      <c r="C2544" s="6" t="s">
        <v>43</v>
      </c>
      <c r="D2544" s="6" t="s">
        <v>909</v>
      </c>
      <c r="E2544" s="6" t="s">
        <v>1391</v>
      </c>
      <c r="F2544" s="6" t="s">
        <v>46</v>
      </c>
      <c r="G2544" s="6" t="s">
        <v>10916</v>
      </c>
      <c r="H2544" s="18">
        <v>410</v>
      </c>
      <c r="I2544" s="19" t="s">
        <v>1277</v>
      </c>
      <c r="J2544" s="19" t="s">
        <v>10902</v>
      </c>
      <c r="K2544" s="5" t="s">
        <v>10917</v>
      </c>
      <c r="L2544" s="5" t="s">
        <v>10918</v>
      </c>
      <c r="M2544" s="5" t="s">
        <v>10919</v>
      </c>
      <c r="N2544" s="5" t="s">
        <v>10920</v>
      </c>
      <c r="R2544" s="5"/>
      <c r="AG2544" s="14" t="s">
        <v>55</v>
      </c>
      <c r="AH2544" s="14" t="s">
        <v>1283</v>
      </c>
      <c r="AI2544" s="14" t="s">
        <v>1283</v>
      </c>
      <c r="AJ2544" s="5" t="s">
        <v>1284</v>
      </c>
    </row>
    <row r="2545" spans="1:37">
      <c r="A2545" s="5" t="s">
        <v>10921</v>
      </c>
      <c r="B2545" s="5" t="s">
        <v>10922</v>
      </c>
      <c r="C2545" s="6" t="s">
        <v>43</v>
      </c>
      <c r="D2545" s="6" t="s">
        <v>909</v>
      </c>
      <c r="E2545" s="6" t="s">
        <v>1391</v>
      </c>
      <c r="F2545" s="6" t="s">
        <v>46</v>
      </c>
      <c r="G2545" s="6" t="s">
        <v>10923</v>
      </c>
      <c r="H2545" s="18">
        <v>505</v>
      </c>
      <c r="I2545" s="19" t="s">
        <v>1277</v>
      </c>
      <c r="J2545" s="19" t="s">
        <v>10902</v>
      </c>
      <c r="K2545" s="5" t="s">
        <v>10924</v>
      </c>
      <c r="L2545" s="5" t="s">
        <v>10925</v>
      </c>
      <c r="M2545" s="5" t="s">
        <v>10926</v>
      </c>
      <c r="N2545" s="5" t="s">
        <v>10927</v>
      </c>
      <c r="R2545" s="5"/>
      <c r="AG2545" s="14" t="s">
        <v>55</v>
      </c>
      <c r="AH2545" s="14" t="s">
        <v>1283</v>
      </c>
      <c r="AI2545" s="14" t="s">
        <v>1283</v>
      </c>
      <c r="AJ2545" s="5" t="s">
        <v>1284</v>
      </c>
    </row>
    <row r="2546" spans="1:37">
      <c r="A2546" s="5" t="s">
        <v>10928</v>
      </c>
      <c r="B2546" s="5" t="s">
        <v>10929</v>
      </c>
      <c r="C2546" s="6" t="s">
        <v>43</v>
      </c>
      <c r="D2546" s="6" t="s">
        <v>909</v>
      </c>
      <c r="E2546" s="6" t="s">
        <v>1391</v>
      </c>
      <c r="F2546" s="6" t="s">
        <v>46</v>
      </c>
      <c r="G2546" s="6" t="s">
        <v>10930</v>
      </c>
      <c r="H2546" s="18">
        <v>710</v>
      </c>
      <c r="I2546" s="19" t="s">
        <v>1277</v>
      </c>
      <c r="J2546" s="19" t="s">
        <v>10902</v>
      </c>
      <c r="K2546" s="5" t="s">
        <v>10931</v>
      </c>
      <c r="L2546" s="5" t="s">
        <v>10932</v>
      </c>
      <c r="M2546" s="5" t="s">
        <v>10933</v>
      </c>
      <c r="N2546" s="5" t="s">
        <v>10934</v>
      </c>
      <c r="R2546" s="5"/>
      <c r="AG2546" s="14" t="s">
        <v>55</v>
      </c>
      <c r="AH2546" s="14" t="s">
        <v>1283</v>
      </c>
      <c r="AI2546" s="14" t="s">
        <v>1283</v>
      </c>
      <c r="AJ2546" s="5" t="s">
        <v>1284</v>
      </c>
    </row>
    <row r="2547" spans="1:37">
      <c r="A2547" s="6" t="s">
        <v>10935</v>
      </c>
      <c r="B2547" s="6" t="s">
        <v>10936</v>
      </c>
      <c r="C2547" s="6" t="s">
        <v>43</v>
      </c>
      <c r="D2547" s="6" t="s">
        <v>10937</v>
      </c>
      <c r="E2547" s="6" t="s">
        <v>10938</v>
      </c>
      <c r="F2547" s="6" t="s">
        <v>46</v>
      </c>
      <c r="G2547" s="6" t="s">
        <v>10939</v>
      </c>
      <c r="I2547" s="6" t="s">
        <v>48</v>
      </c>
      <c r="J2547" s="6" t="s">
        <v>48</v>
      </c>
      <c r="K2547" s="6"/>
      <c r="L2547" s="6"/>
      <c r="M2547" s="6"/>
      <c r="N2547" s="6"/>
      <c r="O2547" s="6"/>
      <c r="P2547" s="6"/>
      <c r="Q2547" s="6"/>
      <c r="R2547" s="6"/>
      <c r="S2547" s="6"/>
      <c r="T2547" s="6"/>
      <c r="U2547" s="6"/>
      <c r="V2547" s="6"/>
      <c r="W2547" s="6"/>
      <c r="X2547" s="6"/>
      <c r="Y2547" s="6"/>
      <c r="Z2547" s="6"/>
      <c r="AA2547" s="6"/>
      <c r="AB2547" s="6"/>
      <c r="AC2547" s="6"/>
      <c r="AD2547" s="6"/>
      <c r="AE2547" s="6"/>
      <c r="AF2547" s="6"/>
      <c r="AG2547" s="15" t="s">
        <v>55</v>
      </c>
      <c r="AH2547" s="15"/>
      <c r="AI2547" s="15"/>
      <c r="AJ2547" s="6"/>
      <c r="AK2547" s="6"/>
    </row>
    <row r="2548" spans="1:37" s="6" customFormat="1">
      <c r="A2548" s="6" t="s">
        <v>10940</v>
      </c>
      <c r="B2548" s="6" t="s">
        <v>10936</v>
      </c>
      <c r="C2548" s="6" t="s">
        <v>43</v>
      </c>
      <c r="D2548" s="6" t="s">
        <v>10937</v>
      </c>
      <c r="E2548" s="6" t="s">
        <v>10938</v>
      </c>
      <c r="F2548" s="6" t="s">
        <v>46</v>
      </c>
      <c r="G2548" s="6" t="s">
        <v>10941</v>
      </c>
      <c r="H2548" s="7"/>
      <c r="I2548" s="6" t="s">
        <v>48</v>
      </c>
      <c r="J2548" s="6" t="s">
        <v>48</v>
      </c>
      <c r="AG2548" s="15" t="s">
        <v>55</v>
      </c>
      <c r="AH2548" s="15"/>
      <c r="AI2548" s="15"/>
    </row>
    <row r="2549" spans="1:37" s="6" customFormat="1">
      <c r="A2549" s="6" t="s">
        <v>10942</v>
      </c>
      <c r="B2549" s="6" t="s">
        <v>10943</v>
      </c>
      <c r="C2549" s="6" t="s">
        <v>43</v>
      </c>
      <c r="D2549" s="6" t="s">
        <v>10937</v>
      </c>
      <c r="E2549" s="6" t="s">
        <v>10938</v>
      </c>
      <c r="F2549" s="6" t="s">
        <v>46</v>
      </c>
      <c r="G2549" s="6" t="s">
        <v>10944</v>
      </c>
      <c r="H2549" s="7"/>
      <c r="I2549" s="6" t="s">
        <v>48</v>
      </c>
      <c r="J2549" s="6" t="s">
        <v>48</v>
      </c>
      <c r="AG2549" s="15" t="s">
        <v>55</v>
      </c>
      <c r="AH2549" s="15"/>
      <c r="AI2549" s="15"/>
    </row>
    <row r="2550" spans="1:37" s="6" customFormat="1">
      <c r="A2550" s="6" t="s">
        <v>10945</v>
      </c>
      <c r="B2550" s="6" t="s">
        <v>10936</v>
      </c>
      <c r="C2550" s="6" t="s">
        <v>43</v>
      </c>
      <c r="D2550" s="6" t="s">
        <v>10937</v>
      </c>
      <c r="E2550" s="6" t="s">
        <v>10938</v>
      </c>
      <c r="F2550" s="6" t="s">
        <v>46</v>
      </c>
      <c r="G2550" s="6" t="s">
        <v>10946</v>
      </c>
      <c r="H2550" s="7"/>
      <c r="I2550" s="6" t="s">
        <v>48</v>
      </c>
      <c r="J2550" s="6" t="s">
        <v>48</v>
      </c>
      <c r="AG2550" s="15" t="s">
        <v>55</v>
      </c>
      <c r="AH2550" s="15"/>
      <c r="AI2550" s="15"/>
    </row>
    <row r="2551" spans="1:37" s="6" customFormat="1">
      <c r="A2551" s="6" t="s">
        <v>10947</v>
      </c>
      <c r="B2551" s="6" t="s">
        <v>10943</v>
      </c>
      <c r="C2551" s="6" t="s">
        <v>43</v>
      </c>
      <c r="D2551" s="6" t="s">
        <v>10937</v>
      </c>
      <c r="E2551" s="6" t="s">
        <v>10938</v>
      </c>
      <c r="F2551" s="6" t="s">
        <v>46</v>
      </c>
      <c r="G2551" s="6" t="s">
        <v>10948</v>
      </c>
      <c r="H2551" s="7"/>
      <c r="I2551" s="6" t="s">
        <v>48</v>
      </c>
      <c r="J2551" s="6" t="s">
        <v>48</v>
      </c>
      <c r="AG2551" s="15" t="s">
        <v>55</v>
      </c>
      <c r="AH2551" s="15"/>
      <c r="AI2551" s="15"/>
    </row>
    <row r="2552" spans="1:37" s="6" customFormat="1">
      <c r="A2552" s="6" t="s">
        <v>10949</v>
      </c>
      <c r="B2552" s="6" t="s">
        <v>10950</v>
      </c>
      <c r="C2552" s="6" t="s">
        <v>43</v>
      </c>
      <c r="D2552" s="6" t="s">
        <v>52</v>
      </c>
      <c r="E2552" s="6" t="s">
        <v>10951</v>
      </c>
      <c r="F2552" s="6" t="s">
        <v>46</v>
      </c>
      <c r="G2552" s="6" t="s">
        <v>10952</v>
      </c>
      <c r="H2552" s="7"/>
      <c r="I2552" s="16" t="s">
        <v>48</v>
      </c>
      <c r="J2552" s="17" t="s">
        <v>48</v>
      </c>
      <c r="AG2552" s="15" t="s">
        <v>55</v>
      </c>
      <c r="AH2552" s="15"/>
      <c r="AI2552" s="15"/>
    </row>
    <row r="2553" spans="1:37" s="6" customFormat="1">
      <c r="A2553" s="6" t="s">
        <v>10953</v>
      </c>
      <c r="B2553" s="6" t="s">
        <v>10954</v>
      </c>
      <c r="C2553" s="6" t="s">
        <v>10955</v>
      </c>
      <c r="D2553" s="6" t="s">
        <v>52</v>
      </c>
      <c r="E2553" s="6" t="s">
        <v>53</v>
      </c>
      <c r="F2553" s="6" t="s">
        <v>46</v>
      </c>
      <c r="G2553" s="6" t="s">
        <v>43</v>
      </c>
      <c r="H2553" s="7"/>
      <c r="I2553" s="6" t="s">
        <v>48</v>
      </c>
      <c r="J2553" s="6" t="s">
        <v>48</v>
      </c>
      <c r="AG2553" s="15" t="s">
        <v>55</v>
      </c>
      <c r="AH2553" s="15"/>
      <c r="AI2553" s="15"/>
    </row>
    <row r="2554" spans="1:37" s="6" customFormat="1">
      <c r="A2554" s="6" t="s">
        <v>10956</v>
      </c>
      <c r="B2554" s="6" t="s">
        <v>10957</v>
      </c>
      <c r="C2554" s="6" t="s">
        <v>10958</v>
      </c>
      <c r="D2554" s="6" t="s">
        <v>52</v>
      </c>
      <c r="E2554" s="6" t="s">
        <v>53</v>
      </c>
      <c r="F2554" s="6" t="s">
        <v>46</v>
      </c>
      <c r="G2554" s="6" t="s">
        <v>43</v>
      </c>
      <c r="H2554" s="7"/>
      <c r="I2554" s="6" t="s">
        <v>48</v>
      </c>
      <c r="J2554" s="6" t="s">
        <v>48</v>
      </c>
      <c r="AG2554" s="15" t="s">
        <v>55</v>
      </c>
      <c r="AH2554" s="15"/>
      <c r="AI2554" s="15"/>
    </row>
    <row r="2555" spans="1:37" s="6" customFormat="1">
      <c r="A2555" s="6" t="s">
        <v>10959</v>
      </c>
      <c r="B2555" s="6" t="s">
        <v>10960</v>
      </c>
      <c r="C2555" s="6" t="s">
        <v>10961</v>
      </c>
      <c r="D2555" s="6" t="s">
        <v>52</v>
      </c>
      <c r="E2555" s="6" t="s">
        <v>503</v>
      </c>
      <c r="F2555" s="6" t="s">
        <v>46</v>
      </c>
      <c r="G2555" s="6" t="s">
        <v>10962</v>
      </c>
      <c r="H2555" s="7"/>
      <c r="I2555" s="5" t="s">
        <v>48</v>
      </c>
      <c r="J2555" s="5" t="s">
        <v>48</v>
      </c>
      <c r="AG2555" s="15" t="s">
        <v>55</v>
      </c>
      <c r="AH2555" s="15"/>
      <c r="AI2555" s="15"/>
    </row>
    <row r="2556" spans="1:37" s="6" customFormat="1">
      <c r="A2556" s="6" t="s">
        <v>10963</v>
      </c>
      <c r="B2556" s="6" t="s">
        <v>10960</v>
      </c>
      <c r="C2556" s="6" t="s">
        <v>10961</v>
      </c>
      <c r="D2556" s="6" t="s">
        <v>52</v>
      </c>
      <c r="E2556" s="6" t="s">
        <v>10964</v>
      </c>
      <c r="F2556" s="6" t="s">
        <v>46</v>
      </c>
      <c r="G2556" s="6" t="s">
        <v>10965</v>
      </c>
      <c r="H2556" s="7"/>
      <c r="I2556" s="5" t="s">
        <v>48</v>
      </c>
      <c r="J2556" s="5" t="s">
        <v>48</v>
      </c>
      <c r="AG2556" s="15" t="s">
        <v>55</v>
      </c>
      <c r="AH2556" s="15"/>
      <c r="AI2556" s="15"/>
    </row>
    <row r="2557" spans="1:37" s="6" customFormat="1">
      <c r="A2557" s="6" t="s">
        <v>10966</v>
      </c>
      <c r="B2557" s="6" t="s">
        <v>10967</v>
      </c>
      <c r="C2557" s="6" t="s">
        <v>10961</v>
      </c>
      <c r="D2557" s="6" t="s">
        <v>52</v>
      </c>
      <c r="E2557" s="6" t="s">
        <v>503</v>
      </c>
      <c r="F2557" s="6" t="s">
        <v>46</v>
      </c>
      <c r="G2557" s="6" t="s">
        <v>10968</v>
      </c>
      <c r="H2557" s="7"/>
      <c r="I2557" s="5" t="s">
        <v>48</v>
      </c>
      <c r="J2557" s="5" t="s">
        <v>48</v>
      </c>
      <c r="AG2557" s="15" t="s">
        <v>55</v>
      </c>
      <c r="AH2557" s="15"/>
      <c r="AI2557" s="15"/>
    </row>
    <row r="2558" spans="1:37" s="6" customFormat="1">
      <c r="A2558" s="6" t="s">
        <v>10969</v>
      </c>
      <c r="B2558" s="6" t="s">
        <v>10970</v>
      </c>
      <c r="C2558" s="6" t="s">
        <v>10961</v>
      </c>
      <c r="D2558" s="6" t="s">
        <v>52</v>
      </c>
      <c r="E2558" s="6" t="s">
        <v>10964</v>
      </c>
      <c r="F2558" s="6" t="s">
        <v>46</v>
      </c>
      <c r="G2558" s="6" t="s">
        <v>10971</v>
      </c>
      <c r="H2558" s="7"/>
      <c r="I2558" s="5" t="s">
        <v>48</v>
      </c>
      <c r="J2558" s="5" t="s">
        <v>48</v>
      </c>
      <c r="AG2558" s="15" t="s">
        <v>55</v>
      </c>
      <c r="AH2558" s="15"/>
      <c r="AI2558" s="15"/>
    </row>
    <row r="2559" spans="1:37" s="6" customFormat="1">
      <c r="A2559" s="6" t="s">
        <v>10972</v>
      </c>
      <c r="B2559" s="6" t="s">
        <v>10973</v>
      </c>
      <c r="C2559" s="6" t="s">
        <v>10961</v>
      </c>
      <c r="D2559" s="6" t="s">
        <v>52</v>
      </c>
      <c r="E2559" s="6" t="s">
        <v>10964</v>
      </c>
      <c r="F2559" s="6" t="s">
        <v>46</v>
      </c>
      <c r="G2559" s="6" t="s">
        <v>10880</v>
      </c>
      <c r="H2559" s="7"/>
      <c r="I2559" s="5" t="s">
        <v>48</v>
      </c>
      <c r="J2559" s="5" t="s">
        <v>48</v>
      </c>
      <c r="AG2559" s="15" t="s">
        <v>55</v>
      </c>
      <c r="AH2559" s="15"/>
      <c r="AI2559" s="15"/>
    </row>
    <row r="2560" spans="1:37" s="6" customFormat="1">
      <c r="A2560" s="5" t="s">
        <v>10974</v>
      </c>
      <c r="B2560" s="5" t="s">
        <v>10975</v>
      </c>
      <c r="C2560" s="6" t="s">
        <v>43</v>
      </c>
      <c r="D2560" s="6" t="s">
        <v>10976</v>
      </c>
      <c r="E2560" s="6" t="s">
        <v>2047</v>
      </c>
      <c r="F2560" s="6" t="s">
        <v>46</v>
      </c>
      <c r="G2560" s="6" t="s">
        <v>43</v>
      </c>
      <c r="H2560" s="7"/>
      <c r="I2560" s="5"/>
      <c r="J2560" s="5"/>
      <c r="K2560" s="5"/>
      <c r="L2560" s="5"/>
      <c r="M2560" s="5"/>
      <c r="N2560" s="5"/>
      <c r="O2560" s="5"/>
      <c r="P2560" s="5"/>
      <c r="Q2560" s="5"/>
      <c r="R2560" s="5"/>
      <c r="S2560" s="5"/>
      <c r="T2560" s="5"/>
      <c r="U2560" s="5"/>
      <c r="V2560" s="5"/>
      <c r="W2560" s="5"/>
      <c r="X2560" s="5"/>
      <c r="Y2560" s="5"/>
      <c r="Z2560" s="5"/>
      <c r="AA2560" s="5"/>
      <c r="AB2560" s="5"/>
      <c r="AC2560" s="5"/>
      <c r="AD2560" s="5"/>
      <c r="AE2560" s="5"/>
      <c r="AF2560" s="5"/>
      <c r="AG2560" s="14"/>
      <c r="AH2560" s="14"/>
      <c r="AI2560" s="14"/>
      <c r="AJ2560" s="5"/>
      <c r="AK2560" s="5"/>
    </row>
    <row r="2561" spans="1:37">
      <c r="A2561" s="6" t="s">
        <v>10977</v>
      </c>
      <c r="B2561" s="6" t="s">
        <v>10978</v>
      </c>
      <c r="C2561" s="6" t="s">
        <v>43</v>
      </c>
      <c r="D2561" s="6" t="s">
        <v>909</v>
      </c>
      <c r="E2561" s="6" t="s">
        <v>1391</v>
      </c>
      <c r="F2561" s="6" t="s">
        <v>46</v>
      </c>
      <c r="G2561" s="6" t="s">
        <v>10979</v>
      </c>
      <c r="I2561" s="6" t="s">
        <v>48</v>
      </c>
      <c r="J2561" s="6" t="s">
        <v>48</v>
      </c>
      <c r="K2561" s="6"/>
      <c r="L2561" s="6"/>
      <c r="M2561" s="6"/>
      <c r="N2561" s="6"/>
      <c r="O2561" s="6"/>
      <c r="P2561" s="6"/>
      <c r="Q2561" s="6"/>
      <c r="R2561" s="6"/>
      <c r="S2561" s="6"/>
      <c r="T2561" s="6"/>
      <c r="U2561" s="6"/>
      <c r="V2561" s="6"/>
      <c r="W2561" s="6"/>
      <c r="X2561" s="6"/>
      <c r="Y2561" s="6"/>
      <c r="Z2561" s="6"/>
      <c r="AA2561" s="6"/>
      <c r="AB2561" s="6"/>
      <c r="AC2561" s="6"/>
      <c r="AD2561" s="6"/>
      <c r="AE2561" s="6"/>
      <c r="AF2561" s="6"/>
      <c r="AG2561" s="15" t="s">
        <v>55</v>
      </c>
      <c r="AH2561" s="15"/>
      <c r="AI2561" s="15"/>
      <c r="AJ2561" s="6"/>
      <c r="AK2561" s="6"/>
    </row>
    <row r="2562" spans="1:37" s="6" customFormat="1">
      <c r="A2562" s="6" t="s">
        <v>10980</v>
      </c>
      <c r="B2562" s="6" t="s">
        <v>10981</v>
      </c>
      <c r="C2562" s="6" t="s">
        <v>43</v>
      </c>
      <c r="D2562" s="6" t="s">
        <v>239</v>
      </c>
      <c r="E2562" s="6" t="s">
        <v>503</v>
      </c>
      <c r="F2562" s="6" t="s">
        <v>46</v>
      </c>
      <c r="G2562" s="6" t="s">
        <v>1969</v>
      </c>
      <c r="H2562" s="7"/>
      <c r="I2562" s="6" t="s">
        <v>48</v>
      </c>
      <c r="J2562" s="6" t="s">
        <v>48</v>
      </c>
      <c r="AG2562" s="15" t="s">
        <v>55</v>
      </c>
      <c r="AH2562" s="15"/>
      <c r="AI2562" s="15"/>
    </row>
    <row r="2563" spans="1:37" s="6" customFormat="1">
      <c r="A2563" s="6" t="s">
        <v>10982</v>
      </c>
      <c r="B2563" s="6" t="s">
        <v>10983</v>
      </c>
      <c r="C2563" s="6" t="s">
        <v>10984</v>
      </c>
      <c r="D2563" s="6" t="s">
        <v>10985</v>
      </c>
      <c r="E2563" s="6" t="s">
        <v>10938</v>
      </c>
      <c r="F2563" s="6" t="s">
        <v>46</v>
      </c>
      <c r="G2563" s="6" t="s">
        <v>10986</v>
      </c>
      <c r="H2563" s="7"/>
      <c r="I2563" s="6" t="s">
        <v>48</v>
      </c>
      <c r="J2563" s="6" t="s">
        <v>48</v>
      </c>
      <c r="AG2563" s="15" t="s">
        <v>55</v>
      </c>
      <c r="AH2563" s="15"/>
      <c r="AI2563" s="15"/>
    </row>
    <row r="2564" spans="1:37" s="6" customFormat="1">
      <c r="A2564" s="6" t="s">
        <v>10987</v>
      </c>
      <c r="B2564" s="6" t="s">
        <v>10988</v>
      </c>
      <c r="C2564" s="6" t="s">
        <v>43</v>
      </c>
      <c r="D2564" s="6" t="s">
        <v>10989</v>
      </c>
      <c r="E2564" s="6" t="s">
        <v>53</v>
      </c>
      <c r="F2564" s="6" t="s">
        <v>46</v>
      </c>
      <c r="G2564" s="6" t="s">
        <v>43</v>
      </c>
      <c r="H2564" s="7"/>
      <c r="I2564" s="6" t="s">
        <v>48</v>
      </c>
      <c r="J2564" s="6" t="s">
        <v>48</v>
      </c>
      <c r="AG2564" s="15" t="s">
        <v>55</v>
      </c>
      <c r="AH2564" s="15"/>
      <c r="AI2564" s="15"/>
    </row>
    <row r="2565" spans="1:37" s="6" customFormat="1">
      <c r="A2565" s="6" t="s">
        <v>10990</v>
      </c>
      <c r="B2565" s="6" t="s">
        <v>10991</v>
      </c>
      <c r="C2565" s="6" t="s">
        <v>43</v>
      </c>
      <c r="D2565" s="6" t="s">
        <v>10989</v>
      </c>
      <c r="E2565" s="6" t="s">
        <v>53</v>
      </c>
      <c r="F2565" s="6" t="s">
        <v>46</v>
      </c>
      <c r="G2565" s="6" t="s">
        <v>43</v>
      </c>
      <c r="H2565" s="7"/>
      <c r="I2565" s="6" t="s">
        <v>48</v>
      </c>
      <c r="J2565" s="6" t="s">
        <v>48</v>
      </c>
      <c r="AG2565" s="15" t="s">
        <v>55</v>
      </c>
      <c r="AH2565" s="15"/>
      <c r="AI2565" s="15"/>
    </row>
    <row r="2566" spans="1:37" s="6" customFormat="1">
      <c r="A2566" s="6" t="s">
        <v>10992</v>
      </c>
      <c r="B2566" s="6" t="s">
        <v>10993</v>
      </c>
      <c r="C2566" s="6" t="s">
        <v>43</v>
      </c>
      <c r="D2566" s="6" t="s">
        <v>10989</v>
      </c>
      <c r="E2566" s="6" t="s">
        <v>53</v>
      </c>
      <c r="F2566" s="6" t="s">
        <v>46</v>
      </c>
      <c r="G2566" s="6" t="s">
        <v>43</v>
      </c>
      <c r="H2566" s="7"/>
      <c r="I2566" s="6" t="s">
        <v>48</v>
      </c>
      <c r="J2566" s="6" t="s">
        <v>48</v>
      </c>
      <c r="AG2566" s="15" t="s">
        <v>55</v>
      </c>
      <c r="AH2566" s="15"/>
      <c r="AI2566" s="15"/>
    </row>
    <row r="2567" spans="1:37" s="6" customFormat="1">
      <c r="A2567" s="6" t="s">
        <v>10994</v>
      </c>
      <c r="B2567" s="6" t="s">
        <v>10995</v>
      </c>
      <c r="C2567" s="6" t="s">
        <v>43</v>
      </c>
      <c r="D2567" s="6" t="s">
        <v>10989</v>
      </c>
      <c r="E2567" s="6" t="s">
        <v>53</v>
      </c>
      <c r="F2567" s="6" t="s">
        <v>46</v>
      </c>
      <c r="G2567" s="6" t="s">
        <v>43</v>
      </c>
      <c r="H2567" s="7"/>
      <c r="I2567" s="6" t="s">
        <v>48</v>
      </c>
      <c r="J2567" s="6" t="s">
        <v>48</v>
      </c>
      <c r="AG2567" s="15" t="s">
        <v>55</v>
      </c>
      <c r="AH2567" s="15"/>
      <c r="AI2567" s="15"/>
    </row>
    <row r="2568" spans="1:37" s="6" customFormat="1">
      <c r="A2568" s="6" t="s">
        <v>10996</v>
      </c>
      <c r="B2568" s="6" t="s">
        <v>10997</v>
      </c>
      <c r="C2568" s="6" t="s">
        <v>43</v>
      </c>
      <c r="D2568" s="6" t="s">
        <v>10989</v>
      </c>
      <c r="E2568" s="6" t="s">
        <v>53</v>
      </c>
      <c r="F2568" s="6" t="s">
        <v>46</v>
      </c>
      <c r="G2568" s="6" t="s">
        <v>43</v>
      </c>
      <c r="H2568" s="7"/>
      <c r="I2568" s="6" t="s">
        <v>48</v>
      </c>
      <c r="J2568" s="6" t="s">
        <v>48</v>
      </c>
      <c r="AG2568" s="15" t="s">
        <v>55</v>
      </c>
      <c r="AH2568" s="15"/>
      <c r="AI2568" s="15"/>
    </row>
    <row r="2569" spans="1:37" s="6" customFormat="1">
      <c r="A2569" s="6" t="s">
        <v>10998</v>
      </c>
      <c r="B2569" s="6" t="s">
        <v>10999</v>
      </c>
      <c r="C2569" s="6" t="s">
        <v>43</v>
      </c>
      <c r="D2569" s="6" t="s">
        <v>10989</v>
      </c>
      <c r="E2569" s="6" t="s">
        <v>53</v>
      </c>
      <c r="F2569" s="6" t="s">
        <v>46</v>
      </c>
      <c r="G2569" s="6" t="s">
        <v>43</v>
      </c>
      <c r="H2569" s="7"/>
      <c r="I2569" s="6" t="s">
        <v>48</v>
      </c>
      <c r="J2569" s="6" t="s">
        <v>48</v>
      </c>
      <c r="AG2569" s="15" t="s">
        <v>55</v>
      </c>
      <c r="AH2569" s="15"/>
      <c r="AI2569" s="15"/>
    </row>
    <row r="2570" spans="1:37" s="6" customFormat="1">
      <c r="A2570" s="6" t="s">
        <v>11000</v>
      </c>
      <c r="B2570" s="6" t="s">
        <v>11001</v>
      </c>
      <c r="C2570" s="6" t="s">
        <v>43</v>
      </c>
      <c r="D2570" s="6" t="s">
        <v>10989</v>
      </c>
      <c r="E2570" s="6" t="s">
        <v>53</v>
      </c>
      <c r="F2570" s="6" t="s">
        <v>46</v>
      </c>
      <c r="G2570" s="6" t="s">
        <v>43</v>
      </c>
      <c r="H2570" s="7"/>
      <c r="I2570" s="6" t="s">
        <v>48</v>
      </c>
      <c r="J2570" s="6" t="s">
        <v>48</v>
      </c>
      <c r="AG2570" s="15" t="s">
        <v>55</v>
      </c>
      <c r="AH2570" s="15"/>
      <c r="AI2570" s="15"/>
    </row>
    <row r="2571" spans="1:37" s="6" customFormat="1">
      <c r="A2571" s="6" t="s">
        <v>11002</v>
      </c>
      <c r="B2571" s="6" t="s">
        <v>11003</v>
      </c>
      <c r="C2571" s="6" t="s">
        <v>43</v>
      </c>
      <c r="D2571" s="6" t="s">
        <v>10989</v>
      </c>
      <c r="E2571" s="6" t="s">
        <v>53</v>
      </c>
      <c r="F2571" s="6" t="s">
        <v>46</v>
      </c>
      <c r="G2571" s="6" t="s">
        <v>43</v>
      </c>
      <c r="H2571" s="7"/>
      <c r="I2571" s="6" t="s">
        <v>48</v>
      </c>
      <c r="J2571" s="6" t="s">
        <v>48</v>
      </c>
      <c r="AG2571" s="15" t="s">
        <v>55</v>
      </c>
      <c r="AH2571" s="15"/>
      <c r="AI2571" s="15"/>
    </row>
    <row r="2572" spans="1:37" s="6" customFormat="1">
      <c r="A2572" s="6" t="s">
        <v>11004</v>
      </c>
      <c r="B2572" s="6" t="s">
        <v>11005</v>
      </c>
      <c r="C2572" s="6" t="s">
        <v>43</v>
      </c>
      <c r="D2572" s="6" t="s">
        <v>10989</v>
      </c>
      <c r="E2572" s="6" t="s">
        <v>53</v>
      </c>
      <c r="F2572" s="6" t="s">
        <v>46</v>
      </c>
      <c r="G2572" s="6" t="s">
        <v>43</v>
      </c>
      <c r="H2572" s="7"/>
      <c r="I2572" s="6" t="s">
        <v>48</v>
      </c>
      <c r="J2572" s="6" t="s">
        <v>48</v>
      </c>
      <c r="AG2572" s="15" t="s">
        <v>55</v>
      </c>
      <c r="AH2572" s="15"/>
      <c r="AI2572" s="15"/>
    </row>
    <row r="2573" spans="1:37" s="6" customFormat="1">
      <c r="A2573" s="5" t="s">
        <v>11006</v>
      </c>
      <c r="B2573" s="5" t="s">
        <v>11007</v>
      </c>
      <c r="C2573" s="6" t="s">
        <v>43</v>
      </c>
      <c r="D2573" s="6" t="s">
        <v>850</v>
      </c>
      <c r="E2573" s="6" t="s">
        <v>218</v>
      </c>
      <c r="F2573" s="6" t="s">
        <v>46</v>
      </c>
      <c r="G2573" s="6" t="s">
        <v>6880</v>
      </c>
      <c r="H2573" s="7">
        <v>22.55</v>
      </c>
      <c r="I2573" s="19" t="s">
        <v>1888</v>
      </c>
      <c r="J2573" s="19" t="s">
        <v>11008</v>
      </c>
      <c r="K2573" s="5" t="s">
        <v>11009</v>
      </c>
      <c r="L2573" s="5" t="s">
        <v>11010</v>
      </c>
      <c r="M2573" s="5" t="s">
        <v>11011</v>
      </c>
      <c r="N2573" s="5" t="s">
        <v>11012</v>
      </c>
      <c r="O2573" s="5" t="s">
        <v>11013</v>
      </c>
      <c r="P2573" s="5" t="s">
        <v>11014</v>
      </c>
      <c r="Q2573" s="5" t="s">
        <v>11015</v>
      </c>
      <c r="R2573" s="5" t="s">
        <v>11016</v>
      </c>
      <c r="S2573" s="5" t="s">
        <v>11017</v>
      </c>
      <c r="T2573" s="5" t="s">
        <v>11018</v>
      </c>
      <c r="U2573" s="5" t="s">
        <v>11019</v>
      </c>
      <c r="V2573" s="5" t="s">
        <v>11020</v>
      </c>
      <c r="W2573" s="5"/>
      <c r="X2573" s="5" t="s">
        <v>11021</v>
      </c>
      <c r="Y2573" s="5" t="s">
        <v>11022</v>
      </c>
      <c r="Z2573" s="5"/>
      <c r="AA2573" s="5"/>
      <c r="AB2573" s="5"/>
      <c r="AC2573" s="5"/>
      <c r="AD2573" s="5"/>
      <c r="AE2573" s="5"/>
      <c r="AF2573" s="5"/>
      <c r="AG2573" s="14" t="s">
        <v>49</v>
      </c>
      <c r="AH2573" s="14" t="s">
        <v>9768</v>
      </c>
      <c r="AI2573" s="14" t="s">
        <v>1408</v>
      </c>
      <c r="AJ2573" s="5" t="s">
        <v>11023</v>
      </c>
      <c r="AK2573" s="5"/>
    </row>
    <row r="2574" spans="1:37">
      <c r="A2574" s="5" t="s">
        <v>11024</v>
      </c>
      <c r="B2574" s="5" t="s">
        <v>11025</v>
      </c>
      <c r="C2574" s="6" t="s">
        <v>43</v>
      </c>
      <c r="D2574" s="6" t="s">
        <v>850</v>
      </c>
      <c r="E2574" s="6" t="s">
        <v>218</v>
      </c>
      <c r="F2574" s="6" t="s">
        <v>46</v>
      </c>
      <c r="G2574" s="6" t="s">
        <v>11026</v>
      </c>
      <c r="H2574" s="7">
        <v>32.9</v>
      </c>
      <c r="I2574" s="19" t="s">
        <v>1888</v>
      </c>
      <c r="J2574" s="19" t="s">
        <v>11008</v>
      </c>
      <c r="K2574" s="5" t="s">
        <v>11027</v>
      </c>
      <c r="L2574" s="5" t="s">
        <v>11028</v>
      </c>
      <c r="M2574" s="5" t="s">
        <v>11029</v>
      </c>
      <c r="N2574" s="5" t="s">
        <v>11030</v>
      </c>
      <c r="O2574" s="5" t="s">
        <v>11013</v>
      </c>
      <c r="P2574" s="5" t="s">
        <v>11031</v>
      </c>
      <c r="Q2574" s="5" t="s">
        <v>11015</v>
      </c>
      <c r="R2574" s="5" t="s">
        <v>11016</v>
      </c>
      <c r="S2574" s="5" t="s">
        <v>11017</v>
      </c>
      <c r="T2574" s="5" t="s">
        <v>11018</v>
      </c>
      <c r="U2574" s="5" t="s">
        <v>11019</v>
      </c>
      <c r="V2574" s="5" t="s">
        <v>11020</v>
      </c>
      <c r="X2574" s="5" t="s">
        <v>11021</v>
      </c>
      <c r="Y2574" s="5" t="s">
        <v>11022</v>
      </c>
      <c r="AG2574" s="14" t="s">
        <v>49</v>
      </c>
      <c r="AH2574" s="14" t="s">
        <v>9768</v>
      </c>
      <c r="AI2574" s="14" t="s">
        <v>1408</v>
      </c>
      <c r="AJ2574" s="5" t="s">
        <v>11023</v>
      </c>
    </row>
    <row r="2575" spans="1:37">
      <c r="A2575" s="5" t="s">
        <v>11032</v>
      </c>
      <c r="B2575" s="5" t="s">
        <v>11033</v>
      </c>
      <c r="C2575" s="6" t="s">
        <v>43</v>
      </c>
      <c r="D2575" s="6" t="s">
        <v>850</v>
      </c>
      <c r="E2575" s="6" t="s">
        <v>218</v>
      </c>
      <c r="F2575" s="6" t="s">
        <v>46</v>
      </c>
      <c r="G2575" s="6" t="s">
        <v>11034</v>
      </c>
      <c r="H2575" s="7">
        <v>42.8</v>
      </c>
      <c r="I2575" s="19" t="s">
        <v>1888</v>
      </c>
      <c r="J2575" s="19" t="s">
        <v>11008</v>
      </c>
      <c r="K2575" s="5" t="s">
        <v>11035</v>
      </c>
      <c r="L2575" s="5" t="s">
        <v>11036</v>
      </c>
      <c r="M2575" s="5" t="s">
        <v>11037</v>
      </c>
      <c r="N2575" s="5" t="s">
        <v>11038</v>
      </c>
      <c r="O2575" s="5" t="s">
        <v>11013</v>
      </c>
      <c r="P2575" s="5" t="s">
        <v>11031</v>
      </c>
      <c r="Q2575" s="5" t="s">
        <v>11015</v>
      </c>
      <c r="R2575" s="5" t="s">
        <v>11016</v>
      </c>
      <c r="S2575" s="5" t="s">
        <v>11017</v>
      </c>
      <c r="T2575" s="5" t="s">
        <v>11018</v>
      </c>
      <c r="U2575" s="5" t="s">
        <v>11019</v>
      </c>
      <c r="V2575" s="5" t="s">
        <v>11020</v>
      </c>
      <c r="X2575" s="5" t="s">
        <v>11021</v>
      </c>
      <c r="Y2575" s="5" t="s">
        <v>11022</v>
      </c>
      <c r="AG2575" s="14" t="s">
        <v>49</v>
      </c>
      <c r="AH2575" s="14" t="s">
        <v>9768</v>
      </c>
      <c r="AI2575" s="14" t="s">
        <v>1408</v>
      </c>
      <c r="AJ2575" s="5" t="s">
        <v>11023</v>
      </c>
    </row>
    <row r="2576" spans="1:37">
      <c r="A2576" s="5" t="s">
        <v>11039</v>
      </c>
      <c r="B2576" s="5" t="s">
        <v>11040</v>
      </c>
      <c r="C2576" s="6" t="s">
        <v>43</v>
      </c>
      <c r="D2576" s="6" t="s">
        <v>850</v>
      </c>
      <c r="E2576" s="6" t="s">
        <v>218</v>
      </c>
      <c r="F2576" s="6" t="s">
        <v>46</v>
      </c>
      <c r="G2576" s="6" t="s">
        <v>11041</v>
      </c>
      <c r="H2576" s="7">
        <v>52.5</v>
      </c>
      <c r="I2576" s="19" t="s">
        <v>1888</v>
      </c>
      <c r="J2576" s="19" t="s">
        <v>11008</v>
      </c>
      <c r="K2576" s="5" t="s">
        <v>11042</v>
      </c>
      <c r="L2576" s="5" t="s">
        <v>11043</v>
      </c>
      <c r="M2576" s="5" t="s">
        <v>11044</v>
      </c>
      <c r="N2576" s="5" t="s">
        <v>11045</v>
      </c>
      <c r="O2576" s="5" t="s">
        <v>11013</v>
      </c>
      <c r="P2576" s="5" t="s">
        <v>11031</v>
      </c>
      <c r="Q2576" s="5" t="s">
        <v>11015</v>
      </c>
      <c r="R2576" s="5" t="s">
        <v>11016</v>
      </c>
      <c r="S2576" s="5" t="s">
        <v>11017</v>
      </c>
      <c r="T2576" s="5" t="s">
        <v>11018</v>
      </c>
      <c r="U2576" s="5" t="s">
        <v>11019</v>
      </c>
      <c r="V2576" s="5" t="s">
        <v>11020</v>
      </c>
      <c r="X2576" s="5" t="s">
        <v>11021</v>
      </c>
      <c r="Y2576" s="5" t="s">
        <v>11022</v>
      </c>
      <c r="AG2576" s="14" t="s">
        <v>49</v>
      </c>
      <c r="AH2576" s="14" t="s">
        <v>9768</v>
      </c>
      <c r="AI2576" s="14" t="s">
        <v>1408</v>
      </c>
      <c r="AJ2576" s="5" t="s">
        <v>11023</v>
      </c>
    </row>
    <row r="2577" spans="1:37">
      <c r="A2577" s="5" t="s">
        <v>11046</v>
      </c>
      <c r="B2577" s="5" t="s">
        <v>11047</v>
      </c>
      <c r="C2577" s="6" t="s">
        <v>43</v>
      </c>
      <c r="D2577" s="6" t="s">
        <v>850</v>
      </c>
      <c r="E2577" s="6" t="s">
        <v>218</v>
      </c>
      <c r="F2577" s="6" t="s">
        <v>46</v>
      </c>
      <c r="G2577" s="6" t="s">
        <v>11048</v>
      </c>
      <c r="H2577" s="7">
        <v>60.05</v>
      </c>
      <c r="I2577" s="19" t="s">
        <v>1888</v>
      </c>
      <c r="J2577" s="19" t="s">
        <v>11008</v>
      </c>
      <c r="K2577" s="5" t="s">
        <v>11049</v>
      </c>
      <c r="L2577" s="5" t="s">
        <v>11050</v>
      </c>
      <c r="M2577" s="5" t="s">
        <v>11051</v>
      </c>
      <c r="N2577" s="5" t="s">
        <v>11052</v>
      </c>
      <c r="O2577" s="5" t="s">
        <v>11013</v>
      </c>
      <c r="P2577" s="5" t="s">
        <v>11031</v>
      </c>
      <c r="Q2577" s="5" t="s">
        <v>11015</v>
      </c>
      <c r="R2577" s="5" t="s">
        <v>11016</v>
      </c>
      <c r="S2577" s="5" t="s">
        <v>11017</v>
      </c>
      <c r="T2577" s="5" t="s">
        <v>11018</v>
      </c>
      <c r="U2577" s="5" t="s">
        <v>11019</v>
      </c>
      <c r="V2577" s="5" t="s">
        <v>11020</v>
      </c>
      <c r="X2577" s="5" t="s">
        <v>11021</v>
      </c>
      <c r="Y2577" s="5" t="s">
        <v>11022</v>
      </c>
      <c r="AG2577" s="14" t="s">
        <v>49</v>
      </c>
      <c r="AH2577" s="14" t="s">
        <v>9768</v>
      </c>
      <c r="AI2577" s="14" t="s">
        <v>1408</v>
      </c>
      <c r="AJ2577" s="5" t="s">
        <v>11023</v>
      </c>
    </row>
    <row r="2578" spans="1:37">
      <c r="A2578" s="5" t="s">
        <v>11053</v>
      </c>
      <c r="B2578" s="5" t="s">
        <v>11054</v>
      </c>
      <c r="C2578" s="6" t="s">
        <v>43</v>
      </c>
      <c r="D2578" s="6" t="s">
        <v>850</v>
      </c>
      <c r="E2578" s="6" t="s">
        <v>218</v>
      </c>
      <c r="F2578" s="6" t="s">
        <v>46</v>
      </c>
      <c r="G2578" s="6" t="s">
        <v>11055</v>
      </c>
      <c r="H2578" s="7">
        <v>86.35</v>
      </c>
      <c r="I2578" s="19" t="s">
        <v>1888</v>
      </c>
      <c r="J2578" s="19" t="s">
        <v>11008</v>
      </c>
      <c r="K2578" s="5" t="s">
        <v>11056</v>
      </c>
      <c r="L2578" s="5" t="s">
        <v>11057</v>
      </c>
      <c r="M2578" s="5" t="s">
        <v>11058</v>
      </c>
      <c r="N2578" s="5" t="s">
        <v>11059</v>
      </c>
      <c r="O2578" s="5" t="s">
        <v>11013</v>
      </c>
      <c r="P2578" s="5" t="s">
        <v>11031</v>
      </c>
      <c r="Q2578" s="5" t="s">
        <v>11015</v>
      </c>
      <c r="R2578" s="5" t="s">
        <v>11016</v>
      </c>
      <c r="S2578" s="5" t="s">
        <v>11017</v>
      </c>
      <c r="T2578" s="5" t="s">
        <v>11018</v>
      </c>
      <c r="U2578" s="5" t="s">
        <v>11019</v>
      </c>
      <c r="V2578" s="5" t="s">
        <v>11020</v>
      </c>
      <c r="X2578" s="5" t="s">
        <v>11021</v>
      </c>
      <c r="Y2578" s="5" t="s">
        <v>11022</v>
      </c>
      <c r="AG2578" s="14" t="s">
        <v>49</v>
      </c>
      <c r="AH2578" s="14" t="s">
        <v>9768</v>
      </c>
      <c r="AI2578" s="14" t="s">
        <v>1408</v>
      </c>
      <c r="AJ2578" s="5" t="s">
        <v>11023</v>
      </c>
    </row>
    <row r="2579" spans="1:37">
      <c r="A2579" s="5" t="s">
        <v>11060</v>
      </c>
      <c r="B2579" s="5" t="s">
        <v>11054</v>
      </c>
      <c r="C2579" s="6" t="s">
        <v>43</v>
      </c>
      <c r="D2579" s="6" t="s">
        <v>850</v>
      </c>
      <c r="E2579" s="6" t="s">
        <v>10152</v>
      </c>
      <c r="F2579" s="6" t="s">
        <v>46</v>
      </c>
      <c r="G2579" s="6" t="s">
        <v>11061</v>
      </c>
      <c r="H2579" s="7">
        <v>86.35</v>
      </c>
      <c r="I2579" s="19" t="s">
        <v>1888</v>
      </c>
      <c r="J2579" s="19" t="s">
        <v>11008</v>
      </c>
      <c r="K2579" s="5" t="s">
        <v>11056</v>
      </c>
      <c r="L2579" s="5" t="s">
        <v>11057</v>
      </c>
      <c r="M2579" s="5" t="s">
        <v>11058</v>
      </c>
      <c r="N2579" s="5" t="s">
        <v>11059</v>
      </c>
      <c r="O2579" s="5" t="s">
        <v>11013</v>
      </c>
      <c r="P2579" s="5" t="s">
        <v>11031</v>
      </c>
      <c r="Q2579" s="5" t="s">
        <v>11015</v>
      </c>
      <c r="R2579" s="5" t="s">
        <v>11016</v>
      </c>
      <c r="S2579" s="5" t="s">
        <v>11017</v>
      </c>
      <c r="T2579" s="5" t="s">
        <v>11018</v>
      </c>
      <c r="U2579" s="5" t="s">
        <v>11019</v>
      </c>
      <c r="V2579" s="5" t="s">
        <v>11020</v>
      </c>
      <c r="X2579" s="5" t="s">
        <v>11021</v>
      </c>
      <c r="Y2579" s="5" t="s">
        <v>11022</v>
      </c>
      <c r="AG2579" s="14" t="s">
        <v>55</v>
      </c>
      <c r="AH2579" s="14" t="s">
        <v>9768</v>
      </c>
      <c r="AI2579" s="14" t="s">
        <v>1836</v>
      </c>
      <c r="AJ2579" s="5" t="s">
        <v>11062</v>
      </c>
    </row>
    <row r="2580" spans="1:37">
      <c r="A2580" s="5" t="s">
        <v>11063</v>
      </c>
      <c r="B2580" s="5" t="s">
        <v>11064</v>
      </c>
      <c r="C2580" s="6" t="s">
        <v>43</v>
      </c>
      <c r="D2580" s="6" t="s">
        <v>850</v>
      </c>
      <c r="E2580" s="6" t="s">
        <v>10152</v>
      </c>
      <c r="F2580" s="6" t="s">
        <v>46</v>
      </c>
      <c r="G2580" s="6" t="s">
        <v>11065</v>
      </c>
      <c r="H2580" s="7">
        <v>21.4</v>
      </c>
      <c r="I2580" s="19" t="s">
        <v>1888</v>
      </c>
      <c r="J2580" s="19" t="s">
        <v>11008</v>
      </c>
      <c r="K2580" s="5" t="s">
        <v>11066</v>
      </c>
      <c r="L2580" s="5" t="s">
        <v>11067</v>
      </c>
      <c r="M2580" s="5" t="s">
        <v>11068</v>
      </c>
      <c r="N2580" s="5" t="s">
        <v>11069</v>
      </c>
      <c r="O2580" s="5" t="s">
        <v>11013</v>
      </c>
      <c r="P2580" s="5" t="s">
        <v>11031</v>
      </c>
      <c r="Q2580" s="5" t="s">
        <v>11015</v>
      </c>
      <c r="R2580" s="5" t="s">
        <v>11016</v>
      </c>
      <c r="S2580" s="5" t="s">
        <v>11017</v>
      </c>
      <c r="T2580" s="5" t="s">
        <v>11018</v>
      </c>
      <c r="U2580" s="5" t="s">
        <v>11019</v>
      </c>
      <c r="V2580" s="5" t="s">
        <v>11020</v>
      </c>
      <c r="X2580" s="5" t="s">
        <v>11021</v>
      </c>
      <c r="Y2580" s="5" t="s">
        <v>11022</v>
      </c>
      <c r="AG2580" s="14" t="s">
        <v>55</v>
      </c>
      <c r="AH2580" s="14" t="s">
        <v>9768</v>
      </c>
      <c r="AI2580" s="14" t="s">
        <v>1836</v>
      </c>
      <c r="AJ2580" s="5" t="s">
        <v>11062</v>
      </c>
    </row>
    <row r="2581" spans="1:37">
      <c r="A2581" s="5" t="s">
        <v>11070</v>
      </c>
      <c r="B2581" s="5" t="s">
        <v>11071</v>
      </c>
      <c r="C2581" s="6" t="s">
        <v>43</v>
      </c>
      <c r="D2581" s="6" t="s">
        <v>850</v>
      </c>
      <c r="E2581" s="6" t="s">
        <v>218</v>
      </c>
      <c r="F2581" s="6" t="s">
        <v>46</v>
      </c>
      <c r="G2581" s="6" t="s">
        <v>11072</v>
      </c>
      <c r="H2581" s="7">
        <v>102.85</v>
      </c>
      <c r="I2581" s="19" t="s">
        <v>1888</v>
      </c>
      <c r="J2581" s="19" t="s">
        <v>11008</v>
      </c>
      <c r="K2581" s="5" t="s">
        <v>11073</v>
      </c>
      <c r="L2581" s="5" t="s">
        <v>11074</v>
      </c>
      <c r="M2581" s="5" t="s">
        <v>11075</v>
      </c>
      <c r="N2581" s="5" t="s">
        <v>11076</v>
      </c>
      <c r="O2581" s="5" t="s">
        <v>11013</v>
      </c>
      <c r="P2581" s="5" t="s">
        <v>11031</v>
      </c>
      <c r="Q2581" s="5" t="s">
        <v>11015</v>
      </c>
      <c r="R2581" s="5" t="s">
        <v>11016</v>
      </c>
      <c r="S2581" s="5" t="s">
        <v>11017</v>
      </c>
      <c r="T2581" s="5" t="s">
        <v>11018</v>
      </c>
      <c r="U2581" s="5" t="s">
        <v>11019</v>
      </c>
      <c r="V2581" s="5" t="s">
        <v>11020</v>
      </c>
      <c r="X2581" s="5" t="s">
        <v>11021</v>
      </c>
      <c r="Y2581" s="5" t="s">
        <v>11022</v>
      </c>
      <c r="AG2581" s="14" t="s">
        <v>49</v>
      </c>
      <c r="AH2581" s="14" t="s">
        <v>9768</v>
      </c>
      <c r="AI2581" s="14" t="s">
        <v>1408</v>
      </c>
      <c r="AJ2581" s="5" t="s">
        <v>11023</v>
      </c>
    </row>
    <row r="2582" spans="1:37">
      <c r="A2582" s="5" t="s">
        <v>11077</v>
      </c>
      <c r="B2582" s="5" t="s">
        <v>11078</v>
      </c>
      <c r="C2582" s="6" t="s">
        <v>43</v>
      </c>
      <c r="D2582" s="6" t="s">
        <v>850</v>
      </c>
      <c r="E2582" s="6" t="s">
        <v>218</v>
      </c>
      <c r="F2582" s="6" t="s">
        <v>46</v>
      </c>
      <c r="G2582" s="6" t="s">
        <v>11079</v>
      </c>
      <c r="H2582" s="7">
        <v>154.30000000000001</v>
      </c>
      <c r="I2582" s="19" t="s">
        <v>1888</v>
      </c>
      <c r="J2582" s="19" t="s">
        <v>11008</v>
      </c>
      <c r="K2582" s="5" t="s">
        <v>11080</v>
      </c>
      <c r="L2582" s="5" t="s">
        <v>11081</v>
      </c>
      <c r="M2582" s="5" t="s">
        <v>11082</v>
      </c>
      <c r="N2582" s="5" t="s">
        <v>11083</v>
      </c>
      <c r="O2582" s="5" t="s">
        <v>11013</v>
      </c>
      <c r="P2582" s="5" t="s">
        <v>11031</v>
      </c>
      <c r="Q2582" s="5" t="s">
        <v>11015</v>
      </c>
      <c r="R2582" s="5" t="s">
        <v>11016</v>
      </c>
      <c r="S2582" s="5" t="s">
        <v>11017</v>
      </c>
      <c r="T2582" s="5" t="s">
        <v>11018</v>
      </c>
      <c r="U2582" s="5" t="s">
        <v>11019</v>
      </c>
      <c r="V2582" s="5" t="s">
        <v>11020</v>
      </c>
      <c r="X2582" s="5" t="s">
        <v>11021</v>
      </c>
      <c r="Y2582" s="5" t="s">
        <v>11022</v>
      </c>
      <c r="AG2582" s="14" t="s">
        <v>49</v>
      </c>
      <c r="AH2582" s="14" t="s">
        <v>9768</v>
      </c>
      <c r="AI2582" s="14" t="s">
        <v>1408</v>
      </c>
      <c r="AJ2582" s="5" t="s">
        <v>11023</v>
      </c>
    </row>
    <row r="2583" spans="1:37">
      <c r="A2583" s="5" t="s">
        <v>11084</v>
      </c>
      <c r="B2583" s="5" t="s">
        <v>11085</v>
      </c>
      <c r="C2583" s="6" t="s">
        <v>43</v>
      </c>
      <c r="D2583" s="6" t="s">
        <v>850</v>
      </c>
      <c r="E2583" s="6" t="s">
        <v>218</v>
      </c>
      <c r="F2583" s="6" t="s">
        <v>46</v>
      </c>
      <c r="G2583" s="6" t="s">
        <v>11086</v>
      </c>
      <c r="H2583" s="7">
        <v>205.7</v>
      </c>
      <c r="I2583" s="19" t="s">
        <v>1888</v>
      </c>
      <c r="J2583" s="19" t="s">
        <v>11008</v>
      </c>
      <c r="K2583" s="5" t="s">
        <v>11087</v>
      </c>
      <c r="L2583" s="5" t="s">
        <v>11088</v>
      </c>
      <c r="M2583" s="5" t="s">
        <v>11089</v>
      </c>
      <c r="N2583" s="5" t="s">
        <v>11090</v>
      </c>
      <c r="O2583" s="5" t="s">
        <v>11013</v>
      </c>
      <c r="P2583" s="5" t="s">
        <v>11031</v>
      </c>
      <c r="Q2583" s="5" t="s">
        <v>11015</v>
      </c>
      <c r="R2583" s="5" t="s">
        <v>11016</v>
      </c>
      <c r="S2583" s="5" t="s">
        <v>11017</v>
      </c>
      <c r="T2583" s="5" t="s">
        <v>11018</v>
      </c>
      <c r="U2583" s="5" t="s">
        <v>11019</v>
      </c>
      <c r="V2583" s="5" t="s">
        <v>11020</v>
      </c>
      <c r="X2583" s="5" t="s">
        <v>11021</v>
      </c>
      <c r="Y2583" s="5" t="s">
        <v>11022</v>
      </c>
      <c r="AG2583" s="14" t="s">
        <v>49</v>
      </c>
      <c r="AH2583" s="14" t="s">
        <v>9768</v>
      </c>
      <c r="AI2583" s="14" t="s">
        <v>1408</v>
      </c>
      <c r="AJ2583" s="5" t="s">
        <v>11023</v>
      </c>
    </row>
    <row r="2584" spans="1:37">
      <c r="A2584" s="5" t="s">
        <v>11091</v>
      </c>
      <c r="B2584" s="5" t="s">
        <v>11092</v>
      </c>
      <c r="C2584" s="6" t="s">
        <v>43</v>
      </c>
      <c r="D2584" s="6" t="s">
        <v>850</v>
      </c>
      <c r="E2584" s="6" t="s">
        <v>10152</v>
      </c>
      <c r="F2584" s="6" t="s">
        <v>46</v>
      </c>
      <c r="G2584" s="6" t="s">
        <v>11093</v>
      </c>
      <c r="H2584" s="7">
        <v>86.35</v>
      </c>
      <c r="I2584" s="19" t="s">
        <v>1888</v>
      </c>
      <c r="J2584" s="19" t="s">
        <v>11008</v>
      </c>
      <c r="K2584" s="5" t="s">
        <v>11056</v>
      </c>
      <c r="L2584" s="5" t="s">
        <v>11057</v>
      </c>
      <c r="M2584" s="5" t="s">
        <v>11058</v>
      </c>
      <c r="N2584" s="5" t="s">
        <v>11059</v>
      </c>
      <c r="O2584" s="5" t="s">
        <v>11013</v>
      </c>
      <c r="P2584" s="5" t="s">
        <v>11031</v>
      </c>
      <c r="Q2584" s="5" t="s">
        <v>11015</v>
      </c>
      <c r="R2584" s="5" t="s">
        <v>11016</v>
      </c>
      <c r="S2584" s="5" t="s">
        <v>11017</v>
      </c>
      <c r="T2584" s="5" t="s">
        <v>11018</v>
      </c>
      <c r="U2584" s="5" t="s">
        <v>11019</v>
      </c>
      <c r="V2584" s="5" t="s">
        <v>11020</v>
      </c>
      <c r="X2584" s="5" t="s">
        <v>11021</v>
      </c>
      <c r="Y2584" s="5" t="s">
        <v>11022</v>
      </c>
      <c r="AG2584" s="14" t="s">
        <v>55</v>
      </c>
      <c r="AH2584" s="14" t="s">
        <v>9768</v>
      </c>
      <c r="AI2584" s="14" t="s">
        <v>1836</v>
      </c>
      <c r="AJ2584" s="5" t="s">
        <v>11062</v>
      </c>
    </row>
    <row r="2585" spans="1:37">
      <c r="A2585" s="5" t="s">
        <v>11094</v>
      </c>
      <c r="B2585" s="5" t="s">
        <v>11095</v>
      </c>
      <c r="C2585" s="6" t="s">
        <v>43</v>
      </c>
      <c r="D2585" s="6" t="s">
        <v>850</v>
      </c>
      <c r="E2585" s="6" t="s">
        <v>10152</v>
      </c>
      <c r="F2585" s="6" t="s">
        <v>46</v>
      </c>
      <c r="G2585" s="6" t="s">
        <v>11096</v>
      </c>
      <c r="H2585" s="7">
        <v>86.35</v>
      </c>
      <c r="I2585" s="19" t="s">
        <v>1888</v>
      </c>
      <c r="J2585" s="19" t="s">
        <v>11008</v>
      </c>
      <c r="K2585" s="5" t="s">
        <v>11056</v>
      </c>
      <c r="L2585" s="5" t="s">
        <v>11057</v>
      </c>
      <c r="M2585" s="5" t="s">
        <v>11058</v>
      </c>
      <c r="N2585" s="5" t="s">
        <v>11059</v>
      </c>
      <c r="O2585" s="5" t="s">
        <v>11013</v>
      </c>
      <c r="P2585" s="5" t="s">
        <v>11031</v>
      </c>
      <c r="Q2585" s="5" t="s">
        <v>11015</v>
      </c>
      <c r="R2585" s="5" t="s">
        <v>11016</v>
      </c>
      <c r="S2585" s="5" t="s">
        <v>11017</v>
      </c>
      <c r="T2585" s="5" t="s">
        <v>11018</v>
      </c>
      <c r="U2585" s="5" t="s">
        <v>11019</v>
      </c>
      <c r="V2585" s="5" t="s">
        <v>11020</v>
      </c>
      <c r="X2585" s="5" t="s">
        <v>11021</v>
      </c>
      <c r="Y2585" s="5" t="s">
        <v>11022</v>
      </c>
      <c r="AG2585" s="14" t="s">
        <v>55</v>
      </c>
      <c r="AH2585" s="14" t="s">
        <v>9768</v>
      </c>
      <c r="AI2585" s="14" t="s">
        <v>1836</v>
      </c>
      <c r="AJ2585" s="5" t="s">
        <v>11062</v>
      </c>
    </row>
    <row r="2586" spans="1:37">
      <c r="A2586" s="6" t="s">
        <v>11097</v>
      </c>
      <c r="B2586" s="6" t="s">
        <v>11098</v>
      </c>
      <c r="C2586" s="6" t="s">
        <v>11099</v>
      </c>
      <c r="D2586" s="6" t="s">
        <v>1545</v>
      </c>
      <c r="E2586" s="6" t="s">
        <v>9920</v>
      </c>
      <c r="F2586" s="6" t="s">
        <v>46</v>
      </c>
      <c r="G2586" s="6" t="s">
        <v>7195</v>
      </c>
      <c r="I2586" s="19" t="s">
        <v>48</v>
      </c>
      <c r="J2586" s="19" t="s">
        <v>48</v>
      </c>
      <c r="K2586" s="6"/>
      <c r="L2586" s="6"/>
      <c r="M2586" s="6"/>
      <c r="N2586" s="6"/>
      <c r="O2586" s="6"/>
      <c r="P2586" s="6"/>
      <c r="Q2586" s="6"/>
      <c r="R2586" s="6"/>
      <c r="S2586" s="6"/>
      <c r="T2586" s="6"/>
      <c r="U2586" s="6"/>
      <c r="V2586" s="6"/>
      <c r="W2586" s="6"/>
      <c r="X2586" s="6"/>
      <c r="Y2586" s="6"/>
      <c r="Z2586" s="6"/>
      <c r="AA2586" s="6"/>
      <c r="AB2586" s="6"/>
      <c r="AC2586" s="6"/>
      <c r="AD2586" s="6"/>
      <c r="AE2586" s="6"/>
      <c r="AF2586" s="6"/>
      <c r="AG2586" s="15" t="s">
        <v>55</v>
      </c>
      <c r="AH2586" s="15"/>
      <c r="AI2586" s="15"/>
      <c r="AJ2586" s="6"/>
      <c r="AK2586" s="6"/>
    </row>
    <row r="2587" spans="1:37" s="6" customFormat="1">
      <c r="A2587" s="6" t="s">
        <v>11100</v>
      </c>
      <c r="B2587" s="6" t="s">
        <v>11101</v>
      </c>
      <c r="C2587" s="6" t="s">
        <v>11102</v>
      </c>
      <c r="D2587" s="6" t="s">
        <v>861</v>
      </c>
      <c r="E2587" s="6" t="s">
        <v>503</v>
      </c>
      <c r="F2587" s="6" t="s">
        <v>46</v>
      </c>
      <c r="G2587" s="6" t="s">
        <v>11103</v>
      </c>
      <c r="H2587" s="7"/>
      <c r="I2587" s="5" t="s">
        <v>48</v>
      </c>
      <c r="J2587" s="5" t="s">
        <v>48</v>
      </c>
      <c r="AG2587" s="15" t="s">
        <v>55</v>
      </c>
      <c r="AH2587" s="15"/>
      <c r="AI2587" s="15"/>
    </row>
    <row r="2588" spans="1:37" s="6" customFormat="1">
      <c r="A2588" s="5" t="s">
        <v>11104</v>
      </c>
      <c r="B2588" s="5" t="s">
        <v>11105</v>
      </c>
      <c r="C2588" s="6" t="s">
        <v>43</v>
      </c>
      <c r="D2588" s="6" t="s">
        <v>850</v>
      </c>
      <c r="E2588" s="6" t="s">
        <v>11106</v>
      </c>
      <c r="F2588" s="6" t="s">
        <v>46</v>
      </c>
      <c r="G2588" s="6" t="s">
        <v>6459</v>
      </c>
      <c r="H2588" s="7">
        <v>27.85</v>
      </c>
      <c r="I2588" s="19" t="s">
        <v>1882</v>
      </c>
      <c r="J2588" s="19" t="s">
        <v>11107</v>
      </c>
      <c r="K2588" s="5" t="s">
        <v>11108</v>
      </c>
      <c r="L2588" s="5" t="s">
        <v>11109</v>
      </c>
      <c r="M2588" s="5" t="s">
        <v>11110</v>
      </c>
      <c r="N2588" s="5" t="s">
        <v>11111</v>
      </c>
      <c r="O2588" s="5" t="s">
        <v>11112</v>
      </c>
      <c r="P2588" s="5" t="s">
        <v>11113</v>
      </c>
      <c r="Q2588" s="5" t="s">
        <v>11114</v>
      </c>
      <c r="R2588" s="5" t="s">
        <v>11115</v>
      </c>
      <c r="S2588" s="5" t="s">
        <v>11116</v>
      </c>
      <c r="T2588" s="5" t="s">
        <v>11117</v>
      </c>
      <c r="U2588" s="5" t="s">
        <v>11118</v>
      </c>
      <c r="V2588" s="5" t="s">
        <v>11119</v>
      </c>
      <c r="W2588" s="5"/>
      <c r="X2588" s="5"/>
      <c r="Y2588" s="5"/>
      <c r="Z2588" s="5"/>
      <c r="AA2588" s="5" t="s">
        <v>11120</v>
      </c>
      <c r="AB2588" s="5" t="s">
        <v>11121</v>
      </c>
      <c r="AC2588" s="5" t="s">
        <v>11122</v>
      </c>
      <c r="AD2588" s="5" t="s">
        <v>11123</v>
      </c>
      <c r="AE2588" s="5"/>
      <c r="AF2588" s="5"/>
      <c r="AG2588" s="14" t="s">
        <v>55</v>
      </c>
      <c r="AH2588" s="14" t="s">
        <v>234</v>
      </c>
      <c r="AI2588" s="14" t="s">
        <v>11124</v>
      </c>
      <c r="AJ2588" s="5" t="s">
        <v>11125</v>
      </c>
      <c r="AK2588" s="5"/>
    </row>
    <row r="2589" spans="1:37">
      <c r="A2589" s="5" t="s">
        <v>11126</v>
      </c>
      <c r="B2589" s="5" t="s">
        <v>11127</v>
      </c>
      <c r="C2589" s="6" t="s">
        <v>43</v>
      </c>
      <c r="D2589" s="6" t="s">
        <v>850</v>
      </c>
      <c r="E2589" s="6" t="s">
        <v>11106</v>
      </c>
      <c r="F2589" s="6" t="s">
        <v>46</v>
      </c>
      <c r="G2589" s="6" t="s">
        <v>11128</v>
      </c>
      <c r="H2589" s="7">
        <v>45.9</v>
      </c>
      <c r="I2589" s="19" t="s">
        <v>1882</v>
      </c>
      <c r="J2589" s="19" t="s">
        <v>11107</v>
      </c>
      <c r="K2589" s="5" t="s">
        <v>11129</v>
      </c>
      <c r="L2589" s="5" t="s">
        <v>11130</v>
      </c>
      <c r="M2589" s="5" t="s">
        <v>11131</v>
      </c>
      <c r="N2589" s="5" t="s">
        <v>11132</v>
      </c>
      <c r="O2589" s="5" t="s">
        <v>11133</v>
      </c>
      <c r="P2589" s="5" t="s">
        <v>11134</v>
      </c>
      <c r="Q2589" s="5" t="s">
        <v>11135</v>
      </c>
      <c r="R2589" s="5" t="s">
        <v>11136</v>
      </c>
      <c r="S2589" s="5" t="s">
        <v>11116</v>
      </c>
      <c r="T2589" s="5" t="s">
        <v>11117</v>
      </c>
      <c r="U2589" s="5" t="s">
        <v>11118</v>
      </c>
      <c r="V2589" s="5" t="s">
        <v>11119</v>
      </c>
      <c r="AA2589" s="5" t="s">
        <v>11120</v>
      </c>
      <c r="AB2589" s="5" t="s">
        <v>11121</v>
      </c>
      <c r="AC2589" s="5" t="s">
        <v>11122</v>
      </c>
      <c r="AD2589" s="5" t="s">
        <v>11123</v>
      </c>
      <c r="AG2589" s="14" t="s">
        <v>55</v>
      </c>
      <c r="AH2589" s="14" t="s">
        <v>234</v>
      </c>
      <c r="AI2589" s="14" t="s">
        <v>11124</v>
      </c>
      <c r="AJ2589" s="5" t="s">
        <v>11125</v>
      </c>
    </row>
    <row r="2590" spans="1:37">
      <c r="A2590" s="5" t="s">
        <v>11137</v>
      </c>
      <c r="B2590" s="5" t="s">
        <v>11138</v>
      </c>
      <c r="C2590" s="6" t="s">
        <v>43</v>
      </c>
      <c r="D2590" s="6" t="s">
        <v>850</v>
      </c>
      <c r="E2590" s="6" t="s">
        <v>11106</v>
      </c>
      <c r="F2590" s="6" t="s">
        <v>46</v>
      </c>
      <c r="G2590" s="6" t="s">
        <v>5698</v>
      </c>
      <c r="H2590" s="7">
        <v>4.95</v>
      </c>
      <c r="I2590" s="19" t="s">
        <v>1882</v>
      </c>
      <c r="J2590" s="19" t="s">
        <v>11107</v>
      </c>
      <c r="K2590" s="5" t="s">
        <v>11139</v>
      </c>
      <c r="L2590" s="5" t="s">
        <v>11140</v>
      </c>
      <c r="M2590" s="5" t="s">
        <v>11141</v>
      </c>
      <c r="N2590" s="5" t="s">
        <v>11142</v>
      </c>
      <c r="O2590" s="5" t="s">
        <v>11143</v>
      </c>
      <c r="P2590" s="5" t="s">
        <v>11144</v>
      </c>
      <c r="Q2590" s="5" t="s">
        <v>11145</v>
      </c>
      <c r="R2590" s="5" t="s">
        <v>11146</v>
      </c>
      <c r="S2590" s="5" t="s">
        <v>11116</v>
      </c>
      <c r="T2590" s="5" t="s">
        <v>11117</v>
      </c>
      <c r="U2590" s="5" t="s">
        <v>11118</v>
      </c>
      <c r="V2590" s="5" t="s">
        <v>11119</v>
      </c>
      <c r="AA2590" s="5" t="s">
        <v>11120</v>
      </c>
      <c r="AB2590" s="5" t="s">
        <v>11121</v>
      </c>
      <c r="AC2590" s="5" t="s">
        <v>11122</v>
      </c>
      <c r="AD2590" s="5" t="s">
        <v>11123</v>
      </c>
      <c r="AG2590" s="14" t="s">
        <v>55</v>
      </c>
      <c r="AH2590" s="14" t="s">
        <v>234</v>
      </c>
      <c r="AI2590" s="14" t="s">
        <v>11124</v>
      </c>
      <c r="AJ2590" s="5" t="s">
        <v>11125</v>
      </c>
    </row>
    <row r="2591" spans="1:37">
      <c r="A2591" s="5" t="s">
        <v>11147</v>
      </c>
      <c r="B2591" s="5" t="s">
        <v>11148</v>
      </c>
      <c r="C2591" s="6" t="s">
        <v>43</v>
      </c>
      <c r="D2591" s="6" t="s">
        <v>850</v>
      </c>
      <c r="E2591" s="6" t="s">
        <v>11106</v>
      </c>
      <c r="F2591" s="6" t="s">
        <v>46</v>
      </c>
      <c r="G2591" s="6" t="s">
        <v>11149</v>
      </c>
      <c r="H2591" s="7">
        <v>4.95</v>
      </c>
      <c r="I2591" s="19" t="s">
        <v>1882</v>
      </c>
      <c r="J2591" s="19" t="s">
        <v>11107</v>
      </c>
      <c r="K2591" s="5" t="s">
        <v>11150</v>
      </c>
      <c r="L2591" s="5" t="s">
        <v>11151</v>
      </c>
      <c r="M2591" s="5" t="s">
        <v>11152</v>
      </c>
      <c r="N2591" s="5" t="s">
        <v>11153</v>
      </c>
      <c r="O2591" s="5" t="s">
        <v>11143</v>
      </c>
      <c r="P2591" s="5" t="s">
        <v>11144</v>
      </c>
      <c r="Q2591" s="5" t="s">
        <v>11145</v>
      </c>
      <c r="R2591" s="5" t="s">
        <v>11146</v>
      </c>
      <c r="S2591" s="5" t="s">
        <v>11116</v>
      </c>
      <c r="T2591" s="5" t="s">
        <v>11117</v>
      </c>
      <c r="U2591" s="5" t="s">
        <v>11118</v>
      </c>
      <c r="V2591" s="5" t="s">
        <v>11119</v>
      </c>
      <c r="AA2591" s="5" t="s">
        <v>11120</v>
      </c>
      <c r="AB2591" s="5" t="s">
        <v>11121</v>
      </c>
      <c r="AC2591" s="5" t="s">
        <v>11122</v>
      </c>
      <c r="AD2591" s="5" t="s">
        <v>11123</v>
      </c>
      <c r="AG2591" s="14" t="s">
        <v>55</v>
      </c>
      <c r="AH2591" s="14" t="s">
        <v>234</v>
      </c>
      <c r="AI2591" s="14" t="s">
        <v>11124</v>
      </c>
      <c r="AJ2591" s="5" t="s">
        <v>11125</v>
      </c>
    </row>
    <row r="2592" spans="1:37">
      <c r="A2592" s="5" t="s">
        <v>11154</v>
      </c>
      <c r="B2592" s="5" t="s">
        <v>11155</v>
      </c>
      <c r="C2592" s="6" t="s">
        <v>43</v>
      </c>
      <c r="D2592" s="6" t="s">
        <v>850</v>
      </c>
      <c r="E2592" s="6" t="s">
        <v>11106</v>
      </c>
      <c r="F2592" s="6" t="s">
        <v>46</v>
      </c>
      <c r="G2592" s="6" t="s">
        <v>7143</v>
      </c>
      <c r="H2592" s="7">
        <v>7.85</v>
      </c>
      <c r="I2592" s="19" t="s">
        <v>1882</v>
      </c>
      <c r="J2592" s="19" t="s">
        <v>11107</v>
      </c>
      <c r="K2592" s="5" t="s">
        <v>11156</v>
      </c>
      <c r="L2592" s="5" t="s">
        <v>11157</v>
      </c>
      <c r="M2592" s="5" t="s">
        <v>11158</v>
      </c>
      <c r="N2592" s="5" t="s">
        <v>11159</v>
      </c>
      <c r="O2592" s="5" t="s">
        <v>11160</v>
      </c>
      <c r="P2592" s="5" t="s">
        <v>11161</v>
      </c>
      <c r="Q2592" s="5" t="s">
        <v>11162</v>
      </c>
      <c r="R2592" s="5" t="s">
        <v>11163</v>
      </c>
      <c r="S2592" s="5" t="s">
        <v>11116</v>
      </c>
      <c r="T2592" s="5" t="s">
        <v>11117</v>
      </c>
      <c r="U2592" s="5" t="s">
        <v>11118</v>
      </c>
      <c r="V2592" s="5" t="s">
        <v>11119</v>
      </c>
      <c r="AA2592" s="5" t="s">
        <v>11120</v>
      </c>
      <c r="AB2592" s="5" t="s">
        <v>11121</v>
      </c>
      <c r="AC2592" s="5" t="s">
        <v>11122</v>
      </c>
      <c r="AD2592" s="5" t="s">
        <v>11123</v>
      </c>
      <c r="AG2592" s="14" t="s">
        <v>55</v>
      </c>
      <c r="AH2592" s="14" t="s">
        <v>234</v>
      </c>
      <c r="AI2592" s="14" t="s">
        <v>11124</v>
      </c>
      <c r="AJ2592" s="5" t="s">
        <v>11125</v>
      </c>
    </row>
    <row r="2593" spans="1:36">
      <c r="A2593" s="5" t="s">
        <v>11164</v>
      </c>
      <c r="B2593" s="5" t="s">
        <v>11165</v>
      </c>
      <c r="C2593" s="6" t="s">
        <v>11166</v>
      </c>
      <c r="D2593" s="6" t="s">
        <v>850</v>
      </c>
      <c r="E2593" s="6" t="s">
        <v>11106</v>
      </c>
      <c r="F2593" s="6" t="s">
        <v>46</v>
      </c>
      <c r="G2593" s="6" t="s">
        <v>10043</v>
      </c>
      <c r="H2593" s="7">
        <v>7.95</v>
      </c>
      <c r="I2593" s="19" t="s">
        <v>1882</v>
      </c>
      <c r="J2593" s="19" t="s">
        <v>11107</v>
      </c>
      <c r="K2593" s="5" t="s">
        <v>11167</v>
      </c>
      <c r="L2593" s="5" t="s">
        <v>11168</v>
      </c>
      <c r="M2593" s="5" t="s">
        <v>11169</v>
      </c>
      <c r="N2593" s="5" t="s">
        <v>11170</v>
      </c>
      <c r="O2593" s="5" t="s">
        <v>11171</v>
      </c>
      <c r="P2593" s="5" t="s">
        <v>11172</v>
      </c>
      <c r="Q2593" s="5" t="s">
        <v>11173</v>
      </c>
      <c r="R2593" s="5" t="s">
        <v>11174</v>
      </c>
      <c r="S2593" s="5" t="s">
        <v>11116</v>
      </c>
      <c r="T2593" s="5" t="s">
        <v>11117</v>
      </c>
      <c r="U2593" s="5" t="s">
        <v>11118</v>
      </c>
      <c r="V2593" s="5" t="s">
        <v>11119</v>
      </c>
      <c r="AA2593" s="5" t="s">
        <v>11120</v>
      </c>
      <c r="AB2593" s="5" t="s">
        <v>11121</v>
      </c>
      <c r="AC2593" s="5" t="s">
        <v>11122</v>
      </c>
      <c r="AD2593" s="5" t="s">
        <v>11123</v>
      </c>
      <c r="AG2593" s="14" t="s">
        <v>55</v>
      </c>
      <c r="AH2593" s="14" t="s">
        <v>234</v>
      </c>
      <c r="AI2593" s="14" t="s">
        <v>11124</v>
      </c>
      <c r="AJ2593" s="5" t="s">
        <v>11125</v>
      </c>
    </row>
    <row r="2594" spans="1:36">
      <c r="A2594" s="5" t="s">
        <v>11175</v>
      </c>
      <c r="B2594" s="5" t="s">
        <v>11176</v>
      </c>
      <c r="C2594" s="6" t="s">
        <v>43</v>
      </c>
      <c r="D2594" s="6" t="s">
        <v>850</v>
      </c>
      <c r="E2594" s="6" t="s">
        <v>11106</v>
      </c>
      <c r="F2594" s="6" t="s">
        <v>46</v>
      </c>
      <c r="G2594" s="6" t="s">
        <v>11177</v>
      </c>
      <c r="H2594" s="7">
        <v>11.35</v>
      </c>
      <c r="I2594" s="19" t="s">
        <v>1882</v>
      </c>
      <c r="J2594" s="19" t="s">
        <v>11107</v>
      </c>
      <c r="K2594" s="5" t="s">
        <v>11178</v>
      </c>
      <c r="L2594" s="5" t="s">
        <v>11179</v>
      </c>
      <c r="M2594" s="5" t="s">
        <v>11180</v>
      </c>
      <c r="N2594" s="5" t="s">
        <v>11181</v>
      </c>
      <c r="O2594" s="5" t="s">
        <v>11182</v>
      </c>
      <c r="P2594" s="5" t="s">
        <v>11183</v>
      </c>
      <c r="Q2594" s="5" t="s">
        <v>11184</v>
      </c>
      <c r="R2594" s="5" t="s">
        <v>11185</v>
      </c>
      <c r="S2594" s="5" t="s">
        <v>11116</v>
      </c>
      <c r="T2594" s="5" t="s">
        <v>11117</v>
      </c>
      <c r="U2594" s="5" t="s">
        <v>11118</v>
      </c>
      <c r="V2594" s="5" t="s">
        <v>11119</v>
      </c>
      <c r="AA2594" s="5" t="s">
        <v>11120</v>
      </c>
      <c r="AB2594" s="5" t="s">
        <v>11121</v>
      </c>
      <c r="AC2594" s="5" t="s">
        <v>11122</v>
      </c>
      <c r="AD2594" s="5" t="s">
        <v>11123</v>
      </c>
      <c r="AG2594" s="14" t="s">
        <v>55</v>
      </c>
      <c r="AH2594" s="14" t="s">
        <v>234</v>
      </c>
      <c r="AI2594" s="14" t="s">
        <v>11124</v>
      </c>
      <c r="AJ2594" s="5" t="s">
        <v>11125</v>
      </c>
    </row>
    <row r="2595" spans="1:36">
      <c r="A2595" s="5" t="s">
        <v>11186</v>
      </c>
      <c r="B2595" s="5" t="s">
        <v>11187</v>
      </c>
      <c r="C2595" s="6" t="s">
        <v>43</v>
      </c>
      <c r="D2595" s="6" t="s">
        <v>850</v>
      </c>
      <c r="E2595" s="6" t="s">
        <v>11106</v>
      </c>
      <c r="F2595" s="6" t="s">
        <v>46</v>
      </c>
      <c r="G2595" s="6" t="s">
        <v>11188</v>
      </c>
      <c r="H2595" s="7">
        <v>13.75</v>
      </c>
      <c r="I2595" s="19" t="s">
        <v>1882</v>
      </c>
      <c r="J2595" s="19" t="s">
        <v>11107</v>
      </c>
      <c r="K2595" s="5" t="s">
        <v>11189</v>
      </c>
      <c r="L2595" s="5" t="s">
        <v>11190</v>
      </c>
      <c r="M2595" s="5" t="s">
        <v>11191</v>
      </c>
      <c r="N2595" s="5" t="s">
        <v>11192</v>
      </c>
      <c r="O2595" s="5" t="s">
        <v>11193</v>
      </c>
      <c r="P2595" s="5" t="s">
        <v>11194</v>
      </c>
      <c r="Q2595" s="5" t="s">
        <v>11195</v>
      </c>
      <c r="R2595" s="5" t="s">
        <v>11196</v>
      </c>
      <c r="S2595" s="5" t="s">
        <v>11116</v>
      </c>
      <c r="T2595" s="5" t="s">
        <v>11117</v>
      </c>
      <c r="U2595" s="5" t="s">
        <v>11118</v>
      </c>
      <c r="V2595" s="5" t="s">
        <v>11119</v>
      </c>
      <c r="AA2595" s="5" t="s">
        <v>11120</v>
      </c>
      <c r="AB2595" s="5" t="s">
        <v>11121</v>
      </c>
      <c r="AC2595" s="5" t="s">
        <v>11122</v>
      </c>
      <c r="AD2595" s="5" t="s">
        <v>11123</v>
      </c>
      <c r="AG2595" s="14" t="s">
        <v>55</v>
      </c>
      <c r="AH2595" s="14" t="s">
        <v>234</v>
      </c>
      <c r="AI2595" s="14" t="s">
        <v>11124</v>
      </c>
      <c r="AJ2595" s="5" t="s">
        <v>11125</v>
      </c>
    </row>
    <row r="2596" spans="1:36">
      <c r="A2596" s="5" t="s">
        <v>11197</v>
      </c>
      <c r="B2596" s="5" t="s">
        <v>11198</v>
      </c>
      <c r="C2596" s="6" t="s">
        <v>43</v>
      </c>
      <c r="D2596" s="6" t="s">
        <v>850</v>
      </c>
      <c r="E2596" s="6" t="s">
        <v>11106</v>
      </c>
      <c r="F2596" s="6" t="s">
        <v>46</v>
      </c>
      <c r="G2596" s="6" t="s">
        <v>7165</v>
      </c>
      <c r="H2596" s="7">
        <v>16.7</v>
      </c>
      <c r="I2596" s="19" t="s">
        <v>1882</v>
      </c>
      <c r="J2596" s="19" t="s">
        <v>11107</v>
      </c>
      <c r="K2596" s="5" t="s">
        <v>11199</v>
      </c>
      <c r="L2596" s="5" t="s">
        <v>11200</v>
      </c>
      <c r="M2596" s="5" t="s">
        <v>11201</v>
      </c>
      <c r="N2596" s="5" t="s">
        <v>11202</v>
      </c>
      <c r="O2596" s="5" t="s">
        <v>11203</v>
      </c>
      <c r="P2596" s="5" t="s">
        <v>11204</v>
      </c>
      <c r="Q2596" s="5" t="s">
        <v>11205</v>
      </c>
      <c r="R2596" s="5" t="s">
        <v>11206</v>
      </c>
      <c r="S2596" s="5" t="s">
        <v>11116</v>
      </c>
      <c r="T2596" s="5" t="s">
        <v>11117</v>
      </c>
      <c r="U2596" s="5" t="s">
        <v>11118</v>
      </c>
      <c r="V2596" s="5" t="s">
        <v>11119</v>
      </c>
      <c r="AA2596" s="5" t="s">
        <v>11120</v>
      </c>
      <c r="AB2596" s="5" t="s">
        <v>11121</v>
      </c>
      <c r="AC2596" s="5" t="s">
        <v>11122</v>
      </c>
      <c r="AD2596" s="5" t="s">
        <v>11123</v>
      </c>
      <c r="AG2596" s="14" t="s">
        <v>55</v>
      </c>
      <c r="AH2596" s="14" t="s">
        <v>234</v>
      </c>
      <c r="AI2596" s="14" t="s">
        <v>11124</v>
      </c>
      <c r="AJ2596" s="5" t="s">
        <v>11125</v>
      </c>
    </row>
    <row r="2597" spans="1:36">
      <c r="A2597" s="5" t="s">
        <v>11207</v>
      </c>
      <c r="B2597" s="5" t="s">
        <v>11208</v>
      </c>
      <c r="C2597" s="6" t="s">
        <v>43</v>
      </c>
      <c r="D2597" s="6" t="s">
        <v>850</v>
      </c>
      <c r="E2597" s="6" t="s">
        <v>11106</v>
      </c>
      <c r="F2597" s="6" t="s">
        <v>46</v>
      </c>
      <c r="G2597" s="6" t="s">
        <v>1966</v>
      </c>
      <c r="H2597" s="7">
        <v>24</v>
      </c>
      <c r="I2597" s="19" t="s">
        <v>1882</v>
      </c>
      <c r="J2597" s="19" t="s">
        <v>11107</v>
      </c>
      <c r="K2597" s="5" t="s">
        <v>11209</v>
      </c>
      <c r="L2597" s="5" t="s">
        <v>11210</v>
      </c>
      <c r="M2597" s="5" t="s">
        <v>11211</v>
      </c>
      <c r="N2597" s="5" t="s">
        <v>11212</v>
      </c>
      <c r="O2597" s="5" t="s">
        <v>11213</v>
      </c>
      <c r="P2597" s="5" t="s">
        <v>11214</v>
      </c>
      <c r="Q2597" s="5" t="s">
        <v>11215</v>
      </c>
      <c r="R2597" s="5" t="s">
        <v>11216</v>
      </c>
      <c r="S2597" s="5" t="s">
        <v>11116</v>
      </c>
      <c r="T2597" s="5" t="s">
        <v>11117</v>
      </c>
      <c r="U2597" s="5" t="s">
        <v>11118</v>
      </c>
      <c r="V2597" s="5" t="s">
        <v>11119</v>
      </c>
      <c r="AA2597" s="5" t="s">
        <v>11120</v>
      </c>
      <c r="AB2597" s="5" t="s">
        <v>11121</v>
      </c>
      <c r="AC2597" s="5" t="s">
        <v>11122</v>
      </c>
      <c r="AD2597" s="5" t="s">
        <v>11123</v>
      </c>
      <c r="AG2597" s="14" t="s">
        <v>55</v>
      </c>
      <c r="AH2597" s="14" t="s">
        <v>234</v>
      </c>
      <c r="AI2597" s="14" t="s">
        <v>11124</v>
      </c>
      <c r="AJ2597" s="5" t="s">
        <v>11125</v>
      </c>
    </row>
    <row r="2598" spans="1:36">
      <c r="A2598" s="5" t="s">
        <v>11217</v>
      </c>
      <c r="B2598" s="5" t="s">
        <v>11218</v>
      </c>
      <c r="C2598" s="6" t="s">
        <v>43</v>
      </c>
      <c r="D2598" s="6" t="s">
        <v>850</v>
      </c>
      <c r="E2598" s="6" t="s">
        <v>11106</v>
      </c>
      <c r="F2598" s="6" t="s">
        <v>46</v>
      </c>
      <c r="G2598" s="6" t="s">
        <v>2783</v>
      </c>
      <c r="H2598" s="7">
        <v>25.45</v>
      </c>
      <c r="I2598" s="19" t="s">
        <v>1882</v>
      </c>
      <c r="J2598" s="19" t="s">
        <v>11107</v>
      </c>
      <c r="K2598" s="5" t="s">
        <v>11219</v>
      </c>
      <c r="L2598" s="5" t="s">
        <v>11220</v>
      </c>
      <c r="M2598" s="5" t="s">
        <v>11221</v>
      </c>
      <c r="N2598" s="5" t="s">
        <v>11222</v>
      </c>
      <c r="O2598" s="5" t="s">
        <v>11223</v>
      </c>
      <c r="P2598" s="5" t="s">
        <v>11224</v>
      </c>
      <c r="Q2598" s="5" t="s">
        <v>11225</v>
      </c>
      <c r="R2598" s="5" t="s">
        <v>11226</v>
      </c>
      <c r="S2598" s="5" t="s">
        <v>11116</v>
      </c>
      <c r="T2598" s="5" t="s">
        <v>11117</v>
      </c>
      <c r="U2598" s="5" t="s">
        <v>11118</v>
      </c>
      <c r="V2598" s="5" t="s">
        <v>11119</v>
      </c>
      <c r="AA2598" s="5" t="s">
        <v>11120</v>
      </c>
      <c r="AB2598" s="5" t="s">
        <v>11121</v>
      </c>
      <c r="AC2598" s="5" t="s">
        <v>11122</v>
      </c>
      <c r="AD2598" s="5" t="s">
        <v>11123</v>
      </c>
      <c r="AG2598" s="14" t="s">
        <v>55</v>
      </c>
      <c r="AH2598" s="14" t="s">
        <v>234</v>
      </c>
      <c r="AI2598" s="14" t="s">
        <v>11124</v>
      </c>
      <c r="AJ2598" s="5" t="s">
        <v>11125</v>
      </c>
    </row>
    <row r="2599" spans="1:36">
      <c r="A2599" s="5" t="s">
        <v>11227</v>
      </c>
      <c r="B2599" s="5" t="s">
        <v>11228</v>
      </c>
      <c r="C2599" s="6" t="s">
        <v>43</v>
      </c>
      <c r="D2599" s="6" t="s">
        <v>850</v>
      </c>
      <c r="E2599" s="6" t="s">
        <v>11106</v>
      </c>
      <c r="F2599" s="6" t="s">
        <v>46</v>
      </c>
      <c r="G2599" s="6" t="s">
        <v>5802</v>
      </c>
      <c r="H2599" s="7">
        <v>6.15</v>
      </c>
      <c r="I2599" s="19" t="s">
        <v>1882</v>
      </c>
      <c r="J2599" s="19" t="s">
        <v>11107</v>
      </c>
      <c r="K2599" s="5" t="s">
        <v>11229</v>
      </c>
      <c r="L2599" s="5" t="s">
        <v>11230</v>
      </c>
      <c r="M2599" s="5" t="s">
        <v>11231</v>
      </c>
      <c r="N2599" s="5" t="s">
        <v>11232</v>
      </c>
      <c r="O2599" s="5" t="s">
        <v>11233</v>
      </c>
      <c r="P2599" s="5" t="s">
        <v>11234</v>
      </c>
      <c r="Q2599" s="5" t="s">
        <v>11235</v>
      </c>
      <c r="R2599" s="5" t="s">
        <v>11236</v>
      </c>
      <c r="S2599" s="5" t="s">
        <v>11116</v>
      </c>
      <c r="T2599" s="5" t="s">
        <v>11117</v>
      </c>
      <c r="U2599" s="5" t="s">
        <v>11118</v>
      </c>
      <c r="V2599" s="5" t="s">
        <v>11119</v>
      </c>
      <c r="AA2599" s="5" t="s">
        <v>11120</v>
      </c>
      <c r="AB2599" s="5" t="s">
        <v>11121</v>
      </c>
      <c r="AC2599" s="5" t="s">
        <v>11122</v>
      </c>
      <c r="AD2599" s="5" t="s">
        <v>11123</v>
      </c>
      <c r="AG2599" s="14" t="s">
        <v>55</v>
      </c>
      <c r="AH2599" s="14" t="s">
        <v>234</v>
      </c>
      <c r="AI2599" s="14" t="s">
        <v>11124</v>
      </c>
      <c r="AJ2599" s="5" t="s">
        <v>11125</v>
      </c>
    </row>
    <row r="2600" spans="1:36">
      <c r="A2600" s="5" t="s">
        <v>11237</v>
      </c>
      <c r="B2600" s="5" t="s">
        <v>11238</v>
      </c>
      <c r="C2600" s="6" t="s">
        <v>43</v>
      </c>
      <c r="D2600" s="6" t="s">
        <v>850</v>
      </c>
      <c r="E2600" s="6" t="s">
        <v>11106</v>
      </c>
      <c r="F2600" s="6" t="s">
        <v>46</v>
      </c>
      <c r="G2600" s="6" t="s">
        <v>6525</v>
      </c>
      <c r="H2600" s="7">
        <v>8.6999999999999993</v>
      </c>
      <c r="I2600" s="19" t="s">
        <v>1882</v>
      </c>
      <c r="J2600" s="19" t="s">
        <v>11107</v>
      </c>
      <c r="K2600" s="5" t="s">
        <v>11239</v>
      </c>
      <c r="L2600" s="5" t="s">
        <v>11240</v>
      </c>
      <c r="M2600" s="5" t="s">
        <v>11241</v>
      </c>
      <c r="N2600" s="5" t="s">
        <v>11242</v>
      </c>
      <c r="O2600" s="5" t="s">
        <v>11243</v>
      </c>
      <c r="P2600" s="5" t="s">
        <v>11244</v>
      </c>
      <c r="Q2600" s="5" t="s">
        <v>11245</v>
      </c>
      <c r="R2600" s="5" t="s">
        <v>11246</v>
      </c>
      <c r="S2600" s="5" t="s">
        <v>11116</v>
      </c>
      <c r="T2600" s="5" t="s">
        <v>11117</v>
      </c>
      <c r="U2600" s="5" t="s">
        <v>11118</v>
      </c>
      <c r="V2600" s="5" t="s">
        <v>11119</v>
      </c>
      <c r="AA2600" s="5" t="s">
        <v>11120</v>
      </c>
      <c r="AB2600" s="5" t="s">
        <v>11121</v>
      </c>
      <c r="AC2600" s="5" t="s">
        <v>11122</v>
      </c>
      <c r="AD2600" s="5" t="s">
        <v>11123</v>
      </c>
      <c r="AG2600" s="14" t="s">
        <v>55</v>
      </c>
      <c r="AH2600" s="14" t="s">
        <v>234</v>
      </c>
      <c r="AI2600" s="14" t="s">
        <v>11124</v>
      </c>
      <c r="AJ2600" s="5" t="s">
        <v>11125</v>
      </c>
    </row>
    <row r="2601" spans="1:36">
      <c r="A2601" s="5" t="s">
        <v>11247</v>
      </c>
      <c r="B2601" s="5" t="s">
        <v>11248</v>
      </c>
      <c r="C2601" s="6" t="s">
        <v>43</v>
      </c>
      <c r="D2601" s="6" t="s">
        <v>850</v>
      </c>
      <c r="E2601" s="6" t="s">
        <v>11106</v>
      </c>
      <c r="F2601" s="6" t="s">
        <v>46</v>
      </c>
      <c r="G2601" s="6" t="s">
        <v>6550</v>
      </c>
      <c r="H2601" s="7">
        <v>11.25</v>
      </c>
      <c r="I2601" s="19" t="s">
        <v>1882</v>
      </c>
      <c r="J2601" s="19" t="s">
        <v>11107</v>
      </c>
      <c r="K2601" s="5" t="s">
        <v>11249</v>
      </c>
      <c r="L2601" s="5" t="s">
        <v>11250</v>
      </c>
      <c r="M2601" s="5" t="s">
        <v>11251</v>
      </c>
      <c r="N2601" s="5" t="s">
        <v>11252</v>
      </c>
      <c r="O2601" s="5" t="s">
        <v>11253</v>
      </c>
      <c r="P2601" s="5" t="s">
        <v>11254</v>
      </c>
      <c r="Q2601" s="5" t="s">
        <v>11255</v>
      </c>
      <c r="R2601" s="5" t="s">
        <v>11256</v>
      </c>
      <c r="S2601" s="5" t="s">
        <v>11116</v>
      </c>
      <c r="T2601" s="5" t="s">
        <v>11117</v>
      </c>
      <c r="U2601" s="5" t="s">
        <v>11118</v>
      </c>
      <c r="V2601" s="5" t="s">
        <v>11119</v>
      </c>
      <c r="AA2601" s="5" t="s">
        <v>11120</v>
      </c>
      <c r="AB2601" s="5" t="s">
        <v>11121</v>
      </c>
      <c r="AC2601" s="5" t="s">
        <v>11122</v>
      </c>
      <c r="AD2601" s="5" t="s">
        <v>11123</v>
      </c>
      <c r="AG2601" s="14" t="s">
        <v>55</v>
      </c>
      <c r="AH2601" s="14" t="s">
        <v>234</v>
      </c>
      <c r="AI2601" s="14" t="s">
        <v>11124</v>
      </c>
      <c r="AJ2601" s="5" t="s">
        <v>11125</v>
      </c>
    </row>
    <row r="2602" spans="1:36">
      <c r="A2602" s="5" t="s">
        <v>11257</v>
      </c>
      <c r="B2602" s="5" t="s">
        <v>11258</v>
      </c>
      <c r="C2602" s="6" t="s">
        <v>43</v>
      </c>
      <c r="D2602" s="6" t="s">
        <v>850</v>
      </c>
      <c r="E2602" s="6" t="s">
        <v>11106</v>
      </c>
      <c r="F2602" s="6" t="s">
        <v>46</v>
      </c>
      <c r="G2602" s="6" t="s">
        <v>6524</v>
      </c>
      <c r="H2602" s="7">
        <v>21.15</v>
      </c>
      <c r="I2602" s="19" t="s">
        <v>1882</v>
      </c>
      <c r="J2602" s="19" t="s">
        <v>11107</v>
      </c>
      <c r="K2602" s="5" t="s">
        <v>11259</v>
      </c>
      <c r="L2602" s="5" t="s">
        <v>11260</v>
      </c>
      <c r="M2602" s="5" t="s">
        <v>11261</v>
      </c>
      <c r="N2602" s="5" t="s">
        <v>11262</v>
      </c>
      <c r="O2602" s="5" t="s">
        <v>11263</v>
      </c>
      <c r="P2602" s="5" t="s">
        <v>11264</v>
      </c>
      <c r="Q2602" s="5" t="s">
        <v>11265</v>
      </c>
      <c r="R2602" s="5" t="s">
        <v>11266</v>
      </c>
      <c r="S2602" s="5" t="s">
        <v>11116</v>
      </c>
      <c r="T2602" s="5" t="s">
        <v>11117</v>
      </c>
      <c r="U2602" s="5" t="s">
        <v>11118</v>
      </c>
      <c r="V2602" s="5" t="s">
        <v>11119</v>
      </c>
      <c r="AA2602" s="5" t="s">
        <v>11120</v>
      </c>
      <c r="AB2602" s="5" t="s">
        <v>11121</v>
      </c>
      <c r="AC2602" s="5" t="s">
        <v>11122</v>
      </c>
      <c r="AD2602" s="5" t="s">
        <v>11123</v>
      </c>
      <c r="AG2602" s="14" t="s">
        <v>55</v>
      </c>
      <c r="AH2602" s="14" t="s">
        <v>234</v>
      </c>
      <c r="AI2602" s="14" t="s">
        <v>11124</v>
      </c>
      <c r="AJ2602" s="5" t="s">
        <v>11125</v>
      </c>
    </row>
    <row r="2603" spans="1:36">
      <c r="A2603" s="5" t="s">
        <v>11267</v>
      </c>
      <c r="B2603" s="5" t="s">
        <v>11268</v>
      </c>
      <c r="C2603" s="6" t="s">
        <v>43</v>
      </c>
      <c r="D2603" s="6" t="s">
        <v>850</v>
      </c>
      <c r="E2603" s="6" t="s">
        <v>11106</v>
      </c>
      <c r="F2603" s="6" t="s">
        <v>46</v>
      </c>
      <c r="G2603" s="6" t="s">
        <v>6717</v>
      </c>
      <c r="H2603" s="7">
        <v>25.2</v>
      </c>
      <c r="I2603" s="19" t="s">
        <v>1882</v>
      </c>
      <c r="J2603" s="19" t="s">
        <v>11107</v>
      </c>
      <c r="K2603" s="5" t="s">
        <v>11269</v>
      </c>
      <c r="L2603" s="5" t="s">
        <v>11270</v>
      </c>
      <c r="M2603" s="5" t="s">
        <v>11271</v>
      </c>
      <c r="N2603" s="5" t="s">
        <v>11272</v>
      </c>
      <c r="O2603" s="5" t="s">
        <v>11273</v>
      </c>
      <c r="P2603" s="5" t="s">
        <v>11274</v>
      </c>
      <c r="Q2603" s="5" t="s">
        <v>11275</v>
      </c>
      <c r="R2603" s="5" t="s">
        <v>11276</v>
      </c>
      <c r="S2603" s="5" t="s">
        <v>11116</v>
      </c>
      <c r="T2603" s="5" t="s">
        <v>11117</v>
      </c>
      <c r="U2603" s="5" t="s">
        <v>11118</v>
      </c>
      <c r="V2603" s="5" t="s">
        <v>11119</v>
      </c>
      <c r="AA2603" s="5" t="s">
        <v>11120</v>
      </c>
      <c r="AB2603" s="5" t="s">
        <v>11121</v>
      </c>
      <c r="AC2603" s="5" t="s">
        <v>11122</v>
      </c>
      <c r="AD2603" s="5" t="s">
        <v>11123</v>
      </c>
      <c r="AG2603" s="14" t="s">
        <v>55</v>
      </c>
      <c r="AH2603" s="14" t="s">
        <v>234</v>
      </c>
      <c r="AI2603" s="14" t="s">
        <v>11124</v>
      </c>
      <c r="AJ2603" s="5" t="s">
        <v>11125</v>
      </c>
    </row>
    <row r="2604" spans="1:36">
      <c r="A2604" s="5" t="s">
        <v>11277</v>
      </c>
      <c r="B2604" s="5" t="s">
        <v>11278</v>
      </c>
      <c r="C2604" s="6" t="s">
        <v>43</v>
      </c>
      <c r="D2604" s="6" t="s">
        <v>850</v>
      </c>
      <c r="E2604" s="6" t="s">
        <v>11106</v>
      </c>
      <c r="F2604" s="6" t="s">
        <v>46</v>
      </c>
      <c r="G2604" s="6" t="s">
        <v>11279</v>
      </c>
      <c r="H2604" s="7">
        <v>4.6500000000000004</v>
      </c>
      <c r="I2604" s="19" t="s">
        <v>1882</v>
      </c>
      <c r="J2604" s="19" t="s">
        <v>11107</v>
      </c>
      <c r="K2604" s="5" t="s">
        <v>11280</v>
      </c>
      <c r="L2604" s="5" t="s">
        <v>11281</v>
      </c>
      <c r="M2604" s="5" t="s">
        <v>11282</v>
      </c>
      <c r="N2604" s="5" t="s">
        <v>11283</v>
      </c>
      <c r="O2604" s="5" t="s">
        <v>11284</v>
      </c>
      <c r="P2604" s="5" t="s">
        <v>11285</v>
      </c>
      <c r="Q2604" s="5" t="s">
        <v>11286</v>
      </c>
      <c r="R2604" s="5" t="s">
        <v>11287</v>
      </c>
      <c r="S2604" s="5" t="s">
        <v>11116</v>
      </c>
      <c r="T2604" s="5" t="s">
        <v>11117</v>
      </c>
      <c r="U2604" s="5" t="s">
        <v>11118</v>
      </c>
      <c r="V2604" s="5" t="s">
        <v>11119</v>
      </c>
      <c r="AA2604" s="5" t="s">
        <v>11120</v>
      </c>
      <c r="AB2604" s="5" t="s">
        <v>11121</v>
      </c>
      <c r="AC2604" s="5" t="s">
        <v>11122</v>
      </c>
      <c r="AD2604" s="5" t="s">
        <v>11123</v>
      </c>
      <c r="AG2604" s="14" t="s">
        <v>55</v>
      </c>
      <c r="AH2604" s="14" t="s">
        <v>234</v>
      </c>
      <c r="AI2604" s="14" t="s">
        <v>11124</v>
      </c>
      <c r="AJ2604" s="5" t="s">
        <v>11125</v>
      </c>
    </row>
    <row r="2605" spans="1:36">
      <c r="A2605" s="5" t="s">
        <v>11288</v>
      </c>
      <c r="B2605" s="5" t="s">
        <v>11278</v>
      </c>
      <c r="C2605" s="6" t="s">
        <v>43</v>
      </c>
      <c r="D2605" s="6" t="s">
        <v>850</v>
      </c>
      <c r="E2605" s="6" t="s">
        <v>11289</v>
      </c>
      <c r="F2605" s="6" t="s">
        <v>46</v>
      </c>
      <c r="G2605" s="6" t="s">
        <v>11290</v>
      </c>
      <c r="H2605" s="7">
        <v>4.6500000000000004</v>
      </c>
      <c r="I2605" s="19" t="s">
        <v>1882</v>
      </c>
      <c r="J2605" s="19" t="s">
        <v>11107</v>
      </c>
      <c r="K2605" s="5" t="s">
        <v>11280</v>
      </c>
      <c r="L2605" s="5" t="s">
        <v>11281</v>
      </c>
      <c r="M2605" s="5" t="s">
        <v>11282</v>
      </c>
      <c r="N2605" s="5" t="s">
        <v>11283</v>
      </c>
      <c r="O2605" s="5" t="s">
        <v>11284</v>
      </c>
      <c r="P2605" s="5" t="s">
        <v>11285</v>
      </c>
      <c r="Q2605" s="5" t="s">
        <v>11286</v>
      </c>
      <c r="R2605" s="5" t="s">
        <v>11287</v>
      </c>
      <c r="S2605" s="5" t="s">
        <v>11116</v>
      </c>
      <c r="T2605" s="5" t="s">
        <v>11117</v>
      </c>
      <c r="U2605" s="5" t="s">
        <v>11118</v>
      </c>
      <c r="V2605" s="5" t="s">
        <v>11119</v>
      </c>
      <c r="AA2605" s="5" t="s">
        <v>11120</v>
      </c>
      <c r="AB2605" s="5" t="s">
        <v>11121</v>
      </c>
      <c r="AC2605" s="5" t="s">
        <v>11122</v>
      </c>
      <c r="AD2605" s="5" t="s">
        <v>11123</v>
      </c>
      <c r="AG2605" s="14" t="s">
        <v>55</v>
      </c>
      <c r="AH2605" s="14" t="s">
        <v>234</v>
      </c>
      <c r="AI2605" s="14" t="s">
        <v>11124</v>
      </c>
      <c r="AJ2605" s="5" t="s">
        <v>11125</v>
      </c>
    </row>
    <row r="2606" spans="1:36">
      <c r="A2606" s="5" t="s">
        <v>11291</v>
      </c>
      <c r="B2606" s="5" t="s">
        <v>11292</v>
      </c>
      <c r="C2606" s="6" t="s">
        <v>43</v>
      </c>
      <c r="D2606" s="6" t="s">
        <v>850</v>
      </c>
      <c r="E2606" s="6" t="s">
        <v>11106</v>
      </c>
      <c r="F2606" s="6" t="s">
        <v>46</v>
      </c>
      <c r="G2606" s="6" t="s">
        <v>11293</v>
      </c>
      <c r="H2606" s="7">
        <v>6.15</v>
      </c>
      <c r="I2606" s="19" t="s">
        <v>1882</v>
      </c>
      <c r="J2606" s="19" t="s">
        <v>11107</v>
      </c>
      <c r="K2606" s="5" t="s">
        <v>11294</v>
      </c>
      <c r="L2606" s="5" t="s">
        <v>11295</v>
      </c>
      <c r="M2606" s="5" t="s">
        <v>11296</v>
      </c>
      <c r="N2606" s="5" t="s">
        <v>11297</v>
      </c>
      <c r="O2606" s="5" t="s">
        <v>11298</v>
      </c>
      <c r="P2606" s="5" t="s">
        <v>11299</v>
      </c>
      <c r="Q2606" s="5" t="s">
        <v>11300</v>
      </c>
      <c r="R2606" s="5" t="s">
        <v>11301</v>
      </c>
      <c r="S2606" s="5" t="s">
        <v>11116</v>
      </c>
      <c r="T2606" s="5" t="s">
        <v>11117</v>
      </c>
      <c r="U2606" s="5" t="s">
        <v>11118</v>
      </c>
      <c r="V2606" s="5" t="s">
        <v>11119</v>
      </c>
      <c r="AA2606" s="5" t="s">
        <v>11120</v>
      </c>
      <c r="AB2606" s="5" t="s">
        <v>11121</v>
      </c>
      <c r="AC2606" s="5" t="s">
        <v>11122</v>
      </c>
      <c r="AD2606" s="5" t="s">
        <v>11123</v>
      </c>
      <c r="AG2606" s="14" t="s">
        <v>55</v>
      </c>
      <c r="AH2606" s="14" t="s">
        <v>234</v>
      </c>
      <c r="AI2606" s="14" t="s">
        <v>11124</v>
      </c>
      <c r="AJ2606" s="5" t="s">
        <v>11125</v>
      </c>
    </row>
    <row r="2607" spans="1:36">
      <c r="A2607" s="5" t="s">
        <v>11302</v>
      </c>
      <c r="B2607" s="5" t="s">
        <v>11303</v>
      </c>
      <c r="C2607" s="6" t="s">
        <v>1969</v>
      </c>
      <c r="D2607" s="6" t="s">
        <v>850</v>
      </c>
      <c r="E2607" s="6" t="s">
        <v>11106</v>
      </c>
      <c r="F2607" s="6" t="s">
        <v>46</v>
      </c>
      <c r="G2607" s="6" t="s">
        <v>11304</v>
      </c>
      <c r="H2607" s="7">
        <v>6.25</v>
      </c>
      <c r="I2607" s="19" t="s">
        <v>1882</v>
      </c>
      <c r="J2607" s="19" t="s">
        <v>11107</v>
      </c>
      <c r="K2607" s="5" t="s">
        <v>11305</v>
      </c>
      <c r="L2607" s="5" t="s">
        <v>11306</v>
      </c>
      <c r="M2607" s="5" t="s">
        <v>11307</v>
      </c>
      <c r="N2607" s="5" t="s">
        <v>11308</v>
      </c>
      <c r="O2607" s="5" t="s">
        <v>11309</v>
      </c>
      <c r="P2607" s="5" t="s">
        <v>11310</v>
      </c>
      <c r="Q2607" s="5" t="s">
        <v>11311</v>
      </c>
      <c r="R2607" s="5" t="s">
        <v>11312</v>
      </c>
      <c r="S2607" s="5" t="s">
        <v>11116</v>
      </c>
      <c r="T2607" s="5" t="s">
        <v>11117</v>
      </c>
      <c r="U2607" s="5" t="s">
        <v>11118</v>
      </c>
      <c r="V2607" s="5" t="s">
        <v>11119</v>
      </c>
      <c r="AA2607" s="5" t="s">
        <v>11120</v>
      </c>
      <c r="AB2607" s="5" t="s">
        <v>11121</v>
      </c>
      <c r="AC2607" s="5" t="s">
        <v>11122</v>
      </c>
      <c r="AD2607" s="5" t="s">
        <v>11123</v>
      </c>
      <c r="AG2607" s="14" t="s">
        <v>55</v>
      </c>
      <c r="AH2607" s="14" t="s">
        <v>234</v>
      </c>
      <c r="AI2607" s="14" t="s">
        <v>11124</v>
      </c>
      <c r="AJ2607" s="5" t="s">
        <v>11125</v>
      </c>
    </row>
    <row r="2608" spans="1:36">
      <c r="A2608" s="5" t="s">
        <v>11313</v>
      </c>
      <c r="B2608" s="5" t="s">
        <v>11314</v>
      </c>
      <c r="C2608" s="6" t="s">
        <v>1963</v>
      </c>
      <c r="D2608" s="6" t="s">
        <v>850</v>
      </c>
      <c r="E2608" s="6" t="s">
        <v>11106</v>
      </c>
      <c r="F2608" s="6" t="s">
        <v>46</v>
      </c>
      <c r="G2608" s="6" t="s">
        <v>10043</v>
      </c>
      <c r="H2608" s="7">
        <v>7.95</v>
      </c>
      <c r="I2608" s="19" t="s">
        <v>1882</v>
      </c>
      <c r="J2608" s="19" t="s">
        <v>11107</v>
      </c>
      <c r="K2608" s="5" t="s">
        <v>11315</v>
      </c>
      <c r="L2608" s="5" t="s">
        <v>11316</v>
      </c>
      <c r="M2608" s="5" t="s">
        <v>11317</v>
      </c>
      <c r="N2608" s="5" t="s">
        <v>11318</v>
      </c>
      <c r="O2608" s="5" t="s">
        <v>11243</v>
      </c>
      <c r="P2608" s="5" t="s">
        <v>11244</v>
      </c>
      <c r="Q2608" s="5" t="s">
        <v>11245</v>
      </c>
      <c r="R2608" s="5" t="s">
        <v>11256</v>
      </c>
      <c r="S2608" s="5" t="s">
        <v>11116</v>
      </c>
      <c r="T2608" s="5" t="s">
        <v>11117</v>
      </c>
      <c r="U2608" s="5" t="s">
        <v>11118</v>
      </c>
      <c r="V2608" s="5" t="s">
        <v>11119</v>
      </c>
      <c r="AA2608" s="5" t="s">
        <v>11120</v>
      </c>
      <c r="AB2608" s="5" t="s">
        <v>11121</v>
      </c>
      <c r="AC2608" s="5" t="s">
        <v>11122</v>
      </c>
      <c r="AD2608" s="5" t="s">
        <v>11123</v>
      </c>
      <c r="AG2608" s="14" t="s">
        <v>55</v>
      </c>
      <c r="AH2608" s="14" t="s">
        <v>234</v>
      </c>
      <c r="AI2608" s="14" t="s">
        <v>11124</v>
      </c>
      <c r="AJ2608" s="5" t="s">
        <v>11125</v>
      </c>
    </row>
    <row r="2609" spans="1:37">
      <c r="A2609" s="5" t="s">
        <v>11319</v>
      </c>
      <c r="B2609" s="5" t="s">
        <v>11320</v>
      </c>
      <c r="C2609" s="6" t="s">
        <v>43</v>
      </c>
      <c r="D2609" s="6" t="s">
        <v>850</v>
      </c>
      <c r="E2609" s="6" t="s">
        <v>11106</v>
      </c>
      <c r="F2609" s="6" t="s">
        <v>46</v>
      </c>
      <c r="G2609" s="6" t="s">
        <v>6057</v>
      </c>
      <c r="H2609" s="7">
        <v>10.35</v>
      </c>
      <c r="I2609" s="19" t="s">
        <v>1882</v>
      </c>
      <c r="J2609" s="19" t="s">
        <v>11107</v>
      </c>
      <c r="K2609" s="5" t="s">
        <v>11321</v>
      </c>
      <c r="L2609" s="5" t="s">
        <v>11322</v>
      </c>
      <c r="M2609" s="5" t="s">
        <v>11323</v>
      </c>
      <c r="N2609" s="5" t="s">
        <v>11324</v>
      </c>
      <c r="O2609" s="5" t="s">
        <v>11325</v>
      </c>
      <c r="P2609" s="5" t="s">
        <v>11326</v>
      </c>
      <c r="Q2609" s="5" t="s">
        <v>11327</v>
      </c>
      <c r="R2609" s="5" t="s">
        <v>11328</v>
      </c>
      <c r="S2609" s="5" t="s">
        <v>11116</v>
      </c>
      <c r="T2609" s="5" t="s">
        <v>11117</v>
      </c>
      <c r="U2609" s="5" t="s">
        <v>11118</v>
      </c>
      <c r="V2609" s="5" t="s">
        <v>11119</v>
      </c>
      <c r="AA2609" s="5" t="s">
        <v>11120</v>
      </c>
      <c r="AB2609" s="5" t="s">
        <v>11121</v>
      </c>
      <c r="AC2609" s="5" t="s">
        <v>11122</v>
      </c>
      <c r="AD2609" s="5" t="s">
        <v>11123</v>
      </c>
      <c r="AG2609" s="14" t="s">
        <v>55</v>
      </c>
      <c r="AH2609" s="14" t="s">
        <v>234</v>
      </c>
      <c r="AI2609" s="14" t="s">
        <v>11124</v>
      </c>
      <c r="AJ2609" s="5" t="s">
        <v>11125</v>
      </c>
    </row>
    <row r="2610" spans="1:37">
      <c r="A2610" s="6" t="s">
        <v>11329</v>
      </c>
      <c r="B2610" s="6" t="s">
        <v>11330</v>
      </c>
      <c r="C2610" s="6" t="s">
        <v>43</v>
      </c>
      <c r="D2610" s="6" t="s">
        <v>850</v>
      </c>
      <c r="E2610" s="6" t="s">
        <v>11106</v>
      </c>
      <c r="F2610" s="6" t="s">
        <v>46</v>
      </c>
      <c r="G2610" s="6" t="s">
        <v>10065</v>
      </c>
      <c r="I2610" s="5" t="s">
        <v>48</v>
      </c>
      <c r="J2610" s="5" t="s">
        <v>48</v>
      </c>
      <c r="K2610" s="6"/>
      <c r="L2610" s="6"/>
      <c r="M2610" s="6"/>
      <c r="N2610" s="6"/>
      <c r="O2610" s="6"/>
      <c r="P2610" s="6"/>
      <c r="Q2610" s="6"/>
      <c r="R2610" s="6"/>
      <c r="S2610" s="6"/>
      <c r="T2610" s="6"/>
      <c r="U2610" s="6"/>
      <c r="V2610" s="6"/>
      <c r="W2610" s="6"/>
      <c r="X2610" s="6"/>
      <c r="Y2610" s="6"/>
      <c r="Z2610" s="6"/>
      <c r="AA2610" s="6"/>
      <c r="AB2610" s="6"/>
      <c r="AC2610" s="6"/>
      <c r="AD2610" s="6"/>
      <c r="AE2610" s="6"/>
      <c r="AF2610" s="6"/>
      <c r="AG2610" s="15" t="s">
        <v>55</v>
      </c>
      <c r="AH2610" s="15"/>
      <c r="AI2610" s="15"/>
      <c r="AJ2610" s="6"/>
      <c r="AK2610" s="6"/>
    </row>
    <row r="2611" spans="1:37" s="6" customFormat="1">
      <c r="A2611" s="5" t="s">
        <v>11331</v>
      </c>
      <c r="B2611" s="5" t="s">
        <v>11332</v>
      </c>
      <c r="C2611" s="6" t="s">
        <v>43</v>
      </c>
      <c r="D2611" s="6" t="s">
        <v>909</v>
      </c>
      <c r="E2611" s="6" t="s">
        <v>2047</v>
      </c>
      <c r="F2611" s="6" t="s">
        <v>46</v>
      </c>
      <c r="G2611" s="6" t="s">
        <v>11333</v>
      </c>
      <c r="H2611" s="7">
        <v>8</v>
      </c>
      <c r="I2611" s="19" t="s">
        <v>1888</v>
      </c>
      <c r="J2611" s="19" t="s">
        <v>11334</v>
      </c>
      <c r="K2611" s="5"/>
      <c r="L2611" s="5"/>
      <c r="M2611" s="5"/>
      <c r="N2611" s="5"/>
      <c r="O2611" s="5"/>
      <c r="P2611" s="5"/>
      <c r="Q2611" s="5"/>
      <c r="R2611" s="5"/>
      <c r="S2611" s="5"/>
      <c r="T2611" s="5"/>
      <c r="U2611" s="5"/>
      <c r="V2611" s="5"/>
      <c r="W2611" s="5"/>
      <c r="X2611" s="5"/>
      <c r="Y2611" s="5"/>
      <c r="Z2611" s="5"/>
      <c r="AA2611" s="5"/>
      <c r="AB2611" s="5"/>
      <c r="AC2611" s="5"/>
      <c r="AD2611" s="5"/>
      <c r="AE2611" s="5"/>
      <c r="AF2611" s="5" t="s">
        <v>11335</v>
      </c>
      <c r="AG2611" s="14" t="s">
        <v>55</v>
      </c>
      <c r="AH2611" s="14" t="s">
        <v>1283</v>
      </c>
      <c r="AI2611" s="14" t="s">
        <v>1283</v>
      </c>
      <c r="AJ2611" s="5" t="s">
        <v>1284</v>
      </c>
      <c r="AK2611" s="5"/>
    </row>
    <row r="2612" spans="1:37">
      <c r="A2612" s="5" t="s">
        <v>11336</v>
      </c>
      <c r="B2612" s="5" t="s">
        <v>11337</v>
      </c>
      <c r="C2612" s="6" t="s">
        <v>43</v>
      </c>
      <c r="D2612" s="6" t="s">
        <v>909</v>
      </c>
      <c r="E2612" s="6" t="s">
        <v>2047</v>
      </c>
      <c r="F2612" s="6" t="s">
        <v>46</v>
      </c>
      <c r="G2612" s="6" t="s">
        <v>11338</v>
      </c>
      <c r="H2612" s="7">
        <v>16</v>
      </c>
      <c r="I2612" s="19" t="s">
        <v>1888</v>
      </c>
      <c r="J2612" s="19" t="s">
        <v>11334</v>
      </c>
      <c r="R2612" s="5"/>
      <c r="AF2612" s="5" t="s">
        <v>11335</v>
      </c>
      <c r="AG2612" s="14" t="s">
        <v>55</v>
      </c>
      <c r="AH2612" s="14" t="s">
        <v>1283</v>
      </c>
      <c r="AI2612" s="14" t="s">
        <v>1283</v>
      </c>
      <c r="AJ2612" s="5" t="s">
        <v>1284</v>
      </c>
    </row>
    <row r="2613" spans="1:37">
      <c r="A2613" s="6" t="s">
        <v>11339</v>
      </c>
      <c r="B2613" s="6" t="s">
        <v>11340</v>
      </c>
      <c r="C2613" s="6" t="s">
        <v>11341</v>
      </c>
      <c r="D2613" s="6" t="s">
        <v>11342</v>
      </c>
      <c r="E2613" s="6" t="s">
        <v>862</v>
      </c>
      <c r="F2613" s="6" t="s">
        <v>46</v>
      </c>
      <c r="G2613" s="6" t="s">
        <v>1957</v>
      </c>
      <c r="I2613" s="5" t="s">
        <v>48</v>
      </c>
      <c r="J2613" s="5" t="s">
        <v>48</v>
      </c>
      <c r="K2613" s="6"/>
      <c r="L2613" s="6"/>
      <c r="M2613" s="6"/>
      <c r="N2613" s="6"/>
      <c r="O2613" s="6"/>
      <c r="P2613" s="6"/>
      <c r="Q2613" s="6"/>
      <c r="R2613" s="6"/>
      <c r="S2613" s="6"/>
      <c r="T2613" s="6"/>
      <c r="U2613" s="6"/>
      <c r="V2613" s="6"/>
      <c r="W2613" s="6"/>
      <c r="X2613" s="6"/>
      <c r="Y2613" s="6"/>
      <c r="Z2613" s="6"/>
      <c r="AA2613" s="6"/>
      <c r="AB2613" s="6"/>
      <c r="AC2613" s="6"/>
      <c r="AD2613" s="6"/>
      <c r="AE2613" s="6"/>
      <c r="AF2613" s="6"/>
      <c r="AG2613" s="15" t="s">
        <v>55</v>
      </c>
      <c r="AH2613" s="15"/>
      <c r="AI2613" s="15"/>
      <c r="AJ2613" s="6"/>
      <c r="AK2613" s="6"/>
    </row>
    <row r="2614" spans="1:37" s="6" customFormat="1">
      <c r="A2614" s="6" t="s">
        <v>11343</v>
      </c>
      <c r="B2614" s="6" t="s">
        <v>11344</v>
      </c>
      <c r="C2614" s="6" t="s">
        <v>43</v>
      </c>
      <c r="D2614" s="6" t="s">
        <v>909</v>
      </c>
      <c r="E2614" s="6" t="s">
        <v>885</v>
      </c>
      <c r="F2614" s="6" t="s">
        <v>46</v>
      </c>
      <c r="G2614" s="6" t="s">
        <v>11345</v>
      </c>
      <c r="H2614" s="7"/>
      <c r="I2614" s="5" t="s">
        <v>48</v>
      </c>
      <c r="J2614" s="5" t="s">
        <v>48</v>
      </c>
      <c r="AG2614" s="15" t="s">
        <v>49</v>
      </c>
      <c r="AH2614" s="15"/>
      <c r="AI2614" s="15"/>
    </row>
    <row r="2615" spans="1:37" s="6" customFormat="1">
      <c r="A2615" s="6" t="s">
        <v>11346</v>
      </c>
      <c r="B2615" s="6" t="s">
        <v>11347</v>
      </c>
      <c r="C2615" s="6" t="s">
        <v>43</v>
      </c>
      <c r="D2615" s="6" t="s">
        <v>850</v>
      </c>
      <c r="E2615" s="6" t="s">
        <v>10152</v>
      </c>
      <c r="F2615" s="6" t="s">
        <v>46</v>
      </c>
      <c r="G2615" s="6" t="s">
        <v>11348</v>
      </c>
      <c r="H2615" s="7"/>
      <c r="I2615" s="6" t="s">
        <v>48</v>
      </c>
      <c r="J2615" s="6" t="s">
        <v>48</v>
      </c>
      <c r="AG2615" s="15" t="s">
        <v>55</v>
      </c>
      <c r="AH2615" s="15"/>
      <c r="AI2615" s="15"/>
    </row>
    <row r="2616" spans="1:37" s="6" customFormat="1">
      <c r="A2616" s="6" t="s">
        <v>11349</v>
      </c>
      <c r="B2616" s="6" t="s">
        <v>11350</v>
      </c>
      <c r="C2616" s="6" t="s">
        <v>43</v>
      </c>
      <c r="D2616" s="6" t="s">
        <v>1040</v>
      </c>
      <c r="E2616" s="6" t="s">
        <v>218</v>
      </c>
      <c r="F2616" s="6" t="s">
        <v>46</v>
      </c>
      <c r="G2616" s="6" t="s">
        <v>11351</v>
      </c>
      <c r="H2616" s="7"/>
      <c r="I2616" s="6" t="s">
        <v>48</v>
      </c>
      <c r="J2616" s="6" t="s">
        <v>48</v>
      </c>
      <c r="AG2616" s="15" t="s">
        <v>49</v>
      </c>
      <c r="AH2616" s="15"/>
      <c r="AI2616" s="15"/>
    </row>
    <row r="2617" spans="1:37" s="6" customFormat="1">
      <c r="A2617" s="6" t="s">
        <v>11352</v>
      </c>
      <c r="B2617" s="6" t="s">
        <v>11353</v>
      </c>
      <c r="C2617" s="6" t="s">
        <v>43</v>
      </c>
      <c r="D2617" s="6" t="s">
        <v>1040</v>
      </c>
      <c r="E2617" s="6" t="s">
        <v>218</v>
      </c>
      <c r="F2617" s="6" t="s">
        <v>46</v>
      </c>
      <c r="G2617" s="6" t="s">
        <v>11354</v>
      </c>
      <c r="H2617" s="7"/>
      <c r="I2617" s="6" t="s">
        <v>48</v>
      </c>
      <c r="J2617" s="6" t="s">
        <v>48</v>
      </c>
      <c r="AG2617" s="15" t="s">
        <v>49</v>
      </c>
      <c r="AH2617" s="15"/>
      <c r="AI2617" s="15"/>
    </row>
    <row r="2618" spans="1:37" s="6" customFormat="1">
      <c r="A2618" s="6" t="s">
        <v>11355</v>
      </c>
      <c r="B2618" s="6" t="s">
        <v>11356</v>
      </c>
      <c r="C2618" s="6" t="s">
        <v>43</v>
      </c>
      <c r="D2618" s="6" t="s">
        <v>1040</v>
      </c>
      <c r="E2618" s="6" t="s">
        <v>218</v>
      </c>
      <c r="F2618" s="6" t="s">
        <v>46</v>
      </c>
      <c r="G2618" s="6" t="s">
        <v>10499</v>
      </c>
      <c r="H2618" s="7"/>
      <c r="I2618" s="6" t="s">
        <v>48</v>
      </c>
      <c r="J2618" s="6" t="s">
        <v>48</v>
      </c>
      <c r="AG2618" s="15" t="s">
        <v>49</v>
      </c>
      <c r="AH2618" s="15"/>
      <c r="AI2618" s="15"/>
    </row>
    <row r="2619" spans="1:37" s="6" customFormat="1">
      <c r="A2619" s="6" t="s">
        <v>11357</v>
      </c>
      <c r="B2619" s="6" t="s">
        <v>11358</v>
      </c>
      <c r="C2619" s="6" t="s">
        <v>43</v>
      </c>
      <c r="D2619" s="6" t="s">
        <v>1040</v>
      </c>
      <c r="E2619" s="6" t="s">
        <v>218</v>
      </c>
      <c r="F2619" s="6" t="s">
        <v>46</v>
      </c>
      <c r="G2619" s="6" t="s">
        <v>11359</v>
      </c>
      <c r="H2619" s="7"/>
      <c r="I2619" s="6" t="s">
        <v>48</v>
      </c>
      <c r="J2619" s="6" t="s">
        <v>48</v>
      </c>
      <c r="AG2619" s="15" t="s">
        <v>49</v>
      </c>
      <c r="AH2619" s="15"/>
      <c r="AI2619" s="15"/>
    </row>
    <row r="2620" spans="1:37" s="6" customFormat="1">
      <c r="A2620" s="6" t="s">
        <v>11360</v>
      </c>
      <c r="B2620" s="6" t="s">
        <v>11361</v>
      </c>
      <c r="C2620" s="6" t="s">
        <v>43</v>
      </c>
      <c r="D2620" s="6" t="s">
        <v>1040</v>
      </c>
      <c r="E2620" s="6" t="s">
        <v>218</v>
      </c>
      <c r="F2620" s="6" t="s">
        <v>46</v>
      </c>
      <c r="G2620" s="6" t="s">
        <v>11362</v>
      </c>
      <c r="H2620" s="7"/>
      <c r="I2620" s="6" t="s">
        <v>48</v>
      </c>
      <c r="J2620" s="6" t="s">
        <v>48</v>
      </c>
      <c r="AG2620" s="15" t="s">
        <v>49</v>
      </c>
      <c r="AH2620" s="15"/>
      <c r="AI2620" s="15"/>
    </row>
    <row r="2621" spans="1:37" s="6" customFormat="1">
      <c r="A2621" s="6" t="s">
        <v>11363</v>
      </c>
      <c r="B2621" s="6" t="s">
        <v>11364</v>
      </c>
      <c r="C2621" s="6" t="s">
        <v>43</v>
      </c>
      <c r="D2621" s="6" t="s">
        <v>850</v>
      </c>
      <c r="E2621" s="6" t="s">
        <v>757</v>
      </c>
      <c r="F2621" s="6" t="s">
        <v>46</v>
      </c>
      <c r="G2621" s="6" t="s">
        <v>5271</v>
      </c>
      <c r="H2621" s="7"/>
      <c r="I2621" s="6" t="s">
        <v>48</v>
      </c>
      <c r="J2621" s="6" t="s">
        <v>48</v>
      </c>
      <c r="AG2621" s="15" t="s">
        <v>49</v>
      </c>
      <c r="AH2621" s="15"/>
      <c r="AI2621" s="15"/>
    </row>
    <row r="2622" spans="1:37" s="6" customFormat="1">
      <c r="A2622" s="6" t="s">
        <v>11365</v>
      </c>
      <c r="B2622" s="6" t="s">
        <v>11366</v>
      </c>
      <c r="C2622" s="6" t="s">
        <v>43</v>
      </c>
      <c r="D2622" s="6" t="s">
        <v>850</v>
      </c>
      <c r="E2622" s="6" t="s">
        <v>218</v>
      </c>
      <c r="F2622" s="6" t="s">
        <v>46</v>
      </c>
      <c r="G2622" s="6" t="s">
        <v>7480</v>
      </c>
      <c r="H2622" s="7"/>
      <c r="I2622" s="6" t="s">
        <v>48</v>
      </c>
      <c r="J2622" s="6" t="s">
        <v>48</v>
      </c>
      <c r="AG2622" s="15" t="s">
        <v>49</v>
      </c>
      <c r="AH2622" s="15"/>
      <c r="AI2622" s="15"/>
    </row>
    <row r="2623" spans="1:37" s="6" customFormat="1">
      <c r="A2623" s="6" t="s">
        <v>11367</v>
      </c>
      <c r="B2623" s="6" t="s">
        <v>11368</v>
      </c>
      <c r="C2623" s="6" t="s">
        <v>43</v>
      </c>
      <c r="D2623" s="6" t="s">
        <v>850</v>
      </c>
      <c r="E2623" s="6" t="s">
        <v>218</v>
      </c>
      <c r="F2623" s="6" t="s">
        <v>46</v>
      </c>
      <c r="G2623" s="6" t="s">
        <v>11369</v>
      </c>
      <c r="H2623" s="7"/>
      <c r="I2623" s="6" t="s">
        <v>48</v>
      </c>
      <c r="J2623" s="6" t="s">
        <v>48</v>
      </c>
      <c r="AG2623" s="15" t="s">
        <v>49</v>
      </c>
      <c r="AH2623" s="15"/>
      <c r="AI2623" s="15"/>
    </row>
    <row r="2624" spans="1:37" s="6" customFormat="1">
      <c r="A2624" s="6" t="s">
        <v>11370</v>
      </c>
      <c r="B2624" s="6" t="s">
        <v>11371</v>
      </c>
      <c r="C2624" s="6" t="s">
        <v>43</v>
      </c>
      <c r="D2624" s="6" t="s">
        <v>850</v>
      </c>
      <c r="E2624" s="6" t="s">
        <v>757</v>
      </c>
      <c r="F2624" s="6" t="s">
        <v>46</v>
      </c>
      <c r="G2624" s="6" t="s">
        <v>11372</v>
      </c>
      <c r="H2624" s="7"/>
      <c r="I2624" s="6" t="s">
        <v>48</v>
      </c>
      <c r="J2624" s="6" t="s">
        <v>48</v>
      </c>
      <c r="AG2624" s="15" t="s">
        <v>49</v>
      </c>
      <c r="AH2624" s="15"/>
      <c r="AI2624" s="15"/>
    </row>
    <row r="2625" spans="1:35" s="6" customFormat="1">
      <c r="A2625" s="6" t="s">
        <v>11373</v>
      </c>
      <c r="B2625" s="6" t="s">
        <v>11374</v>
      </c>
      <c r="C2625" s="6" t="s">
        <v>43</v>
      </c>
      <c r="D2625" s="6" t="s">
        <v>850</v>
      </c>
      <c r="E2625" s="6" t="s">
        <v>218</v>
      </c>
      <c r="F2625" s="6" t="s">
        <v>46</v>
      </c>
      <c r="G2625" s="6" t="s">
        <v>11375</v>
      </c>
      <c r="H2625" s="7"/>
      <c r="I2625" s="6" t="s">
        <v>48</v>
      </c>
      <c r="J2625" s="6" t="s">
        <v>48</v>
      </c>
      <c r="AG2625" s="15" t="s">
        <v>49</v>
      </c>
      <c r="AH2625" s="15"/>
      <c r="AI2625" s="15"/>
    </row>
    <row r="2626" spans="1:35" s="6" customFormat="1">
      <c r="A2626" s="6" t="s">
        <v>11376</v>
      </c>
      <c r="B2626" s="6" t="s">
        <v>11377</v>
      </c>
      <c r="C2626" s="6" t="s">
        <v>43</v>
      </c>
      <c r="D2626" s="6" t="s">
        <v>850</v>
      </c>
      <c r="E2626" s="6" t="s">
        <v>757</v>
      </c>
      <c r="F2626" s="6" t="s">
        <v>46</v>
      </c>
      <c r="G2626" s="6" t="s">
        <v>11378</v>
      </c>
      <c r="H2626" s="7"/>
      <c r="I2626" s="6" t="s">
        <v>48</v>
      </c>
      <c r="J2626" s="6" t="s">
        <v>48</v>
      </c>
      <c r="AG2626" s="15" t="s">
        <v>49</v>
      </c>
      <c r="AH2626" s="15"/>
      <c r="AI2626" s="15"/>
    </row>
    <row r="2627" spans="1:35" s="6" customFormat="1">
      <c r="A2627" s="6" t="s">
        <v>11379</v>
      </c>
      <c r="B2627" s="6" t="s">
        <v>11380</v>
      </c>
      <c r="C2627" s="6" t="s">
        <v>43</v>
      </c>
      <c r="D2627" s="6" t="s">
        <v>850</v>
      </c>
      <c r="E2627" s="6" t="s">
        <v>757</v>
      </c>
      <c r="F2627" s="6" t="s">
        <v>46</v>
      </c>
      <c r="G2627" s="6" t="s">
        <v>11381</v>
      </c>
      <c r="H2627" s="7"/>
      <c r="I2627" s="6" t="s">
        <v>48</v>
      </c>
      <c r="J2627" s="6" t="s">
        <v>48</v>
      </c>
      <c r="AG2627" s="15" t="s">
        <v>49</v>
      </c>
      <c r="AH2627" s="15"/>
      <c r="AI2627" s="15"/>
    </row>
    <row r="2628" spans="1:35" s="6" customFormat="1">
      <c r="A2628" s="6" t="s">
        <v>11382</v>
      </c>
      <c r="B2628" s="6" t="s">
        <v>11383</v>
      </c>
      <c r="C2628" s="6" t="s">
        <v>43</v>
      </c>
      <c r="D2628" s="6" t="s">
        <v>850</v>
      </c>
      <c r="E2628" s="6" t="s">
        <v>218</v>
      </c>
      <c r="F2628" s="6" t="s">
        <v>46</v>
      </c>
      <c r="G2628" s="6" t="s">
        <v>11384</v>
      </c>
      <c r="H2628" s="7"/>
      <c r="I2628" s="6" t="s">
        <v>48</v>
      </c>
      <c r="J2628" s="6" t="s">
        <v>48</v>
      </c>
      <c r="AG2628" s="15" t="s">
        <v>49</v>
      </c>
      <c r="AH2628" s="15"/>
      <c r="AI2628" s="15"/>
    </row>
    <row r="2629" spans="1:35" s="6" customFormat="1">
      <c r="A2629" s="6" t="s">
        <v>11385</v>
      </c>
      <c r="B2629" s="6" t="s">
        <v>11386</v>
      </c>
      <c r="C2629" s="6" t="s">
        <v>43</v>
      </c>
      <c r="D2629" s="6" t="s">
        <v>850</v>
      </c>
      <c r="E2629" s="6" t="s">
        <v>757</v>
      </c>
      <c r="F2629" s="6" t="s">
        <v>46</v>
      </c>
      <c r="G2629" s="6" t="s">
        <v>11387</v>
      </c>
      <c r="H2629" s="7"/>
      <c r="I2629" s="6" t="s">
        <v>48</v>
      </c>
      <c r="J2629" s="6" t="s">
        <v>48</v>
      </c>
      <c r="AG2629" s="15" t="s">
        <v>49</v>
      </c>
      <c r="AH2629" s="15"/>
      <c r="AI2629" s="15"/>
    </row>
    <row r="2630" spans="1:35" s="6" customFormat="1">
      <c r="A2630" s="6" t="s">
        <v>11388</v>
      </c>
      <c r="B2630" s="6" t="s">
        <v>11389</v>
      </c>
      <c r="C2630" s="6" t="s">
        <v>43</v>
      </c>
      <c r="D2630" s="6" t="s">
        <v>850</v>
      </c>
      <c r="E2630" s="6" t="s">
        <v>218</v>
      </c>
      <c r="F2630" s="6" t="s">
        <v>46</v>
      </c>
      <c r="G2630" s="6" t="s">
        <v>11390</v>
      </c>
      <c r="H2630" s="7"/>
      <c r="I2630" s="6" t="s">
        <v>48</v>
      </c>
      <c r="J2630" s="6" t="s">
        <v>48</v>
      </c>
      <c r="AG2630" s="15" t="s">
        <v>49</v>
      </c>
      <c r="AH2630" s="15"/>
      <c r="AI2630" s="15"/>
    </row>
    <row r="2631" spans="1:35" s="6" customFormat="1">
      <c r="A2631" s="6" t="s">
        <v>11391</v>
      </c>
      <c r="B2631" s="6" t="s">
        <v>11392</v>
      </c>
      <c r="C2631" s="6" t="s">
        <v>43</v>
      </c>
      <c r="D2631" s="6" t="s">
        <v>850</v>
      </c>
      <c r="E2631" s="6" t="s">
        <v>757</v>
      </c>
      <c r="F2631" s="6" t="s">
        <v>46</v>
      </c>
      <c r="G2631" s="6" t="s">
        <v>7393</v>
      </c>
      <c r="H2631" s="7"/>
      <c r="I2631" s="6" t="s">
        <v>48</v>
      </c>
      <c r="J2631" s="6" t="s">
        <v>48</v>
      </c>
      <c r="AG2631" s="15" t="s">
        <v>49</v>
      </c>
      <c r="AH2631" s="15"/>
      <c r="AI2631" s="15"/>
    </row>
    <row r="2632" spans="1:35" s="6" customFormat="1">
      <c r="A2632" s="6" t="s">
        <v>11393</v>
      </c>
      <c r="B2632" s="6" t="s">
        <v>11394</v>
      </c>
      <c r="C2632" s="6" t="s">
        <v>43</v>
      </c>
      <c r="D2632" s="6" t="s">
        <v>850</v>
      </c>
      <c r="E2632" s="6" t="s">
        <v>757</v>
      </c>
      <c r="F2632" s="6" t="s">
        <v>46</v>
      </c>
      <c r="G2632" s="6" t="s">
        <v>8377</v>
      </c>
      <c r="H2632" s="7"/>
      <c r="I2632" s="6" t="s">
        <v>48</v>
      </c>
      <c r="J2632" s="6" t="s">
        <v>48</v>
      </c>
      <c r="AG2632" s="15" t="s">
        <v>49</v>
      </c>
      <c r="AH2632" s="15"/>
      <c r="AI2632" s="15"/>
    </row>
    <row r="2633" spans="1:35" s="6" customFormat="1">
      <c r="A2633" s="6" t="s">
        <v>11395</v>
      </c>
      <c r="B2633" s="6" t="s">
        <v>11396</v>
      </c>
      <c r="C2633" s="6" t="s">
        <v>43</v>
      </c>
      <c r="D2633" s="6" t="s">
        <v>850</v>
      </c>
      <c r="E2633" s="6" t="s">
        <v>757</v>
      </c>
      <c r="F2633" s="6" t="s">
        <v>46</v>
      </c>
      <c r="G2633" s="6" t="s">
        <v>6459</v>
      </c>
      <c r="H2633" s="7"/>
      <c r="I2633" s="6" t="s">
        <v>48</v>
      </c>
      <c r="J2633" s="6" t="s">
        <v>48</v>
      </c>
      <c r="AG2633" s="15" t="s">
        <v>49</v>
      </c>
      <c r="AH2633" s="15"/>
      <c r="AI2633" s="15"/>
    </row>
    <row r="2634" spans="1:35" s="6" customFormat="1">
      <c r="A2634" s="6" t="s">
        <v>11397</v>
      </c>
      <c r="B2634" s="6" t="s">
        <v>11398</v>
      </c>
      <c r="C2634" s="6" t="s">
        <v>43</v>
      </c>
      <c r="D2634" s="6" t="s">
        <v>1040</v>
      </c>
      <c r="E2634" s="6" t="s">
        <v>218</v>
      </c>
      <c r="F2634" s="6" t="s">
        <v>46</v>
      </c>
      <c r="G2634" s="6" t="s">
        <v>11399</v>
      </c>
      <c r="H2634" s="7"/>
      <c r="I2634" s="6" t="s">
        <v>48</v>
      </c>
      <c r="J2634" s="6" t="s">
        <v>48</v>
      </c>
      <c r="AG2634" s="15" t="s">
        <v>49</v>
      </c>
      <c r="AH2634" s="15"/>
      <c r="AI2634" s="15"/>
    </row>
    <row r="2635" spans="1:35" s="6" customFormat="1">
      <c r="A2635" s="6" t="s">
        <v>11400</v>
      </c>
      <c r="B2635" s="6" t="s">
        <v>11401</v>
      </c>
      <c r="C2635" s="6" t="s">
        <v>43</v>
      </c>
      <c r="D2635" s="6" t="s">
        <v>1040</v>
      </c>
      <c r="E2635" s="6" t="s">
        <v>218</v>
      </c>
      <c r="F2635" s="6" t="s">
        <v>46</v>
      </c>
      <c r="G2635" s="6" t="s">
        <v>11402</v>
      </c>
      <c r="H2635" s="7"/>
      <c r="I2635" s="6" t="s">
        <v>48</v>
      </c>
      <c r="J2635" s="6" t="s">
        <v>48</v>
      </c>
      <c r="AG2635" s="15" t="s">
        <v>49</v>
      </c>
      <c r="AH2635" s="15"/>
      <c r="AI2635" s="15"/>
    </row>
    <row r="2636" spans="1:35" s="6" customFormat="1">
      <c r="A2636" s="6" t="s">
        <v>11403</v>
      </c>
      <c r="B2636" s="6" t="s">
        <v>11404</v>
      </c>
      <c r="C2636" s="6" t="s">
        <v>43</v>
      </c>
      <c r="D2636" s="6" t="s">
        <v>1040</v>
      </c>
      <c r="E2636" s="6" t="s">
        <v>218</v>
      </c>
      <c r="F2636" s="6" t="s">
        <v>46</v>
      </c>
      <c r="G2636" s="6" t="s">
        <v>11405</v>
      </c>
      <c r="H2636" s="7"/>
      <c r="I2636" s="6" t="s">
        <v>48</v>
      </c>
      <c r="J2636" s="6" t="s">
        <v>48</v>
      </c>
      <c r="AG2636" s="15" t="s">
        <v>49</v>
      </c>
      <c r="AH2636" s="15"/>
      <c r="AI2636" s="15"/>
    </row>
    <row r="2637" spans="1:35" s="6" customFormat="1">
      <c r="A2637" s="6" t="s">
        <v>11406</v>
      </c>
      <c r="B2637" s="6" t="s">
        <v>11407</v>
      </c>
      <c r="C2637" s="6" t="s">
        <v>43</v>
      </c>
      <c r="D2637" s="6" t="s">
        <v>850</v>
      </c>
      <c r="E2637" s="6" t="s">
        <v>757</v>
      </c>
      <c r="F2637" s="6" t="s">
        <v>46</v>
      </c>
      <c r="G2637" s="6" t="s">
        <v>1493</v>
      </c>
      <c r="H2637" s="7"/>
      <c r="I2637" s="6" t="s">
        <v>48</v>
      </c>
      <c r="J2637" s="6" t="s">
        <v>48</v>
      </c>
      <c r="AG2637" s="15" t="s">
        <v>49</v>
      </c>
      <c r="AH2637" s="15"/>
      <c r="AI2637" s="15"/>
    </row>
    <row r="2638" spans="1:35" s="6" customFormat="1">
      <c r="A2638" s="6" t="s">
        <v>11408</v>
      </c>
      <c r="B2638" s="6" t="s">
        <v>11409</v>
      </c>
      <c r="C2638" s="6" t="s">
        <v>43</v>
      </c>
      <c r="D2638" s="6" t="s">
        <v>850</v>
      </c>
      <c r="E2638" s="6" t="s">
        <v>757</v>
      </c>
      <c r="F2638" s="6" t="s">
        <v>46</v>
      </c>
      <c r="G2638" s="6" t="s">
        <v>11410</v>
      </c>
      <c r="H2638" s="7"/>
      <c r="I2638" s="6" t="s">
        <v>48</v>
      </c>
      <c r="J2638" s="6" t="s">
        <v>48</v>
      </c>
      <c r="AG2638" s="15" t="s">
        <v>49</v>
      </c>
      <c r="AH2638" s="15"/>
      <c r="AI2638" s="15"/>
    </row>
    <row r="2639" spans="1:35" s="6" customFormat="1">
      <c r="A2639" s="6" t="s">
        <v>11411</v>
      </c>
      <c r="B2639" s="6" t="s">
        <v>11412</v>
      </c>
      <c r="C2639" s="6" t="s">
        <v>43</v>
      </c>
      <c r="D2639" s="6" t="s">
        <v>850</v>
      </c>
      <c r="E2639" s="6" t="s">
        <v>757</v>
      </c>
      <c r="F2639" s="6" t="s">
        <v>46</v>
      </c>
      <c r="G2639" s="6" t="s">
        <v>11413</v>
      </c>
      <c r="H2639" s="7"/>
      <c r="I2639" s="6" t="s">
        <v>48</v>
      </c>
      <c r="J2639" s="6" t="s">
        <v>48</v>
      </c>
      <c r="AG2639" s="15" t="s">
        <v>49</v>
      </c>
      <c r="AH2639" s="15"/>
      <c r="AI2639" s="15"/>
    </row>
    <row r="2640" spans="1:35" s="6" customFormat="1">
      <c r="A2640" s="6" t="s">
        <v>11414</v>
      </c>
      <c r="B2640" s="6" t="s">
        <v>11415</v>
      </c>
      <c r="C2640" s="6" t="s">
        <v>43</v>
      </c>
      <c r="D2640" s="6" t="s">
        <v>850</v>
      </c>
      <c r="E2640" s="6" t="s">
        <v>757</v>
      </c>
      <c r="F2640" s="6" t="s">
        <v>46</v>
      </c>
      <c r="G2640" s="6" t="s">
        <v>11416</v>
      </c>
      <c r="H2640" s="7"/>
      <c r="I2640" s="6" t="s">
        <v>48</v>
      </c>
      <c r="J2640" s="6" t="s">
        <v>48</v>
      </c>
      <c r="AG2640" s="15" t="s">
        <v>49</v>
      </c>
      <c r="AH2640" s="15"/>
      <c r="AI2640" s="15"/>
    </row>
    <row r="2641" spans="1:37" s="6" customFormat="1">
      <c r="A2641" s="6" t="s">
        <v>11417</v>
      </c>
      <c r="B2641" s="6" t="s">
        <v>11418</v>
      </c>
      <c r="C2641" s="6" t="s">
        <v>43</v>
      </c>
      <c r="D2641" s="6" t="s">
        <v>850</v>
      </c>
      <c r="E2641" s="6" t="s">
        <v>757</v>
      </c>
      <c r="F2641" s="6" t="s">
        <v>46</v>
      </c>
      <c r="G2641" s="6" t="s">
        <v>11419</v>
      </c>
      <c r="H2641" s="7"/>
      <c r="I2641" s="6" t="s">
        <v>48</v>
      </c>
      <c r="J2641" s="6" t="s">
        <v>48</v>
      </c>
      <c r="AG2641" s="15" t="s">
        <v>49</v>
      </c>
      <c r="AH2641" s="15"/>
      <c r="AI2641" s="15"/>
    </row>
    <row r="2642" spans="1:37" s="6" customFormat="1">
      <c r="A2642" s="6" t="s">
        <v>11420</v>
      </c>
      <c r="B2642" s="6" t="s">
        <v>11421</v>
      </c>
      <c r="C2642" s="6" t="s">
        <v>43</v>
      </c>
      <c r="D2642" s="6" t="s">
        <v>850</v>
      </c>
      <c r="E2642" s="6" t="s">
        <v>757</v>
      </c>
      <c r="F2642" s="6" t="s">
        <v>46</v>
      </c>
      <c r="G2642" s="6" t="s">
        <v>3607</v>
      </c>
      <c r="H2642" s="7"/>
      <c r="I2642" s="6" t="s">
        <v>48</v>
      </c>
      <c r="J2642" s="6" t="s">
        <v>48</v>
      </c>
      <c r="AG2642" s="15" t="s">
        <v>49</v>
      </c>
      <c r="AH2642" s="15"/>
      <c r="AI2642" s="15"/>
    </row>
    <row r="2643" spans="1:37" s="6" customFormat="1">
      <c r="A2643" s="6" t="s">
        <v>11422</v>
      </c>
      <c r="B2643" s="6" t="s">
        <v>11423</v>
      </c>
      <c r="C2643" s="6" t="s">
        <v>43</v>
      </c>
      <c r="D2643" s="6" t="s">
        <v>850</v>
      </c>
      <c r="E2643" s="6" t="s">
        <v>757</v>
      </c>
      <c r="F2643" s="6" t="s">
        <v>46</v>
      </c>
      <c r="G2643" s="6" t="s">
        <v>3308</v>
      </c>
      <c r="H2643" s="7"/>
      <c r="I2643" s="6" t="s">
        <v>48</v>
      </c>
      <c r="J2643" s="6" t="s">
        <v>48</v>
      </c>
      <c r="AG2643" s="15" t="s">
        <v>49</v>
      </c>
      <c r="AH2643" s="15"/>
      <c r="AI2643" s="15"/>
    </row>
    <row r="2644" spans="1:37" s="6" customFormat="1">
      <c r="A2644" s="6" t="s">
        <v>11424</v>
      </c>
      <c r="B2644" s="6" t="s">
        <v>11425</v>
      </c>
      <c r="C2644" s="6" t="s">
        <v>43</v>
      </c>
      <c r="D2644" s="6" t="s">
        <v>850</v>
      </c>
      <c r="E2644" s="6" t="s">
        <v>218</v>
      </c>
      <c r="F2644" s="6" t="s">
        <v>46</v>
      </c>
      <c r="G2644" s="6" t="s">
        <v>11426</v>
      </c>
      <c r="H2644" s="7"/>
      <c r="I2644" s="6" t="s">
        <v>48</v>
      </c>
      <c r="J2644" s="6" t="s">
        <v>48</v>
      </c>
      <c r="AG2644" s="15" t="s">
        <v>49</v>
      </c>
      <c r="AH2644" s="15"/>
      <c r="AI2644" s="15"/>
    </row>
    <row r="2645" spans="1:37" s="6" customFormat="1">
      <c r="A2645" s="6" t="s">
        <v>11427</v>
      </c>
      <c r="B2645" s="6" t="s">
        <v>11428</v>
      </c>
      <c r="C2645" s="6" t="s">
        <v>43</v>
      </c>
      <c r="D2645" s="6" t="s">
        <v>850</v>
      </c>
      <c r="E2645" s="6" t="s">
        <v>757</v>
      </c>
      <c r="F2645" s="6" t="s">
        <v>46</v>
      </c>
      <c r="G2645" s="6" t="s">
        <v>9070</v>
      </c>
      <c r="H2645" s="7"/>
      <c r="I2645" s="6" t="s">
        <v>48</v>
      </c>
      <c r="J2645" s="6" t="s">
        <v>48</v>
      </c>
      <c r="AG2645" s="15" t="s">
        <v>49</v>
      </c>
      <c r="AH2645" s="15"/>
      <c r="AI2645" s="15"/>
    </row>
    <row r="2646" spans="1:37" s="6" customFormat="1">
      <c r="A2646" s="6" t="s">
        <v>11429</v>
      </c>
      <c r="B2646" s="6" t="s">
        <v>11430</v>
      </c>
      <c r="C2646" s="6" t="s">
        <v>43</v>
      </c>
      <c r="D2646" s="6" t="s">
        <v>850</v>
      </c>
      <c r="E2646" s="6" t="s">
        <v>757</v>
      </c>
      <c r="F2646" s="6" t="s">
        <v>46</v>
      </c>
      <c r="G2646" s="6" t="s">
        <v>11431</v>
      </c>
      <c r="H2646" s="7"/>
      <c r="I2646" s="6" t="s">
        <v>48</v>
      </c>
      <c r="J2646" s="6" t="s">
        <v>48</v>
      </c>
      <c r="AG2646" s="15" t="s">
        <v>49</v>
      </c>
      <c r="AH2646" s="15"/>
      <c r="AI2646" s="15"/>
    </row>
    <row r="2647" spans="1:37" s="6" customFormat="1">
      <c r="A2647" s="6" t="s">
        <v>11432</v>
      </c>
      <c r="B2647" s="6" t="s">
        <v>11433</v>
      </c>
      <c r="C2647" s="6" t="s">
        <v>43</v>
      </c>
      <c r="D2647" s="6" t="s">
        <v>850</v>
      </c>
      <c r="E2647" s="6" t="s">
        <v>218</v>
      </c>
      <c r="F2647" s="6" t="s">
        <v>46</v>
      </c>
      <c r="G2647" s="6" t="s">
        <v>8900</v>
      </c>
      <c r="H2647" s="7"/>
      <c r="I2647" s="6" t="s">
        <v>48</v>
      </c>
      <c r="J2647" s="6" t="s">
        <v>48</v>
      </c>
      <c r="AG2647" s="15" t="s">
        <v>49</v>
      </c>
      <c r="AH2647" s="15"/>
      <c r="AI2647" s="15"/>
    </row>
    <row r="2648" spans="1:37" s="6" customFormat="1">
      <c r="A2648" s="6" t="s">
        <v>11434</v>
      </c>
      <c r="B2648" s="6" t="s">
        <v>11435</v>
      </c>
      <c r="C2648" s="6" t="s">
        <v>43</v>
      </c>
      <c r="D2648" s="6" t="s">
        <v>850</v>
      </c>
      <c r="E2648" s="6" t="s">
        <v>757</v>
      </c>
      <c r="F2648" s="6" t="s">
        <v>46</v>
      </c>
      <c r="G2648" s="6" t="s">
        <v>11436</v>
      </c>
      <c r="H2648" s="7"/>
      <c r="I2648" s="6" t="s">
        <v>48</v>
      </c>
      <c r="J2648" s="6" t="s">
        <v>48</v>
      </c>
      <c r="AG2648" s="15" t="s">
        <v>49</v>
      </c>
      <c r="AH2648" s="15"/>
      <c r="AI2648" s="15"/>
    </row>
    <row r="2649" spans="1:37" s="6" customFormat="1">
      <c r="A2649" s="6" t="s">
        <v>11437</v>
      </c>
      <c r="B2649" s="6" t="s">
        <v>11438</v>
      </c>
      <c r="C2649" s="6" t="s">
        <v>43</v>
      </c>
      <c r="D2649" s="6" t="s">
        <v>850</v>
      </c>
      <c r="E2649" s="6" t="s">
        <v>218</v>
      </c>
      <c r="F2649" s="6" t="s">
        <v>46</v>
      </c>
      <c r="G2649" s="6" t="s">
        <v>11439</v>
      </c>
      <c r="H2649" s="7"/>
      <c r="I2649" s="6" t="s">
        <v>48</v>
      </c>
      <c r="J2649" s="6" t="s">
        <v>48</v>
      </c>
      <c r="AG2649" s="15" t="s">
        <v>49</v>
      </c>
      <c r="AH2649" s="15"/>
      <c r="AI2649" s="15"/>
    </row>
    <row r="2650" spans="1:37" s="6" customFormat="1">
      <c r="A2650" s="6" t="s">
        <v>11440</v>
      </c>
      <c r="B2650" s="6" t="s">
        <v>11441</v>
      </c>
      <c r="C2650" s="6" t="s">
        <v>43</v>
      </c>
      <c r="D2650" s="6" t="s">
        <v>850</v>
      </c>
      <c r="E2650" s="6" t="s">
        <v>757</v>
      </c>
      <c r="F2650" s="6" t="s">
        <v>46</v>
      </c>
      <c r="G2650" s="6" t="s">
        <v>11442</v>
      </c>
      <c r="H2650" s="7"/>
      <c r="I2650" s="6" t="s">
        <v>48</v>
      </c>
      <c r="J2650" s="6" t="s">
        <v>48</v>
      </c>
      <c r="AG2650" s="15" t="s">
        <v>49</v>
      </c>
      <c r="AH2650" s="15"/>
      <c r="AI2650" s="15"/>
    </row>
    <row r="2651" spans="1:37" s="6" customFormat="1">
      <c r="A2651" s="6" t="s">
        <v>11443</v>
      </c>
      <c r="B2651" s="6" t="s">
        <v>11444</v>
      </c>
      <c r="C2651" s="6" t="s">
        <v>43</v>
      </c>
      <c r="D2651" s="6" t="s">
        <v>850</v>
      </c>
      <c r="E2651" s="6" t="s">
        <v>757</v>
      </c>
      <c r="F2651" s="6" t="s">
        <v>46</v>
      </c>
      <c r="G2651" s="6" t="s">
        <v>11445</v>
      </c>
      <c r="H2651" s="7"/>
      <c r="I2651" s="6" t="s">
        <v>48</v>
      </c>
      <c r="J2651" s="6" t="s">
        <v>48</v>
      </c>
      <c r="AG2651" s="15" t="s">
        <v>49</v>
      </c>
      <c r="AH2651" s="15"/>
      <c r="AI2651" s="15"/>
    </row>
    <row r="2652" spans="1:37" s="6" customFormat="1">
      <c r="A2652" s="6" t="s">
        <v>11446</v>
      </c>
      <c r="B2652" s="6" t="s">
        <v>11447</v>
      </c>
      <c r="C2652" s="6" t="s">
        <v>43</v>
      </c>
      <c r="D2652" s="6" t="s">
        <v>850</v>
      </c>
      <c r="E2652" s="6" t="s">
        <v>218</v>
      </c>
      <c r="F2652" s="6" t="s">
        <v>46</v>
      </c>
      <c r="G2652" s="6" t="s">
        <v>11448</v>
      </c>
      <c r="H2652" s="7"/>
      <c r="I2652" s="6" t="s">
        <v>48</v>
      </c>
      <c r="J2652" s="6" t="s">
        <v>48</v>
      </c>
      <c r="AG2652" s="15" t="s">
        <v>55</v>
      </c>
      <c r="AH2652" s="15"/>
      <c r="AI2652" s="15"/>
    </row>
    <row r="2653" spans="1:37" s="6" customFormat="1">
      <c r="A2653" s="6" t="s">
        <v>11449</v>
      </c>
      <c r="B2653" s="6" t="s">
        <v>11450</v>
      </c>
      <c r="C2653" s="6" t="s">
        <v>43</v>
      </c>
      <c r="D2653" s="6" t="s">
        <v>1545</v>
      </c>
      <c r="E2653" s="6" t="s">
        <v>503</v>
      </c>
      <c r="F2653" s="6" t="s">
        <v>46</v>
      </c>
      <c r="G2653" s="6" t="s">
        <v>11451</v>
      </c>
      <c r="H2653" s="7"/>
      <c r="I2653" s="16" t="s">
        <v>48</v>
      </c>
      <c r="J2653" s="16" t="s">
        <v>48</v>
      </c>
      <c r="AG2653" s="15" t="s">
        <v>55</v>
      </c>
      <c r="AH2653" s="15"/>
      <c r="AI2653" s="15"/>
    </row>
    <row r="2654" spans="1:37" s="6" customFormat="1">
      <c r="A2654" s="6" t="s">
        <v>11452</v>
      </c>
      <c r="B2654" s="6" t="s">
        <v>11453</v>
      </c>
      <c r="C2654" s="6" t="s">
        <v>43</v>
      </c>
      <c r="D2654" s="6" t="s">
        <v>1545</v>
      </c>
      <c r="E2654" s="6" t="s">
        <v>11454</v>
      </c>
      <c r="F2654" s="6" t="s">
        <v>46</v>
      </c>
      <c r="G2654" s="6" t="s">
        <v>11455</v>
      </c>
      <c r="H2654" s="7"/>
      <c r="I2654" s="16" t="s">
        <v>48</v>
      </c>
      <c r="J2654" s="16" t="s">
        <v>48</v>
      </c>
      <c r="AG2654" s="15" t="s">
        <v>55</v>
      </c>
      <c r="AH2654" s="15"/>
      <c r="AI2654" s="15"/>
    </row>
    <row r="2655" spans="1:37" s="6" customFormat="1">
      <c r="A2655" s="6" t="s">
        <v>11456</v>
      </c>
      <c r="B2655" s="6" t="s">
        <v>11457</v>
      </c>
      <c r="C2655" s="6" t="s">
        <v>43</v>
      </c>
      <c r="D2655" s="6" t="s">
        <v>1545</v>
      </c>
      <c r="E2655" s="6" t="s">
        <v>11454</v>
      </c>
      <c r="F2655" s="6" t="s">
        <v>46</v>
      </c>
      <c r="G2655" s="6" t="s">
        <v>6267</v>
      </c>
      <c r="H2655" s="7"/>
      <c r="I2655" s="16" t="s">
        <v>48</v>
      </c>
      <c r="J2655" s="16" t="s">
        <v>48</v>
      </c>
      <c r="AG2655" s="15" t="s">
        <v>55</v>
      </c>
      <c r="AH2655" s="15"/>
      <c r="AI2655" s="15"/>
    </row>
    <row r="2656" spans="1:37" s="6" customFormat="1">
      <c r="A2656" s="5" t="s">
        <v>11458</v>
      </c>
      <c r="B2656" s="5" t="s">
        <v>11459</v>
      </c>
      <c r="C2656" s="6" t="s">
        <v>43</v>
      </c>
      <c r="D2656" s="6" t="s">
        <v>1545</v>
      </c>
      <c r="E2656" s="6" t="s">
        <v>11454</v>
      </c>
      <c r="F2656" s="6" t="s">
        <v>46</v>
      </c>
      <c r="G2656" s="6" t="s">
        <v>11460</v>
      </c>
      <c r="H2656" s="7">
        <v>89.39</v>
      </c>
      <c r="I2656" s="19" t="s">
        <v>1882</v>
      </c>
      <c r="J2656" s="19" t="s">
        <v>11461</v>
      </c>
      <c r="K2656" s="5"/>
      <c r="L2656" s="5"/>
      <c r="M2656" s="5"/>
      <c r="N2656" s="5"/>
      <c r="O2656" s="5"/>
      <c r="P2656" s="5"/>
      <c r="Q2656" s="5"/>
      <c r="R2656" s="5"/>
      <c r="S2656" s="5"/>
      <c r="T2656" s="5"/>
      <c r="U2656" s="5"/>
      <c r="V2656" s="5"/>
      <c r="W2656" s="5"/>
      <c r="X2656" s="5"/>
      <c r="Y2656" s="5"/>
      <c r="Z2656" s="5"/>
      <c r="AA2656" s="5"/>
      <c r="AB2656" s="5"/>
      <c r="AC2656" s="5"/>
      <c r="AD2656" s="5"/>
      <c r="AE2656" s="5"/>
      <c r="AF2656" s="5"/>
      <c r="AG2656" s="14" t="s">
        <v>55</v>
      </c>
      <c r="AH2656" s="14" t="s">
        <v>1283</v>
      </c>
      <c r="AI2656" s="14" t="s">
        <v>1283</v>
      </c>
      <c r="AJ2656" s="5" t="s">
        <v>1284</v>
      </c>
      <c r="AK2656" s="5"/>
    </row>
    <row r="2657" spans="1:36">
      <c r="A2657" s="5" t="s">
        <v>11462</v>
      </c>
      <c r="B2657" s="5" t="s">
        <v>11463</v>
      </c>
      <c r="C2657" s="6" t="s">
        <v>43</v>
      </c>
      <c r="D2657" s="6" t="s">
        <v>1545</v>
      </c>
      <c r="E2657" s="6" t="s">
        <v>11454</v>
      </c>
      <c r="F2657" s="6" t="s">
        <v>46</v>
      </c>
      <c r="G2657" s="6" t="s">
        <v>3621</v>
      </c>
      <c r="H2657" s="7">
        <v>113.02</v>
      </c>
      <c r="I2657" s="19" t="s">
        <v>1882</v>
      </c>
      <c r="J2657" s="19" t="s">
        <v>11461</v>
      </c>
      <c r="R2657" s="5"/>
      <c r="AG2657" s="14" t="s">
        <v>55</v>
      </c>
      <c r="AH2657" s="14" t="s">
        <v>1283</v>
      </c>
      <c r="AI2657" s="14" t="s">
        <v>1283</v>
      </c>
      <c r="AJ2657" s="5" t="s">
        <v>1284</v>
      </c>
    </row>
    <row r="2658" spans="1:36">
      <c r="A2658" s="5" t="s">
        <v>11464</v>
      </c>
      <c r="B2658" s="5" t="s">
        <v>11465</v>
      </c>
      <c r="C2658" s="6" t="s">
        <v>43</v>
      </c>
      <c r="D2658" s="6" t="s">
        <v>1545</v>
      </c>
      <c r="E2658" s="6" t="s">
        <v>11454</v>
      </c>
      <c r="F2658" s="6" t="s">
        <v>46</v>
      </c>
      <c r="G2658" s="6" t="s">
        <v>11466</v>
      </c>
      <c r="H2658" s="7">
        <v>89.39</v>
      </c>
      <c r="I2658" s="19" t="s">
        <v>1882</v>
      </c>
      <c r="J2658" s="19" t="s">
        <v>11461</v>
      </c>
      <c r="R2658" s="5"/>
      <c r="AG2658" s="14" t="s">
        <v>55</v>
      </c>
      <c r="AH2658" s="14" t="s">
        <v>1283</v>
      </c>
      <c r="AI2658" s="14" t="s">
        <v>1283</v>
      </c>
      <c r="AJ2658" s="5" t="s">
        <v>1284</v>
      </c>
    </row>
    <row r="2659" spans="1:36">
      <c r="A2659" s="5" t="s">
        <v>11467</v>
      </c>
      <c r="B2659" s="5" t="s">
        <v>11468</v>
      </c>
      <c r="C2659" s="6" t="s">
        <v>43</v>
      </c>
      <c r="D2659" s="6" t="s">
        <v>1545</v>
      </c>
      <c r="E2659" s="6" t="s">
        <v>11454</v>
      </c>
      <c r="F2659" s="6" t="s">
        <v>46</v>
      </c>
      <c r="G2659" s="6" t="s">
        <v>11469</v>
      </c>
      <c r="H2659" s="7">
        <v>103.5</v>
      </c>
      <c r="I2659" s="19" t="s">
        <v>1882</v>
      </c>
      <c r="J2659" s="19" t="s">
        <v>11461</v>
      </c>
      <c r="R2659" s="5"/>
      <c r="AG2659" s="14" t="s">
        <v>55</v>
      </c>
      <c r="AH2659" s="14" t="s">
        <v>1283</v>
      </c>
      <c r="AI2659" s="14" t="s">
        <v>1283</v>
      </c>
      <c r="AJ2659" s="5" t="s">
        <v>1284</v>
      </c>
    </row>
    <row r="2660" spans="1:36">
      <c r="A2660" s="5" t="s">
        <v>11470</v>
      </c>
      <c r="B2660" s="5" t="s">
        <v>11471</v>
      </c>
      <c r="C2660" s="6" t="s">
        <v>43</v>
      </c>
      <c r="D2660" s="6" t="s">
        <v>1545</v>
      </c>
      <c r="E2660" s="6" t="s">
        <v>11454</v>
      </c>
      <c r="F2660" s="6" t="s">
        <v>46</v>
      </c>
      <c r="G2660" s="6" t="s">
        <v>11472</v>
      </c>
      <c r="H2660" s="7">
        <v>130.47999999999999</v>
      </c>
      <c r="I2660" s="19" t="s">
        <v>1882</v>
      </c>
      <c r="J2660" s="19" t="s">
        <v>11461</v>
      </c>
      <c r="R2660" s="5"/>
      <c r="AG2660" s="14" t="s">
        <v>55</v>
      </c>
      <c r="AH2660" s="14" t="s">
        <v>1283</v>
      </c>
      <c r="AI2660" s="14" t="s">
        <v>1283</v>
      </c>
      <c r="AJ2660" s="5" t="s">
        <v>1284</v>
      </c>
    </row>
    <row r="2661" spans="1:36">
      <c r="A2661" s="5" t="s">
        <v>11473</v>
      </c>
      <c r="B2661" s="5" t="s">
        <v>11474</v>
      </c>
      <c r="C2661" s="6" t="s">
        <v>43</v>
      </c>
      <c r="D2661" s="6" t="s">
        <v>1545</v>
      </c>
      <c r="E2661" s="6" t="s">
        <v>11454</v>
      </c>
      <c r="F2661" s="6" t="s">
        <v>46</v>
      </c>
      <c r="G2661" s="6" t="s">
        <v>11475</v>
      </c>
      <c r="H2661" s="7">
        <v>103.5</v>
      </c>
      <c r="I2661" s="19" t="s">
        <v>1882</v>
      </c>
      <c r="J2661" s="19" t="s">
        <v>11461</v>
      </c>
      <c r="R2661" s="5"/>
      <c r="AG2661" s="14" t="s">
        <v>55</v>
      </c>
      <c r="AH2661" s="14" t="s">
        <v>1283</v>
      </c>
      <c r="AI2661" s="14" t="s">
        <v>1283</v>
      </c>
      <c r="AJ2661" s="5" t="s">
        <v>1284</v>
      </c>
    </row>
    <row r="2662" spans="1:36">
      <c r="A2662" s="5" t="s">
        <v>11476</v>
      </c>
      <c r="B2662" s="5" t="s">
        <v>11477</v>
      </c>
      <c r="C2662" s="6" t="s">
        <v>43</v>
      </c>
      <c r="D2662" s="6" t="s">
        <v>1545</v>
      </c>
      <c r="E2662" s="6" t="s">
        <v>11454</v>
      </c>
      <c r="F2662" s="6" t="s">
        <v>46</v>
      </c>
      <c r="G2662" s="6" t="s">
        <v>11478</v>
      </c>
      <c r="H2662" s="7">
        <v>118.14</v>
      </c>
      <c r="I2662" s="19" t="s">
        <v>1882</v>
      </c>
      <c r="J2662" s="19" t="s">
        <v>11461</v>
      </c>
      <c r="R2662" s="5"/>
      <c r="AG2662" s="14" t="s">
        <v>55</v>
      </c>
      <c r="AH2662" s="14" t="s">
        <v>1283</v>
      </c>
      <c r="AI2662" s="14" t="s">
        <v>1283</v>
      </c>
      <c r="AJ2662" s="5" t="s">
        <v>1284</v>
      </c>
    </row>
    <row r="2663" spans="1:36">
      <c r="A2663" s="5" t="s">
        <v>11479</v>
      </c>
      <c r="B2663" s="5" t="s">
        <v>11480</v>
      </c>
      <c r="C2663" s="6" t="s">
        <v>43</v>
      </c>
      <c r="D2663" s="6" t="s">
        <v>1545</v>
      </c>
      <c r="E2663" s="6" t="s">
        <v>11454</v>
      </c>
      <c r="F2663" s="6" t="s">
        <v>46</v>
      </c>
      <c r="G2663" s="6" t="s">
        <v>11481</v>
      </c>
      <c r="H2663" s="7">
        <v>145.97999999999999</v>
      </c>
      <c r="I2663" s="19" t="s">
        <v>1882</v>
      </c>
      <c r="J2663" s="19" t="s">
        <v>11461</v>
      </c>
      <c r="R2663" s="5"/>
      <c r="AG2663" s="14" t="s">
        <v>55</v>
      </c>
      <c r="AH2663" s="14" t="s">
        <v>1283</v>
      </c>
      <c r="AI2663" s="14" t="s">
        <v>1283</v>
      </c>
      <c r="AJ2663" s="5" t="s">
        <v>1284</v>
      </c>
    </row>
    <row r="2664" spans="1:36">
      <c r="A2664" s="5" t="s">
        <v>11482</v>
      </c>
      <c r="B2664" s="5" t="s">
        <v>11483</v>
      </c>
      <c r="C2664" s="6" t="s">
        <v>43</v>
      </c>
      <c r="D2664" s="6" t="s">
        <v>1545</v>
      </c>
      <c r="E2664" s="6" t="s">
        <v>11454</v>
      </c>
      <c r="F2664" s="6" t="s">
        <v>46</v>
      </c>
      <c r="G2664" s="6" t="s">
        <v>11478</v>
      </c>
      <c r="H2664" s="7">
        <v>118.14</v>
      </c>
      <c r="I2664" s="19" t="s">
        <v>1882</v>
      </c>
      <c r="J2664" s="19" t="s">
        <v>11461</v>
      </c>
      <c r="R2664" s="5"/>
      <c r="AG2664" s="14" t="s">
        <v>55</v>
      </c>
      <c r="AH2664" s="14" t="s">
        <v>1283</v>
      </c>
      <c r="AI2664" s="14" t="s">
        <v>1283</v>
      </c>
      <c r="AJ2664" s="5" t="s">
        <v>1284</v>
      </c>
    </row>
    <row r="2665" spans="1:36">
      <c r="A2665" s="5" t="s">
        <v>11484</v>
      </c>
      <c r="B2665" s="5" t="s">
        <v>11485</v>
      </c>
      <c r="C2665" s="6" t="s">
        <v>43</v>
      </c>
      <c r="D2665" s="6" t="s">
        <v>1545</v>
      </c>
      <c r="E2665" s="6" t="s">
        <v>11454</v>
      </c>
      <c r="F2665" s="6" t="s">
        <v>46</v>
      </c>
      <c r="G2665" s="6" t="s">
        <v>11486</v>
      </c>
      <c r="H2665" s="7">
        <v>134.97</v>
      </c>
      <c r="I2665" s="19" t="s">
        <v>1882</v>
      </c>
      <c r="J2665" s="19" t="s">
        <v>11461</v>
      </c>
      <c r="R2665" s="5"/>
      <c r="AG2665" s="14" t="s">
        <v>55</v>
      </c>
      <c r="AH2665" s="14" t="s">
        <v>1283</v>
      </c>
      <c r="AI2665" s="14" t="s">
        <v>1283</v>
      </c>
      <c r="AJ2665" s="5" t="s">
        <v>1284</v>
      </c>
    </row>
    <row r="2666" spans="1:36">
      <c r="A2666" s="5" t="s">
        <v>11487</v>
      </c>
      <c r="B2666" s="5" t="s">
        <v>11485</v>
      </c>
      <c r="C2666" s="6" t="s">
        <v>43</v>
      </c>
      <c r="D2666" s="6" t="s">
        <v>1545</v>
      </c>
      <c r="E2666" s="6" t="s">
        <v>11454</v>
      </c>
      <c r="F2666" s="6" t="s">
        <v>46</v>
      </c>
      <c r="G2666" s="6" t="s">
        <v>11488</v>
      </c>
      <c r="H2666" s="7">
        <v>134.97</v>
      </c>
      <c r="I2666" s="19" t="s">
        <v>1882</v>
      </c>
      <c r="J2666" s="19" t="s">
        <v>11461</v>
      </c>
      <c r="R2666" s="5"/>
      <c r="AG2666" s="14" t="s">
        <v>55</v>
      </c>
      <c r="AH2666" s="14" t="s">
        <v>1283</v>
      </c>
      <c r="AI2666" s="14" t="s">
        <v>1283</v>
      </c>
      <c r="AJ2666" s="5" t="s">
        <v>1284</v>
      </c>
    </row>
    <row r="2667" spans="1:36">
      <c r="A2667" s="5" t="s">
        <v>11489</v>
      </c>
      <c r="B2667" s="5" t="s">
        <v>11490</v>
      </c>
      <c r="C2667" s="6" t="s">
        <v>43</v>
      </c>
      <c r="D2667" s="6" t="s">
        <v>1545</v>
      </c>
      <c r="E2667" s="6" t="s">
        <v>11454</v>
      </c>
      <c r="F2667" s="6" t="s">
        <v>46</v>
      </c>
      <c r="G2667" s="6" t="s">
        <v>11491</v>
      </c>
      <c r="H2667" s="7">
        <v>172.09</v>
      </c>
      <c r="I2667" s="19" t="s">
        <v>1882</v>
      </c>
      <c r="J2667" s="19" t="s">
        <v>11461</v>
      </c>
      <c r="R2667" s="5"/>
      <c r="AG2667" s="14" t="s">
        <v>55</v>
      </c>
      <c r="AH2667" s="14" t="s">
        <v>1283</v>
      </c>
      <c r="AI2667" s="14" t="s">
        <v>1283</v>
      </c>
      <c r="AJ2667" s="5" t="s">
        <v>1284</v>
      </c>
    </row>
    <row r="2668" spans="1:36">
      <c r="A2668" s="5" t="s">
        <v>11492</v>
      </c>
      <c r="B2668" s="5" t="s">
        <v>11493</v>
      </c>
      <c r="C2668" s="6" t="s">
        <v>43</v>
      </c>
      <c r="D2668" s="6" t="s">
        <v>1545</v>
      </c>
      <c r="E2668" s="6" t="s">
        <v>11454</v>
      </c>
      <c r="F2668" s="6" t="s">
        <v>46</v>
      </c>
      <c r="G2668" s="6" t="s">
        <v>11488</v>
      </c>
      <c r="H2668" s="7">
        <v>134.97</v>
      </c>
      <c r="I2668" s="19" t="s">
        <v>1882</v>
      </c>
      <c r="J2668" s="19" t="s">
        <v>11461</v>
      </c>
      <c r="R2668" s="5"/>
      <c r="AG2668" s="14" t="s">
        <v>55</v>
      </c>
      <c r="AH2668" s="14" t="s">
        <v>1283</v>
      </c>
      <c r="AI2668" s="14" t="s">
        <v>1283</v>
      </c>
      <c r="AJ2668" s="5" t="s">
        <v>1284</v>
      </c>
    </row>
    <row r="2669" spans="1:36">
      <c r="A2669" s="5" t="s">
        <v>11494</v>
      </c>
      <c r="B2669" s="5" t="s">
        <v>11493</v>
      </c>
      <c r="C2669" s="6" t="s">
        <v>43</v>
      </c>
      <c r="D2669" s="6" t="s">
        <v>1545</v>
      </c>
      <c r="E2669" s="6" t="s">
        <v>503</v>
      </c>
      <c r="F2669" s="6" t="s">
        <v>46</v>
      </c>
      <c r="G2669" s="6" t="s">
        <v>11488</v>
      </c>
      <c r="H2669" s="7">
        <v>134.97</v>
      </c>
      <c r="I2669" s="19" t="s">
        <v>1882</v>
      </c>
      <c r="J2669" s="19" t="s">
        <v>11461</v>
      </c>
      <c r="R2669" s="5"/>
      <c r="AG2669" s="14" t="s">
        <v>55</v>
      </c>
      <c r="AH2669" s="14" t="s">
        <v>1283</v>
      </c>
      <c r="AI2669" s="14" t="s">
        <v>1283</v>
      </c>
      <c r="AJ2669" s="5" t="s">
        <v>1284</v>
      </c>
    </row>
    <row r="2670" spans="1:36">
      <c r="A2670" s="5" t="s">
        <v>11495</v>
      </c>
      <c r="B2670" s="5" t="s">
        <v>11496</v>
      </c>
      <c r="C2670" s="6" t="s">
        <v>43</v>
      </c>
      <c r="D2670" s="6" t="s">
        <v>1545</v>
      </c>
      <c r="E2670" s="6" t="s">
        <v>11454</v>
      </c>
      <c r="F2670" s="6" t="s">
        <v>46</v>
      </c>
      <c r="G2670" s="6" t="s">
        <v>11497</v>
      </c>
      <c r="H2670" s="7">
        <v>160.28</v>
      </c>
      <c r="I2670" s="19" t="s">
        <v>1882</v>
      </c>
      <c r="J2670" s="19" t="s">
        <v>11461</v>
      </c>
      <c r="R2670" s="5"/>
      <c r="AG2670" s="14" t="s">
        <v>55</v>
      </c>
      <c r="AH2670" s="14" t="s">
        <v>1283</v>
      </c>
      <c r="AI2670" s="14" t="s">
        <v>1283</v>
      </c>
      <c r="AJ2670" s="5" t="s">
        <v>1284</v>
      </c>
    </row>
    <row r="2671" spans="1:36">
      <c r="A2671" s="5" t="s">
        <v>11498</v>
      </c>
      <c r="B2671" s="5" t="s">
        <v>11499</v>
      </c>
      <c r="C2671" s="6" t="s">
        <v>11500</v>
      </c>
      <c r="D2671" s="6" t="s">
        <v>1545</v>
      </c>
      <c r="E2671" s="6" t="s">
        <v>11454</v>
      </c>
      <c r="F2671" s="6" t="s">
        <v>46</v>
      </c>
      <c r="G2671" s="6" t="s">
        <v>11501</v>
      </c>
      <c r="H2671" s="7">
        <v>206.69</v>
      </c>
      <c r="I2671" s="19" t="s">
        <v>1882</v>
      </c>
      <c r="J2671" s="19" t="s">
        <v>11461</v>
      </c>
      <c r="R2671" s="5"/>
      <c r="AG2671" s="14" t="s">
        <v>55</v>
      </c>
      <c r="AH2671" s="14" t="s">
        <v>1283</v>
      </c>
      <c r="AI2671" s="14" t="s">
        <v>1283</v>
      </c>
      <c r="AJ2671" s="5" t="s">
        <v>1284</v>
      </c>
    </row>
    <row r="2672" spans="1:36">
      <c r="A2672" s="5" t="s">
        <v>11502</v>
      </c>
      <c r="B2672" s="5" t="s">
        <v>11503</v>
      </c>
      <c r="C2672" s="6" t="s">
        <v>43</v>
      </c>
      <c r="D2672" s="6" t="s">
        <v>1545</v>
      </c>
      <c r="E2672" s="6" t="s">
        <v>11454</v>
      </c>
      <c r="F2672" s="6" t="s">
        <v>46</v>
      </c>
      <c r="G2672" s="6" t="s">
        <v>11504</v>
      </c>
      <c r="H2672" s="7">
        <v>160.28</v>
      </c>
      <c r="I2672" s="19" t="s">
        <v>1882</v>
      </c>
      <c r="J2672" s="19" t="s">
        <v>11461</v>
      </c>
      <c r="R2672" s="5"/>
      <c r="AG2672" s="14" t="s">
        <v>55</v>
      </c>
      <c r="AH2672" s="14" t="s">
        <v>1283</v>
      </c>
      <c r="AI2672" s="14" t="s">
        <v>1283</v>
      </c>
      <c r="AJ2672" s="5" t="s">
        <v>1284</v>
      </c>
    </row>
    <row r="2673" spans="1:37">
      <c r="A2673" s="5" t="s">
        <v>11505</v>
      </c>
      <c r="B2673" s="5" t="s">
        <v>11506</v>
      </c>
      <c r="C2673" s="6" t="s">
        <v>43</v>
      </c>
      <c r="D2673" s="6" t="s">
        <v>1545</v>
      </c>
      <c r="E2673" s="6" t="s">
        <v>11454</v>
      </c>
      <c r="F2673" s="6" t="s">
        <v>46</v>
      </c>
      <c r="G2673" s="6" t="s">
        <v>11507</v>
      </c>
      <c r="H2673" s="7">
        <v>208.05</v>
      </c>
      <c r="I2673" s="19" t="s">
        <v>1882</v>
      </c>
      <c r="J2673" s="19" t="s">
        <v>11461</v>
      </c>
      <c r="R2673" s="5"/>
      <c r="AG2673" s="14" t="s">
        <v>55</v>
      </c>
      <c r="AH2673" s="14" t="s">
        <v>1283</v>
      </c>
      <c r="AI2673" s="14" t="s">
        <v>1283</v>
      </c>
      <c r="AJ2673" s="5" t="s">
        <v>1284</v>
      </c>
    </row>
    <row r="2674" spans="1:37">
      <c r="A2674" s="5" t="s">
        <v>11508</v>
      </c>
      <c r="B2674" s="5" t="s">
        <v>11509</v>
      </c>
      <c r="C2674" s="6" t="s">
        <v>11510</v>
      </c>
      <c r="D2674" s="6" t="s">
        <v>1545</v>
      </c>
      <c r="E2674" s="6" t="s">
        <v>11454</v>
      </c>
      <c r="F2674" s="6" t="s">
        <v>46</v>
      </c>
      <c r="G2674" s="6" t="s">
        <v>11511</v>
      </c>
      <c r="H2674" s="7">
        <v>269.94</v>
      </c>
      <c r="I2674" s="19" t="s">
        <v>1882</v>
      </c>
      <c r="J2674" s="19" t="s">
        <v>11461</v>
      </c>
      <c r="R2674" s="5"/>
      <c r="AG2674" s="14" t="s">
        <v>55</v>
      </c>
      <c r="AH2674" s="14" t="s">
        <v>1283</v>
      </c>
      <c r="AI2674" s="14" t="s">
        <v>1283</v>
      </c>
      <c r="AJ2674" s="5" t="s">
        <v>1284</v>
      </c>
    </row>
    <row r="2675" spans="1:37">
      <c r="A2675" s="5" t="s">
        <v>11512</v>
      </c>
      <c r="B2675" s="5" t="s">
        <v>11513</v>
      </c>
      <c r="C2675" s="6" t="s">
        <v>43</v>
      </c>
      <c r="D2675" s="6" t="s">
        <v>1545</v>
      </c>
      <c r="E2675" s="6" t="s">
        <v>11454</v>
      </c>
      <c r="F2675" s="6" t="s">
        <v>46</v>
      </c>
      <c r="G2675" s="6" t="s">
        <v>11514</v>
      </c>
      <c r="H2675" s="7">
        <v>208.05</v>
      </c>
      <c r="I2675" s="19" t="s">
        <v>1882</v>
      </c>
      <c r="J2675" s="19" t="s">
        <v>11461</v>
      </c>
      <c r="R2675" s="5"/>
      <c r="AG2675" s="14" t="s">
        <v>55</v>
      </c>
      <c r="AH2675" s="14" t="s">
        <v>1283</v>
      </c>
      <c r="AI2675" s="14" t="s">
        <v>1283</v>
      </c>
      <c r="AJ2675" s="5" t="s">
        <v>1284</v>
      </c>
    </row>
    <row r="2676" spans="1:37">
      <c r="A2676" s="5" t="s">
        <v>11515</v>
      </c>
      <c r="B2676" s="5" t="s">
        <v>11516</v>
      </c>
      <c r="C2676" s="6" t="s">
        <v>43</v>
      </c>
      <c r="D2676" s="6" t="s">
        <v>1545</v>
      </c>
      <c r="E2676" s="6" t="s">
        <v>11454</v>
      </c>
      <c r="F2676" s="6" t="s">
        <v>46</v>
      </c>
      <c r="G2676" s="6" t="s">
        <v>11517</v>
      </c>
      <c r="H2676" s="7">
        <v>260.62</v>
      </c>
      <c r="I2676" s="19" t="s">
        <v>1882</v>
      </c>
      <c r="J2676" s="19" t="s">
        <v>11461</v>
      </c>
      <c r="R2676" s="5"/>
      <c r="AG2676" s="14" t="s">
        <v>55</v>
      </c>
      <c r="AH2676" s="14" t="s">
        <v>1283</v>
      </c>
      <c r="AI2676" s="14" t="s">
        <v>1283</v>
      </c>
      <c r="AJ2676" s="5" t="s">
        <v>1284</v>
      </c>
    </row>
    <row r="2677" spans="1:37">
      <c r="A2677" s="6" t="s">
        <v>11518</v>
      </c>
      <c r="B2677" s="6" t="s">
        <v>11519</v>
      </c>
      <c r="C2677" s="6" t="s">
        <v>43</v>
      </c>
      <c r="D2677" s="6" t="s">
        <v>1545</v>
      </c>
      <c r="E2677" s="6" t="s">
        <v>11454</v>
      </c>
      <c r="F2677" s="6" t="s">
        <v>46</v>
      </c>
      <c r="G2677" s="6" t="s">
        <v>11520</v>
      </c>
      <c r="I2677" s="16" t="s">
        <v>48</v>
      </c>
      <c r="J2677" s="16" t="s">
        <v>48</v>
      </c>
      <c r="K2677" s="6"/>
      <c r="L2677" s="6"/>
      <c r="M2677" s="6"/>
      <c r="N2677" s="6"/>
      <c r="O2677" s="6"/>
      <c r="P2677" s="6"/>
      <c r="Q2677" s="6"/>
      <c r="R2677" s="6"/>
      <c r="S2677" s="6"/>
      <c r="T2677" s="6"/>
      <c r="U2677" s="6"/>
      <c r="V2677" s="6"/>
      <c r="W2677" s="6"/>
      <c r="X2677" s="6"/>
      <c r="Y2677" s="6"/>
      <c r="Z2677" s="6"/>
      <c r="AA2677" s="6"/>
      <c r="AB2677" s="6"/>
      <c r="AC2677" s="6"/>
      <c r="AD2677" s="6"/>
      <c r="AE2677" s="6"/>
      <c r="AF2677" s="6"/>
      <c r="AG2677" s="15" t="s">
        <v>55</v>
      </c>
      <c r="AH2677" s="15"/>
      <c r="AI2677" s="15"/>
      <c r="AJ2677" s="6"/>
      <c r="AK2677" s="6"/>
    </row>
    <row r="2678" spans="1:37" s="6" customFormat="1">
      <c r="A2678" s="6" t="s">
        <v>11521</v>
      </c>
      <c r="B2678" s="6" t="s">
        <v>11522</v>
      </c>
      <c r="C2678" s="6" t="s">
        <v>43</v>
      </c>
      <c r="D2678" s="6" t="s">
        <v>1545</v>
      </c>
      <c r="E2678" s="6" t="s">
        <v>11454</v>
      </c>
      <c r="F2678" s="6" t="s">
        <v>46</v>
      </c>
      <c r="G2678" s="6" t="s">
        <v>11523</v>
      </c>
      <c r="H2678" s="7"/>
      <c r="I2678" s="16" t="s">
        <v>48</v>
      </c>
      <c r="J2678" s="16" t="s">
        <v>48</v>
      </c>
      <c r="AG2678" s="15" t="s">
        <v>55</v>
      </c>
      <c r="AH2678" s="15"/>
      <c r="AI2678" s="15"/>
    </row>
    <row r="2679" spans="1:37" s="6" customFormat="1">
      <c r="A2679" s="6" t="s">
        <v>11524</v>
      </c>
      <c r="B2679" s="6" t="s">
        <v>11525</v>
      </c>
      <c r="C2679" s="6" t="s">
        <v>43</v>
      </c>
      <c r="D2679" s="6" t="s">
        <v>1545</v>
      </c>
      <c r="E2679" s="6" t="s">
        <v>11454</v>
      </c>
      <c r="F2679" s="6" t="s">
        <v>46</v>
      </c>
      <c r="G2679" s="6" t="s">
        <v>11526</v>
      </c>
      <c r="H2679" s="7"/>
      <c r="I2679" s="16" t="s">
        <v>48</v>
      </c>
      <c r="J2679" s="16" t="s">
        <v>48</v>
      </c>
      <c r="AG2679" s="15" t="s">
        <v>55</v>
      </c>
      <c r="AH2679" s="15"/>
      <c r="AI2679" s="15"/>
    </row>
    <row r="2680" spans="1:37" s="6" customFormat="1">
      <c r="A2680" s="6" t="s">
        <v>11527</v>
      </c>
      <c r="B2680" s="6" t="s">
        <v>11528</v>
      </c>
      <c r="C2680" s="6" t="s">
        <v>43</v>
      </c>
      <c r="D2680" s="6" t="s">
        <v>1545</v>
      </c>
      <c r="E2680" s="6" t="s">
        <v>503</v>
      </c>
      <c r="F2680" s="6" t="s">
        <v>46</v>
      </c>
      <c r="G2680" s="6" t="s">
        <v>11529</v>
      </c>
      <c r="H2680" s="7"/>
      <c r="I2680" s="16" t="s">
        <v>48</v>
      </c>
      <c r="J2680" s="16" t="s">
        <v>48</v>
      </c>
      <c r="AG2680" s="15" t="s">
        <v>55</v>
      </c>
      <c r="AH2680" s="15"/>
      <c r="AI2680" s="15"/>
    </row>
    <row r="2681" spans="1:37" s="6" customFormat="1">
      <c r="A2681" s="6" t="s">
        <v>11530</v>
      </c>
      <c r="B2681" s="6" t="s">
        <v>11531</v>
      </c>
      <c r="C2681" s="6" t="s">
        <v>43</v>
      </c>
      <c r="D2681" s="6" t="s">
        <v>1545</v>
      </c>
      <c r="E2681" s="6" t="s">
        <v>11454</v>
      </c>
      <c r="F2681" s="6" t="s">
        <v>46</v>
      </c>
      <c r="G2681" s="6" t="s">
        <v>11532</v>
      </c>
      <c r="H2681" s="7"/>
      <c r="I2681" s="16" t="s">
        <v>48</v>
      </c>
      <c r="J2681" s="16" t="s">
        <v>48</v>
      </c>
      <c r="AG2681" s="15" t="s">
        <v>55</v>
      </c>
      <c r="AH2681" s="15"/>
      <c r="AI2681" s="15"/>
    </row>
    <row r="2682" spans="1:37" s="6" customFormat="1">
      <c r="A2682" s="6" t="s">
        <v>11533</v>
      </c>
      <c r="B2682" s="6" t="s">
        <v>11534</v>
      </c>
      <c r="C2682" s="6" t="s">
        <v>43</v>
      </c>
      <c r="D2682" s="6" t="s">
        <v>1545</v>
      </c>
      <c r="E2682" s="6" t="s">
        <v>11454</v>
      </c>
      <c r="F2682" s="6" t="s">
        <v>46</v>
      </c>
      <c r="G2682" s="6" t="s">
        <v>11535</v>
      </c>
      <c r="H2682" s="7"/>
      <c r="I2682" s="16" t="s">
        <v>48</v>
      </c>
      <c r="J2682" s="16" t="s">
        <v>48</v>
      </c>
      <c r="AG2682" s="15" t="s">
        <v>55</v>
      </c>
      <c r="AH2682" s="15"/>
      <c r="AI2682" s="15"/>
    </row>
    <row r="2683" spans="1:37" s="6" customFormat="1">
      <c r="A2683" s="6" t="s">
        <v>11536</v>
      </c>
      <c r="B2683" s="6" t="s">
        <v>11537</v>
      </c>
      <c r="C2683" s="6" t="s">
        <v>43</v>
      </c>
      <c r="D2683" s="6" t="s">
        <v>1545</v>
      </c>
      <c r="E2683" s="6" t="s">
        <v>11454</v>
      </c>
      <c r="F2683" s="6" t="s">
        <v>46</v>
      </c>
      <c r="G2683" s="6" t="s">
        <v>11538</v>
      </c>
      <c r="H2683" s="7"/>
      <c r="I2683" s="16" t="s">
        <v>48</v>
      </c>
      <c r="J2683" s="16" t="s">
        <v>48</v>
      </c>
      <c r="AG2683" s="15" t="s">
        <v>55</v>
      </c>
      <c r="AH2683" s="15"/>
      <c r="AI2683" s="15"/>
    </row>
    <row r="2684" spans="1:37" s="6" customFormat="1">
      <c r="A2684" s="6" t="s">
        <v>11539</v>
      </c>
      <c r="B2684" s="6" t="s">
        <v>11540</v>
      </c>
      <c r="C2684" s="6" t="s">
        <v>43</v>
      </c>
      <c r="D2684" s="6" t="s">
        <v>1545</v>
      </c>
      <c r="E2684" s="6" t="s">
        <v>11454</v>
      </c>
      <c r="F2684" s="6" t="s">
        <v>46</v>
      </c>
      <c r="G2684" s="6" t="s">
        <v>11538</v>
      </c>
      <c r="H2684" s="7"/>
      <c r="I2684" s="16" t="s">
        <v>48</v>
      </c>
      <c r="J2684" s="16" t="s">
        <v>48</v>
      </c>
      <c r="AG2684" s="15" t="s">
        <v>55</v>
      </c>
      <c r="AH2684" s="15"/>
      <c r="AI2684" s="15"/>
    </row>
    <row r="2685" spans="1:37" s="6" customFormat="1">
      <c r="A2685" s="6" t="s">
        <v>11541</v>
      </c>
      <c r="B2685" s="6" t="s">
        <v>11542</v>
      </c>
      <c r="C2685" s="6" t="s">
        <v>43</v>
      </c>
      <c r="D2685" s="6" t="s">
        <v>1545</v>
      </c>
      <c r="E2685" s="6" t="s">
        <v>11454</v>
      </c>
      <c r="F2685" s="6" t="s">
        <v>46</v>
      </c>
      <c r="G2685" s="6" t="s">
        <v>1431</v>
      </c>
      <c r="H2685" s="7"/>
      <c r="I2685" s="16" t="s">
        <v>48</v>
      </c>
      <c r="J2685" s="16" t="s">
        <v>48</v>
      </c>
      <c r="AG2685" s="15" t="s">
        <v>55</v>
      </c>
      <c r="AH2685" s="15"/>
      <c r="AI2685" s="15"/>
    </row>
    <row r="2686" spans="1:37" s="6" customFormat="1">
      <c r="A2686" s="6" t="s">
        <v>11543</v>
      </c>
      <c r="B2686" s="6" t="s">
        <v>11544</v>
      </c>
      <c r="C2686" s="6" t="s">
        <v>43</v>
      </c>
      <c r="D2686" s="6" t="s">
        <v>1545</v>
      </c>
      <c r="E2686" s="6" t="s">
        <v>11454</v>
      </c>
      <c r="F2686" s="6" t="s">
        <v>46</v>
      </c>
      <c r="G2686" s="6" t="s">
        <v>11545</v>
      </c>
      <c r="H2686" s="7"/>
      <c r="I2686" s="16" t="s">
        <v>48</v>
      </c>
      <c r="J2686" s="16" t="s">
        <v>48</v>
      </c>
      <c r="AG2686" s="15" t="s">
        <v>55</v>
      </c>
      <c r="AH2686" s="15"/>
      <c r="AI2686" s="15"/>
    </row>
    <row r="2687" spans="1:37" s="6" customFormat="1">
      <c r="A2687" s="6" t="s">
        <v>11546</v>
      </c>
      <c r="B2687" s="6" t="s">
        <v>11547</v>
      </c>
      <c r="C2687" s="6" t="s">
        <v>43</v>
      </c>
      <c r="D2687" s="6" t="s">
        <v>1545</v>
      </c>
      <c r="E2687" s="6" t="s">
        <v>11454</v>
      </c>
      <c r="F2687" s="6" t="s">
        <v>46</v>
      </c>
      <c r="G2687" s="6" t="s">
        <v>11548</v>
      </c>
      <c r="H2687" s="7"/>
      <c r="I2687" s="16" t="s">
        <v>48</v>
      </c>
      <c r="J2687" s="16" t="s">
        <v>48</v>
      </c>
      <c r="AG2687" s="15" t="s">
        <v>55</v>
      </c>
      <c r="AH2687" s="15"/>
      <c r="AI2687" s="15"/>
    </row>
    <row r="2688" spans="1:37" s="6" customFormat="1">
      <c r="A2688" s="5" t="s">
        <v>11549</v>
      </c>
      <c r="B2688" s="5" t="s">
        <v>11550</v>
      </c>
      <c r="C2688" s="6" t="s">
        <v>43</v>
      </c>
      <c r="D2688" s="6" t="s">
        <v>1545</v>
      </c>
      <c r="E2688" s="6" t="s">
        <v>11454</v>
      </c>
      <c r="F2688" s="6" t="s">
        <v>46</v>
      </c>
      <c r="G2688" s="6" t="s">
        <v>9734</v>
      </c>
      <c r="H2688" s="7">
        <v>145.97999999999999</v>
      </c>
      <c r="I2688" s="19" t="s">
        <v>1882</v>
      </c>
      <c r="J2688" s="19" t="s">
        <v>11461</v>
      </c>
      <c r="K2688" s="5"/>
      <c r="L2688" s="5"/>
      <c r="M2688" s="5"/>
      <c r="N2688" s="5"/>
      <c r="O2688" s="5"/>
      <c r="P2688" s="5"/>
      <c r="Q2688" s="5"/>
      <c r="R2688" s="5"/>
      <c r="S2688" s="5"/>
      <c r="T2688" s="5"/>
      <c r="U2688" s="5"/>
      <c r="V2688" s="5"/>
      <c r="W2688" s="5"/>
      <c r="X2688" s="5"/>
      <c r="Y2688" s="5"/>
      <c r="Z2688" s="5"/>
      <c r="AA2688" s="5"/>
      <c r="AB2688" s="5"/>
      <c r="AC2688" s="5"/>
      <c r="AD2688" s="5"/>
      <c r="AE2688" s="5"/>
      <c r="AF2688" s="5"/>
      <c r="AG2688" s="14" t="s">
        <v>55</v>
      </c>
      <c r="AH2688" s="14" t="s">
        <v>1283</v>
      </c>
      <c r="AI2688" s="14" t="s">
        <v>1283</v>
      </c>
      <c r="AJ2688" s="5" t="s">
        <v>1284</v>
      </c>
      <c r="AK2688" s="5"/>
    </row>
    <row r="2689" spans="1:37">
      <c r="A2689" s="5" t="s">
        <v>11551</v>
      </c>
      <c r="B2689" s="5" t="s">
        <v>11552</v>
      </c>
      <c r="C2689" s="6" t="s">
        <v>43</v>
      </c>
      <c r="D2689" s="6" t="s">
        <v>1545</v>
      </c>
      <c r="E2689" s="6" t="s">
        <v>11454</v>
      </c>
      <c r="F2689" s="6" t="s">
        <v>46</v>
      </c>
      <c r="G2689" s="6" t="s">
        <v>11553</v>
      </c>
      <c r="H2689" s="7">
        <v>118.14</v>
      </c>
      <c r="I2689" s="19" t="s">
        <v>1882</v>
      </c>
      <c r="J2689" s="19" t="s">
        <v>11461</v>
      </c>
      <c r="R2689" s="5"/>
      <c r="AG2689" s="14" t="s">
        <v>55</v>
      </c>
      <c r="AH2689" s="14" t="s">
        <v>1283</v>
      </c>
      <c r="AI2689" s="14" t="s">
        <v>1283</v>
      </c>
      <c r="AJ2689" s="5" t="s">
        <v>1284</v>
      </c>
    </row>
    <row r="2690" spans="1:37">
      <c r="A2690" s="5" t="s">
        <v>11554</v>
      </c>
      <c r="B2690" s="5" t="s">
        <v>11555</v>
      </c>
      <c r="C2690" s="6" t="s">
        <v>43</v>
      </c>
      <c r="D2690" s="6" t="s">
        <v>1545</v>
      </c>
      <c r="E2690" s="6" t="s">
        <v>11454</v>
      </c>
      <c r="F2690" s="6" t="s">
        <v>46</v>
      </c>
      <c r="G2690" s="6" t="s">
        <v>11556</v>
      </c>
      <c r="H2690" s="7">
        <v>208.05</v>
      </c>
      <c r="I2690" s="19" t="s">
        <v>1882</v>
      </c>
      <c r="J2690" s="19" t="s">
        <v>11461</v>
      </c>
      <c r="R2690" s="5"/>
      <c r="AG2690" s="14" t="s">
        <v>55</v>
      </c>
      <c r="AH2690" s="14" t="s">
        <v>1283</v>
      </c>
      <c r="AI2690" s="14" t="s">
        <v>1283</v>
      </c>
      <c r="AJ2690" s="5" t="s">
        <v>1284</v>
      </c>
    </row>
    <row r="2691" spans="1:37">
      <c r="A2691" s="5" t="s">
        <v>11557</v>
      </c>
      <c r="B2691" s="5" t="s">
        <v>11558</v>
      </c>
      <c r="C2691" s="6" t="s">
        <v>43</v>
      </c>
      <c r="D2691" s="6" t="s">
        <v>1545</v>
      </c>
      <c r="E2691" s="6" t="s">
        <v>11454</v>
      </c>
      <c r="F2691" s="6" t="s">
        <v>46</v>
      </c>
      <c r="G2691" s="6" t="s">
        <v>11559</v>
      </c>
      <c r="H2691" s="7">
        <v>416.1</v>
      </c>
      <c r="I2691" s="19" t="s">
        <v>1882</v>
      </c>
      <c r="J2691" s="19" t="s">
        <v>11461</v>
      </c>
      <c r="R2691" s="5"/>
      <c r="AG2691" s="14" t="s">
        <v>55</v>
      </c>
      <c r="AH2691" s="14" t="s">
        <v>1283</v>
      </c>
      <c r="AI2691" s="14" t="s">
        <v>1283</v>
      </c>
      <c r="AJ2691" s="5" t="s">
        <v>1284</v>
      </c>
    </row>
    <row r="2692" spans="1:37">
      <c r="A2692" s="5" t="s">
        <v>11560</v>
      </c>
      <c r="B2692" s="5" t="s">
        <v>11561</v>
      </c>
      <c r="C2692" s="6" t="s">
        <v>43</v>
      </c>
      <c r="D2692" s="6" t="s">
        <v>52</v>
      </c>
      <c r="E2692" s="6" t="s">
        <v>11562</v>
      </c>
      <c r="F2692" s="6" t="s">
        <v>46</v>
      </c>
      <c r="G2692" s="6" t="s">
        <v>11563</v>
      </c>
      <c r="H2692" s="7">
        <v>999</v>
      </c>
      <c r="I2692" s="19" t="s">
        <v>219</v>
      </c>
      <c r="J2692" s="19" t="s">
        <v>11564</v>
      </c>
      <c r="K2692" s="5" t="s">
        <v>11565</v>
      </c>
      <c r="L2692" s="5" t="s">
        <v>11566</v>
      </c>
      <c r="M2692" s="5" t="s">
        <v>11565</v>
      </c>
      <c r="N2692" s="5" t="s">
        <v>11567</v>
      </c>
      <c r="O2692" s="5" t="s">
        <v>11568</v>
      </c>
      <c r="P2692" s="5" t="s">
        <v>11569</v>
      </c>
      <c r="Q2692" s="5" t="s">
        <v>11568</v>
      </c>
      <c r="R2692" s="5" t="s">
        <v>11570</v>
      </c>
      <c r="W2692" s="5" t="s">
        <v>11571</v>
      </c>
      <c r="X2692" s="5" t="s">
        <v>11572</v>
      </c>
      <c r="Y2692" s="5" t="s">
        <v>11573</v>
      </c>
      <c r="Z2692" s="5" t="s">
        <v>11574</v>
      </c>
      <c r="AE2692" s="5" t="s">
        <v>11575</v>
      </c>
      <c r="AG2692" s="14" t="s">
        <v>55</v>
      </c>
      <c r="AH2692" s="14" t="s">
        <v>234</v>
      </c>
      <c r="AI2692" s="14" t="s">
        <v>1408</v>
      </c>
      <c r="AJ2692" s="5" t="s">
        <v>9873</v>
      </c>
    </row>
    <row r="2693" spans="1:37">
      <c r="A2693" s="5" t="s">
        <v>11576</v>
      </c>
      <c r="B2693" s="5" t="s">
        <v>11577</v>
      </c>
      <c r="C2693" s="6" t="s">
        <v>43</v>
      </c>
      <c r="D2693" s="6" t="s">
        <v>52</v>
      </c>
      <c r="E2693" s="6" t="s">
        <v>11562</v>
      </c>
      <c r="F2693" s="6" t="s">
        <v>46</v>
      </c>
      <c r="G2693" s="6" t="s">
        <v>334</v>
      </c>
      <c r="H2693" s="7">
        <v>16</v>
      </c>
      <c r="I2693" s="19" t="s">
        <v>219</v>
      </c>
      <c r="J2693" s="19" t="s">
        <v>11564</v>
      </c>
      <c r="K2693" s="5" t="s">
        <v>11578</v>
      </c>
      <c r="L2693" s="5" t="s">
        <v>11579</v>
      </c>
      <c r="M2693" s="5" t="s">
        <v>11580</v>
      </c>
      <c r="N2693" s="5" t="s">
        <v>11581</v>
      </c>
      <c r="O2693" s="5" t="s">
        <v>11582</v>
      </c>
      <c r="P2693" s="5" t="s">
        <v>11583</v>
      </c>
      <c r="Q2693" s="5" t="s">
        <v>11584</v>
      </c>
      <c r="R2693" s="5" t="s">
        <v>11585</v>
      </c>
      <c r="W2693" s="5" t="s">
        <v>11571</v>
      </c>
      <c r="X2693" s="5" t="s">
        <v>11572</v>
      </c>
      <c r="Y2693" s="5" t="s">
        <v>11573</v>
      </c>
      <c r="Z2693" s="5" t="s">
        <v>11574</v>
      </c>
      <c r="AE2693" s="5" t="s">
        <v>11586</v>
      </c>
      <c r="AG2693" s="14" t="s">
        <v>55</v>
      </c>
      <c r="AH2693" s="14" t="s">
        <v>234</v>
      </c>
      <c r="AI2693" s="14" t="s">
        <v>1408</v>
      </c>
      <c r="AJ2693" s="5" t="s">
        <v>9873</v>
      </c>
    </row>
    <row r="2694" spans="1:37">
      <c r="A2694" s="5" t="s">
        <v>11587</v>
      </c>
      <c r="B2694" s="5" t="s">
        <v>11588</v>
      </c>
      <c r="C2694" s="6" t="s">
        <v>43</v>
      </c>
      <c r="D2694" s="6" t="s">
        <v>52</v>
      </c>
      <c r="E2694" s="6" t="s">
        <v>11562</v>
      </c>
      <c r="F2694" s="6" t="s">
        <v>46</v>
      </c>
      <c r="G2694" s="6" t="s">
        <v>11589</v>
      </c>
      <c r="H2694" s="7">
        <v>440</v>
      </c>
      <c r="I2694" s="19" t="s">
        <v>219</v>
      </c>
      <c r="J2694" s="19" t="s">
        <v>11564</v>
      </c>
      <c r="K2694" s="5" t="s">
        <v>11590</v>
      </c>
      <c r="L2694" s="5" t="s">
        <v>11590</v>
      </c>
      <c r="M2694" s="5" t="s">
        <v>11590</v>
      </c>
      <c r="N2694" s="5" t="s">
        <v>11590</v>
      </c>
      <c r="O2694" s="5" t="s">
        <v>11591</v>
      </c>
      <c r="P2694" s="5" t="s">
        <v>11592</v>
      </c>
      <c r="Q2694" s="5" t="s">
        <v>11593</v>
      </c>
      <c r="R2694" s="5" t="s">
        <v>11594</v>
      </c>
      <c r="W2694" s="5" t="s">
        <v>11571</v>
      </c>
      <c r="X2694" s="5" t="s">
        <v>11572</v>
      </c>
      <c r="Y2694" s="5" t="s">
        <v>11573</v>
      </c>
      <c r="Z2694" s="5" t="s">
        <v>11574</v>
      </c>
      <c r="AE2694" s="5" t="s">
        <v>11595</v>
      </c>
      <c r="AG2694" s="14" t="s">
        <v>55</v>
      </c>
      <c r="AH2694" s="14" t="s">
        <v>234</v>
      </c>
      <c r="AI2694" s="14" t="s">
        <v>1408</v>
      </c>
      <c r="AJ2694" s="5" t="s">
        <v>9873</v>
      </c>
    </row>
    <row r="2695" spans="1:37">
      <c r="A2695" s="6" t="s">
        <v>11596</v>
      </c>
      <c r="B2695" s="6" t="s">
        <v>11597</v>
      </c>
      <c r="C2695" s="6" t="s">
        <v>43</v>
      </c>
      <c r="D2695" s="6" t="s">
        <v>1545</v>
      </c>
      <c r="E2695" s="6" t="s">
        <v>218</v>
      </c>
      <c r="F2695" s="6" t="s">
        <v>46</v>
      </c>
      <c r="G2695" s="6" t="s">
        <v>1935</v>
      </c>
      <c r="I2695" s="6" t="s">
        <v>48</v>
      </c>
      <c r="J2695" s="6" t="s">
        <v>48</v>
      </c>
      <c r="K2695" s="6"/>
      <c r="L2695" s="6"/>
      <c r="M2695" s="6"/>
      <c r="N2695" s="6"/>
      <c r="O2695" s="6"/>
      <c r="P2695" s="6"/>
      <c r="Q2695" s="6"/>
      <c r="R2695" s="6"/>
      <c r="S2695" s="6"/>
      <c r="T2695" s="6"/>
      <c r="U2695" s="6"/>
      <c r="V2695" s="6"/>
      <c r="W2695" s="6"/>
      <c r="X2695" s="6"/>
      <c r="Y2695" s="6"/>
      <c r="Z2695" s="6"/>
      <c r="AA2695" s="6"/>
      <c r="AB2695" s="6"/>
      <c r="AC2695" s="6"/>
      <c r="AD2695" s="6"/>
      <c r="AE2695" s="6"/>
      <c r="AF2695" s="6"/>
      <c r="AG2695" s="15" t="s">
        <v>49</v>
      </c>
      <c r="AH2695" s="15"/>
      <c r="AI2695" s="15"/>
      <c r="AJ2695" s="6"/>
      <c r="AK2695" s="6"/>
    </row>
    <row r="2696" spans="1:37" s="6" customFormat="1">
      <c r="A2696" s="6" t="s">
        <v>11598</v>
      </c>
      <c r="B2696" s="6" t="s">
        <v>11599</v>
      </c>
      <c r="C2696" s="6" t="s">
        <v>870</v>
      </c>
      <c r="D2696" s="6" t="s">
        <v>1545</v>
      </c>
      <c r="E2696" s="6" t="s">
        <v>9920</v>
      </c>
      <c r="F2696" s="6" t="s">
        <v>46</v>
      </c>
      <c r="G2696" s="6" t="s">
        <v>11600</v>
      </c>
      <c r="H2696" s="7"/>
      <c r="I2696" s="6" t="s">
        <v>48</v>
      </c>
      <c r="J2696" s="6" t="s">
        <v>48</v>
      </c>
      <c r="AG2696" s="15" t="s">
        <v>55</v>
      </c>
      <c r="AH2696" s="15"/>
      <c r="AI2696" s="15"/>
    </row>
    <row r="2697" spans="1:37" s="6" customFormat="1">
      <c r="A2697" s="6" t="s">
        <v>11601</v>
      </c>
      <c r="B2697" s="6" t="s">
        <v>11602</v>
      </c>
      <c r="C2697" s="6" t="s">
        <v>43</v>
      </c>
      <c r="D2697" s="6" t="s">
        <v>1545</v>
      </c>
      <c r="E2697" s="6" t="s">
        <v>9920</v>
      </c>
      <c r="F2697" s="6" t="s">
        <v>46</v>
      </c>
      <c r="G2697" s="6" t="s">
        <v>6445</v>
      </c>
      <c r="H2697" s="7"/>
      <c r="I2697" s="19" t="s">
        <v>48</v>
      </c>
      <c r="J2697" s="19" t="s">
        <v>48</v>
      </c>
      <c r="AG2697" s="15" t="s">
        <v>55</v>
      </c>
      <c r="AH2697" s="15"/>
      <c r="AI2697" s="15"/>
    </row>
    <row r="2698" spans="1:37" s="6" customFormat="1">
      <c r="A2698" s="6" t="s">
        <v>11603</v>
      </c>
      <c r="B2698" s="6" t="s">
        <v>11604</v>
      </c>
      <c r="C2698" s="6" t="s">
        <v>43</v>
      </c>
      <c r="D2698" s="6" t="s">
        <v>1545</v>
      </c>
      <c r="E2698" s="6" t="s">
        <v>9920</v>
      </c>
      <c r="F2698" s="6" t="s">
        <v>46</v>
      </c>
      <c r="G2698" s="6" t="s">
        <v>1544</v>
      </c>
      <c r="H2698" s="7"/>
      <c r="I2698" s="19" t="s">
        <v>48</v>
      </c>
      <c r="J2698" s="19" t="s">
        <v>48</v>
      </c>
      <c r="AG2698" s="15" t="s">
        <v>55</v>
      </c>
      <c r="AH2698" s="15"/>
      <c r="AI2698" s="15"/>
    </row>
    <row r="2699" spans="1:37" s="6" customFormat="1">
      <c r="A2699" s="6" t="s">
        <v>11605</v>
      </c>
      <c r="B2699" s="6" t="s">
        <v>11606</v>
      </c>
      <c r="C2699" s="6" t="s">
        <v>43</v>
      </c>
      <c r="D2699" s="6" t="s">
        <v>1545</v>
      </c>
      <c r="E2699" s="6" t="s">
        <v>9920</v>
      </c>
      <c r="F2699" s="6" t="s">
        <v>46</v>
      </c>
      <c r="G2699" s="6" t="s">
        <v>11607</v>
      </c>
      <c r="H2699" s="7"/>
      <c r="I2699" s="19" t="s">
        <v>48</v>
      </c>
      <c r="J2699" s="19" t="s">
        <v>48</v>
      </c>
      <c r="AG2699" s="15" t="s">
        <v>55</v>
      </c>
      <c r="AH2699" s="15"/>
      <c r="AI2699" s="15"/>
    </row>
    <row r="2700" spans="1:37" s="6" customFormat="1">
      <c r="A2700" s="6" t="s">
        <v>11608</v>
      </c>
      <c r="B2700" s="6" t="s">
        <v>11609</v>
      </c>
      <c r="C2700" s="6" t="s">
        <v>43</v>
      </c>
      <c r="D2700" s="6" t="s">
        <v>1545</v>
      </c>
      <c r="E2700" s="6" t="s">
        <v>9920</v>
      </c>
      <c r="F2700" s="6" t="s">
        <v>46</v>
      </c>
      <c r="G2700" s="6" t="s">
        <v>1941</v>
      </c>
      <c r="H2700" s="7"/>
      <c r="I2700" s="19" t="s">
        <v>48</v>
      </c>
      <c r="J2700" s="19" t="s">
        <v>48</v>
      </c>
      <c r="AG2700" s="15" t="s">
        <v>55</v>
      </c>
      <c r="AH2700" s="15"/>
      <c r="AI2700" s="15"/>
    </row>
    <row r="2701" spans="1:37" s="6" customFormat="1">
      <c r="A2701" s="6" t="s">
        <v>11610</v>
      </c>
      <c r="B2701" s="6" t="s">
        <v>11611</v>
      </c>
      <c r="C2701" s="6" t="s">
        <v>43</v>
      </c>
      <c r="D2701" s="6" t="s">
        <v>1545</v>
      </c>
      <c r="E2701" s="6" t="s">
        <v>9920</v>
      </c>
      <c r="F2701" s="6" t="s">
        <v>46</v>
      </c>
      <c r="G2701" s="6" t="s">
        <v>11612</v>
      </c>
      <c r="H2701" s="7"/>
      <c r="I2701" s="19" t="s">
        <v>48</v>
      </c>
      <c r="J2701" s="19" t="s">
        <v>48</v>
      </c>
      <c r="AG2701" s="15" t="s">
        <v>55</v>
      </c>
      <c r="AH2701" s="15"/>
      <c r="AI2701" s="15"/>
    </row>
    <row r="2702" spans="1:37" s="6" customFormat="1">
      <c r="A2702" s="6" t="s">
        <v>11613</v>
      </c>
      <c r="B2702" s="6" t="s">
        <v>11614</v>
      </c>
      <c r="C2702" s="6" t="s">
        <v>43</v>
      </c>
      <c r="D2702" s="6" t="s">
        <v>1545</v>
      </c>
      <c r="E2702" s="6" t="s">
        <v>9920</v>
      </c>
      <c r="F2702" s="6" t="s">
        <v>46</v>
      </c>
      <c r="G2702" s="6" t="s">
        <v>1071</v>
      </c>
      <c r="H2702" s="7"/>
      <c r="I2702" s="19" t="s">
        <v>48</v>
      </c>
      <c r="J2702" s="19" t="s">
        <v>48</v>
      </c>
      <c r="AG2702" s="15" t="s">
        <v>55</v>
      </c>
      <c r="AH2702" s="15"/>
      <c r="AI2702" s="15"/>
    </row>
    <row r="2703" spans="1:37" s="6" customFormat="1">
      <c r="A2703" s="5" t="s">
        <v>11615</v>
      </c>
      <c r="B2703" s="5" t="s">
        <v>11616</v>
      </c>
      <c r="C2703" s="6" t="s">
        <v>11617</v>
      </c>
      <c r="D2703" s="6" t="s">
        <v>1545</v>
      </c>
      <c r="E2703" s="6" t="s">
        <v>9920</v>
      </c>
      <c r="F2703" s="6" t="s">
        <v>46</v>
      </c>
      <c r="G2703" s="6" t="s">
        <v>1699</v>
      </c>
      <c r="H2703" s="7">
        <v>307.8</v>
      </c>
      <c r="I2703" s="19" t="s">
        <v>1882</v>
      </c>
      <c r="J2703" s="19" t="s">
        <v>11618</v>
      </c>
      <c r="K2703" s="5" t="s">
        <v>11619</v>
      </c>
      <c r="L2703" s="5" t="s">
        <v>11620</v>
      </c>
      <c r="M2703" s="5" t="s">
        <v>11621</v>
      </c>
      <c r="N2703" s="5" t="s">
        <v>11622</v>
      </c>
      <c r="O2703" s="5" t="s">
        <v>11623</v>
      </c>
      <c r="P2703" s="5" t="s">
        <v>11624</v>
      </c>
      <c r="Q2703" s="5" t="s">
        <v>11625</v>
      </c>
      <c r="R2703" s="5" t="s">
        <v>11626</v>
      </c>
      <c r="S2703" s="5"/>
      <c r="T2703" s="5"/>
      <c r="U2703" s="5"/>
      <c r="V2703" s="5"/>
      <c r="W2703" s="5" t="s">
        <v>9767</v>
      </c>
      <c r="X2703" s="5"/>
      <c r="Y2703" s="5"/>
      <c r="Z2703" s="5"/>
      <c r="AA2703" s="5"/>
      <c r="AB2703" s="5"/>
      <c r="AC2703" s="5"/>
      <c r="AD2703" s="5"/>
      <c r="AE2703" s="5"/>
      <c r="AF2703" s="5"/>
      <c r="AG2703" s="14" t="s">
        <v>55</v>
      </c>
      <c r="AH2703" s="14" t="s">
        <v>9768</v>
      </c>
      <c r="AI2703" s="14" t="s">
        <v>11627</v>
      </c>
      <c r="AJ2703" s="5" t="s">
        <v>11628</v>
      </c>
      <c r="AK2703" s="5"/>
    </row>
    <row r="2704" spans="1:37">
      <c r="A2704" s="6" t="s">
        <v>11629</v>
      </c>
      <c r="B2704" s="6" t="s">
        <v>11630</v>
      </c>
      <c r="C2704" s="6" t="s">
        <v>11617</v>
      </c>
      <c r="D2704" s="6" t="s">
        <v>1545</v>
      </c>
      <c r="E2704" s="6" t="s">
        <v>9920</v>
      </c>
      <c r="F2704" s="6" t="s">
        <v>46</v>
      </c>
      <c r="G2704" s="6" t="s">
        <v>11631</v>
      </c>
      <c r="I2704" s="19" t="s">
        <v>48</v>
      </c>
      <c r="J2704" s="19" t="s">
        <v>48</v>
      </c>
      <c r="K2704" s="6"/>
      <c r="L2704" s="6"/>
      <c r="M2704" s="6"/>
      <c r="N2704" s="6"/>
      <c r="O2704" s="6"/>
      <c r="P2704" s="6"/>
      <c r="Q2704" s="6"/>
      <c r="R2704" s="6"/>
      <c r="S2704" s="6"/>
      <c r="T2704" s="6"/>
      <c r="U2704" s="6"/>
      <c r="V2704" s="6"/>
      <c r="W2704" s="5" t="s">
        <v>9767</v>
      </c>
      <c r="X2704" s="6"/>
      <c r="Y2704" s="6"/>
      <c r="Z2704" s="6"/>
      <c r="AA2704" s="6"/>
      <c r="AB2704" s="6"/>
      <c r="AC2704" s="6"/>
      <c r="AD2704" s="6"/>
      <c r="AE2704" s="6"/>
      <c r="AF2704" s="6"/>
      <c r="AG2704" s="15" t="s">
        <v>55</v>
      </c>
      <c r="AH2704" s="15"/>
      <c r="AI2704" s="15"/>
      <c r="AJ2704" s="6"/>
      <c r="AK2704" s="6"/>
    </row>
    <row r="2705" spans="1:37" s="6" customFormat="1">
      <c r="A2705" s="5" t="s">
        <v>11632</v>
      </c>
      <c r="B2705" s="5" t="s">
        <v>11633</v>
      </c>
      <c r="C2705" s="6" t="s">
        <v>43</v>
      </c>
      <c r="D2705" s="6" t="s">
        <v>1545</v>
      </c>
      <c r="E2705" s="6" t="s">
        <v>9920</v>
      </c>
      <c r="F2705" s="6" t="s">
        <v>46</v>
      </c>
      <c r="G2705" s="6" t="s">
        <v>11634</v>
      </c>
      <c r="H2705" s="7">
        <v>367.7</v>
      </c>
      <c r="I2705" s="19" t="s">
        <v>1882</v>
      </c>
      <c r="J2705" s="19" t="s">
        <v>11618</v>
      </c>
      <c r="K2705" s="6" t="s">
        <v>11635</v>
      </c>
      <c r="L2705" s="6" t="s">
        <v>11636</v>
      </c>
      <c r="M2705" s="6" t="s">
        <v>11637</v>
      </c>
      <c r="N2705" s="6" t="s">
        <v>11638</v>
      </c>
      <c r="O2705" s="6" t="s">
        <v>11639</v>
      </c>
      <c r="P2705" s="6" t="s">
        <v>11640</v>
      </c>
      <c r="Q2705" s="6" t="s">
        <v>11641</v>
      </c>
      <c r="R2705" s="6" t="s">
        <v>11642</v>
      </c>
      <c r="S2705" s="5"/>
      <c r="T2705" s="5"/>
      <c r="U2705" s="5"/>
      <c r="V2705" s="5"/>
      <c r="W2705" s="5" t="s">
        <v>9767</v>
      </c>
      <c r="X2705" s="5"/>
      <c r="Y2705" s="5"/>
      <c r="Z2705" s="5"/>
      <c r="AA2705" s="5"/>
      <c r="AB2705" s="5"/>
      <c r="AC2705" s="5"/>
      <c r="AD2705" s="5"/>
      <c r="AE2705" s="5"/>
      <c r="AF2705" s="5"/>
      <c r="AG2705" s="14" t="s">
        <v>55</v>
      </c>
      <c r="AH2705" s="14" t="s">
        <v>9768</v>
      </c>
      <c r="AI2705" s="14" t="s">
        <v>11627</v>
      </c>
      <c r="AJ2705" s="5" t="s">
        <v>11628</v>
      </c>
      <c r="AK2705" s="5"/>
    </row>
    <row r="2706" spans="1:37">
      <c r="A2706" s="5" t="s">
        <v>11643</v>
      </c>
      <c r="B2706" s="5" t="s">
        <v>11644</v>
      </c>
      <c r="C2706" s="6" t="s">
        <v>43</v>
      </c>
      <c r="D2706" s="6" t="s">
        <v>1545</v>
      </c>
      <c r="E2706" s="6" t="s">
        <v>9920</v>
      </c>
      <c r="F2706" s="6" t="s">
        <v>46</v>
      </c>
      <c r="G2706" s="6" t="s">
        <v>11645</v>
      </c>
      <c r="H2706" s="7">
        <v>457.6</v>
      </c>
      <c r="I2706" s="19" t="s">
        <v>1882</v>
      </c>
      <c r="J2706" s="19" t="s">
        <v>11618</v>
      </c>
      <c r="K2706" s="6" t="s">
        <v>11646</v>
      </c>
      <c r="L2706" s="6" t="s">
        <v>11647</v>
      </c>
      <c r="M2706" s="6" t="s">
        <v>11648</v>
      </c>
      <c r="N2706" s="6" t="s">
        <v>11649</v>
      </c>
      <c r="O2706" s="6" t="s">
        <v>11650</v>
      </c>
      <c r="P2706" s="6" t="s">
        <v>11651</v>
      </c>
      <c r="Q2706" s="6" t="s">
        <v>11652</v>
      </c>
      <c r="R2706" s="6" t="s">
        <v>11653</v>
      </c>
      <c r="W2706" s="6" t="s">
        <v>9767</v>
      </c>
      <c r="AG2706" s="14" t="s">
        <v>55</v>
      </c>
      <c r="AH2706" s="14" t="s">
        <v>9768</v>
      </c>
      <c r="AI2706" s="14" t="s">
        <v>11627</v>
      </c>
      <c r="AJ2706" s="5" t="s">
        <v>11628</v>
      </c>
    </row>
    <row r="2707" spans="1:37">
      <c r="A2707" s="5" t="s">
        <v>11654</v>
      </c>
      <c r="B2707" s="5" t="s">
        <v>11655</v>
      </c>
      <c r="C2707" s="6" t="s">
        <v>43</v>
      </c>
      <c r="D2707" s="6" t="s">
        <v>1545</v>
      </c>
      <c r="E2707" s="6" t="s">
        <v>9920</v>
      </c>
      <c r="F2707" s="6" t="s">
        <v>46</v>
      </c>
      <c r="G2707" s="6" t="s">
        <v>11656</v>
      </c>
      <c r="H2707" s="7">
        <v>611.79999999999995</v>
      </c>
      <c r="I2707" s="19" t="s">
        <v>1882</v>
      </c>
      <c r="J2707" s="19" t="s">
        <v>11618</v>
      </c>
      <c r="K2707" s="6" t="s">
        <v>11657</v>
      </c>
      <c r="L2707" s="6" t="s">
        <v>11658</v>
      </c>
      <c r="M2707" s="6" t="s">
        <v>11659</v>
      </c>
      <c r="N2707" s="6" t="s">
        <v>11660</v>
      </c>
      <c r="O2707" s="6" t="s">
        <v>11661</v>
      </c>
      <c r="P2707" s="6" t="s">
        <v>11662</v>
      </c>
      <c r="Q2707" s="6" t="s">
        <v>11663</v>
      </c>
      <c r="R2707" s="6" t="s">
        <v>11664</v>
      </c>
      <c r="W2707" s="6" t="s">
        <v>9767</v>
      </c>
      <c r="AG2707" s="14" t="s">
        <v>55</v>
      </c>
      <c r="AH2707" s="14" t="s">
        <v>9768</v>
      </c>
      <c r="AI2707" s="14" t="s">
        <v>11627</v>
      </c>
      <c r="AJ2707" s="5" t="s">
        <v>11628</v>
      </c>
    </row>
    <row r="2708" spans="1:37">
      <c r="A2708" s="5" t="s">
        <v>11665</v>
      </c>
      <c r="B2708" s="5" t="s">
        <v>11666</v>
      </c>
      <c r="C2708" s="6" t="s">
        <v>43</v>
      </c>
      <c r="D2708" s="6" t="s">
        <v>1545</v>
      </c>
      <c r="E2708" s="6" t="s">
        <v>9920</v>
      </c>
      <c r="F2708" s="6" t="s">
        <v>46</v>
      </c>
      <c r="G2708" s="6" t="s">
        <v>11667</v>
      </c>
      <c r="H2708" s="7">
        <v>68.3</v>
      </c>
      <c r="I2708" s="19" t="s">
        <v>1882</v>
      </c>
      <c r="J2708" s="19" t="s">
        <v>11618</v>
      </c>
      <c r="K2708" s="6" t="s">
        <v>11668</v>
      </c>
      <c r="L2708" s="6" t="s">
        <v>11669</v>
      </c>
      <c r="M2708" s="6" t="s">
        <v>11670</v>
      </c>
      <c r="N2708" s="6" t="s">
        <v>11671</v>
      </c>
      <c r="O2708" s="6" t="s">
        <v>11672</v>
      </c>
      <c r="P2708" s="6" t="s">
        <v>11673</v>
      </c>
      <c r="Q2708" s="6" t="s">
        <v>11674</v>
      </c>
      <c r="R2708" s="6" t="s">
        <v>11675</v>
      </c>
      <c r="W2708" s="6" t="s">
        <v>9767</v>
      </c>
      <c r="AG2708" s="14" t="s">
        <v>55</v>
      </c>
      <c r="AH2708" s="14" t="s">
        <v>9768</v>
      </c>
      <c r="AI2708" s="14" t="s">
        <v>11627</v>
      </c>
      <c r="AJ2708" s="5" t="s">
        <v>11628</v>
      </c>
    </row>
    <row r="2709" spans="1:37">
      <c r="A2709" s="5" t="s">
        <v>11676</v>
      </c>
      <c r="B2709" s="5" t="s">
        <v>11677</v>
      </c>
      <c r="C2709" s="6" t="s">
        <v>43</v>
      </c>
      <c r="D2709" s="6" t="s">
        <v>1545</v>
      </c>
      <c r="E2709" s="6" t="s">
        <v>9920</v>
      </c>
      <c r="F2709" s="6" t="s">
        <v>46</v>
      </c>
      <c r="G2709" s="6" t="s">
        <v>3875</v>
      </c>
      <c r="H2709" s="7">
        <v>95.9</v>
      </c>
      <c r="I2709" s="19" t="s">
        <v>1882</v>
      </c>
      <c r="J2709" s="19" t="s">
        <v>11618</v>
      </c>
      <c r="K2709" s="6" t="s">
        <v>11678</v>
      </c>
      <c r="L2709" s="6" t="s">
        <v>11679</v>
      </c>
      <c r="M2709" s="6" t="s">
        <v>11680</v>
      </c>
      <c r="N2709" s="6" t="s">
        <v>11681</v>
      </c>
      <c r="O2709" s="6" t="s">
        <v>11682</v>
      </c>
      <c r="P2709" s="6" t="s">
        <v>11683</v>
      </c>
      <c r="Q2709" s="6" t="s">
        <v>11684</v>
      </c>
      <c r="R2709" s="6" t="s">
        <v>11685</v>
      </c>
      <c r="W2709" s="6" t="s">
        <v>9767</v>
      </c>
      <c r="AG2709" s="14" t="s">
        <v>55</v>
      </c>
      <c r="AH2709" s="14" t="s">
        <v>9768</v>
      </c>
      <c r="AI2709" s="14" t="s">
        <v>11627</v>
      </c>
      <c r="AJ2709" s="5" t="s">
        <v>11628</v>
      </c>
    </row>
    <row r="2710" spans="1:37">
      <c r="A2710" s="5" t="s">
        <v>11686</v>
      </c>
      <c r="B2710" s="5" t="s">
        <v>11687</v>
      </c>
      <c r="C2710" s="6" t="s">
        <v>43</v>
      </c>
      <c r="D2710" s="6" t="s">
        <v>1545</v>
      </c>
      <c r="E2710" s="6" t="s">
        <v>9920</v>
      </c>
      <c r="F2710" s="6" t="s">
        <v>46</v>
      </c>
      <c r="G2710" s="6" t="s">
        <v>11688</v>
      </c>
      <c r="H2710" s="7">
        <v>125.9</v>
      </c>
      <c r="I2710" s="19" t="s">
        <v>1882</v>
      </c>
      <c r="J2710" s="19" t="s">
        <v>11618</v>
      </c>
      <c r="K2710" s="6" t="s">
        <v>11689</v>
      </c>
      <c r="L2710" s="6" t="s">
        <v>11690</v>
      </c>
      <c r="M2710" s="6" t="s">
        <v>11691</v>
      </c>
      <c r="N2710" s="6" t="s">
        <v>11692</v>
      </c>
      <c r="O2710" s="6" t="s">
        <v>11693</v>
      </c>
      <c r="P2710" s="6" t="s">
        <v>11694</v>
      </c>
      <c r="Q2710" s="6" t="s">
        <v>11695</v>
      </c>
      <c r="R2710" s="6" t="s">
        <v>11696</v>
      </c>
      <c r="W2710" s="6" t="s">
        <v>9767</v>
      </c>
      <c r="AG2710" s="14" t="s">
        <v>55</v>
      </c>
      <c r="AH2710" s="14" t="s">
        <v>9768</v>
      </c>
      <c r="AI2710" s="14" t="s">
        <v>11627</v>
      </c>
      <c r="AJ2710" s="5" t="s">
        <v>11628</v>
      </c>
    </row>
    <row r="2711" spans="1:37">
      <c r="A2711" s="5" t="s">
        <v>11697</v>
      </c>
      <c r="B2711" s="5" t="s">
        <v>11698</v>
      </c>
      <c r="C2711" s="6" t="s">
        <v>43</v>
      </c>
      <c r="D2711" s="6" t="s">
        <v>1545</v>
      </c>
      <c r="E2711" s="6" t="s">
        <v>9920</v>
      </c>
      <c r="F2711" s="6" t="s">
        <v>46</v>
      </c>
      <c r="G2711" s="6" t="s">
        <v>11699</v>
      </c>
      <c r="H2711" s="7">
        <v>156.19999999999999</v>
      </c>
      <c r="I2711" s="19" t="s">
        <v>1882</v>
      </c>
      <c r="J2711" s="19" t="s">
        <v>11618</v>
      </c>
      <c r="K2711" s="6" t="s">
        <v>11700</v>
      </c>
      <c r="L2711" s="6" t="s">
        <v>11701</v>
      </c>
      <c r="M2711" s="6" t="s">
        <v>11702</v>
      </c>
      <c r="N2711" s="6" t="s">
        <v>11703</v>
      </c>
      <c r="O2711" s="6" t="s">
        <v>11704</v>
      </c>
      <c r="P2711" s="6" t="s">
        <v>11705</v>
      </c>
      <c r="Q2711" s="6" t="s">
        <v>11706</v>
      </c>
      <c r="R2711" s="6" t="s">
        <v>11707</v>
      </c>
      <c r="W2711" s="6" t="s">
        <v>9767</v>
      </c>
      <c r="AG2711" s="14" t="s">
        <v>55</v>
      </c>
      <c r="AH2711" s="14" t="s">
        <v>9768</v>
      </c>
      <c r="AI2711" s="14" t="s">
        <v>11627</v>
      </c>
      <c r="AJ2711" s="5" t="s">
        <v>11628</v>
      </c>
    </row>
    <row r="2712" spans="1:37">
      <c r="A2712" s="5" t="s">
        <v>11708</v>
      </c>
      <c r="B2712" s="5" t="s">
        <v>11709</v>
      </c>
      <c r="C2712" s="6" t="s">
        <v>43</v>
      </c>
      <c r="D2712" s="6" t="s">
        <v>1545</v>
      </c>
      <c r="E2712" s="6" t="s">
        <v>9920</v>
      </c>
      <c r="F2712" s="6" t="s">
        <v>46</v>
      </c>
      <c r="G2712" s="6" t="s">
        <v>11710</v>
      </c>
      <c r="H2712" s="7">
        <v>184.2</v>
      </c>
      <c r="I2712" s="19" t="s">
        <v>1882</v>
      </c>
      <c r="J2712" s="19" t="s">
        <v>11618</v>
      </c>
      <c r="K2712" s="6" t="s">
        <v>11711</v>
      </c>
      <c r="L2712" s="6" t="s">
        <v>11712</v>
      </c>
      <c r="M2712" s="6" t="s">
        <v>11713</v>
      </c>
      <c r="N2712" s="6" t="s">
        <v>11714</v>
      </c>
      <c r="O2712" s="6" t="s">
        <v>11715</v>
      </c>
      <c r="P2712" s="6" t="s">
        <v>11716</v>
      </c>
      <c r="Q2712" s="6" t="s">
        <v>11717</v>
      </c>
      <c r="R2712" s="6" t="s">
        <v>11718</v>
      </c>
      <c r="W2712" s="6" t="s">
        <v>9767</v>
      </c>
      <c r="AG2712" s="14" t="s">
        <v>55</v>
      </c>
      <c r="AH2712" s="14" t="s">
        <v>9768</v>
      </c>
      <c r="AI2712" s="14" t="s">
        <v>11627</v>
      </c>
      <c r="AJ2712" s="5" t="s">
        <v>11628</v>
      </c>
    </row>
    <row r="2713" spans="1:37">
      <c r="A2713" s="5" t="s">
        <v>11719</v>
      </c>
      <c r="B2713" s="5" t="s">
        <v>11720</v>
      </c>
      <c r="C2713" s="6" t="s">
        <v>43</v>
      </c>
      <c r="D2713" s="6" t="s">
        <v>1545</v>
      </c>
      <c r="E2713" s="6" t="s">
        <v>9920</v>
      </c>
      <c r="F2713" s="6" t="s">
        <v>46</v>
      </c>
      <c r="G2713" s="6" t="s">
        <v>11721</v>
      </c>
      <c r="H2713" s="7">
        <v>243.7</v>
      </c>
      <c r="I2713" s="19" t="s">
        <v>1882</v>
      </c>
      <c r="J2713" s="19" t="s">
        <v>11618</v>
      </c>
      <c r="K2713" s="6" t="s">
        <v>11722</v>
      </c>
      <c r="L2713" s="6" t="s">
        <v>11723</v>
      </c>
      <c r="M2713" s="6" t="s">
        <v>11724</v>
      </c>
      <c r="N2713" s="6" t="s">
        <v>11725</v>
      </c>
      <c r="O2713" s="6" t="s">
        <v>11726</v>
      </c>
      <c r="P2713" s="6" t="s">
        <v>11727</v>
      </c>
      <c r="Q2713" s="6" t="s">
        <v>11728</v>
      </c>
      <c r="R2713" s="6" t="s">
        <v>11729</v>
      </c>
      <c r="W2713" s="6" t="s">
        <v>9767</v>
      </c>
      <c r="AG2713" s="14" t="s">
        <v>55</v>
      </c>
      <c r="AH2713" s="14" t="s">
        <v>9768</v>
      </c>
      <c r="AI2713" s="14" t="s">
        <v>11627</v>
      </c>
      <c r="AJ2713" s="5" t="s">
        <v>11628</v>
      </c>
    </row>
    <row r="2714" spans="1:37">
      <c r="A2714" s="5" t="s">
        <v>11730</v>
      </c>
      <c r="B2714" s="5" t="s">
        <v>11731</v>
      </c>
      <c r="C2714" s="6" t="s">
        <v>43</v>
      </c>
      <c r="D2714" s="6" t="s">
        <v>1545</v>
      </c>
      <c r="E2714" s="6" t="s">
        <v>9920</v>
      </c>
      <c r="F2714" s="6" t="s">
        <v>46</v>
      </c>
      <c r="G2714" s="6" t="s">
        <v>11732</v>
      </c>
      <c r="H2714" s="7">
        <v>461.7</v>
      </c>
      <c r="I2714" s="19" t="s">
        <v>1882</v>
      </c>
      <c r="J2714" s="19" t="s">
        <v>11618</v>
      </c>
      <c r="K2714" s="6" t="s">
        <v>11733</v>
      </c>
      <c r="L2714" s="6" t="s">
        <v>11734</v>
      </c>
      <c r="M2714" s="6" t="s">
        <v>11735</v>
      </c>
      <c r="N2714" s="6" t="s">
        <v>11736</v>
      </c>
      <c r="O2714" s="6" t="s">
        <v>11737</v>
      </c>
      <c r="P2714" s="6" t="s">
        <v>11738</v>
      </c>
      <c r="Q2714" s="6" t="s">
        <v>11739</v>
      </c>
      <c r="R2714" s="6" t="s">
        <v>11740</v>
      </c>
      <c r="W2714" s="6" t="s">
        <v>9767</v>
      </c>
      <c r="AG2714" s="14" t="s">
        <v>55</v>
      </c>
      <c r="AH2714" s="14" t="s">
        <v>9768</v>
      </c>
      <c r="AI2714" s="14" t="s">
        <v>11627</v>
      </c>
      <c r="AJ2714" s="5" t="s">
        <v>11628</v>
      </c>
    </row>
    <row r="2715" spans="1:37">
      <c r="A2715" s="5" t="s">
        <v>11741</v>
      </c>
      <c r="B2715" s="5" t="s">
        <v>11742</v>
      </c>
      <c r="C2715" s="6" t="s">
        <v>43</v>
      </c>
      <c r="D2715" s="6" t="s">
        <v>1545</v>
      </c>
      <c r="E2715" s="6" t="s">
        <v>9920</v>
      </c>
      <c r="F2715" s="6" t="s">
        <v>46</v>
      </c>
      <c r="G2715" s="6" t="s">
        <v>11743</v>
      </c>
      <c r="H2715" s="7">
        <v>686.4</v>
      </c>
      <c r="I2715" s="19" t="s">
        <v>1882</v>
      </c>
      <c r="J2715" s="19" t="s">
        <v>11618</v>
      </c>
      <c r="K2715" s="6" t="s">
        <v>11744</v>
      </c>
      <c r="L2715" s="6" t="s">
        <v>11745</v>
      </c>
      <c r="M2715" s="6" t="s">
        <v>11746</v>
      </c>
      <c r="N2715" s="6" t="s">
        <v>11747</v>
      </c>
      <c r="O2715" s="6" t="s">
        <v>11748</v>
      </c>
      <c r="P2715" s="6" t="s">
        <v>11749</v>
      </c>
      <c r="Q2715" s="6" t="s">
        <v>11750</v>
      </c>
      <c r="R2715" s="6" t="s">
        <v>11751</v>
      </c>
      <c r="W2715" s="6" t="s">
        <v>9767</v>
      </c>
      <c r="AG2715" s="14" t="s">
        <v>55</v>
      </c>
      <c r="AH2715" s="14" t="s">
        <v>9768</v>
      </c>
      <c r="AI2715" s="14" t="s">
        <v>11627</v>
      </c>
      <c r="AJ2715" s="5" t="s">
        <v>11628</v>
      </c>
    </row>
    <row r="2716" spans="1:37">
      <c r="A2716" s="5" t="s">
        <v>11752</v>
      </c>
      <c r="B2716" s="5" t="s">
        <v>11753</v>
      </c>
      <c r="C2716" s="6" t="s">
        <v>43</v>
      </c>
      <c r="D2716" s="6" t="s">
        <v>1545</v>
      </c>
      <c r="E2716" s="6" t="s">
        <v>9920</v>
      </c>
      <c r="F2716" s="6" t="s">
        <v>46</v>
      </c>
      <c r="G2716" s="6" t="s">
        <v>11754</v>
      </c>
      <c r="H2716" s="7">
        <v>102.4</v>
      </c>
      <c r="I2716" s="19" t="s">
        <v>1882</v>
      </c>
      <c r="J2716" s="19" t="s">
        <v>11618</v>
      </c>
      <c r="K2716" s="6" t="s">
        <v>11755</v>
      </c>
      <c r="L2716" s="6" t="s">
        <v>11756</v>
      </c>
      <c r="M2716" s="6" t="s">
        <v>11757</v>
      </c>
      <c r="N2716" s="6" t="s">
        <v>11758</v>
      </c>
      <c r="O2716" s="6" t="s">
        <v>11759</v>
      </c>
      <c r="P2716" s="6" t="s">
        <v>11760</v>
      </c>
      <c r="Q2716" s="6" t="s">
        <v>11761</v>
      </c>
      <c r="R2716" s="6" t="s">
        <v>11762</v>
      </c>
      <c r="W2716" s="6" t="s">
        <v>9767</v>
      </c>
      <c r="AG2716" s="14" t="s">
        <v>55</v>
      </c>
      <c r="AH2716" s="14" t="s">
        <v>9768</v>
      </c>
      <c r="AI2716" s="14" t="s">
        <v>11627</v>
      </c>
      <c r="AJ2716" s="5" t="s">
        <v>11628</v>
      </c>
    </row>
    <row r="2717" spans="1:37">
      <c r="A2717" s="5" t="s">
        <v>11763</v>
      </c>
      <c r="B2717" s="5" t="s">
        <v>11764</v>
      </c>
      <c r="C2717" s="6" t="s">
        <v>43</v>
      </c>
      <c r="D2717" s="6" t="s">
        <v>1545</v>
      </c>
      <c r="E2717" s="6" t="s">
        <v>9920</v>
      </c>
      <c r="F2717" s="6" t="s">
        <v>46</v>
      </c>
      <c r="G2717" s="6" t="s">
        <v>11765</v>
      </c>
      <c r="H2717" s="7">
        <v>143.85</v>
      </c>
      <c r="I2717" s="19" t="s">
        <v>1882</v>
      </c>
      <c r="J2717" s="19" t="s">
        <v>11618</v>
      </c>
      <c r="K2717" s="6" t="s">
        <v>11766</v>
      </c>
      <c r="L2717" s="6" t="s">
        <v>11767</v>
      </c>
      <c r="M2717" s="6" t="s">
        <v>11768</v>
      </c>
      <c r="N2717" s="6" t="s">
        <v>11769</v>
      </c>
      <c r="O2717" s="6" t="s">
        <v>11770</v>
      </c>
      <c r="P2717" s="6" t="s">
        <v>11771</v>
      </c>
      <c r="Q2717" s="6" t="s">
        <v>11772</v>
      </c>
      <c r="R2717" s="6" t="s">
        <v>11773</v>
      </c>
      <c r="W2717" s="6" t="s">
        <v>9767</v>
      </c>
      <c r="AG2717" s="14" t="s">
        <v>55</v>
      </c>
      <c r="AH2717" s="14" t="s">
        <v>9768</v>
      </c>
      <c r="AI2717" s="14" t="s">
        <v>11627</v>
      </c>
      <c r="AJ2717" s="5" t="s">
        <v>11628</v>
      </c>
    </row>
    <row r="2718" spans="1:37">
      <c r="A2718" s="5" t="s">
        <v>11774</v>
      </c>
      <c r="B2718" s="5" t="s">
        <v>11775</v>
      </c>
      <c r="C2718" s="6" t="s">
        <v>43</v>
      </c>
      <c r="D2718" s="6" t="s">
        <v>1545</v>
      </c>
      <c r="E2718" s="6" t="s">
        <v>9920</v>
      </c>
      <c r="F2718" s="6" t="s">
        <v>46</v>
      </c>
      <c r="G2718" s="6" t="s">
        <v>11776</v>
      </c>
      <c r="H2718" s="7">
        <v>188.85</v>
      </c>
      <c r="I2718" s="19" t="s">
        <v>1882</v>
      </c>
      <c r="J2718" s="19" t="s">
        <v>11618</v>
      </c>
      <c r="K2718" s="6" t="s">
        <v>11777</v>
      </c>
      <c r="L2718" s="6" t="s">
        <v>11778</v>
      </c>
      <c r="M2718" s="6" t="s">
        <v>11779</v>
      </c>
      <c r="N2718" s="6" t="s">
        <v>11780</v>
      </c>
      <c r="O2718" s="6" t="s">
        <v>11781</v>
      </c>
      <c r="P2718" s="6" t="s">
        <v>11782</v>
      </c>
      <c r="Q2718" s="6" t="s">
        <v>11783</v>
      </c>
      <c r="R2718" s="6" t="s">
        <v>11784</v>
      </c>
      <c r="W2718" s="6" t="s">
        <v>9767</v>
      </c>
      <c r="AG2718" s="14" t="s">
        <v>55</v>
      </c>
      <c r="AH2718" s="14" t="s">
        <v>9768</v>
      </c>
      <c r="AI2718" s="14" t="s">
        <v>11627</v>
      </c>
      <c r="AJ2718" s="5" t="s">
        <v>11628</v>
      </c>
    </row>
    <row r="2719" spans="1:37">
      <c r="A2719" s="5" t="s">
        <v>11785</v>
      </c>
      <c r="B2719" s="5" t="s">
        <v>11786</v>
      </c>
      <c r="C2719" s="6" t="s">
        <v>43</v>
      </c>
      <c r="D2719" s="6" t="s">
        <v>1545</v>
      </c>
      <c r="E2719" s="6" t="s">
        <v>9920</v>
      </c>
      <c r="F2719" s="6" t="s">
        <v>46</v>
      </c>
      <c r="G2719" s="6" t="s">
        <v>11787</v>
      </c>
      <c r="H2719" s="7">
        <v>234.3</v>
      </c>
      <c r="I2719" s="19" t="s">
        <v>1882</v>
      </c>
      <c r="J2719" s="19" t="s">
        <v>11618</v>
      </c>
      <c r="K2719" s="6" t="s">
        <v>11788</v>
      </c>
      <c r="L2719" s="6" t="s">
        <v>11789</v>
      </c>
      <c r="M2719" s="6" t="s">
        <v>11790</v>
      </c>
      <c r="N2719" s="6" t="s">
        <v>11791</v>
      </c>
      <c r="O2719" s="6" t="s">
        <v>11792</v>
      </c>
      <c r="P2719" s="6" t="s">
        <v>11793</v>
      </c>
      <c r="Q2719" s="6" t="s">
        <v>11794</v>
      </c>
      <c r="R2719" s="6" t="s">
        <v>11795</v>
      </c>
      <c r="W2719" s="6" t="s">
        <v>9767</v>
      </c>
      <c r="AG2719" s="14" t="s">
        <v>55</v>
      </c>
      <c r="AH2719" s="14" t="s">
        <v>9768</v>
      </c>
      <c r="AI2719" s="14" t="s">
        <v>11627</v>
      </c>
      <c r="AJ2719" s="5" t="s">
        <v>11628</v>
      </c>
    </row>
    <row r="2720" spans="1:37">
      <c r="A2720" s="5" t="s">
        <v>11796</v>
      </c>
      <c r="B2720" s="5" t="s">
        <v>11797</v>
      </c>
      <c r="C2720" s="6" t="s">
        <v>43</v>
      </c>
      <c r="D2720" s="6" t="s">
        <v>1545</v>
      </c>
      <c r="E2720" s="6" t="s">
        <v>9920</v>
      </c>
      <c r="F2720" s="6" t="s">
        <v>46</v>
      </c>
      <c r="G2720" s="6" t="s">
        <v>11798</v>
      </c>
      <c r="H2720" s="7">
        <v>276.3</v>
      </c>
      <c r="I2720" s="19" t="s">
        <v>1882</v>
      </c>
      <c r="J2720" s="19" t="s">
        <v>11618</v>
      </c>
      <c r="K2720" s="6" t="s">
        <v>11799</v>
      </c>
      <c r="L2720" s="6" t="s">
        <v>11800</v>
      </c>
      <c r="M2720" s="6" t="s">
        <v>11801</v>
      </c>
      <c r="N2720" s="6" t="s">
        <v>11802</v>
      </c>
      <c r="O2720" s="6" t="s">
        <v>11803</v>
      </c>
      <c r="P2720" s="6" t="s">
        <v>11804</v>
      </c>
      <c r="Q2720" s="6" t="s">
        <v>11805</v>
      </c>
      <c r="R2720" s="6" t="s">
        <v>11806</v>
      </c>
      <c r="W2720" s="6" t="s">
        <v>9767</v>
      </c>
      <c r="AG2720" s="14" t="s">
        <v>55</v>
      </c>
      <c r="AH2720" s="14" t="s">
        <v>9768</v>
      </c>
      <c r="AI2720" s="14" t="s">
        <v>11627</v>
      </c>
      <c r="AJ2720" s="5" t="s">
        <v>11628</v>
      </c>
    </row>
    <row r="2721" spans="1:37">
      <c r="A2721" s="5" t="s">
        <v>11807</v>
      </c>
      <c r="B2721" s="5" t="s">
        <v>11808</v>
      </c>
      <c r="C2721" s="6" t="s">
        <v>43</v>
      </c>
      <c r="D2721" s="6" t="s">
        <v>1545</v>
      </c>
      <c r="E2721" s="6" t="s">
        <v>9920</v>
      </c>
      <c r="F2721" s="6" t="s">
        <v>46</v>
      </c>
      <c r="G2721" s="6" t="s">
        <v>11809</v>
      </c>
      <c r="H2721" s="7">
        <v>365.55</v>
      </c>
      <c r="I2721" s="19" t="s">
        <v>1882</v>
      </c>
      <c r="J2721" s="19" t="s">
        <v>11618</v>
      </c>
      <c r="K2721" s="6" t="s">
        <v>11810</v>
      </c>
      <c r="L2721" s="6" t="s">
        <v>11811</v>
      </c>
      <c r="M2721" s="6" t="s">
        <v>11812</v>
      </c>
      <c r="N2721" s="6" t="s">
        <v>11813</v>
      </c>
      <c r="O2721" s="6" t="s">
        <v>11814</v>
      </c>
      <c r="P2721" s="6" t="s">
        <v>11815</v>
      </c>
      <c r="Q2721" s="6" t="s">
        <v>11816</v>
      </c>
      <c r="R2721" s="6" t="s">
        <v>11817</v>
      </c>
      <c r="W2721" s="6" t="s">
        <v>9767</v>
      </c>
      <c r="AG2721" s="14" t="s">
        <v>55</v>
      </c>
      <c r="AH2721" s="14" t="s">
        <v>9768</v>
      </c>
      <c r="AI2721" s="14" t="s">
        <v>11627</v>
      </c>
      <c r="AJ2721" s="5" t="s">
        <v>11628</v>
      </c>
    </row>
    <row r="2722" spans="1:37">
      <c r="A2722" s="6" t="s">
        <v>11818</v>
      </c>
      <c r="B2722" s="6" t="s">
        <v>11819</v>
      </c>
      <c r="C2722" s="6" t="s">
        <v>43</v>
      </c>
      <c r="D2722" s="6" t="s">
        <v>1545</v>
      </c>
      <c r="E2722" s="6" t="s">
        <v>9920</v>
      </c>
      <c r="F2722" s="6" t="s">
        <v>46</v>
      </c>
      <c r="G2722" s="6" t="s">
        <v>11820</v>
      </c>
      <c r="I2722" s="19" t="s">
        <v>48</v>
      </c>
      <c r="J2722" s="19" t="s">
        <v>48</v>
      </c>
      <c r="K2722" s="6"/>
      <c r="L2722" s="6"/>
      <c r="M2722" s="6"/>
      <c r="N2722" s="6"/>
      <c r="O2722" s="6"/>
      <c r="P2722" s="6"/>
      <c r="Q2722" s="6"/>
      <c r="R2722" s="6"/>
      <c r="S2722" s="6"/>
      <c r="T2722" s="6"/>
      <c r="U2722" s="6"/>
      <c r="V2722" s="6"/>
      <c r="W2722" s="6"/>
      <c r="X2722" s="6"/>
      <c r="Y2722" s="6"/>
      <c r="Z2722" s="6"/>
      <c r="AA2722" s="6"/>
      <c r="AB2722" s="6"/>
      <c r="AC2722" s="6"/>
      <c r="AD2722" s="6"/>
      <c r="AE2722" s="6"/>
      <c r="AF2722" s="6"/>
      <c r="AG2722" s="15" t="s">
        <v>55</v>
      </c>
      <c r="AH2722" s="15"/>
      <c r="AI2722" s="15"/>
      <c r="AJ2722" s="6"/>
      <c r="AK2722" s="6"/>
    </row>
    <row r="2723" spans="1:37" s="6" customFormat="1">
      <c r="A2723" s="5" t="s">
        <v>11821</v>
      </c>
      <c r="B2723" s="5" t="s">
        <v>11822</v>
      </c>
      <c r="C2723" s="6" t="s">
        <v>43</v>
      </c>
      <c r="D2723" s="6" t="s">
        <v>1545</v>
      </c>
      <c r="E2723" s="6" t="s">
        <v>9920</v>
      </c>
      <c r="F2723" s="6" t="s">
        <v>46</v>
      </c>
      <c r="G2723" s="6" t="s">
        <v>11823</v>
      </c>
      <c r="H2723" s="7">
        <v>307.8</v>
      </c>
      <c r="I2723" s="19" t="s">
        <v>1882</v>
      </c>
      <c r="J2723" s="19" t="s">
        <v>11618</v>
      </c>
      <c r="K2723" s="5" t="s">
        <v>11824</v>
      </c>
      <c r="L2723" s="5" t="s">
        <v>11825</v>
      </c>
      <c r="M2723" s="5" t="s">
        <v>11826</v>
      </c>
      <c r="N2723" s="5" t="s">
        <v>11827</v>
      </c>
      <c r="O2723" s="5" t="s">
        <v>11828</v>
      </c>
      <c r="P2723" s="5" t="s">
        <v>11829</v>
      </c>
      <c r="Q2723" s="5" t="s">
        <v>11830</v>
      </c>
      <c r="R2723" s="5" t="s">
        <v>11831</v>
      </c>
      <c r="S2723" s="5"/>
      <c r="T2723" s="5"/>
      <c r="U2723" s="5"/>
      <c r="V2723" s="5"/>
      <c r="W2723" s="5" t="s">
        <v>9767</v>
      </c>
      <c r="X2723" s="5"/>
      <c r="Y2723" s="5"/>
      <c r="Z2723" s="5"/>
      <c r="AA2723" s="5"/>
      <c r="AB2723" s="5"/>
      <c r="AC2723" s="5"/>
      <c r="AD2723" s="5"/>
      <c r="AE2723" s="5"/>
      <c r="AF2723" s="5"/>
      <c r="AG2723" s="14" t="s">
        <v>55</v>
      </c>
      <c r="AH2723" s="14" t="s">
        <v>9768</v>
      </c>
      <c r="AI2723" s="14" t="s">
        <v>1985</v>
      </c>
      <c r="AJ2723" s="5" t="s">
        <v>11832</v>
      </c>
      <c r="AK2723" s="5"/>
    </row>
    <row r="2724" spans="1:37">
      <c r="A2724" s="5" t="s">
        <v>11833</v>
      </c>
      <c r="B2724" s="5" t="s">
        <v>11834</v>
      </c>
      <c r="C2724" s="6" t="s">
        <v>43</v>
      </c>
      <c r="D2724" s="6" t="s">
        <v>1545</v>
      </c>
      <c r="E2724" s="6" t="s">
        <v>9920</v>
      </c>
      <c r="F2724" s="6" t="s">
        <v>46</v>
      </c>
      <c r="G2724" s="6" t="s">
        <v>11835</v>
      </c>
      <c r="H2724" s="7">
        <v>367.7</v>
      </c>
      <c r="I2724" s="19" t="s">
        <v>1882</v>
      </c>
      <c r="J2724" s="19" t="s">
        <v>11618</v>
      </c>
      <c r="K2724" s="6" t="s">
        <v>11836</v>
      </c>
      <c r="L2724" s="6" t="s">
        <v>11837</v>
      </c>
      <c r="M2724" s="6" t="s">
        <v>11838</v>
      </c>
      <c r="N2724" s="6" t="s">
        <v>11839</v>
      </c>
      <c r="O2724" s="6" t="s">
        <v>11840</v>
      </c>
      <c r="P2724" s="6" t="s">
        <v>11841</v>
      </c>
      <c r="Q2724" s="6" t="s">
        <v>11842</v>
      </c>
      <c r="R2724" s="6" t="s">
        <v>11843</v>
      </c>
      <c r="W2724" s="6" t="s">
        <v>9767</v>
      </c>
      <c r="AG2724" s="14" t="s">
        <v>55</v>
      </c>
      <c r="AH2724" s="14" t="s">
        <v>9768</v>
      </c>
      <c r="AI2724" s="14" t="s">
        <v>1985</v>
      </c>
      <c r="AJ2724" s="5" t="s">
        <v>11832</v>
      </c>
    </row>
    <row r="2725" spans="1:37">
      <c r="A2725" s="5" t="s">
        <v>11844</v>
      </c>
      <c r="B2725" s="5" t="s">
        <v>11845</v>
      </c>
      <c r="C2725" s="6" t="s">
        <v>43</v>
      </c>
      <c r="D2725" s="6" t="s">
        <v>1545</v>
      </c>
      <c r="E2725" s="6" t="s">
        <v>9920</v>
      </c>
      <c r="F2725" s="6" t="s">
        <v>46</v>
      </c>
      <c r="G2725" s="6" t="s">
        <v>11645</v>
      </c>
      <c r="H2725" s="7">
        <v>457.6</v>
      </c>
      <c r="I2725" s="19" t="s">
        <v>1882</v>
      </c>
      <c r="J2725" s="19" t="s">
        <v>11618</v>
      </c>
      <c r="K2725" s="6" t="s">
        <v>11846</v>
      </c>
      <c r="L2725" s="6" t="s">
        <v>11847</v>
      </c>
      <c r="M2725" s="6" t="s">
        <v>11848</v>
      </c>
      <c r="N2725" s="6" t="s">
        <v>11849</v>
      </c>
      <c r="O2725" s="6" t="s">
        <v>11850</v>
      </c>
      <c r="P2725" s="6" t="s">
        <v>11851</v>
      </c>
      <c r="Q2725" s="6" t="s">
        <v>11852</v>
      </c>
      <c r="R2725" s="6" t="s">
        <v>11853</v>
      </c>
      <c r="W2725" s="6" t="s">
        <v>9767</v>
      </c>
      <c r="AG2725" s="14" t="s">
        <v>55</v>
      </c>
      <c r="AH2725" s="14" t="s">
        <v>9768</v>
      </c>
      <c r="AI2725" s="14" t="s">
        <v>1985</v>
      </c>
      <c r="AJ2725" s="5" t="s">
        <v>11832</v>
      </c>
    </row>
    <row r="2726" spans="1:37">
      <c r="A2726" s="5" t="s">
        <v>11854</v>
      </c>
      <c r="B2726" s="5" t="s">
        <v>11855</v>
      </c>
      <c r="C2726" s="6" t="s">
        <v>43</v>
      </c>
      <c r="D2726" s="6" t="s">
        <v>1545</v>
      </c>
      <c r="E2726" s="6" t="s">
        <v>9920</v>
      </c>
      <c r="F2726" s="6" t="s">
        <v>46</v>
      </c>
      <c r="G2726" s="6" t="s">
        <v>11656</v>
      </c>
      <c r="H2726" s="7">
        <v>611.79999999999995</v>
      </c>
      <c r="I2726" s="19" t="s">
        <v>1882</v>
      </c>
      <c r="J2726" s="19" t="s">
        <v>11618</v>
      </c>
      <c r="K2726" s="6" t="s">
        <v>11856</v>
      </c>
      <c r="L2726" s="6" t="s">
        <v>11857</v>
      </c>
      <c r="M2726" s="6" t="s">
        <v>11858</v>
      </c>
      <c r="N2726" s="6" t="s">
        <v>11859</v>
      </c>
      <c r="O2726" s="6" t="s">
        <v>11860</v>
      </c>
      <c r="P2726" s="6" t="s">
        <v>11861</v>
      </c>
      <c r="Q2726" s="6" t="s">
        <v>11862</v>
      </c>
      <c r="R2726" s="6" t="s">
        <v>11863</v>
      </c>
      <c r="W2726" s="6" t="s">
        <v>9767</v>
      </c>
      <c r="AG2726" s="14" t="s">
        <v>55</v>
      </c>
      <c r="AH2726" s="14" t="s">
        <v>9768</v>
      </c>
      <c r="AI2726" s="14" t="s">
        <v>1985</v>
      </c>
      <c r="AJ2726" s="5" t="s">
        <v>11832</v>
      </c>
    </row>
    <row r="2727" spans="1:37">
      <c r="A2727" s="5" t="s">
        <v>11864</v>
      </c>
      <c r="B2727" s="5" t="s">
        <v>11865</v>
      </c>
      <c r="C2727" s="6" t="s">
        <v>43</v>
      </c>
      <c r="D2727" s="6" t="s">
        <v>1545</v>
      </c>
      <c r="E2727" s="6" t="s">
        <v>9920</v>
      </c>
      <c r="F2727" s="6" t="s">
        <v>46</v>
      </c>
      <c r="G2727" s="6" t="s">
        <v>11866</v>
      </c>
      <c r="H2727" s="7">
        <v>68.3</v>
      </c>
      <c r="I2727" s="19" t="s">
        <v>1882</v>
      </c>
      <c r="J2727" s="19" t="s">
        <v>11618</v>
      </c>
      <c r="K2727" s="6" t="s">
        <v>11867</v>
      </c>
      <c r="L2727" s="6" t="s">
        <v>11868</v>
      </c>
      <c r="M2727" s="6" t="s">
        <v>11869</v>
      </c>
      <c r="N2727" s="6" t="s">
        <v>11870</v>
      </c>
      <c r="O2727" s="6" t="s">
        <v>11871</v>
      </c>
      <c r="P2727" s="6" t="s">
        <v>11872</v>
      </c>
      <c r="Q2727" s="6" t="s">
        <v>11873</v>
      </c>
      <c r="R2727" s="6" t="s">
        <v>11874</v>
      </c>
      <c r="W2727" s="6" t="s">
        <v>9767</v>
      </c>
      <c r="AG2727" s="14" t="s">
        <v>55</v>
      </c>
      <c r="AH2727" s="14" t="s">
        <v>9768</v>
      </c>
      <c r="AI2727" s="14" t="s">
        <v>1985</v>
      </c>
      <c r="AJ2727" s="5" t="s">
        <v>11832</v>
      </c>
    </row>
    <row r="2728" spans="1:37">
      <c r="A2728" s="5" t="s">
        <v>11875</v>
      </c>
      <c r="B2728" s="5" t="s">
        <v>11876</v>
      </c>
      <c r="C2728" s="6" t="s">
        <v>43</v>
      </c>
      <c r="D2728" s="6" t="s">
        <v>1545</v>
      </c>
      <c r="E2728" s="6" t="s">
        <v>9920</v>
      </c>
      <c r="F2728" s="6" t="s">
        <v>46</v>
      </c>
      <c r="G2728" s="6" t="s">
        <v>11877</v>
      </c>
      <c r="H2728" s="7">
        <v>917.7</v>
      </c>
      <c r="I2728" s="19" t="s">
        <v>1882</v>
      </c>
      <c r="J2728" s="19" t="s">
        <v>11618</v>
      </c>
      <c r="K2728" s="6" t="s">
        <v>11878</v>
      </c>
      <c r="L2728" s="6" t="s">
        <v>11879</v>
      </c>
      <c r="M2728" s="6" t="s">
        <v>11880</v>
      </c>
      <c r="N2728" s="6" t="s">
        <v>11881</v>
      </c>
      <c r="O2728" s="6" t="s">
        <v>11882</v>
      </c>
      <c r="P2728" s="6" t="s">
        <v>11883</v>
      </c>
      <c r="Q2728" s="6" t="s">
        <v>11884</v>
      </c>
      <c r="R2728" s="6" t="s">
        <v>11885</v>
      </c>
      <c r="W2728" s="6" t="s">
        <v>9767</v>
      </c>
      <c r="AG2728" s="14" t="s">
        <v>55</v>
      </c>
      <c r="AH2728" s="14" t="s">
        <v>9768</v>
      </c>
      <c r="AI2728" s="14" t="s">
        <v>1985</v>
      </c>
      <c r="AJ2728" s="5" t="s">
        <v>11832</v>
      </c>
    </row>
    <row r="2729" spans="1:37">
      <c r="A2729" s="5" t="s">
        <v>11886</v>
      </c>
      <c r="B2729" s="5" t="s">
        <v>11887</v>
      </c>
      <c r="C2729" s="6" t="s">
        <v>43</v>
      </c>
      <c r="D2729" s="6" t="s">
        <v>1545</v>
      </c>
      <c r="E2729" s="6" t="s">
        <v>9920</v>
      </c>
      <c r="F2729" s="6" t="s">
        <v>46</v>
      </c>
      <c r="G2729" s="6" t="s">
        <v>3875</v>
      </c>
      <c r="H2729" s="7">
        <v>95.9</v>
      </c>
      <c r="I2729" s="19" t="s">
        <v>1882</v>
      </c>
      <c r="J2729" s="19" t="s">
        <v>11618</v>
      </c>
      <c r="K2729" s="6" t="s">
        <v>11888</v>
      </c>
      <c r="L2729" s="6" t="s">
        <v>11889</v>
      </c>
      <c r="M2729" s="6" t="s">
        <v>11890</v>
      </c>
      <c r="N2729" s="6" t="s">
        <v>11891</v>
      </c>
      <c r="O2729" s="6" t="s">
        <v>11892</v>
      </c>
      <c r="P2729" s="6" t="s">
        <v>11893</v>
      </c>
      <c r="Q2729" s="6" t="s">
        <v>11894</v>
      </c>
      <c r="R2729" s="6" t="s">
        <v>11895</v>
      </c>
      <c r="W2729" s="6" t="s">
        <v>9767</v>
      </c>
      <c r="AG2729" s="14" t="s">
        <v>55</v>
      </c>
      <c r="AH2729" s="14" t="s">
        <v>9768</v>
      </c>
      <c r="AI2729" s="14" t="s">
        <v>1985</v>
      </c>
      <c r="AJ2729" s="5" t="s">
        <v>11832</v>
      </c>
    </row>
    <row r="2730" spans="1:37">
      <c r="A2730" s="5" t="s">
        <v>11896</v>
      </c>
      <c r="B2730" s="5" t="s">
        <v>11897</v>
      </c>
      <c r="C2730" s="6" t="s">
        <v>43</v>
      </c>
      <c r="D2730" s="6" t="s">
        <v>1545</v>
      </c>
      <c r="E2730" s="6" t="s">
        <v>9920</v>
      </c>
      <c r="F2730" s="6" t="s">
        <v>46</v>
      </c>
      <c r="G2730" s="6" t="s">
        <v>1499</v>
      </c>
      <c r="H2730" s="7">
        <v>125.9</v>
      </c>
      <c r="I2730" s="19" t="s">
        <v>1882</v>
      </c>
      <c r="J2730" s="19" t="s">
        <v>11618</v>
      </c>
      <c r="K2730" s="6" t="s">
        <v>11898</v>
      </c>
      <c r="L2730" s="6" t="s">
        <v>11899</v>
      </c>
      <c r="M2730" s="6" t="s">
        <v>11900</v>
      </c>
      <c r="N2730" s="6" t="s">
        <v>11901</v>
      </c>
      <c r="O2730" s="6" t="s">
        <v>11902</v>
      </c>
      <c r="P2730" s="6" t="s">
        <v>11903</v>
      </c>
      <c r="Q2730" s="6" t="s">
        <v>11904</v>
      </c>
      <c r="R2730" s="6" t="s">
        <v>11905</v>
      </c>
      <c r="W2730" s="6" t="s">
        <v>9767</v>
      </c>
      <c r="AG2730" s="14" t="s">
        <v>55</v>
      </c>
      <c r="AH2730" s="14" t="s">
        <v>9768</v>
      </c>
      <c r="AI2730" s="14" t="s">
        <v>1985</v>
      </c>
      <c r="AJ2730" s="5" t="s">
        <v>11832</v>
      </c>
    </row>
    <row r="2731" spans="1:37">
      <c r="A2731" s="6" t="s">
        <v>11906</v>
      </c>
      <c r="B2731" s="6" t="s">
        <v>11907</v>
      </c>
      <c r="C2731" s="6" t="s">
        <v>43</v>
      </c>
      <c r="D2731" s="6" t="s">
        <v>1545</v>
      </c>
      <c r="E2731" s="6" t="s">
        <v>9920</v>
      </c>
      <c r="F2731" s="6" t="s">
        <v>46</v>
      </c>
      <c r="G2731" s="6" t="s">
        <v>11908</v>
      </c>
      <c r="H2731" s="7">
        <v>156.19999999999999</v>
      </c>
      <c r="I2731" s="19" t="s">
        <v>48</v>
      </c>
      <c r="J2731" s="19" t="s">
        <v>48</v>
      </c>
      <c r="K2731" s="6"/>
      <c r="L2731" s="6"/>
      <c r="M2731" s="6"/>
      <c r="N2731" s="6"/>
      <c r="O2731" s="6"/>
      <c r="P2731" s="6"/>
      <c r="Q2731" s="6"/>
      <c r="R2731" s="6"/>
      <c r="S2731" s="6"/>
      <c r="T2731" s="6"/>
      <c r="U2731" s="6"/>
      <c r="V2731" s="6"/>
      <c r="W2731" s="6"/>
      <c r="X2731" s="6"/>
      <c r="Y2731" s="6"/>
      <c r="Z2731" s="6"/>
      <c r="AA2731" s="6"/>
      <c r="AB2731" s="6"/>
      <c r="AC2731" s="6"/>
      <c r="AD2731" s="6"/>
      <c r="AE2731" s="6"/>
      <c r="AF2731" s="6"/>
      <c r="AG2731" s="15" t="s">
        <v>55</v>
      </c>
      <c r="AH2731" s="15"/>
      <c r="AI2731" s="15"/>
      <c r="AJ2731" s="6"/>
      <c r="AK2731" s="6"/>
    </row>
    <row r="2732" spans="1:37" s="6" customFormat="1">
      <c r="A2732" s="5" t="s">
        <v>11909</v>
      </c>
      <c r="B2732" s="5" t="s">
        <v>11910</v>
      </c>
      <c r="C2732" s="6" t="s">
        <v>43</v>
      </c>
      <c r="D2732" s="6" t="s">
        <v>1545</v>
      </c>
      <c r="E2732" s="6" t="s">
        <v>9920</v>
      </c>
      <c r="F2732" s="6" t="s">
        <v>46</v>
      </c>
      <c r="G2732" s="6" t="s">
        <v>11699</v>
      </c>
      <c r="H2732" s="7">
        <v>184.2</v>
      </c>
      <c r="I2732" s="19" t="s">
        <v>1882</v>
      </c>
      <c r="J2732" s="19" t="s">
        <v>11618</v>
      </c>
      <c r="K2732" s="6" t="s">
        <v>11911</v>
      </c>
      <c r="L2732" s="6" t="s">
        <v>11912</v>
      </c>
      <c r="M2732" s="6" t="s">
        <v>11913</v>
      </c>
      <c r="N2732" s="6" t="s">
        <v>11914</v>
      </c>
      <c r="O2732" s="6" t="s">
        <v>11915</v>
      </c>
      <c r="P2732" s="6" t="s">
        <v>11916</v>
      </c>
      <c r="Q2732" s="6" t="s">
        <v>11917</v>
      </c>
      <c r="R2732" s="6" t="s">
        <v>11918</v>
      </c>
      <c r="S2732" s="5"/>
      <c r="T2732" s="5"/>
      <c r="U2732" s="5"/>
      <c r="V2732" s="5"/>
      <c r="W2732" s="6" t="s">
        <v>9767</v>
      </c>
      <c r="X2732" s="5"/>
      <c r="Y2732" s="5"/>
      <c r="Z2732" s="5"/>
      <c r="AA2732" s="5"/>
      <c r="AB2732" s="5"/>
      <c r="AC2732" s="5"/>
      <c r="AD2732" s="5"/>
      <c r="AE2732" s="5"/>
      <c r="AF2732" s="5"/>
      <c r="AG2732" s="14" t="s">
        <v>55</v>
      </c>
      <c r="AH2732" s="14" t="s">
        <v>9768</v>
      </c>
      <c r="AI2732" s="14" t="s">
        <v>1985</v>
      </c>
      <c r="AJ2732" s="5" t="s">
        <v>11832</v>
      </c>
      <c r="AK2732" s="5"/>
    </row>
    <row r="2733" spans="1:37">
      <c r="A2733" s="5" t="s">
        <v>11919</v>
      </c>
      <c r="B2733" s="5" t="s">
        <v>11920</v>
      </c>
      <c r="C2733" s="6" t="s">
        <v>43</v>
      </c>
      <c r="D2733" s="6" t="s">
        <v>1545</v>
      </c>
      <c r="E2733" s="6" t="s">
        <v>9920</v>
      </c>
      <c r="F2733" s="6" t="s">
        <v>46</v>
      </c>
      <c r="G2733" s="6" t="s">
        <v>11921</v>
      </c>
      <c r="H2733" s="7">
        <v>243.7</v>
      </c>
      <c r="I2733" s="19" t="s">
        <v>1882</v>
      </c>
      <c r="J2733" s="19" t="s">
        <v>11618</v>
      </c>
      <c r="K2733" s="6" t="s">
        <v>11922</v>
      </c>
      <c r="L2733" s="6" t="s">
        <v>11923</v>
      </c>
      <c r="M2733" s="6" t="s">
        <v>11924</v>
      </c>
      <c r="N2733" s="6" t="s">
        <v>11925</v>
      </c>
      <c r="O2733" s="6" t="s">
        <v>11926</v>
      </c>
      <c r="P2733" s="6" t="s">
        <v>11927</v>
      </c>
      <c r="Q2733" s="6" t="s">
        <v>11928</v>
      </c>
      <c r="R2733" s="6" t="s">
        <v>11929</v>
      </c>
      <c r="W2733" s="6" t="s">
        <v>9767</v>
      </c>
      <c r="AG2733" s="14" t="s">
        <v>55</v>
      </c>
      <c r="AH2733" s="14" t="s">
        <v>9768</v>
      </c>
      <c r="AI2733" s="14" t="s">
        <v>1985</v>
      </c>
      <c r="AJ2733" s="5" t="s">
        <v>11832</v>
      </c>
    </row>
    <row r="2734" spans="1:37">
      <c r="A2734" s="5" t="s">
        <v>11930</v>
      </c>
      <c r="B2734" s="5" t="s">
        <v>11931</v>
      </c>
      <c r="C2734" s="6" t="s">
        <v>43</v>
      </c>
      <c r="D2734" s="6" t="s">
        <v>1545</v>
      </c>
      <c r="E2734" s="6" t="s">
        <v>9920</v>
      </c>
      <c r="F2734" s="6" t="s">
        <v>46</v>
      </c>
      <c r="G2734" s="6" t="s">
        <v>11721</v>
      </c>
      <c r="H2734" s="7">
        <v>365.55</v>
      </c>
      <c r="I2734" s="19" t="s">
        <v>1882</v>
      </c>
      <c r="J2734" s="19" t="s">
        <v>11618</v>
      </c>
      <c r="K2734" s="6" t="s">
        <v>11932</v>
      </c>
      <c r="L2734" s="6" t="s">
        <v>11933</v>
      </c>
      <c r="M2734" s="6" t="s">
        <v>11934</v>
      </c>
      <c r="N2734" s="6" t="s">
        <v>11935</v>
      </c>
      <c r="O2734" s="6" t="s">
        <v>11936</v>
      </c>
      <c r="P2734" s="6" t="s">
        <v>11937</v>
      </c>
      <c r="Q2734" s="6" t="s">
        <v>11938</v>
      </c>
      <c r="R2734" s="6" t="s">
        <v>11939</v>
      </c>
      <c r="W2734" s="6" t="s">
        <v>9767</v>
      </c>
      <c r="AG2734" s="14" t="s">
        <v>55</v>
      </c>
      <c r="AH2734" s="14" t="s">
        <v>9768</v>
      </c>
      <c r="AI2734" s="14" t="s">
        <v>1985</v>
      </c>
      <c r="AJ2734" s="5" t="s">
        <v>11832</v>
      </c>
    </row>
    <row r="2735" spans="1:37">
      <c r="A2735" s="5" t="s">
        <v>11940</v>
      </c>
      <c r="B2735" s="5" t="s">
        <v>11941</v>
      </c>
      <c r="C2735" s="6" t="s">
        <v>43</v>
      </c>
      <c r="D2735" s="6" t="s">
        <v>1545</v>
      </c>
      <c r="E2735" s="6" t="s">
        <v>9920</v>
      </c>
      <c r="F2735" s="6" t="s">
        <v>46</v>
      </c>
      <c r="G2735" s="6" t="s">
        <v>11732</v>
      </c>
      <c r="H2735" s="7">
        <v>461.7</v>
      </c>
      <c r="I2735" s="19" t="s">
        <v>1882</v>
      </c>
      <c r="J2735" s="19" t="s">
        <v>11618</v>
      </c>
      <c r="K2735" s="6" t="s">
        <v>11942</v>
      </c>
      <c r="L2735" s="6" t="s">
        <v>11943</v>
      </c>
      <c r="M2735" s="6" t="s">
        <v>11944</v>
      </c>
      <c r="N2735" s="6" t="s">
        <v>11945</v>
      </c>
      <c r="O2735" s="6" t="s">
        <v>11946</v>
      </c>
      <c r="P2735" s="6" t="s">
        <v>11947</v>
      </c>
      <c r="Q2735" s="6" t="s">
        <v>11948</v>
      </c>
      <c r="R2735" s="6" t="s">
        <v>11949</v>
      </c>
      <c r="W2735" s="6" t="s">
        <v>9767</v>
      </c>
      <c r="AG2735" s="14" t="s">
        <v>55</v>
      </c>
      <c r="AH2735" s="14" t="s">
        <v>9768</v>
      </c>
      <c r="AI2735" s="14" t="s">
        <v>1985</v>
      </c>
      <c r="AJ2735" s="5" t="s">
        <v>11832</v>
      </c>
    </row>
    <row r="2736" spans="1:37">
      <c r="A2736" s="5" t="s">
        <v>11950</v>
      </c>
      <c r="B2736" s="5" t="s">
        <v>11951</v>
      </c>
      <c r="C2736" s="6" t="s">
        <v>43</v>
      </c>
      <c r="D2736" s="6" t="s">
        <v>1545</v>
      </c>
      <c r="E2736" s="6" t="s">
        <v>9920</v>
      </c>
      <c r="F2736" s="6" t="s">
        <v>46</v>
      </c>
      <c r="G2736" s="6" t="s">
        <v>11589</v>
      </c>
      <c r="H2736" s="7">
        <v>551.54999999999995</v>
      </c>
      <c r="I2736" s="19" t="s">
        <v>1882</v>
      </c>
      <c r="J2736" s="19" t="s">
        <v>11618</v>
      </c>
      <c r="K2736" s="6" t="s">
        <v>11952</v>
      </c>
      <c r="L2736" s="6" t="s">
        <v>11953</v>
      </c>
      <c r="M2736" s="6" t="s">
        <v>11954</v>
      </c>
      <c r="N2736" s="6" t="s">
        <v>11955</v>
      </c>
      <c r="O2736" s="6" t="s">
        <v>11956</v>
      </c>
      <c r="P2736" s="6" t="s">
        <v>11957</v>
      </c>
      <c r="Q2736" s="6" t="s">
        <v>11958</v>
      </c>
      <c r="R2736" s="6" t="s">
        <v>11959</v>
      </c>
      <c r="W2736" s="6" t="s">
        <v>9767</v>
      </c>
      <c r="AG2736" s="14" t="s">
        <v>55</v>
      </c>
      <c r="AH2736" s="14" t="s">
        <v>9768</v>
      </c>
      <c r="AI2736" s="14" t="s">
        <v>1985</v>
      </c>
      <c r="AJ2736" s="5" t="s">
        <v>11832</v>
      </c>
    </row>
    <row r="2737" spans="1:37">
      <c r="A2737" s="5" t="s">
        <v>11960</v>
      </c>
      <c r="B2737" s="5" t="s">
        <v>11961</v>
      </c>
      <c r="C2737" s="6" t="s">
        <v>43</v>
      </c>
      <c r="D2737" s="6" t="s">
        <v>1545</v>
      </c>
      <c r="E2737" s="6" t="s">
        <v>9920</v>
      </c>
      <c r="F2737" s="6" t="s">
        <v>46</v>
      </c>
      <c r="G2737" s="6" t="s">
        <v>11962</v>
      </c>
      <c r="H2737" s="7">
        <v>686.4</v>
      </c>
      <c r="I2737" s="19" t="s">
        <v>1882</v>
      </c>
      <c r="J2737" s="19" t="s">
        <v>11618</v>
      </c>
      <c r="K2737" s="6" t="s">
        <v>11963</v>
      </c>
      <c r="L2737" s="6" t="s">
        <v>11964</v>
      </c>
      <c r="M2737" s="6" t="s">
        <v>11965</v>
      </c>
      <c r="N2737" s="6" t="s">
        <v>11966</v>
      </c>
      <c r="O2737" s="6" t="s">
        <v>11967</v>
      </c>
      <c r="P2737" s="6" t="s">
        <v>11968</v>
      </c>
      <c r="Q2737" s="6" t="s">
        <v>11969</v>
      </c>
      <c r="R2737" s="6" t="s">
        <v>11970</v>
      </c>
      <c r="W2737" s="6" t="s">
        <v>9767</v>
      </c>
      <c r="AG2737" s="14" t="s">
        <v>55</v>
      </c>
      <c r="AH2737" s="14" t="s">
        <v>9768</v>
      </c>
      <c r="AI2737" s="14" t="s">
        <v>1985</v>
      </c>
      <c r="AJ2737" s="5" t="s">
        <v>11832</v>
      </c>
    </row>
    <row r="2738" spans="1:37">
      <c r="A2738" s="5" t="s">
        <v>11971</v>
      </c>
      <c r="B2738" s="5" t="s">
        <v>11972</v>
      </c>
      <c r="C2738" s="6" t="s">
        <v>43</v>
      </c>
      <c r="D2738" s="6" t="s">
        <v>1545</v>
      </c>
      <c r="E2738" s="6" t="s">
        <v>9920</v>
      </c>
      <c r="F2738" s="6" t="s">
        <v>46</v>
      </c>
      <c r="G2738" s="6" t="s">
        <v>11973</v>
      </c>
      <c r="H2738" s="7">
        <v>917.7</v>
      </c>
      <c r="I2738" s="19" t="s">
        <v>1882</v>
      </c>
      <c r="J2738" s="19" t="s">
        <v>11618</v>
      </c>
      <c r="K2738" s="6" t="s">
        <v>11974</v>
      </c>
      <c r="L2738" s="6" t="s">
        <v>11975</v>
      </c>
      <c r="M2738" s="6" t="s">
        <v>11976</v>
      </c>
      <c r="N2738" s="6" t="s">
        <v>11977</v>
      </c>
      <c r="O2738" s="6" t="s">
        <v>11978</v>
      </c>
      <c r="P2738" s="6" t="s">
        <v>11979</v>
      </c>
      <c r="Q2738" s="6" t="s">
        <v>11980</v>
      </c>
      <c r="R2738" s="6" t="s">
        <v>11981</v>
      </c>
      <c r="W2738" s="6" t="s">
        <v>9767</v>
      </c>
      <c r="AG2738" s="14" t="s">
        <v>55</v>
      </c>
      <c r="AH2738" s="14" t="s">
        <v>9768</v>
      </c>
      <c r="AI2738" s="14" t="s">
        <v>1985</v>
      </c>
      <c r="AJ2738" s="5" t="s">
        <v>11832</v>
      </c>
    </row>
    <row r="2739" spans="1:37">
      <c r="A2739" s="5" t="s">
        <v>11982</v>
      </c>
      <c r="B2739" s="5" t="s">
        <v>11983</v>
      </c>
      <c r="C2739" s="6" t="s">
        <v>11984</v>
      </c>
      <c r="D2739" s="6" t="s">
        <v>1545</v>
      </c>
      <c r="E2739" s="6" t="s">
        <v>9920</v>
      </c>
      <c r="F2739" s="6" t="s">
        <v>46</v>
      </c>
      <c r="G2739" s="6" t="s">
        <v>11985</v>
      </c>
      <c r="H2739" s="7">
        <v>102.45</v>
      </c>
      <c r="I2739" s="19" t="s">
        <v>1882</v>
      </c>
      <c r="J2739" s="19" t="s">
        <v>11618</v>
      </c>
      <c r="K2739" s="6" t="s">
        <v>11986</v>
      </c>
      <c r="L2739" s="6" t="s">
        <v>11987</v>
      </c>
      <c r="M2739" s="6" t="s">
        <v>11988</v>
      </c>
      <c r="N2739" s="6" t="s">
        <v>11989</v>
      </c>
      <c r="O2739" s="6" t="s">
        <v>11990</v>
      </c>
      <c r="P2739" s="6" t="s">
        <v>11991</v>
      </c>
      <c r="Q2739" s="6" t="s">
        <v>11992</v>
      </c>
      <c r="R2739" s="6" t="s">
        <v>11993</v>
      </c>
      <c r="W2739" s="6" t="s">
        <v>9767</v>
      </c>
      <c r="AG2739" s="14" t="s">
        <v>55</v>
      </c>
      <c r="AH2739" s="14" t="s">
        <v>9768</v>
      </c>
      <c r="AI2739" s="14" t="s">
        <v>1985</v>
      </c>
      <c r="AJ2739" s="5" t="s">
        <v>11832</v>
      </c>
    </row>
    <row r="2740" spans="1:37">
      <c r="A2740" s="5" t="s">
        <v>11994</v>
      </c>
      <c r="B2740" s="5" t="s">
        <v>11995</v>
      </c>
      <c r="C2740" s="6" t="s">
        <v>43</v>
      </c>
      <c r="D2740" s="6" t="s">
        <v>1545</v>
      </c>
      <c r="E2740" s="6" t="s">
        <v>9920</v>
      </c>
      <c r="F2740" s="6" t="s">
        <v>46</v>
      </c>
      <c r="G2740" s="6" t="s">
        <v>11996</v>
      </c>
      <c r="H2740" s="7">
        <v>1372.8</v>
      </c>
      <c r="I2740" s="19" t="s">
        <v>1882</v>
      </c>
      <c r="J2740" s="19" t="s">
        <v>11618</v>
      </c>
      <c r="K2740" s="6" t="s">
        <v>11997</v>
      </c>
      <c r="L2740" s="6" t="s">
        <v>11998</v>
      </c>
      <c r="M2740" s="6" t="s">
        <v>11999</v>
      </c>
      <c r="N2740" s="6" t="s">
        <v>12000</v>
      </c>
      <c r="O2740" s="6" t="s">
        <v>12001</v>
      </c>
      <c r="P2740" s="6" t="s">
        <v>12002</v>
      </c>
      <c r="Q2740" s="6" t="s">
        <v>12003</v>
      </c>
      <c r="R2740" s="6" t="s">
        <v>12004</v>
      </c>
      <c r="W2740" s="6" t="s">
        <v>9767</v>
      </c>
      <c r="AG2740" s="14" t="s">
        <v>55</v>
      </c>
      <c r="AH2740" s="14" t="s">
        <v>9768</v>
      </c>
      <c r="AI2740" s="14" t="s">
        <v>1985</v>
      </c>
      <c r="AJ2740" s="5" t="s">
        <v>11832</v>
      </c>
    </row>
    <row r="2741" spans="1:37">
      <c r="A2741" s="5" t="s">
        <v>12005</v>
      </c>
      <c r="B2741" s="5" t="s">
        <v>12006</v>
      </c>
      <c r="C2741" s="6" t="s">
        <v>12007</v>
      </c>
      <c r="D2741" s="6" t="s">
        <v>1545</v>
      </c>
      <c r="E2741" s="6" t="s">
        <v>9920</v>
      </c>
      <c r="F2741" s="6" t="s">
        <v>46</v>
      </c>
      <c r="G2741" s="6" t="s">
        <v>4587</v>
      </c>
      <c r="H2741" s="7">
        <v>143.85</v>
      </c>
      <c r="I2741" s="19" t="s">
        <v>1882</v>
      </c>
      <c r="J2741" s="19" t="s">
        <v>11618</v>
      </c>
      <c r="K2741" s="6" t="s">
        <v>12008</v>
      </c>
      <c r="L2741" s="6" t="s">
        <v>12009</v>
      </c>
      <c r="M2741" s="6" t="s">
        <v>12010</v>
      </c>
      <c r="N2741" s="6" t="s">
        <v>12011</v>
      </c>
      <c r="O2741" s="6" t="s">
        <v>12012</v>
      </c>
      <c r="P2741" s="6" t="s">
        <v>12013</v>
      </c>
      <c r="Q2741" s="6" t="s">
        <v>12014</v>
      </c>
      <c r="R2741" s="6" t="s">
        <v>12015</v>
      </c>
      <c r="W2741" s="6" t="s">
        <v>9767</v>
      </c>
      <c r="AG2741" s="14" t="s">
        <v>55</v>
      </c>
      <c r="AH2741" s="14" t="s">
        <v>9768</v>
      </c>
      <c r="AI2741" s="14" t="s">
        <v>1985</v>
      </c>
      <c r="AJ2741" s="5" t="s">
        <v>11832</v>
      </c>
    </row>
    <row r="2742" spans="1:37">
      <c r="A2742" s="5" t="s">
        <v>12016</v>
      </c>
      <c r="B2742" s="5" t="s">
        <v>12017</v>
      </c>
      <c r="C2742" s="6" t="s">
        <v>12018</v>
      </c>
      <c r="D2742" s="6" t="s">
        <v>1545</v>
      </c>
      <c r="E2742" s="6" t="s">
        <v>9920</v>
      </c>
      <c r="F2742" s="6" t="s">
        <v>46</v>
      </c>
      <c r="G2742" s="6" t="s">
        <v>12019</v>
      </c>
      <c r="H2742" s="7">
        <v>188.85</v>
      </c>
      <c r="I2742" s="19" t="s">
        <v>1882</v>
      </c>
      <c r="J2742" s="19" t="s">
        <v>11618</v>
      </c>
      <c r="K2742" s="6" t="s">
        <v>12020</v>
      </c>
      <c r="L2742" s="6" t="s">
        <v>12021</v>
      </c>
      <c r="M2742" s="6" t="s">
        <v>12022</v>
      </c>
      <c r="N2742" s="6" t="s">
        <v>12023</v>
      </c>
      <c r="O2742" s="6" t="s">
        <v>12024</v>
      </c>
      <c r="P2742" s="6" t="s">
        <v>12025</v>
      </c>
      <c r="Q2742" s="6" t="s">
        <v>12026</v>
      </c>
      <c r="R2742" s="6" t="s">
        <v>12027</v>
      </c>
      <c r="W2742" s="6" t="s">
        <v>9767</v>
      </c>
      <c r="AG2742" s="14" t="s">
        <v>55</v>
      </c>
      <c r="AH2742" s="14" t="s">
        <v>9768</v>
      </c>
      <c r="AI2742" s="14" t="s">
        <v>1985</v>
      </c>
      <c r="AJ2742" s="5" t="s">
        <v>11832</v>
      </c>
    </row>
    <row r="2743" spans="1:37">
      <c r="A2743" s="5" t="s">
        <v>12028</v>
      </c>
      <c r="B2743" s="5" t="s">
        <v>12029</v>
      </c>
      <c r="C2743" s="6" t="s">
        <v>12018</v>
      </c>
      <c r="D2743" s="6" t="s">
        <v>1545</v>
      </c>
      <c r="E2743" s="6" t="s">
        <v>9920</v>
      </c>
      <c r="F2743" s="6" t="s">
        <v>46</v>
      </c>
      <c r="G2743" s="6" t="s">
        <v>12030</v>
      </c>
      <c r="H2743" s="7">
        <v>234.3</v>
      </c>
      <c r="I2743" s="19" t="s">
        <v>1882</v>
      </c>
      <c r="J2743" s="19" t="s">
        <v>11618</v>
      </c>
      <c r="K2743" s="6" t="s">
        <v>12031</v>
      </c>
      <c r="L2743" s="6" t="s">
        <v>12032</v>
      </c>
      <c r="M2743" s="6" t="s">
        <v>12033</v>
      </c>
      <c r="N2743" s="6" t="s">
        <v>12034</v>
      </c>
      <c r="O2743" s="6" t="s">
        <v>12035</v>
      </c>
      <c r="P2743" s="6" t="s">
        <v>12036</v>
      </c>
      <c r="Q2743" s="6" t="s">
        <v>12037</v>
      </c>
      <c r="R2743" s="6" t="s">
        <v>12038</v>
      </c>
      <c r="W2743" s="6" t="s">
        <v>9767</v>
      </c>
      <c r="AG2743" s="14" t="s">
        <v>55</v>
      </c>
      <c r="AH2743" s="14" t="s">
        <v>9768</v>
      </c>
      <c r="AI2743" s="14" t="s">
        <v>1985</v>
      </c>
      <c r="AJ2743" s="5" t="s">
        <v>11832</v>
      </c>
    </row>
    <row r="2744" spans="1:37">
      <c r="A2744" s="5" t="s">
        <v>12039</v>
      </c>
      <c r="B2744" s="5" t="s">
        <v>12040</v>
      </c>
      <c r="C2744" s="6" t="s">
        <v>43</v>
      </c>
      <c r="D2744" s="6" t="s">
        <v>1545</v>
      </c>
      <c r="E2744" s="6" t="s">
        <v>9920</v>
      </c>
      <c r="F2744" s="6" t="s">
        <v>46</v>
      </c>
      <c r="G2744" s="6" t="s">
        <v>12041</v>
      </c>
      <c r="H2744" s="7">
        <v>276.3</v>
      </c>
      <c r="I2744" s="19" t="s">
        <v>1882</v>
      </c>
      <c r="J2744" s="19" t="s">
        <v>11618</v>
      </c>
      <c r="K2744" s="6" t="s">
        <v>12042</v>
      </c>
      <c r="L2744" s="6" t="s">
        <v>12043</v>
      </c>
      <c r="M2744" s="6" t="s">
        <v>12044</v>
      </c>
      <c r="N2744" s="6" t="s">
        <v>12045</v>
      </c>
      <c r="O2744" s="6" t="s">
        <v>12046</v>
      </c>
      <c r="P2744" s="6" t="s">
        <v>12047</v>
      </c>
      <c r="Q2744" s="6" t="s">
        <v>12048</v>
      </c>
      <c r="R2744" s="6" t="s">
        <v>12049</v>
      </c>
      <c r="W2744" s="6" t="s">
        <v>9767</v>
      </c>
      <c r="AG2744" s="14" t="s">
        <v>55</v>
      </c>
      <c r="AH2744" s="14" t="s">
        <v>9768</v>
      </c>
      <c r="AI2744" s="14" t="s">
        <v>1985</v>
      </c>
      <c r="AJ2744" s="5" t="s">
        <v>11832</v>
      </c>
    </row>
    <row r="2745" spans="1:37">
      <c r="A2745" s="5" t="s">
        <v>12050</v>
      </c>
      <c r="B2745" s="5" t="s">
        <v>12051</v>
      </c>
      <c r="C2745" s="6" t="s">
        <v>43</v>
      </c>
      <c r="D2745" s="6" t="s">
        <v>1545</v>
      </c>
      <c r="E2745" s="6" t="s">
        <v>9920</v>
      </c>
      <c r="F2745" s="6" t="s">
        <v>46</v>
      </c>
      <c r="G2745" s="6" t="s">
        <v>12052</v>
      </c>
      <c r="H2745" s="7">
        <v>551.54999999999995</v>
      </c>
      <c r="I2745" s="19" t="s">
        <v>1882</v>
      </c>
      <c r="J2745" s="19" t="s">
        <v>11618</v>
      </c>
      <c r="K2745" s="6" t="s">
        <v>12053</v>
      </c>
      <c r="L2745" s="6" t="s">
        <v>12054</v>
      </c>
      <c r="M2745" s="6" t="s">
        <v>12055</v>
      </c>
      <c r="N2745" s="6" t="s">
        <v>12056</v>
      </c>
      <c r="O2745" s="6" t="s">
        <v>12057</v>
      </c>
      <c r="P2745" s="6" t="s">
        <v>12058</v>
      </c>
      <c r="Q2745" s="6" t="s">
        <v>12059</v>
      </c>
      <c r="R2745" s="6" t="s">
        <v>12060</v>
      </c>
      <c r="W2745" s="6" t="s">
        <v>9767</v>
      </c>
      <c r="AG2745" s="14" t="s">
        <v>55</v>
      </c>
      <c r="AH2745" s="14" t="s">
        <v>9768</v>
      </c>
      <c r="AI2745" s="14" t="s">
        <v>1985</v>
      </c>
      <c r="AJ2745" s="5" t="s">
        <v>11832</v>
      </c>
    </row>
    <row r="2746" spans="1:37">
      <c r="A2746" s="6" t="s">
        <v>12061</v>
      </c>
      <c r="B2746" s="6" t="s">
        <v>12062</v>
      </c>
      <c r="C2746" s="6" t="s">
        <v>43</v>
      </c>
      <c r="D2746" s="6" t="s">
        <v>1545</v>
      </c>
      <c r="E2746" s="6" t="s">
        <v>9920</v>
      </c>
      <c r="F2746" s="6" t="s">
        <v>46</v>
      </c>
      <c r="G2746" s="6" t="s">
        <v>9919</v>
      </c>
      <c r="I2746" s="5" t="s">
        <v>48</v>
      </c>
      <c r="J2746" s="5" t="s">
        <v>48</v>
      </c>
      <c r="K2746" s="6"/>
      <c r="L2746" s="6"/>
      <c r="M2746" s="6"/>
      <c r="N2746" s="6"/>
      <c r="O2746" s="6"/>
      <c r="P2746" s="6"/>
      <c r="Q2746" s="6"/>
      <c r="R2746" s="6"/>
      <c r="S2746" s="6"/>
      <c r="T2746" s="6"/>
      <c r="U2746" s="6"/>
      <c r="V2746" s="6"/>
      <c r="W2746" s="6"/>
      <c r="X2746" s="6"/>
      <c r="Y2746" s="6"/>
      <c r="Z2746" s="6"/>
      <c r="AA2746" s="6"/>
      <c r="AB2746" s="6"/>
      <c r="AC2746" s="6"/>
      <c r="AD2746" s="6"/>
      <c r="AE2746" s="6"/>
      <c r="AF2746" s="6"/>
      <c r="AG2746" s="15" t="s">
        <v>55</v>
      </c>
      <c r="AH2746" s="15"/>
      <c r="AI2746" s="15"/>
      <c r="AJ2746" s="6"/>
      <c r="AK2746" s="6"/>
    </row>
    <row r="2747" spans="1:37" s="6" customFormat="1">
      <c r="A2747" s="5" t="s">
        <v>12063</v>
      </c>
      <c r="B2747" s="5" t="s">
        <v>12064</v>
      </c>
      <c r="C2747" s="6" t="s">
        <v>43</v>
      </c>
      <c r="D2747" s="6" t="s">
        <v>1545</v>
      </c>
      <c r="E2747" s="6" t="s">
        <v>9920</v>
      </c>
      <c r="F2747" s="6" t="s">
        <v>46</v>
      </c>
      <c r="G2747" s="6" t="s">
        <v>11823</v>
      </c>
      <c r="H2747" s="7">
        <v>307.8</v>
      </c>
      <c r="I2747" s="19" t="s">
        <v>1882</v>
      </c>
      <c r="J2747" s="19" t="s">
        <v>11618</v>
      </c>
      <c r="K2747" s="5" t="s">
        <v>12065</v>
      </c>
      <c r="L2747" s="5" t="s">
        <v>12066</v>
      </c>
      <c r="M2747" s="5" t="s">
        <v>12067</v>
      </c>
      <c r="N2747" s="5" t="s">
        <v>12068</v>
      </c>
      <c r="O2747" s="5" t="s">
        <v>12069</v>
      </c>
      <c r="P2747" s="5" t="s">
        <v>12070</v>
      </c>
      <c r="Q2747" s="5" t="s">
        <v>12071</v>
      </c>
      <c r="R2747" s="5" t="s">
        <v>12072</v>
      </c>
      <c r="S2747" s="5"/>
      <c r="T2747" s="5"/>
      <c r="U2747" s="5"/>
      <c r="V2747" s="5"/>
      <c r="W2747" s="5" t="s">
        <v>9767</v>
      </c>
      <c r="X2747" s="5"/>
      <c r="Y2747" s="5"/>
      <c r="Z2747" s="5"/>
      <c r="AA2747" s="5"/>
      <c r="AB2747" s="5"/>
      <c r="AC2747" s="5"/>
      <c r="AD2747" s="5"/>
      <c r="AE2747" s="5"/>
      <c r="AF2747" s="5"/>
      <c r="AG2747" s="14" t="s">
        <v>55</v>
      </c>
      <c r="AH2747" s="14" t="s">
        <v>9768</v>
      </c>
      <c r="AI2747" s="14" t="s">
        <v>12073</v>
      </c>
      <c r="AJ2747" s="5" t="s">
        <v>12074</v>
      </c>
      <c r="AK2747" s="5"/>
    </row>
    <row r="2748" spans="1:37">
      <c r="A2748" s="5" t="s">
        <v>12075</v>
      </c>
      <c r="B2748" s="5" t="s">
        <v>12076</v>
      </c>
      <c r="C2748" s="6" t="s">
        <v>43</v>
      </c>
      <c r="D2748" s="6" t="s">
        <v>1545</v>
      </c>
      <c r="E2748" s="6" t="s">
        <v>9920</v>
      </c>
      <c r="F2748" s="6" t="s">
        <v>46</v>
      </c>
      <c r="G2748" s="6" t="s">
        <v>11634</v>
      </c>
      <c r="H2748" s="7">
        <v>367.7</v>
      </c>
      <c r="I2748" s="19" t="s">
        <v>1882</v>
      </c>
      <c r="J2748" s="19" t="s">
        <v>11618</v>
      </c>
      <c r="K2748" s="6" t="s">
        <v>12077</v>
      </c>
      <c r="L2748" s="6" t="s">
        <v>12078</v>
      </c>
      <c r="M2748" s="6" t="s">
        <v>12079</v>
      </c>
      <c r="N2748" s="6" t="s">
        <v>12080</v>
      </c>
      <c r="O2748" s="6" t="s">
        <v>12081</v>
      </c>
      <c r="P2748" s="6" t="s">
        <v>12082</v>
      </c>
      <c r="Q2748" s="6" t="s">
        <v>12083</v>
      </c>
      <c r="R2748" s="6" t="s">
        <v>12084</v>
      </c>
      <c r="W2748" s="6" t="s">
        <v>9767</v>
      </c>
      <c r="AG2748" s="14" t="s">
        <v>55</v>
      </c>
      <c r="AH2748" s="14" t="s">
        <v>9768</v>
      </c>
      <c r="AI2748" s="14" t="s">
        <v>12073</v>
      </c>
      <c r="AJ2748" s="5" t="s">
        <v>12074</v>
      </c>
    </row>
    <row r="2749" spans="1:37">
      <c r="A2749" s="5" t="s">
        <v>12085</v>
      </c>
      <c r="B2749" s="5" t="s">
        <v>12086</v>
      </c>
      <c r="C2749" s="6" t="s">
        <v>43</v>
      </c>
      <c r="D2749" s="6" t="s">
        <v>1545</v>
      </c>
      <c r="E2749" s="6" t="s">
        <v>9920</v>
      </c>
      <c r="F2749" s="6" t="s">
        <v>46</v>
      </c>
      <c r="G2749" s="6" t="s">
        <v>11645</v>
      </c>
      <c r="H2749" s="7">
        <v>457.6</v>
      </c>
      <c r="I2749" s="19" t="s">
        <v>1882</v>
      </c>
      <c r="J2749" s="19" t="s">
        <v>11618</v>
      </c>
      <c r="K2749" s="6" t="s">
        <v>12087</v>
      </c>
      <c r="L2749" s="6" t="s">
        <v>12088</v>
      </c>
      <c r="M2749" s="6" t="s">
        <v>12089</v>
      </c>
      <c r="N2749" s="6" t="s">
        <v>12090</v>
      </c>
      <c r="O2749" s="6" t="s">
        <v>12091</v>
      </c>
      <c r="P2749" s="6" t="s">
        <v>12092</v>
      </c>
      <c r="Q2749" s="6" t="s">
        <v>12093</v>
      </c>
      <c r="R2749" s="6" t="s">
        <v>12094</v>
      </c>
      <c r="W2749" s="6" t="s">
        <v>9767</v>
      </c>
      <c r="AG2749" s="14" t="s">
        <v>55</v>
      </c>
      <c r="AH2749" s="14" t="s">
        <v>9768</v>
      </c>
      <c r="AI2749" s="14" t="s">
        <v>12073</v>
      </c>
      <c r="AJ2749" s="5" t="s">
        <v>12074</v>
      </c>
    </row>
    <row r="2750" spans="1:37">
      <c r="A2750" s="5" t="s">
        <v>12095</v>
      </c>
      <c r="B2750" s="5" t="s">
        <v>12096</v>
      </c>
      <c r="C2750" s="6" t="s">
        <v>12097</v>
      </c>
      <c r="D2750" s="6" t="s">
        <v>1545</v>
      </c>
      <c r="E2750" s="6" t="s">
        <v>9920</v>
      </c>
      <c r="F2750" s="6" t="s">
        <v>46</v>
      </c>
      <c r="G2750" s="6" t="s">
        <v>12098</v>
      </c>
      <c r="H2750" s="7">
        <v>611.79999999999995</v>
      </c>
      <c r="I2750" s="19" t="s">
        <v>1882</v>
      </c>
      <c r="J2750" s="19" t="s">
        <v>11618</v>
      </c>
      <c r="K2750" s="6" t="s">
        <v>12099</v>
      </c>
      <c r="L2750" s="6" t="s">
        <v>12100</v>
      </c>
      <c r="M2750" s="6" t="s">
        <v>12101</v>
      </c>
      <c r="N2750" s="6" t="s">
        <v>12102</v>
      </c>
      <c r="O2750" s="6" t="s">
        <v>12103</v>
      </c>
      <c r="P2750" s="6" t="s">
        <v>12104</v>
      </c>
      <c r="Q2750" s="6" t="s">
        <v>12105</v>
      </c>
      <c r="R2750" s="6" t="s">
        <v>12106</v>
      </c>
      <c r="W2750" s="6" t="s">
        <v>9767</v>
      </c>
      <c r="AG2750" s="14" t="s">
        <v>55</v>
      </c>
      <c r="AH2750" s="14" t="s">
        <v>9768</v>
      </c>
      <c r="AI2750" s="14" t="s">
        <v>12073</v>
      </c>
      <c r="AJ2750" s="5" t="s">
        <v>12074</v>
      </c>
    </row>
    <row r="2751" spans="1:37">
      <c r="A2751" s="5" t="s">
        <v>12107</v>
      </c>
      <c r="B2751" s="5" t="s">
        <v>12108</v>
      </c>
      <c r="C2751" s="6" t="s">
        <v>43</v>
      </c>
      <c r="D2751" s="6" t="s">
        <v>1545</v>
      </c>
      <c r="E2751" s="6" t="s">
        <v>9920</v>
      </c>
      <c r="F2751" s="6" t="s">
        <v>46</v>
      </c>
      <c r="G2751" s="6" t="s">
        <v>12109</v>
      </c>
      <c r="H2751" s="7">
        <v>764.75</v>
      </c>
      <c r="I2751" s="19" t="s">
        <v>1882</v>
      </c>
      <c r="J2751" s="19" t="s">
        <v>11618</v>
      </c>
      <c r="K2751" s="6" t="s">
        <v>12110</v>
      </c>
      <c r="L2751" s="6" t="s">
        <v>12111</v>
      </c>
      <c r="M2751" s="6" t="s">
        <v>12112</v>
      </c>
      <c r="N2751" s="6" t="s">
        <v>12113</v>
      </c>
      <c r="O2751" s="6" t="s">
        <v>12114</v>
      </c>
      <c r="P2751" s="6" t="s">
        <v>12115</v>
      </c>
      <c r="Q2751" s="6" t="s">
        <v>12116</v>
      </c>
      <c r="R2751" s="6" t="s">
        <v>12117</v>
      </c>
      <c r="W2751" s="6" t="s">
        <v>9767</v>
      </c>
      <c r="AG2751" s="14" t="s">
        <v>55</v>
      </c>
      <c r="AH2751" s="14" t="s">
        <v>9768</v>
      </c>
      <c r="AI2751" s="14" t="s">
        <v>12073</v>
      </c>
      <c r="AJ2751" s="5" t="s">
        <v>12074</v>
      </c>
    </row>
    <row r="2752" spans="1:37">
      <c r="A2752" s="5" t="s">
        <v>12118</v>
      </c>
      <c r="B2752" s="5" t="s">
        <v>12119</v>
      </c>
      <c r="C2752" s="6" t="s">
        <v>43</v>
      </c>
      <c r="D2752" s="6" t="s">
        <v>1545</v>
      </c>
      <c r="E2752" s="6" t="s">
        <v>9920</v>
      </c>
      <c r="F2752" s="6" t="s">
        <v>46</v>
      </c>
      <c r="G2752" s="6" t="s">
        <v>11866</v>
      </c>
      <c r="H2752" s="7">
        <v>68.3</v>
      </c>
      <c r="I2752" s="19" t="s">
        <v>1882</v>
      </c>
      <c r="J2752" s="19" t="s">
        <v>11618</v>
      </c>
      <c r="K2752" s="6" t="s">
        <v>12120</v>
      </c>
      <c r="L2752" s="6" t="s">
        <v>12121</v>
      </c>
      <c r="M2752" s="6" t="s">
        <v>12122</v>
      </c>
      <c r="N2752" s="6" t="s">
        <v>12123</v>
      </c>
      <c r="O2752" s="6" t="s">
        <v>12124</v>
      </c>
      <c r="P2752" s="6" t="s">
        <v>12125</v>
      </c>
      <c r="Q2752" s="6" t="s">
        <v>12126</v>
      </c>
      <c r="R2752" s="6" t="s">
        <v>12127</v>
      </c>
      <c r="W2752" s="6" t="s">
        <v>9767</v>
      </c>
      <c r="AG2752" s="14" t="s">
        <v>55</v>
      </c>
      <c r="AH2752" s="14" t="s">
        <v>9768</v>
      </c>
      <c r="AI2752" s="14" t="s">
        <v>12073</v>
      </c>
      <c r="AJ2752" s="5" t="s">
        <v>12074</v>
      </c>
    </row>
    <row r="2753" spans="1:37">
      <c r="A2753" s="5" t="s">
        <v>12128</v>
      </c>
      <c r="B2753" s="5" t="s">
        <v>12129</v>
      </c>
      <c r="C2753" s="6" t="s">
        <v>43</v>
      </c>
      <c r="D2753" s="6" t="s">
        <v>1545</v>
      </c>
      <c r="E2753" s="6" t="s">
        <v>9920</v>
      </c>
      <c r="F2753" s="6" t="s">
        <v>46</v>
      </c>
      <c r="G2753" s="6" t="s">
        <v>11877</v>
      </c>
      <c r="H2753" s="7">
        <v>917.7</v>
      </c>
      <c r="I2753" s="19" t="s">
        <v>1882</v>
      </c>
      <c r="J2753" s="19" t="s">
        <v>11618</v>
      </c>
      <c r="K2753" s="6" t="s">
        <v>12130</v>
      </c>
      <c r="L2753" s="6" t="s">
        <v>12131</v>
      </c>
      <c r="M2753" s="6" t="s">
        <v>12132</v>
      </c>
      <c r="N2753" s="6" t="s">
        <v>12133</v>
      </c>
      <c r="O2753" s="6" t="s">
        <v>12134</v>
      </c>
      <c r="P2753" s="6" t="s">
        <v>12135</v>
      </c>
      <c r="Q2753" s="6" t="s">
        <v>12136</v>
      </c>
      <c r="R2753" s="6" t="s">
        <v>12137</v>
      </c>
      <c r="W2753" s="6" t="s">
        <v>9767</v>
      </c>
      <c r="AG2753" s="14" t="s">
        <v>55</v>
      </c>
      <c r="AH2753" s="14" t="s">
        <v>9768</v>
      </c>
      <c r="AI2753" s="14" t="s">
        <v>12073</v>
      </c>
      <c r="AJ2753" s="5" t="s">
        <v>12074</v>
      </c>
    </row>
    <row r="2754" spans="1:37">
      <c r="A2754" s="5" t="s">
        <v>12138</v>
      </c>
      <c r="B2754" s="5" t="s">
        <v>12139</v>
      </c>
      <c r="C2754" s="6" t="s">
        <v>43</v>
      </c>
      <c r="D2754" s="6" t="s">
        <v>1545</v>
      </c>
      <c r="E2754" s="6" t="s">
        <v>9920</v>
      </c>
      <c r="F2754" s="6" t="s">
        <v>46</v>
      </c>
      <c r="G2754" s="6" t="s">
        <v>12140</v>
      </c>
      <c r="H2754" s="7">
        <v>68.3</v>
      </c>
      <c r="I2754" s="19" t="s">
        <v>1882</v>
      </c>
      <c r="J2754" s="19" t="s">
        <v>11618</v>
      </c>
      <c r="K2754" s="6" t="s">
        <v>12141</v>
      </c>
      <c r="L2754" s="6" t="s">
        <v>12142</v>
      </c>
      <c r="M2754" s="6" t="s">
        <v>12143</v>
      </c>
      <c r="N2754" s="6" t="s">
        <v>12144</v>
      </c>
      <c r="O2754" s="6" t="s">
        <v>12145</v>
      </c>
      <c r="P2754" s="6" t="s">
        <v>12146</v>
      </c>
      <c r="Q2754" s="6" t="s">
        <v>12147</v>
      </c>
      <c r="R2754" s="6" t="s">
        <v>12148</v>
      </c>
      <c r="W2754" s="6" t="s">
        <v>9767</v>
      </c>
      <c r="AG2754" s="14" t="s">
        <v>55</v>
      </c>
      <c r="AH2754" s="14" t="s">
        <v>9768</v>
      </c>
      <c r="AI2754" s="14" t="s">
        <v>12073</v>
      </c>
      <c r="AJ2754" s="5" t="s">
        <v>12074</v>
      </c>
    </row>
    <row r="2755" spans="1:37">
      <c r="A2755" s="5" t="s">
        <v>12149</v>
      </c>
      <c r="B2755" s="5" t="s">
        <v>12150</v>
      </c>
      <c r="C2755" s="6" t="s">
        <v>43</v>
      </c>
      <c r="D2755" s="6" t="s">
        <v>1545</v>
      </c>
      <c r="E2755" s="6" t="s">
        <v>9920</v>
      </c>
      <c r="F2755" s="6" t="s">
        <v>46</v>
      </c>
      <c r="G2755" s="6" t="s">
        <v>1499</v>
      </c>
      <c r="H2755" s="7">
        <v>125.9</v>
      </c>
      <c r="I2755" s="19" t="s">
        <v>1882</v>
      </c>
      <c r="J2755" s="19" t="s">
        <v>11618</v>
      </c>
      <c r="K2755" s="6" t="s">
        <v>12151</v>
      </c>
      <c r="L2755" s="6" t="s">
        <v>12152</v>
      </c>
      <c r="M2755" s="6" t="s">
        <v>12153</v>
      </c>
      <c r="N2755" s="6" t="s">
        <v>12154</v>
      </c>
      <c r="O2755" s="6" t="s">
        <v>12155</v>
      </c>
      <c r="P2755" s="6" t="s">
        <v>12156</v>
      </c>
      <c r="Q2755" s="6" t="s">
        <v>12157</v>
      </c>
      <c r="R2755" s="6" t="s">
        <v>12158</v>
      </c>
      <c r="W2755" s="6" t="s">
        <v>9767</v>
      </c>
      <c r="AG2755" s="14" t="s">
        <v>55</v>
      </c>
      <c r="AH2755" s="14" t="s">
        <v>9768</v>
      </c>
      <c r="AI2755" s="14" t="s">
        <v>12073</v>
      </c>
      <c r="AJ2755" s="5" t="s">
        <v>12074</v>
      </c>
    </row>
    <row r="2756" spans="1:37">
      <c r="A2756" s="5" t="s">
        <v>12159</v>
      </c>
      <c r="B2756" s="5" t="s">
        <v>12160</v>
      </c>
      <c r="C2756" s="6" t="s">
        <v>43</v>
      </c>
      <c r="D2756" s="6" t="s">
        <v>1545</v>
      </c>
      <c r="E2756" s="6" t="s">
        <v>9920</v>
      </c>
      <c r="F2756" s="6" t="s">
        <v>46</v>
      </c>
      <c r="G2756" s="6" t="s">
        <v>11699</v>
      </c>
      <c r="H2756" s="7">
        <v>150.19999999999999</v>
      </c>
      <c r="I2756" s="19" t="s">
        <v>1882</v>
      </c>
      <c r="J2756" s="19" t="s">
        <v>11618</v>
      </c>
      <c r="K2756" s="6" t="s">
        <v>12161</v>
      </c>
      <c r="L2756" s="6" t="s">
        <v>12162</v>
      </c>
      <c r="M2756" s="6" t="s">
        <v>12163</v>
      </c>
      <c r="N2756" s="6" t="s">
        <v>12164</v>
      </c>
      <c r="O2756" s="6" t="s">
        <v>12165</v>
      </c>
      <c r="P2756" s="6" t="s">
        <v>12166</v>
      </c>
      <c r="Q2756" s="6" t="s">
        <v>12167</v>
      </c>
      <c r="R2756" s="6" t="s">
        <v>12168</v>
      </c>
      <c r="W2756" s="6" t="s">
        <v>9767</v>
      </c>
      <c r="AG2756" s="14" t="s">
        <v>55</v>
      </c>
      <c r="AH2756" s="14" t="s">
        <v>9768</v>
      </c>
      <c r="AI2756" s="14" t="s">
        <v>12073</v>
      </c>
      <c r="AJ2756" s="5" t="s">
        <v>12074</v>
      </c>
    </row>
    <row r="2757" spans="1:37">
      <c r="A2757" s="5" t="s">
        <v>12169</v>
      </c>
      <c r="B2757" s="5" t="s">
        <v>12170</v>
      </c>
      <c r="C2757" s="6" t="s">
        <v>43</v>
      </c>
      <c r="D2757" s="6" t="s">
        <v>1545</v>
      </c>
      <c r="E2757" s="6" t="s">
        <v>9920</v>
      </c>
      <c r="F2757" s="6" t="s">
        <v>46</v>
      </c>
      <c r="G2757" s="6" t="s">
        <v>11710</v>
      </c>
      <c r="H2757" s="7">
        <v>184.2</v>
      </c>
      <c r="I2757" s="19" t="s">
        <v>1882</v>
      </c>
      <c r="J2757" s="19" t="s">
        <v>11618</v>
      </c>
      <c r="K2757" s="6" t="s">
        <v>12171</v>
      </c>
      <c r="L2757" s="6" t="s">
        <v>12172</v>
      </c>
      <c r="M2757" s="6" t="s">
        <v>12173</v>
      </c>
      <c r="N2757" s="6" t="s">
        <v>12174</v>
      </c>
      <c r="O2757" s="6" t="s">
        <v>12175</v>
      </c>
      <c r="P2757" s="6" t="s">
        <v>12176</v>
      </c>
      <c r="Q2757" s="6" t="s">
        <v>12177</v>
      </c>
      <c r="R2757" s="6" t="s">
        <v>12178</v>
      </c>
      <c r="W2757" s="6" t="s">
        <v>9767</v>
      </c>
      <c r="AG2757" s="14" t="s">
        <v>55</v>
      </c>
      <c r="AH2757" s="14" t="s">
        <v>9768</v>
      </c>
      <c r="AI2757" s="14" t="s">
        <v>12073</v>
      </c>
      <c r="AJ2757" s="5" t="s">
        <v>12074</v>
      </c>
    </row>
    <row r="2758" spans="1:37">
      <c r="A2758" s="5" t="s">
        <v>12179</v>
      </c>
      <c r="B2758" s="5" t="s">
        <v>12180</v>
      </c>
      <c r="C2758" s="6" t="s">
        <v>43</v>
      </c>
      <c r="D2758" s="6" t="s">
        <v>1545</v>
      </c>
      <c r="E2758" s="6" t="s">
        <v>9920</v>
      </c>
      <c r="F2758" s="6" t="s">
        <v>46</v>
      </c>
      <c r="G2758" s="6" t="s">
        <v>866</v>
      </c>
      <c r="H2758" s="7">
        <v>243.7</v>
      </c>
      <c r="I2758" s="19" t="s">
        <v>1882</v>
      </c>
      <c r="J2758" s="19" t="s">
        <v>11618</v>
      </c>
      <c r="K2758" s="6" t="s">
        <v>12181</v>
      </c>
      <c r="L2758" s="6" t="s">
        <v>12182</v>
      </c>
      <c r="M2758" s="6" t="s">
        <v>12183</v>
      </c>
      <c r="N2758" s="6" t="s">
        <v>12184</v>
      </c>
      <c r="O2758" s="6" t="s">
        <v>12185</v>
      </c>
      <c r="P2758" s="6" t="s">
        <v>12186</v>
      </c>
      <c r="Q2758" s="6" t="s">
        <v>12187</v>
      </c>
      <c r="R2758" s="6" t="s">
        <v>12188</v>
      </c>
      <c r="W2758" s="6" t="s">
        <v>9767</v>
      </c>
      <c r="AG2758" s="14" t="s">
        <v>55</v>
      </c>
      <c r="AH2758" s="14" t="s">
        <v>9768</v>
      </c>
      <c r="AI2758" s="14" t="s">
        <v>12073</v>
      </c>
      <c r="AJ2758" s="5" t="s">
        <v>12074</v>
      </c>
    </row>
    <row r="2759" spans="1:37">
      <c r="A2759" s="6" t="s">
        <v>12189</v>
      </c>
      <c r="B2759" s="6" t="s">
        <v>12190</v>
      </c>
      <c r="C2759" s="6" t="s">
        <v>43</v>
      </c>
      <c r="D2759" s="6" t="s">
        <v>1545</v>
      </c>
      <c r="E2759" s="6" t="s">
        <v>9920</v>
      </c>
      <c r="F2759" s="6" t="s">
        <v>46</v>
      </c>
      <c r="G2759" s="6" t="s">
        <v>11721</v>
      </c>
      <c r="I2759" s="5" t="s">
        <v>48</v>
      </c>
      <c r="J2759" s="5" t="s">
        <v>48</v>
      </c>
      <c r="K2759" s="6" t="s">
        <v>11942</v>
      </c>
      <c r="L2759" s="6" t="s">
        <v>11943</v>
      </c>
      <c r="M2759" s="6" t="s">
        <v>11944</v>
      </c>
      <c r="N2759" s="6" t="s">
        <v>11945</v>
      </c>
      <c r="O2759" s="6" t="s">
        <v>11946</v>
      </c>
      <c r="P2759" s="6" t="s">
        <v>11947</v>
      </c>
      <c r="Q2759" s="6" t="s">
        <v>11948</v>
      </c>
      <c r="R2759" s="6" t="s">
        <v>11949</v>
      </c>
      <c r="S2759" s="6"/>
      <c r="T2759" s="6"/>
      <c r="U2759" s="6"/>
      <c r="V2759" s="6"/>
      <c r="W2759" s="6"/>
      <c r="X2759" s="6"/>
      <c r="Y2759" s="6"/>
      <c r="Z2759" s="6"/>
      <c r="AA2759" s="6"/>
      <c r="AB2759" s="6"/>
      <c r="AC2759" s="6"/>
      <c r="AD2759" s="6"/>
      <c r="AE2759" s="6"/>
      <c r="AF2759" s="6"/>
      <c r="AG2759" s="15" t="s">
        <v>55</v>
      </c>
      <c r="AH2759" s="15"/>
      <c r="AI2759" s="15"/>
      <c r="AJ2759" s="6"/>
      <c r="AK2759" s="6"/>
    </row>
    <row r="2760" spans="1:37" s="6" customFormat="1">
      <c r="A2760" s="5" t="s">
        <v>12191</v>
      </c>
      <c r="B2760" s="5" t="s">
        <v>12192</v>
      </c>
      <c r="C2760" s="6" t="s">
        <v>43</v>
      </c>
      <c r="D2760" s="6" t="s">
        <v>1545</v>
      </c>
      <c r="E2760" s="6" t="s">
        <v>9920</v>
      </c>
      <c r="F2760" s="6" t="s">
        <v>46</v>
      </c>
      <c r="G2760" s="6" t="s">
        <v>12193</v>
      </c>
      <c r="H2760" s="7">
        <v>461.7</v>
      </c>
      <c r="I2760" s="19" t="s">
        <v>1882</v>
      </c>
      <c r="J2760" s="19" t="s">
        <v>11618</v>
      </c>
      <c r="K2760" s="6" t="s">
        <v>12194</v>
      </c>
      <c r="L2760" s="6" t="s">
        <v>12195</v>
      </c>
      <c r="M2760" s="6" t="s">
        <v>12196</v>
      </c>
      <c r="N2760" s="6" t="s">
        <v>12197</v>
      </c>
      <c r="O2760" s="6" t="s">
        <v>12198</v>
      </c>
      <c r="P2760" s="6" t="s">
        <v>12199</v>
      </c>
      <c r="Q2760" s="6" t="s">
        <v>12200</v>
      </c>
      <c r="R2760" s="6" t="s">
        <v>12201</v>
      </c>
      <c r="S2760" s="5"/>
      <c r="T2760" s="5"/>
      <c r="U2760" s="5"/>
      <c r="V2760" s="5"/>
      <c r="W2760" s="6" t="s">
        <v>9767</v>
      </c>
      <c r="X2760" s="5"/>
      <c r="Y2760" s="5"/>
      <c r="Z2760" s="5"/>
      <c r="AA2760" s="5"/>
      <c r="AB2760" s="5"/>
      <c r="AC2760" s="5"/>
      <c r="AD2760" s="5"/>
      <c r="AE2760" s="5"/>
      <c r="AF2760" s="5"/>
      <c r="AG2760" s="14" t="s">
        <v>55</v>
      </c>
      <c r="AH2760" s="14" t="s">
        <v>9768</v>
      </c>
      <c r="AI2760" s="14" t="s">
        <v>12073</v>
      </c>
      <c r="AJ2760" s="5" t="s">
        <v>12074</v>
      </c>
      <c r="AK2760" s="5"/>
    </row>
    <row r="2761" spans="1:37">
      <c r="A2761" s="5" t="s">
        <v>12202</v>
      </c>
      <c r="B2761" s="5" t="s">
        <v>12203</v>
      </c>
      <c r="C2761" s="6" t="s">
        <v>43</v>
      </c>
      <c r="D2761" s="6" t="s">
        <v>1545</v>
      </c>
      <c r="E2761" s="6" t="s">
        <v>9920</v>
      </c>
      <c r="F2761" s="6" t="s">
        <v>46</v>
      </c>
      <c r="G2761" s="6" t="s">
        <v>12204</v>
      </c>
      <c r="H2761" s="7">
        <v>551.54999999999995</v>
      </c>
      <c r="I2761" s="19" t="s">
        <v>1882</v>
      </c>
      <c r="J2761" s="19" t="s">
        <v>11618</v>
      </c>
      <c r="K2761" s="6" t="s">
        <v>12205</v>
      </c>
      <c r="L2761" s="6" t="s">
        <v>12206</v>
      </c>
      <c r="M2761" s="6" t="s">
        <v>12207</v>
      </c>
      <c r="N2761" s="6" t="s">
        <v>12208</v>
      </c>
      <c r="O2761" s="6" t="s">
        <v>12209</v>
      </c>
      <c r="P2761" s="6" t="s">
        <v>12210</v>
      </c>
      <c r="Q2761" s="6" t="s">
        <v>12211</v>
      </c>
      <c r="R2761" s="6" t="s">
        <v>12212</v>
      </c>
      <c r="W2761" s="6" t="s">
        <v>9767</v>
      </c>
      <c r="AG2761" s="14" t="s">
        <v>55</v>
      </c>
      <c r="AH2761" s="14" t="s">
        <v>9768</v>
      </c>
      <c r="AI2761" s="14" t="s">
        <v>12073</v>
      </c>
      <c r="AJ2761" s="5" t="s">
        <v>12074</v>
      </c>
    </row>
    <row r="2762" spans="1:37">
      <c r="A2762" s="5" t="s">
        <v>12213</v>
      </c>
      <c r="B2762" s="5" t="s">
        <v>12214</v>
      </c>
      <c r="C2762" s="6" t="s">
        <v>43</v>
      </c>
      <c r="D2762" s="6" t="s">
        <v>1545</v>
      </c>
      <c r="E2762" s="6" t="s">
        <v>9920</v>
      </c>
      <c r="F2762" s="6" t="s">
        <v>46</v>
      </c>
      <c r="G2762" s="6" t="s">
        <v>12215</v>
      </c>
      <c r="H2762" s="7">
        <v>686.4</v>
      </c>
      <c r="I2762" s="19" t="s">
        <v>1882</v>
      </c>
      <c r="J2762" s="19" t="s">
        <v>11618</v>
      </c>
      <c r="K2762" s="6" t="s">
        <v>12216</v>
      </c>
      <c r="L2762" s="6" t="s">
        <v>12217</v>
      </c>
      <c r="M2762" s="6" t="s">
        <v>12218</v>
      </c>
      <c r="N2762" s="6" t="s">
        <v>12219</v>
      </c>
      <c r="O2762" s="6" t="s">
        <v>12220</v>
      </c>
      <c r="P2762" s="6" t="s">
        <v>12221</v>
      </c>
      <c r="Q2762" s="6" t="s">
        <v>12222</v>
      </c>
      <c r="R2762" s="6" t="s">
        <v>12223</v>
      </c>
      <c r="W2762" s="6" t="s">
        <v>9767</v>
      </c>
      <c r="AG2762" s="14" t="s">
        <v>55</v>
      </c>
      <c r="AH2762" s="14" t="s">
        <v>9768</v>
      </c>
      <c r="AI2762" s="14" t="s">
        <v>12073</v>
      </c>
      <c r="AJ2762" s="5" t="s">
        <v>12074</v>
      </c>
    </row>
    <row r="2763" spans="1:37">
      <c r="A2763" s="5" t="s">
        <v>12224</v>
      </c>
      <c r="B2763" s="5" t="s">
        <v>12225</v>
      </c>
      <c r="C2763" s="6" t="s">
        <v>43</v>
      </c>
      <c r="D2763" s="6" t="s">
        <v>1545</v>
      </c>
      <c r="E2763" s="6" t="s">
        <v>9920</v>
      </c>
      <c r="F2763" s="6" t="s">
        <v>46</v>
      </c>
      <c r="G2763" s="6" t="s">
        <v>11985</v>
      </c>
      <c r="H2763" s="7">
        <v>102.45</v>
      </c>
      <c r="I2763" s="19" t="s">
        <v>1882</v>
      </c>
      <c r="J2763" s="19" t="s">
        <v>11618</v>
      </c>
      <c r="K2763" s="6" t="s">
        <v>12226</v>
      </c>
      <c r="L2763" s="6" t="s">
        <v>12227</v>
      </c>
      <c r="M2763" s="6" t="s">
        <v>12228</v>
      </c>
      <c r="N2763" s="6" t="s">
        <v>12229</v>
      </c>
      <c r="O2763" s="6" t="s">
        <v>12230</v>
      </c>
      <c r="P2763" s="6" t="s">
        <v>12231</v>
      </c>
      <c r="Q2763" s="6" t="s">
        <v>12232</v>
      </c>
      <c r="R2763" s="6" t="s">
        <v>12233</v>
      </c>
      <c r="W2763" s="6" t="s">
        <v>9767</v>
      </c>
      <c r="AG2763" s="14" t="s">
        <v>55</v>
      </c>
      <c r="AH2763" s="14" t="s">
        <v>9768</v>
      </c>
      <c r="AI2763" s="14" t="s">
        <v>12073</v>
      </c>
      <c r="AJ2763" s="5" t="s">
        <v>12074</v>
      </c>
    </row>
    <row r="2764" spans="1:37">
      <c r="A2764" s="5" t="s">
        <v>12234</v>
      </c>
      <c r="B2764" s="5" t="s">
        <v>12235</v>
      </c>
      <c r="C2764" s="6" t="s">
        <v>43</v>
      </c>
      <c r="D2764" s="6" t="s">
        <v>1545</v>
      </c>
      <c r="E2764" s="6" t="s">
        <v>9920</v>
      </c>
      <c r="F2764" s="6" t="s">
        <v>46</v>
      </c>
      <c r="G2764" s="6" t="s">
        <v>12236</v>
      </c>
      <c r="H2764" s="7">
        <v>1385.1</v>
      </c>
      <c r="I2764" s="19" t="s">
        <v>1882</v>
      </c>
      <c r="J2764" s="19" t="s">
        <v>11618</v>
      </c>
      <c r="K2764" s="6" t="s">
        <v>12237</v>
      </c>
      <c r="L2764" s="6" t="s">
        <v>12238</v>
      </c>
      <c r="M2764" s="6" t="s">
        <v>12239</v>
      </c>
      <c r="N2764" s="6" t="s">
        <v>12240</v>
      </c>
      <c r="O2764" s="6" t="s">
        <v>12241</v>
      </c>
      <c r="P2764" s="6" t="s">
        <v>12242</v>
      </c>
      <c r="Q2764" s="6" t="s">
        <v>12243</v>
      </c>
      <c r="R2764" s="6" t="s">
        <v>12244</v>
      </c>
      <c r="W2764" s="6" t="s">
        <v>9767</v>
      </c>
      <c r="AG2764" s="14" t="s">
        <v>55</v>
      </c>
      <c r="AH2764" s="14" t="s">
        <v>9768</v>
      </c>
      <c r="AI2764" s="14" t="s">
        <v>12073</v>
      </c>
      <c r="AJ2764" s="5" t="s">
        <v>12074</v>
      </c>
    </row>
    <row r="2765" spans="1:37">
      <c r="A2765" s="5" t="s">
        <v>12245</v>
      </c>
      <c r="B2765" s="5" t="s">
        <v>12246</v>
      </c>
      <c r="C2765" s="6" t="s">
        <v>43</v>
      </c>
      <c r="D2765" s="6" t="s">
        <v>1545</v>
      </c>
      <c r="E2765" s="6" t="s">
        <v>9920</v>
      </c>
      <c r="F2765" s="6" t="s">
        <v>46</v>
      </c>
      <c r="G2765" s="6" t="s">
        <v>4587</v>
      </c>
      <c r="H2765" s="7">
        <v>143.85</v>
      </c>
      <c r="I2765" s="19" t="s">
        <v>1882</v>
      </c>
      <c r="J2765" s="19" t="s">
        <v>11618</v>
      </c>
      <c r="K2765" s="6" t="s">
        <v>12247</v>
      </c>
      <c r="L2765" s="6" t="s">
        <v>12248</v>
      </c>
      <c r="M2765" s="6" t="s">
        <v>12249</v>
      </c>
      <c r="N2765" s="6" t="s">
        <v>12250</v>
      </c>
      <c r="O2765" s="6" t="s">
        <v>12251</v>
      </c>
      <c r="P2765" s="6" t="s">
        <v>12252</v>
      </c>
      <c r="Q2765" s="6" t="s">
        <v>12253</v>
      </c>
      <c r="R2765" s="6" t="s">
        <v>12254</v>
      </c>
      <c r="W2765" s="6" t="s">
        <v>9767</v>
      </c>
      <c r="AG2765" s="14" t="s">
        <v>55</v>
      </c>
      <c r="AH2765" s="14" t="s">
        <v>9768</v>
      </c>
      <c r="AI2765" s="14" t="s">
        <v>12073</v>
      </c>
      <c r="AJ2765" s="5" t="s">
        <v>12074</v>
      </c>
    </row>
    <row r="2766" spans="1:37">
      <c r="A2766" s="5" t="s">
        <v>12255</v>
      </c>
      <c r="B2766" s="5" t="s">
        <v>12256</v>
      </c>
      <c r="C2766" s="6" t="s">
        <v>43</v>
      </c>
      <c r="D2766" s="6" t="s">
        <v>1545</v>
      </c>
      <c r="E2766" s="6" t="s">
        <v>9920</v>
      </c>
      <c r="F2766" s="6" t="s">
        <v>46</v>
      </c>
      <c r="G2766" s="6" t="s">
        <v>12257</v>
      </c>
      <c r="H2766" s="7">
        <v>188.85</v>
      </c>
      <c r="I2766" s="19" t="s">
        <v>1882</v>
      </c>
      <c r="J2766" s="19" t="s">
        <v>11618</v>
      </c>
      <c r="K2766" s="6" t="s">
        <v>12258</v>
      </c>
      <c r="L2766" s="6" t="s">
        <v>12259</v>
      </c>
      <c r="M2766" s="6" t="s">
        <v>12260</v>
      </c>
      <c r="N2766" s="6" t="s">
        <v>12261</v>
      </c>
      <c r="O2766" s="6" t="s">
        <v>12262</v>
      </c>
      <c r="P2766" s="6" t="s">
        <v>12263</v>
      </c>
      <c r="Q2766" s="6" t="s">
        <v>12264</v>
      </c>
      <c r="R2766" s="6" t="s">
        <v>12265</v>
      </c>
      <c r="W2766" s="6" t="s">
        <v>9767</v>
      </c>
      <c r="AG2766" s="14" t="s">
        <v>55</v>
      </c>
      <c r="AH2766" s="14" t="s">
        <v>9768</v>
      </c>
      <c r="AI2766" s="14" t="s">
        <v>12073</v>
      </c>
      <c r="AJ2766" s="5" t="s">
        <v>12074</v>
      </c>
    </row>
    <row r="2767" spans="1:37">
      <c r="A2767" s="5" t="s">
        <v>12266</v>
      </c>
      <c r="B2767" s="5" t="s">
        <v>12267</v>
      </c>
      <c r="C2767" s="6" t="s">
        <v>43</v>
      </c>
      <c r="D2767" s="6" t="s">
        <v>1545</v>
      </c>
      <c r="E2767" s="6" t="s">
        <v>9920</v>
      </c>
      <c r="F2767" s="6" t="s">
        <v>46</v>
      </c>
      <c r="G2767" s="6" t="s">
        <v>11787</v>
      </c>
      <c r="H2767" s="7">
        <v>234.3</v>
      </c>
      <c r="I2767" s="19" t="s">
        <v>1882</v>
      </c>
      <c r="J2767" s="19" t="s">
        <v>11618</v>
      </c>
      <c r="K2767" s="6" t="s">
        <v>12268</v>
      </c>
      <c r="L2767" s="6" t="s">
        <v>12269</v>
      </c>
      <c r="M2767" s="6" t="s">
        <v>12270</v>
      </c>
      <c r="N2767" s="6" t="s">
        <v>12271</v>
      </c>
      <c r="O2767" s="6" t="s">
        <v>12272</v>
      </c>
      <c r="P2767" s="6" t="s">
        <v>12273</v>
      </c>
      <c r="Q2767" s="6" t="s">
        <v>12274</v>
      </c>
      <c r="R2767" s="6" t="s">
        <v>12275</v>
      </c>
      <c r="W2767" s="6" t="s">
        <v>9767</v>
      </c>
      <c r="AG2767" s="14" t="s">
        <v>55</v>
      </c>
      <c r="AH2767" s="14" t="s">
        <v>9768</v>
      </c>
      <c r="AI2767" s="14" t="s">
        <v>12073</v>
      </c>
      <c r="AJ2767" s="5" t="s">
        <v>12074</v>
      </c>
    </row>
    <row r="2768" spans="1:37">
      <c r="A2768" s="5" t="s">
        <v>12276</v>
      </c>
      <c r="B2768" s="5" t="s">
        <v>12277</v>
      </c>
      <c r="C2768" s="6" t="s">
        <v>43</v>
      </c>
      <c r="D2768" s="6" t="s">
        <v>1545</v>
      </c>
      <c r="E2768" s="6" t="s">
        <v>9920</v>
      </c>
      <c r="F2768" s="6" t="s">
        <v>46</v>
      </c>
      <c r="G2768" s="6" t="s">
        <v>12041</v>
      </c>
      <c r="H2768" s="7">
        <v>276.3</v>
      </c>
      <c r="I2768" s="19" t="s">
        <v>1882</v>
      </c>
      <c r="J2768" s="19" t="s">
        <v>11618</v>
      </c>
      <c r="K2768" s="6" t="s">
        <v>12278</v>
      </c>
      <c r="L2768" s="6" t="s">
        <v>12279</v>
      </c>
      <c r="M2768" s="6" t="s">
        <v>12280</v>
      </c>
      <c r="N2768" s="6" t="s">
        <v>12281</v>
      </c>
      <c r="O2768" s="6" t="s">
        <v>12282</v>
      </c>
      <c r="P2768" s="6" t="s">
        <v>12283</v>
      </c>
      <c r="Q2768" s="6" t="s">
        <v>12284</v>
      </c>
      <c r="R2768" s="6" t="s">
        <v>12285</v>
      </c>
      <c r="W2768" s="6" t="s">
        <v>9767</v>
      </c>
      <c r="AG2768" s="14" t="s">
        <v>55</v>
      </c>
      <c r="AH2768" s="14" t="s">
        <v>9768</v>
      </c>
      <c r="AI2768" s="14" t="s">
        <v>12073</v>
      </c>
      <c r="AJ2768" s="5" t="s">
        <v>12074</v>
      </c>
    </row>
    <row r="2769" spans="1:37">
      <c r="A2769" s="5" t="s">
        <v>12286</v>
      </c>
      <c r="B2769" s="5" t="s">
        <v>12287</v>
      </c>
      <c r="C2769" s="6" t="s">
        <v>43</v>
      </c>
      <c r="D2769" s="6" t="s">
        <v>1545</v>
      </c>
      <c r="E2769" s="6" t="s">
        <v>9920</v>
      </c>
      <c r="F2769" s="6" t="s">
        <v>46</v>
      </c>
      <c r="G2769" s="6" t="s">
        <v>11809</v>
      </c>
      <c r="H2769" s="7">
        <v>365.55</v>
      </c>
      <c r="I2769" s="19" t="s">
        <v>1882</v>
      </c>
      <c r="J2769" s="19" t="s">
        <v>11618</v>
      </c>
      <c r="K2769" s="6" t="s">
        <v>12288</v>
      </c>
      <c r="L2769" s="6" t="s">
        <v>12289</v>
      </c>
      <c r="M2769" s="6" t="s">
        <v>12290</v>
      </c>
      <c r="N2769" s="6" t="s">
        <v>12291</v>
      </c>
      <c r="O2769" s="6" t="s">
        <v>12292</v>
      </c>
      <c r="P2769" s="6" t="s">
        <v>12293</v>
      </c>
      <c r="Q2769" s="6" t="s">
        <v>12294</v>
      </c>
      <c r="R2769" s="6" t="s">
        <v>12295</v>
      </c>
      <c r="W2769" s="6" t="s">
        <v>9767</v>
      </c>
      <c r="AG2769" s="14" t="s">
        <v>55</v>
      </c>
      <c r="AH2769" s="14" t="s">
        <v>9768</v>
      </c>
      <c r="AI2769" s="14" t="s">
        <v>12073</v>
      </c>
      <c r="AJ2769" s="5" t="s">
        <v>12074</v>
      </c>
    </row>
    <row r="2770" spans="1:37">
      <c r="A2770" s="6" t="s">
        <v>12296</v>
      </c>
      <c r="B2770" s="6" t="s">
        <v>12297</v>
      </c>
      <c r="C2770" s="6" t="s">
        <v>12298</v>
      </c>
      <c r="D2770" s="6" t="s">
        <v>1545</v>
      </c>
      <c r="E2770" s="6" t="s">
        <v>9920</v>
      </c>
      <c r="F2770" s="6" t="s">
        <v>46</v>
      </c>
      <c r="G2770" s="6" t="s">
        <v>1935</v>
      </c>
      <c r="I2770" s="5" t="s">
        <v>48</v>
      </c>
      <c r="J2770" s="5" t="s">
        <v>48</v>
      </c>
      <c r="K2770" s="6"/>
      <c r="L2770" s="6"/>
      <c r="M2770" s="6"/>
      <c r="N2770" s="6"/>
      <c r="O2770" s="6"/>
      <c r="P2770" s="6"/>
      <c r="Q2770" s="6"/>
      <c r="R2770" s="6"/>
      <c r="S2770" s="6"/>
      <c r="T2770" s="6"/>
      <c r="U2770" s="6"/>
      <c r="V2770" s="6"/>
      <c r="W2770" s="6"/>
      <c r="X2770" s="6"/>
      <c r="Y2770" s="6"/>
      <c r="Z2770" s="6"/>
      <c r="AA2770" s="6"/>
      <c r="AB2770" s="6"/>
      <c r="AC2770" s="6"/>
      <c r="AD2770" s="6"/>
      <c r="AE2770" s="6"/>
      <c r="AF2770" s="6"/>
      <c r="AG2770" s="15" t="s">
        <v>55</v>
      </c>
      <c r="AH2770" s="15"/>
      <c r="AI2770" s="15"/>
      <c r="AJ2770" s="6"/>
      <c r="AK2770" s="6"/>
    </row>
    <row r="2771" spans="1:37" s="6" customFormat="1">
      <c r="A2771" s="6" t="s">
        <v>12299</v>
      </c>
      <c r="B2771" s="6" t="s">
        <v>12300</v>
      </c>
      <c r="C2771" s="6" t="s">
        <v>10761</v>
      </c>
      <c r="D2771" s="6" t="s">
        <v>1545</v>
      </c>
      <c r="E2771" s="6" t="s">
        <v>9920</v>
      </c>
      <c r="F2771" s="6" t="s">
        <v>46</v>
      </c>
      <c r="G2771" s="6" t="s">
        <v>12301</v>
      </c>
      <c r="H2771" s="7"/>
      <c r="I2771" s="5" t="s">
        <v>48</v>
      </c>
      <c r="J2771" s="5" t="s">
        <v>48</v>
      </c>
      <c r="AG2771" s="15" t="s">
        <v>55</v>
      </c>
      <c r="AH2771" s="15"/>
      <c r="AI2771" s="15"/>
    </row>
    <row r="2772" spans="1:37" s="6" customFormat="1">
      <c r="A2772" s="6" t="s">
        <v>12302</v>
      </c>
      <c r="B2772" s="6" t="s">
        <v>12303</v>
      </c>
      <c r="C2772" s="6" t="s">
        <v>12304</v>
      </c>
      <c r="D2772" s="6" t="s">
        <v>1545</v>
      </c>
      <c r="E2772" s="6" t="s">
        <v>9920</v>
      </c>
      <c r="F2772" s="6" t="s">
        <v>46</v>
      </c>
      <c r="G2772" s="6" t="s">
        <v>3776</v>
      </c>
      <c r="H2772" s="7"/>
      <c r="I2772" s="5" t="s">
        <v>48</v>
      </c>
      <c r="J2772" s="5" t="s">
        <v>48</v>
      </c>
      <c r="AG2772" s="15" t="s">
        <v>55</v>
      </c>
      <c r="AH2772" s="15"/>
      <c r="AI2772" s="15"/>
    </row>
    <row r="2773" spans="1:37" s="6" customFormat="1">
      <c r="A2773" s="6" t="s">
        <v>12305</v>
      </c>
      <c r="B2773" s="6" t="s">
        <v>12306</v>
      </c>
      <c r="C2773" s="6" t="s">
        <v>43</v>
      </c>
      <c r="D2773" s="6" t="s">
        <v>1545</v>
      </c>
      <c r="E2773" s="6" t="s">
        <v>9920</v>
      </c>
      <c r="F2773" s="6" t="s">
        <v>46</v>
      </c>
      <c r="G2773" s="6" t="s">
        <v>7583</v>
      </c>
      <c r="H2773" s="7"/>
      <c r="I2773" s="6" t="s">
        <v>48</v>
      </c>
      <c r="J2773" s="6" t="s">
        <v>48</v>
      </c>
      <c r="AG2773" s="15" t="s">
        <v>55</v>
      </c>
      <c r="AH2773" s="15"/>
      <c r="AI2773" s="15"/>
    </row>
    <row r="2774" spans="1:37" s="6" customFormat="1">
      <c r="A2774" s="6" t="s">
        <v>12307</v>
      </c>
      <c r="B2774" s="6" t="s">
        <v>12308</v>
      </c>
      <c r="C2774" s="6" t="s">
        <v>43</v>
      </c>
      <c r="D2774" s="6" t="s">
        <v>1504</v>
      </c>
      <c r="E2774" s="6" t="s">
        <v>218</v>
      </c>
      <c r="F2774" s="6" t="s">
        <v>46</v>
      </c>
      <c r="G2774" s="6" t="s">
        <v>12309</v>
      </c>
      <c r="H2774" s="7"/>
      <c r="I2774" s="6" t="s">
        <v>48</v>
      </c>
      <c r="J2774" s="6" t="s">
        <v>48</v>
      </c>
      <c r="AG2774" s="15" t="s">
        <v>49</v>
      </c>
      <c r="AH2774" s="15"/>
      <c r="AI2774" s="15"/>
    </row>
    <row r="2775" spans="1:37" s="6" customFormat="1">
      <c r="A2775" s="6" t="s">
        <v>12310</v>
      </c>
      <c r="B2775" s="6" t="s">
        <v>12311</v>
      </c>
      <c r="C2775" s="6" t="s">
        <v>43</v>
      </c>
      <c r="D2775" s="6" t="s">
        <v>850</v>
      </c>
      <c r="E2775" s="6" t="s">
        <v>218</v>
      </c>
      <c r="F2775" s="6" t="s">
        <v>46</v>
      </c>
      <c r="G2775" s="6" t="s">
        <v>12312</v>
      </c>
      <c r="H2775" s="7"/>
      <c r="I2775" s="6" t="s">
        <v>48</v>
      </c>
      <c r="J2775" s="6" t="s">
        <v>48</v>
      </c>
      <c r="AG2775" s="15" t="s">
        <v>49</v>
      </c>
      <c r="AH2775" s="15"/>
      <c r="AI2775" s="15"/>
    </row>
    <row r="2776" spans="1:37" s="6" customFormat="1">
      <c r="A2776" s="6" t="s">
        <v>12313</v>
      </c>
      <c r="B2776" s="6" t="s">
        <v>12314</v>
      </c>
      <c r="C2776" s="6" t="s">
        <v>43</v>
      </c>
      <c r="D2776" s="6" t="s">
        <v>850</v>
      </c>
      <c r="E2776" s="6" t="s">
        <v>757</v>
      </c>
      <c r="F2776" s="6" t="s">
        <v>46</v>
      </c>
      <c r="G2776" s="6" t="s">
        <v>12315</v>
      </c>
      <c r="H2776" s="7"/>
      <c r="I2776" s="6" t="s">
        <v>48</v>
      </c>
      <c r="J2776" s="6" t="s">
        <v>48</v>
      </c>
      <c r="AG2776" s="15" t="s">
        <v>49</v>
      </c>
      <c r="AH2776" s="15"/>
      <c r="AI2776" s="15"/>
    </row>
    <row r="2777" spans="1:37" s="6" customFormat="1">
      <c r="A2777" s="6" t="s">
        <v>12316</v>
      </c>
      <c r="B2777" s="6" t="s">
        <v>12317</v>
      </c>
      <c r="C2777" s="6" t="s">
        <v>43</v>
      </c>
      <c r="D2777" s="6" t="s">
        <v>850</v>
      </c>
      <c r="E2777" s="6" t="s">
        <v>218</v>
      </c>
      <c r="F2777" s="6" t="s">
        <v>46</v>
      </c>
      <c r="G2777" s="6" t="s">
        <v>3887</v>
      </c>
      <c r="H2777" s="7"/>
      <c r="I2777" s="6" t="s">
        <v>48</v>
      </c>
      <c r="J2777" s="6" t="s">
        <v>48</v>
      </c>
      <c r="AG2777" s="15" t="s">
        <v>49</v>
      </c>
      <c r="AH2777" s="15"/>
      <c r="AI2777" s="15"/>
    </row>
    <row r="2778" spans="1:37" s="6" customFormat="1">
      <c r="A2778" s="6" t="s">
        <v>12318</v>
      </c>
      <c r="B2778" s="6" t="s">
        <v>12319</v>
      </c>
      <c r="C2778" s="6" t="s">
        <v>43</v>
      </c>
      <c r="D2778" s="6" t="s">
        <v>850</v>
      </c>
      <c r="E2778" s="6" t="s">
        <v>218</v>
      </c>
      <c r="F2778" s="6" t="s">
        <v>46</v>
      </c>
      <c r="G2778" s="6" t="s">
        <v>12320</v>
      </c>
      <c r="H2778" s="7"/>
      <c r="I2778" s="6" t="s">
        <v>48</v>
      </c>
      <c r="J2778" s="6" t="s">
        <v>48</v>
      </c>
      <c r="AG2778" s="15" t="s">
        <v>49</v>
      </c>
      <c r="AH2778" s="15"/>
      <c r="AI2778" s="15"/>
    </row>
    <row r="2779" spans="1:37" s="6" customFormat="1">
      <c r="A2779" s="6" t="s">
        <v>12321</v>
      </c>
      <c r="B2779" s="6" t="s">
        <v>12322</v>
      </c>
      <c r="C2779" s="6" t="s">
        <v>43</v>
      </c>
      <c r="D2779" s="6" t="s">
        <v>909</v>
      </c>
      <c r="E2779" s="6" t="s">
        <v>757</v>
      </c>
      <c r="F2779" s="6" t="s">
        <v>46</v>
      </c>
      <c r="G2779" s="6" t="s">
        <v>2713</v>
      </c>
      <c r="H2779" s="7"/>
      <c r="I2779" s="6" t="s">
        <v>48</v>
      </c>
      <c r="J2779" s="6" t="s">
        <v>48</v>
      </c>
      <c r="AG2779" s="15" t="s">
        <v>49</v>
      </c>
      <c r="AH2779" s="15"/>
      <c r="AI2779" s="15"/>
    </row>
    <row r="2780" spans="1:37" s="6" customFormat="1">
      <c r="A2780" s="6" t="s">
        <v>12323</v>
      </c>
      <c r="B2780" s="6" t="s">
        <v>12324</v>
      </c>
      <c r="C2780" s="6" t="s">
        <v>43</v>
      </c>
      <c r="D2780" s="6" t="s">
        <v>909</v>
      </c>
      <c r="E2780" s="6" t="s">
        <v>757</v>
      </c>
      <c r="F2780" s="6" t="s">
        <v>46</v>
      </c>
      <c r="G2780" s="6" t="s">
        <v>12325</v>
      </c>
      <c r="H2780" s="7"/>
      <c r="I2780" s="6" t="s">
        <v>48</v>
      </c>
      <c r="J2780" s="6" t="s">
        <v>48</v>
      </c>
      <c r="AG2780" s="15" t="s">
        <v>49</v>
      </c>
      <c r="AH2780" s="15"/>
      <c r="AI2780" s="15"/>
    </row>
    <row r="2781" spans="1:37" s="6" customFormat="1">
      <c r="A2781" s="6" t="s">
        <v>12326</v>
      </c>
      <c r="B2781" s="6" t="s">
        <v>12327</v>
      </c>
      <c r="C2781" s="6" t="s">
        <v>43</v>
      </c>
      <c r="D2781" s="6" t="s">
        <v>850</v>
      </c>
      <c r="E2781" s="6" t="s">
        <v>757</v>
      </c>
      <c r="F2781" s="6" t="s">
        <v>46</v>
      </c>
      <c r="G2781" s="6" t="s">
        <v>12328</v>
      </c>
      <c r="H2781" s="7"/>
      <c r="I2781" s="6" t="s">
        <v>48</v>
      </c>
      <c r="J2781" s="6" t="s">
        <v>48</v>
      </c>
      <c r="AG2781" s="15" t="s">
        <v>49</v>
      </c>
      <c r="AH2781" s="15"/>
      <c r="AI2781" s="15"/>
    </row>
    <row r="2782" spans="1:37" s="6" customFormat="1">
      <c r="A2782" s="6" t="s">
        <v>12329</v>
      </c>
      <c r="B2782" s="6" t="s">
        <v>12330</v>
      </c>
      <c r="C2782" s="6" t="s">
        <v>43</v>
      </c>
      <c r="D2782" s="6" t="s">
        <v>850</v>
      </c>
      <c r="E2782" s="6" t="s">
        <v>218</v>
      </c>
      <c r="F2782" s="6" t="s">
        <v>46</v>
      </c>
      <c r="G2782" s="6" t="s">
        <v>5135</v>
      </c>
      <c r="H2782" s="7"/>
      <c r="I2782" s="6" t="s">
        <v>48</v>
      </c>
      <c r="J2782" s="6" t="s">
        <v>48</v>
      </c>
      <c r="AG2782" s="15" t="s">
        <v>49</v>
      </c>
      <c r="AH2782" s="15"/>
      <c r="AI2782" s="15"/>
    </row>
    <row r="2783" spans="1:37" s="6" customFormat="1">
      <c r="A2783" s="6" t="s">
        <v>12331</v>
      </c>
      <c r="B2783" s="6" t="s">
        <v>12330</v>
      </c>
      <c r="C2783" s="6" t="s">
        <v>43</v>
      </c>
      <c r="D2783" s="6" t="s">
        <v>850</v>
      </c>
      <c r="E2783" s="6" t="s">
        <v>757</v>
      </c>
      <c r="F2783" s="6" t="s">
        <v>46</v>
      </c>
      <c r="G2783" s="6" t="s">
        <v>12328</v>
      </c>
      <c r="H2783" s="7"/>
      <c r="I2783" s="6" t="s">
        <v>48</v>
      </c>
      <c r="J2783" s="6" t="s">
        <v>48</v>
      </c>
      <c r="AG2783" s="15" t="s">
        <v>49</v>
      </c>
      <c r="AH2783" s="15"/>
      <c r="AI2783" s="15"/>
    </row>
    <row r="2784" spans="1:37" s="6" customFormat="1">
      <c r="A2784" s="6" t="s">
        <v>12332</v>
      </c>
      <c r="B2784" s="6" t="s">
        <v>12333</v>
      </c>
      <c r="C2784" s="6" t="s">
        <v>43</v>
      </c>
      <c r="D2784" s="6" t="s">
        <v>850</v>
      </c>
      <c r="E2784" s="6" t="s">
        <v>218</v>
      </c>
      <c r="F2784" s="6" t="s">
        <v>46</v>
      </c>
      <c r="G2784" s="6" t="s">
        <v>12334</v>
      </c>
      <c r="H2784" s="7"/>
      <c r="I2784" s="6" t="s">
        <v>48</v>
      </c>
      <c r="J2784" s="6" t="s">
        <v>48</v>
      </c>
      <c r="AG2784" s="15" t="s">
        <v>49</v>
      </c>
      <c r="AH2784" s="15"/>
      <c r="AI2784" s="15"/>
    </row>
    <row r="2785" spans="1:35" s="6" customFormat="1">
      <c r="A2785" s="6" t="s">
        <v>12335</v>
      </c>
      <c r="B2785" s="6" t="s">
        <v>12336</v>
      </c>
      <c r="C2785" s="6" t="s">
        <v>43</v>
      </c>
      <c r="D2785" s="6" t="s">
        <v>850</v>
      </c>
      <c r="E2785" s="6" t="s">
        <v>218</v>
      </c>
      <c r="F2785" s="6" t="s">
        <v>46</v>
      </c>
      <c r="G2785" s="6" t="s">
        <v>12337</v>
      </c>
      <c r="H2785" s="7"/>
      <c r="I2785" s="6" t="s">
        <v>48</v>
      </c>
      <c r="J2785" s="6" t="s">
        <v>48</v>
      </c>
      <c r="AG2785" s="15" t="s">
        <v>49</v>
      </c>
      <c r="AH2785" s="15"/>
      <c r="AI2785" s="15"/>
    </row>
    <row r="2786" spans="1:35" s="6" customFormat="1">
      <c r="A2786" s="6" t="s">
        <v>12338</v>
      </c>
      <c r="B2786" s="6" t="s">
        <v>12336</v>
      </c>
      <c r="C2786" s="6" t="s">
        <v>43</v>
      </c>
      <c r="D2786" s="6" t="s">
        <v>850</v>
      </c>
      <c r="E2786" s="6" t="s">
        <v>757</v>
      </c>
      <c r="F2786" s="6" t="s">
        <v>46</v>
      </c>
      <c r="G2786" s="6" t="s">
        <v>12339</v>
      </c>
      <c r="H2786" s="7"/>
      <c r="I2786" s="6" t="s">
        <v>48</v>
      </c>
      <c r="J2786" s="6" t="s">
        <v>48</v>
      </c>
      <c r="AG2786" s="15" t="s">
        <v>49</v>
      </c>
      <c r="AH2786" s="15"/>
      <c r="AI2786" s="15"/>
    </row>
    <row r="2787" spans="1:35" s="6" customFormat="1">
      <c r="A2787" s="6" t="s">
        <v>12340</v>
      </c>
      <c r="B2787" s="6" t="s">
        <v>12341</v>
      </c>
      <c r="C2787" s="6" t="s">
        <v>43</v>
      </c>
      <c r="D2787" s="6" t="s">
        <v>850</v>
      </c>
      <c r="E2787" s="6" t="s">
        <v>757</v>
      </c>
      <c r="F2787" s="6" t="s">
        <v>46</v>
      </c>
      <c r="G2787" s="6" t="s">
        <v>12339</v>
      </c>
      <c r="H2787" s="7"/>
      <c r="I2787" s="6" t="s">
        <v>48</v>
      </c>
      <c r="J2787" s="6" t="s">
        <v>48</v>
      </c>
      <c r="AG2787" s="15" t="s">
        <v>49</v>
      </c>
      <c r="AH2787" s="15"/>
      <c r="AI2787" s="15"/>
    </row>
    <row r="2788" spans="1:35" s="6" customFormat="1">
      <c r="A2788" s="6" t="s">
        <v>12342</v>
      </c>
      <c r="B2788" s="6" t="s">
        <v>12343</v>
      </c>
      <c r="C2788" s="6" t="s">
        <v>43</v>
      </c>
      <c r="D2788" s="6" t="s">
        <v>850</v>
      </c>
      <c r="E2788" s="6" t="s">
        <v>757</v>
      </c>
      <c r="F2788" s="6" t="s">
        <v>46</v>
      </c>
      <c r="G2788" s="6" t="s">
        <v>12339</v>
      </c>
      <c r="H2788" s="7"/>
      <c r="I2788" s="6" t="s">
        <v>48</v>
      </c>
      <c r="J2788" s="6" t="s">
        <v>48</v>
      </c>
      <c r="AG2788" s="15" t="s">
        <v>49</v>
      </c>
      <c r="AH2788" s="15"/>
      <c r="AI2788" s="15"/>
    </row>
    <row r="2789" spans="1:35" s="6" customFormat="1">
      <c r="A2789" s="6" t="s">
        <v>12344</v>
      </c>
      <c r="B2789" s="6" t="s">
        <v>12345</v>
      </c>
      <c r="C2789" s="6" t="s">
        <v>43</v>
      </c>
      <c r="D2789" s="6" t="s">
        <v>850</v>
      </c>
      <c r="E2789" s="6" t="s">
        <v>218</v>
      </c>
      <c r="F2789" s="6" t="s">
        <v>46</v>
      </c>
      <c r="G2789" s="6" t="s">
        <v>10552</v>
      </c>
      <c r="H2789" s="7"/>
      <c r="I2789" s="6" t="s">
        <v>48</v>
      </c>
      <c r="J2789" s="6" t="s">
        <v>48</v>
      </c>
      <c r="AG2789" s="15" t="s">
        <v>49</v>
      </c>
      <c r="AH2789" s="15"/>
      <c r="AI2789" s="15"/>
    </row>
    <row r="2790" spans="1:35" s="6" customFormat="1">
      <c r="A2790" s="6" t="s">
        <v>12346</v>
      </c>
      <c r="B2790" s="6" t="s">
        <v>12347</v>
      </c>
      <c r="C2790" s="6" t="s">
        <v>43</v>
      </c>
      <c r="D2790" s="6" t="s">
        <v>850</v>
      </c>
      <c r="E2790" s="6" t="s">
        <v>757</v>
      </c>
      <c r="F2790" s="6" t="s">
        <v>46</v>
      </c>
      <c r="G2790" s="6" t="s">
        <v>12348</v>
      </c>
      <c r="H2790" s="7"/>
      <c r="I2790" s="6" t="s">
        <v>48</v>
      </c>
      <c r="J2790" s="6" t="s">
        <v>48</v>
      </c>
      <c r="AG2790" s="15" t="s">
        <v>49</v>
      </c>
      <c r="AH2790" s="15"/>
      <c r="AI2790" s="15"/>
    </row>
    <row r="2791" spans="1:35" s="6" customFormat="1">
      <c r="A2791" s="6" t="s">
        <v>12349</v>
      </c>
      <c r="B2791" s="6" t="s">
        <v>12350</v>
      </c>
      <c r="C2791" s="6" t="s">
        <v>43</v>
      </c>
      <c r="D2791" s="6" t="s">
        <v>850</v>
      </c>
      <c r="E2791" s="6" t="s">
        <v>757</v>
      </c>
      <c r="F2791" s="6" t="s">
        <v>46</v>
      </c>
      <c r="G2791" s="6" t="s">
        <v>1627</v>
      </c>
      <c r="H2791" s="7"/>
      <c r="I2791" s="6" t="s">
        <v>48</v>
      </c>
      <c r="J2791" s="6" t="s">
        <v>48</v>
      </c>
      <c r="AG2791" s="15" t="s">
        <v>49</v>
      </c>
      <c r="AH2791" s="15"/>
      <c r="AI2791" s="15"/>
    </row>
    <row r="2792" spans="1:35" s="6" customFormat="1">
      <c r="A2792" s="6" t="s">
        <v>12351</v>
      </c>
      <c r="B2792" s="6" t="s">
        <v>12352</v>
      </c>
      <c r="C2792" s="6" t="s">
        <v>43</v>
      </c>
      <c r="D2792" s="6" t="s">
        <v>850</v>
      </c>
      <c r="E2792" s="6" t="s">
        <v>757</v>
      </c>
      <c r="F2792" s="6" t="s">
        <v>46</v>
      </c>
      <c r="G2792" s="6" t="s">
        <v>1627</v>
      </c>
      <c r="H2792" s="7"/>
      <c r="I2792" s="6" t="s">
        <v>48</v>
      </c>
      <c r="J2792" s="6" t="s">
        <v>48</v>
      </c>
      <c r="AG2792" s="15" t="s">
        <v>49</v>
      </c>
      <c r="AH2792" s="15"/>
      <c r="AI2792" s="15"/>
    </row>
    <row r="2793" spans="1:35" s="6" customFormat="1">
      <c r="A2793" s="6" t="s">
        <v>12353</v>
      </c>
      <c r="B2793" s="6" t="s">
        <v>12354</v>
      </c>
      <c r="C2793" s="6" t="s">
        <v>43</v>
      </c>
      <c r="D2793" s="6" t="s">
        <v>850</v>
      </c>
      <c r="E2793" s="6" t="s">
        <v>218</v>
      </c>
      <c r="F2793" s="6" t="s">
        <v>46</v>
      </c>
      <c r="G2793" s="6" t="s">
        <v>2632</v>
      </c>
      <c r="H2793" s="7"/>
      <c r="I2793" s="6" t="s">
        <v>48</v>
      </c>
      <c r="J2793" s="6" t="s">
        <v>48</v>
      </c>
      <c r="AG2793" s="15" t="s">
        <v>49</v>
      </c>
      <c r="AH2793" s="15"/>
      <c r="AI2793" s="15"/>
    </row>
    <row r="2794" spans="1:35" s="6" customFormat="1">
      <c r="A2794" s="6" t="s">
        <v>12355</v>
      </c>
      <c r="B2794" s="6" t="s">
        <v>12356</v>
      </c>
      <c r="C2794" s="6" t="s">
        <v>43</v>
      </c>
      <c r="D2794" s="6" t="s">
        <v>850</v>
      </c>
      <c r="E2794" s="6" t="s">
        <v>757</v>
      </c>
      <c r="F2794" s="6" t="s">
        <v>46</v>
      </c>
      <c r="G2794" s="6" t="s">
        <v>5565</v>
      </c>
      <c r="H2794" s="7"/>
      <c r="I2794" s="6" t="s">
        <v>48</v>
      </c>
      <c r="J2794" s="6" t="s">
        <v>48</v>
      </c>
      <c r="AG2794" s="15" t="s">
        <v>49</v>
      </c>
      <c r="AH2794" s="15"/>
      <c r="AI2794" s="15"/>
    </row>
    <row r="2795" spans="1:35" s="6" customFormat="1">
      <c r="A2795" s="6" t="s">
        <v>12357</v>
      </c>
      <c r="B2795" s="6" t="s">
        <v>12358</v>
      </c>
      <c r="C2795" s="6" t="s">
        <v>43</v>
      </c>
      <c r="D2795" s="6" t="s">
        <v>850</v>
      </c>
      <c r="E2795" s="6" t="s">
        <v>757</v>
      </c>
      <c r="F2795" s="6" t="s">
        <v>46</v>
      </c>
      <c r="G2795" s="6" t="s">
        <v>12359</v>
      </c>
      <c r="H2795" s="7"/>
      <c r="I2795" s="6" t="s">
        <v>48</v>
      </c>
      <c r="J2795" s="6" t="s">
        <v>48</v>
      </c>
      <c r="AG2795" s="15" t="s">
        <v>49</v>
      </c>
      <c r="AH2795" s="15"/>
      <c r="AI2795" s="15"/>
    </row>
    <row r="2796" spans="1:35" s="6" customFormat="1">
      <c r="A2796" s="6" t="s">
        <v>12360</v>
      </c>
      <c r="B2796" s="6" t="s">
        <v>12361</v>
      </c>
      <c r="C2796" s="6" t="s">
        <v>43</v>
      </c>
      <c r="D2796" s="6" t="s">
        <v>850</v>
      </c>
      <c r="E2796" s="6" t="s">
        <v>218</v>
      </c>
      <c r="F2796" s="6" t="s">
        <v>46</v>
      </c>
      <c r="G2796" s="6" t="s">
        <v>12362</v>
      </c>
      <c r="H2796" s="7"/>
      <c r="I2796" s="6" t="s">
        <v>48</v>
      </c>
      <c r="J2796" s="6" t="s">
        <v>48</v>
      </c>
      <c r="AG2796" s="15" t="s">
        <v>49</v>
      </c>
      <c r="AH2796" s="15"/>
      <c r="AI2796" s="15"/>
    </row>
    <row r="2797" spans="1:35" s="6" customFormat="1">
      <c r="A2797" s="6" t="s">
        <v>12363</v>
      </c>
      <c r="B2797" s="6" t="s">
        <v>12364</v>
      </c>
      <c r="C2797" s="6" t="s">
        <v>43</v>
      </c>
      <c r="D2797" s="6" t="s">
        <v>850</v>
      </c>
      <c r="E2797" s="6" t="s">
        <v>757</v>
      </c>
      <c r="F2797" s="6" t="s">
        <v>46</v>
      </c>
      <c r="G2797" s="6" t="s">
        <v>12365</v>
      </c>
      <c r="H2797" s="7"/>
      <c r="I2797" s="6" t="s">
        <v>48</v>
      </c>
      <c r="J2797" s="6" t="s">
        <v>48</v>
      </c>
      <c r="AG2797" s="15" t="s">
        <v>49</v>
      </c>
      <c r="AH2797" s="15"/>
      <c r="AI2797" s="15"/>
    </row>
    <row r="2798" spans="1:35" s="6" customFormat="1">
      <c r="A2798" s="6" t="s">
        <v>12366</v>
      </c>
      <c r="B2798" s="6" t="s">
        <v>12367</v>
      </c>
      <c r="C2798" s="6" t="s">
        <v>43</v>
      </c>
      <c r="D2798" s="6" t="s">
        <v>850</v>
      </c>
      <c r="E2798" s="6" t="s">
        <v>218</v>
      </c>
      <c r="F2798" s="6" t="s">
        <v>46</v>
      </c>
      <c r="G2798" s="6" t="s">
        <v>8963</v>
      </c>
      <c r="H2798" s="7"/>
      <c r="I2798" s="6" t="s">
        <v>48</v>
      </c>
      <c r="J2798" s="6" t="s">
        <v>48</v>
      </c>
      <c r="AG2798" s="15" t="s">
        <v>49</v>
      </c>
      <c r="AH2798" s="15"/>
      <c r="AI2798" s="15"/>
    </row>
    <row r="2799" spans="1:35" s="6" customFormat="1">
      <c r="A2799" s="6" t="s">
        <v>12368</v>
      </c>
      <c r="B2799" s="6" t="s">
        <v>12369</v>
      </c>
      <c r="C2799" s="6" t="s">
        <v>43</v>
      </c>
      <c r="D2799" s="6" t="s">
        <v>850</v>
      </c>
      <c r="E2799" s="6" t="s">
        <v>218</v>
      </c>
      <c r="F2799" s="6" t="s">
        <v>46</v>
      </c>
      <c r="G2799" s="6" t="s">
        <v>12370</v>
      </c>
      <c r="H2799" s="7"/>
      <c r="I2799" s="6" t="s">
        <v>48</v>
      </c>
      <c r="J2799" s="6" t="s">
        <v>48</v>
      </c>
      <c r="AG2799" s="15" t="s">
        <v>49</v>
      </c>
      <c r="AH2799" s="15"/>
      <c r="AI2799" s="15"/>
    </row>
    <row r="2800" spans="1:35" s="6" customFormat="1">
      <c r="A2800" s="6" t="s">
        <v>12371</v>
      </c>
      <c r="B2800" s="6" t="s">
        <v>12372</v>
      </c>
      <c r="C2800" s="6" t="s">
        <v>43</v>
      </c>
      <c r="D2800" s="6" t="s">
        <v>44</v>
      </c>
      <c r="E2800" s="6" t="s">
        <v>218</v>
      </c>
      <c r="F2800" s="6" t="s">
        <v>46</v>
      </c>
      <c r="G2800" s="6" t="s">
        <v>12373</v>
      </c>
      <c r="H2800" s="7"/>
      <c r="I2800" s="6" t="s">
        <v>48</v>
      </c>
      <c r="J2800" s="6" t="s">
        <v>48</v>
      </c>
      <c r="AG2800" s="15" t="s">
        <v>49</v>
      </c>
      <c r="AH2800" s="15"/>
      <c r="AI2800" s="15"/>
    </row>
    <row r="2801" spans="1:35" s="6" customFormat="1">
      <c r="A2801" s="6" t="s">
        <v>12374</v>
      </c>
      <c r="B2801" s="6" t="s">
        <v>12375</v>
      </c>
      <c r="C2801" s="6" t="s">
        <v>43</v>
      </c>
      <c r="D2801" s="6" t="s">
        <v>44</v>
      </c>
      <c r="E2801" s="6" t="s">
        <v>218</v>
      </c>
      <c r="F2801" s="6" t="s">
        <v>46</v>
      </c>
      <c r="G2801" s="6" t="s">
        <v>12376</v>
      </c>
      <c r="H2801" s="7"/>
      <c r="I2801" s="6" t="s">
        <v>48</v>
      </c>
      <c r="J2801" s="6" t="s">
        <v>48</v>
      </c>
      <c r="AG2801" s="15" t="s">
        <v>49</v>
      </c>
      <c r="AH2801" s="15"/>
      <c r="AI2801" s="15"/>
    </row>
    <row r="2802" spans="1:35" s="6" customFormat="1">
      <c r="A2802" s="6" t="s">
        <v>12377</v>
      </c>
      <c r="B2802" s="6" t="s">
        <v>12378</v>
      </c>
      <c r="C2802" s="6" t="s">
        <v>43</v>
      </c>
      <c r="D2802" s="6" t="s">
        <v>44</v>
      </c>
      <c r="E2802" s="6" t="s">
        <v>218</v>
      </c>
      <c r="F2802" s="6" t="s">
        <v>46</v>
      </c>
      <c r="G2802" s="6" t="s">
        <v>12379</v>
      </c>
      <c r="H2802" s="7"/>
      <c r="I2802" s="6" t="s">
        <v>48</v>
      </c>
      <c r="J2802" s="6" t="s">
        <v>48</v>
      </c>
      <c r="AG2802" s="15" t="s">
        <v>49</v>
      </c>
      <c r="AH2802" s="15"/>
      <c r="AI2802" s="15"/>
    </row>
    <row r="2803" spans="1:35" s="6" customFormat="1">
      <c r="A2803" s="6" t="s">
        <v>12380</v>
      </c>
      <c r="B2803" s="6" t="s">
        <v>12381</v>
      </c>
      <c r="C2803" s="6" t="s">
        <v>43</v>
      </c>
      <c r="D2803" s="6" t="s">
        <v>44</v>
      </c>
      <c r="E2803" s="6" t="s">
        <v>218</v>
      </c>
      <c r="F2803" s="6" t="s">
        <v>46</v>
      </c>
      <c r="G2803" s="6" t="s">
        <v>316</v>
      </c>
      <c r="H2803" s="7"/>
      <c r="I2803" s="6" t="s">
        <v>48</v>
      </c>
      <c r="J2803" s="6" t="s">
        <v>48</v>
      </c>
      <c r="AG2803" s="15" t="s">
        <v>49</v>
      </c>
      <c r="AH2803" s="15"/>
      <c r="AI2803" s="15"/>
    </row>
    <row r="2804" spans="1:35" s="6" customFormat="1">
      <c r="A2804" s="6" t="s">
        <v>12382</v>
      </c>
      <c r="B2804" s="6" t="s">
        <v>12383</v>
      </c>
      <c r="C2804" s="6" t="s">
        <v>43</v>
      </c>
      <c r="D2804" s="6" t="s">
        <v>44</v>
      </c>
      <c r="E2804" s="6" t="s">
        <v>218</v>
      </c>
      <c r="F2804" s="6" t="s">
        <v>46</v>
      </c>
      <c r="G2804" s="6" t="s">
        <v>507</v>
      </c>
      <c r="H2804" s="7"/>
      <c r="I2804" s="6" t="s">
        <v>48</v>
      </c>
      <c r="J2804" s="6" t="s">
        <v>48</v>
      </c>
      <c r="AG2804" s="15" t="s">
        <v>49</v>
      </c>
      <c r="AH2804" s="15"/>
      <c r="AI2804" s="15"/>
    </row>
    <row r="2805" spans="1:35" s="6" customFormat="1">
      <c r="A2805" s="6" t="s">
        <v>12384</v>
      </c>
      <c r="B2805" s="6" t="s">
        <v>12385</v>
      </c>
      <c r="C2805" s="6" t="s">
        <v>43</v>
      </c>
      <c r="D2805" s="6" t="s">
        <v>44</v>
      </c>
      <c r="E2805" s="6" t="s">
        <v>218</v>
      </c>
      <c r="F2805" s="6" t="s">
        <v>46</v>
      </c>
      <c r="G2805" s="6" t="s">
        <v>349</v>
      </c>
      <c r="H2805" s="7"/>
      <c r="I2805" s="6" t="s">
        <v>48</v>
      </c>
      <c r="J2805" s="6" t="s">
        <v>48</v>
      </c>
      <c r="AG2805" s="15" t="s">
        <v>49</v>
      </c>
      <c r="AH2805" s="15"/>
      <c r="AI2805" s="15"/>
    </row>
    <row r="2806" spans="1:35" s="6" customFormat="1">
      <c r="A2806" s="6" t="s">
        <v>12386</v>
      </c>
      <c r="B2806" s="6" t="s">
        <v>12387</v>
      </c>
      <c r="C2806" s="6" t="s">
        <v>43</v>
      </c>
      <c r="D2806" s="6" t="s">
        <v>12388</v>
      </c>
      <c r="E2806" s="6" t="s">
        <v>218</v>
      </c>
      <c r="F2806" s="6" t="s">
        <v>46</v>
      </c>
      <c r="G2806" s="6" t="s">
        <v>12389</v>
      </c>
      <c r="H2806" s="7"/>
      <c r="I2806" s="6" t="s">
        <v>48</v>
      </c>
      <c r="J2806" s="6" t="s">
        <v>48</v>
      </c>
      <c r="AG2806" s="15" t="s">
        <v>49</v>
      </c>
      <c r="AH2806" s="15"/>
      <c r="AI2806" s="15"/>
    </row>
    <row r="2807" spans="1:35" s="6" customFormat="1">
      <c r="A2807" s="6" t="s">
        <v>12390</v>
      </c>
      <c r="B2807" s="6" t="s">
        <v>12391</v>
      </c>
      <c r="C2807" s="6" t="s">
        <v>43</v>
      </c>
      <c r="D2807" s="6" t="s">
        <v>12388</v>
      </c>
      <c r="E2807" s="6" t="s">
        <v>218</v>
      </c>
      <c r="F2807" s="6" t="s">
        <v>46</v>
      </c>
      <c r="G2807" s="6" t="s">
        <v>5971</v>
      </c>
      <c r="H2807" s="7"/>
      <c r="I2807" s="6" t="s">
        <v>48</v>
      </c>
      <c r="J2807" s="6" t="s">
        <v>48</v>
      </c>
      <c r="AG2807" s="15" t="s">
        <v>49</v>
      </c>
      <c r="AH2807" s="15"/>
      <c r="AI2807" s="15"/>
    </row>
    <row r="2808" spans="1:35" s="6" customFormat="1">
      <c r="A2808" s="6" t="s">
        <v>12392</v>
      </c>
      <c r="B2808" s="6" t="s">
        <v>12393</v>
      </c>
      <c r="C2808" s="6" t="s">
        <v>43</v>
      </c>
      <c r="D2808" s="6" t="s">
        <v>12388</v>
      </c>
      <c r="E2808" s="6" t="s">
        <v>218</v>
      </c>
      <c r="F2808" s="6" t="s">
        <v>46</v>
      </c>
      <c r="G2808" s="6" t="s">
        <v>12394</v>
      </c>
      <c r="H2808" s="7"/>
      <c r="I2808" s="6" t="s">
        <v>48</v>
      </c>
      <c r="J2808" s="6" t="s">
        <v>48</v>
      </c>
      <c r="AG2808" s="15" t="s">
        <v>49</v>
      </c>
      <c r="AH2808" s="15"/>
      <c r="AI2808" s="15"/>
    </row>
    <row r="2809" spans="1:35" s="6" customFormat="1">
      <c r="A2809" s="6" t="s">
        <v>12395</v>
      </c>
      <c r="B2809" s="6" t="s">
        <v>12396</v>
      </c>
      <c r="C2809" s="6" t="s">
        <v>43</v>
      </c>
      <c r="D2809" s="6" t="s">
        <v>44</v>
      </c>
      <c r="E2809" s="6" t="s">
        <v>218</v>
      </c>
      <c r="F2809" s="6" t="s">
        <v>46</v>
      </c>
      <c r="G2809" s="6" t="s">
        <v>12397</v>
      </c>
      <c r="H2809" s="7"/>
      <c r="I2809" s="6" t="s">
        <v>48</v>
      </c>
      <c r="J2809" s="6" t="s">
        <v>48</v>
      </c>
      <c r="AG2809" s="15" t="s">
        <v>49</v>
      </c>
      <c r="AH2809" s="15"/>
      <c r="AI2809" s="15"/>
    </row>
    <row r="2810" spans="1:35" s="6" customFormat="1">
      <c r="A2810" s="6" t="s">
        <v>12398</v>
      </c>
      <c r="B2810" s="6" t="s">
        <v>12399</v>
      </c>
      <c r="C2810" s="6" t="s">
        <v>43</v>
      </c>
      <c r="D2810" s="6" t="s">
        <v>44</v>
      </c>
      <c r="E2810" s="6" t="s">
        <v>218</v>
      </c>
      <c r="F2810" s="6" t="s">
        <v>46</v>
      </c>
      <c r="G2810" s="6" t="s">
        <v>12400</v>
      </c>
      <c r="H2810" s="7"/>
      <c r="I2810" s="6" t="s">
        <v>48</v>
      </c>
      <c r="J2810" s="6" t="s">
        <v>48</v>
      </c>
      <c r="AG2810" s="15" t="s">
        <v>49</v>
      </c>
      <c r="AH2810" s="15"/>
      <c r="AI2810" s="15"/>
    </row>
    <row r="2811" spans="1:35" s="6" customFormat="1">
      <c r="A2811" s="6" t="s">
        <v>12401</v>
      </c>
      <c r="B2811" s="6" t="s">
        <v>12402</v>
      </c>
      <c r="C2811" s="6" t="s">
        <v>43</v>
      </c>
      <c r="D2811" s="6" t="s">
        <v>44</v>
      </c>
      <c r="E2811" s="6" t="s">
        <v>218</v>
      </c>
      <c r="F2811" s="6" t="s">
        <v>46</v>
      </c>
      <c r="G2811" s="6" t="s">
        <v>12403</v>
      </c>
      <c r="H2811" s="7"/>
      <c r="I2811" s="6" t="s">
        <v>48</v>
      </c>
      <c r="J2811" s="6" t="s">
        <v>48</v>
      </c>
      <c r="AG2811" s="15" t="s">
        <v>49</v>
      </c>
      <c r="AH2811" s="15"/>
      <c r="AI2811" s="15"/>
    </row>
    <row r="2812" spans="1:35" s="6" customFormat="1">
      <c r="A2812" s="6" t="s">
        <v>12404</v>
      </c>
      <c r="B2812" s="6" t="s">
        <v>12405</v>
      </c>
      <c r="C2812" s="6" t="s">
        <v>889</v>
      </c>
      <c r="D2812" s="6" t="s">
        <v>1040</v>
      </c>
      <c r="E2812" s="6" t="s">
        <v>218</v>
      </c>
      <c r="F2812" s="6" t="s">
        <v>46</v>
      </c>
      <c r="G2812" s="6" t="s">
        <v>12406</v>
      </c>
      <c r="H2812" s="7"/>
      <c r="I2812" s="6" t="s">
        <v>48</v>
      </c>
      <c r="J2812" s="6" t="s">
        <v>48</v>
      </c>
      <c r="AG2812" s="15" t="s">
        <v>49</v>
      </c>
      <c r="AH2812" s="15"/>
      <c r="AI2812" s="15"/>
    </row>
    <row r="2813" spans="1:35" s="6" customFormat="1">
      <c r="A2813" s="6" t="s">
        <v>12407</v>
      </c>
      <c r="B2813" s="6" t="s">
        <v>12408</v>
      </c>
      <c r="C2813" s="6" t="s">
        <v>43</v>
      </c>
      <c r="D2813" s="6" t="s">
        <v>44</v>
      </c>
      <c r="E2813" s="6" t="s">
        <v>218</v>
      </c>
      <c r="F2813" s="6" t="s">
        <v>46</v>
      </c>
      <c r="G2813" s="6" t="s">
        <v>12409</v>
      </c>
      <c r="H2813" s="7"/>
      <c r="I2813" s="6" t="s">
        <v>48</v>
      </c>
      <c r="J2813" s="6" t="s">
        <v>48</v>
      </c>
      <c r="AG2813" s="15" t="s">
        <v>49</v>
      </c>
      <c r="AH2813" s="15"/>
      <c r="AI2813" s="15"/>
    </row>
    <row r="2814" spans="1:35" s="6" customFormat="1">
      <c r="A2814" s="6" t="s">
        <v>12410</v>
      </c>
      <c r="B2814" s="6" t="s">
        <v>12411</v>
      </c>
      <c r="C2814" s="6" t="s">
        <v>43</v>
      </c>
      <c r="D2814" s="6" t="s">
        <v>44</v>
      </c>
      <c r="E2814" s="6" t="s">
        <v>218</v>
      </c>
      <c r="F2814" s="6" t="s">
        <v>46</v>
      </c>
      <c r="G2814" s="6" t="s">
        <v>12412</v>
      </c>
      <c r="H2814" s="7"/>
      <c r="I2814" s="6" t="s">
        <v>48</v>
      </c>
      <c r="J2814" s="6" t="s">
        <v>48</v>
      </c>
      <c r="AG2814" s="15" t="s">
        <v>49</v>
      </c>
      <c r="AH2814" s="15"/>
      <c r="AI2814" s="15"/>
    </row>
    <row r="2815" spans="1:35" s="6" customFormat="1">
      <c r="A2815" s="6" t="s">
        <v>12413</v>
      </c>
      <c r="B2815" s="6" t="s">
        <v>12414</v>
      </c>
      <c r="C2815" s="6" t="s">
        <v>43</v>
      </c>
      <c r="D2815" s="6" t="s">
        <v>44</v>
      </c>
      <c r="E2815" s="6" t="s">
        <v>218</v>
      </c>
      <c r="F2815" s="6" t="s">
        <v>46</v>
      </c>
      <c r="G2815" s="6" t="s">
        <v>12415</v>
      </c>
      <c r="H2815" s="7"/>
      <c r="I2815" s="6" t="s">
        <v>48</v>
      </c>
      <c r="J2815" s="6" t="s">
        <v>48</v>
      </c>
      <c r="AG2815" s="15" t="s">
        <v>49</v>
      </c>
      <c r="AH2815" s="15"/>
      <c r="AI2815" s="15"/>
    </row>
    <row r="2816" spans="1:35" s="6" customFormat="1">
      <c r="A2816" s="6" t="s">
        <v>12416</v>
      </c>
      <c r="B2816" s="6" t="s">
        <v>12417</v>
      </c>
      <c r="C2816" s="6" t="s">
        <v>43</v>
      </c>
      <c r="D2816" s="6" t="s">
        <v>12388</v>
      </c>
      <c r="E2816" s="6" t="s">
        <v>218</v>
      </c>
      <c r="F2816" s="6" t="s">
        <v>46</v>
      </c>
      <c r="G2816" s="6" t="s">
        <v>3428</v>
      </c>
      <c r="H2816" s="7"/>
      <c r="I2816" s="6" t="s">
        <v>48</v>
      </c>
      <c r="J2816" s="6" t="s">
        <v>48</v>
      </c>
      <c r="AG2816" s="15" t="s">
        <v>49</v>
      </c>
      <c r="AH2816" s="15"/>
      <c r="AI2816" s="15"/>
    </row>
    <row r="2817" spans="1:35" s="6" customFormat="1">
      <c r="A2817" s="6" t="s">
        <v>12418</v>
      </c>
      <c r="B2817" s="6" t="s">
        <v>12419</v>
      </c>
      <c r="C2817" s="6" t="s">
        <v>43</v>
      </c>
      <c r="D2817" s="6" t="s">
        <v>12388</v>
      </c>
      <c r="E2817" s="6" t="s">
        <v>218</v>
      </c>
      <c r="F2817" s="6" t="s">
        <v>46</v>
      </c>
      <c r="G2817" s="6" t="s">
        <v>12420</v>
      </c>
      <c r="H2817" s="7"/>
      <c r="I2817" s="6" t="s">
        <v>48</v>
      </c>
      <c r="J2817" s="6" t="s">
        <v>48</v>
      </c>
      <c r="AG2817" s="15" t="s">
        <v>49</v>
      </c>
      <c r="AH2817" s="15"/>
      <c r="AI2817" s="15"/>
    </row>
    <row r="2818" spans="1:35" s="6" customFormat="1">
      <c r="A2818" s="6" t="s">
        <v>12421</v>
      </c>
      <c r="B2818" s="6" t="s">
        <v>12422</v>
      </c>
      <c r="C2818" s="6" t="s">
        <v>43</v>
      </c>
      <c r="D2818" s="6" t="s">
        <v>12388</v>
      </c>
      <c r="E2818" s="6" t="s">
        <v>218</v>
      </c>
      <c r="F2818" s="6" t="s">
        <v>46</v>
      </c>
      <c r="G2818" s="6" t="s">
        <v>12423</v>
      </c>
      <c r="H2818" s="7"/>
      <c r="I2818" s="6" t="s">
        <v>48</v>
      </c>
      <c r="J2818" s="6" t="s">
        <v>48</v>
      </c>
      <c r="AG2818" s="15" t="s">
        <v>49</v>
      </c>
      <c r="AH2818" s="15"/>
      <c r="AI2818" s="15"/>
    </row>
    <row r="2819" spans="1:35" s="6" customFormat="1">
      <c r="A2819" s="6" t="s">
        <v>12424</v>
      </c>
      <c r="B2819" s="6" t="s">
        <v>12425</v>
      </c>
      <c r="C2819" s="6" t="s">
        <v>43</v>
      </c>
      <c r="D2819" s="6" t="s">
        <v>12388</v>
      </c>
      <c r="E2819" s="6" t="s">
        <v>218</v>
      </c>
      <c r="F2819" s="6" t="s">
        <v>46</v>
      </c>
      <c r="G2819" s="6" t="s">
        <v>12426</v>
      </c>
      <c r="H2819" s="7"/>
      <c r="I2819" s="6" t="s">
        <v>48</v>
      </c>
      <c r="J2819" s="6" t="s">
        <v>48</v>
      </c>
      <c r="AG2819" s="15" t="s">
        <v>49</v>
      </c>
      <c r="AH2819" s="15"/>
      <c r="AI2819" s="15"/>
    </row>
    <row r="2820" spans="1:35" s="6" customFormat="1">
      <c r="A2820" s="6" t="s">
        <v>12427</v>
      </c>
      <c r="B2820" s="6" t="s">
        <v>12428</v>
      </c>
      <c r="C2820" s="6" t="s">
        <v>43</v>
      </c>
      <c r="D2820" s="6" t="s">
        <v>12388</v>
      </c>
      <c r="E2820" s="6" t="s">
        <v>218</v>
      </c>
      <c r="F2820" s="6" t="s">
        <v>46</v>
      </c>
      <c r="G2820" s="6" t="s">
        <v>12429</v>
      </c>
      <c r="H2820" s="7"/>
      <c r="I2820" s="6" t="s">
        <v>48</v>
      </c>
      <c r="J2820" s="6" t="s">
        <v>48</v>
      </c>
      <c r="AG2820" s="15" t="s">
        <v>49</v>
      </c>
      <c r="AH2820" s="15"/>
      <c r="AI2820" s="15"/>
    </row>
    <row r="2821" spans="1:35" s="6" customFormat="1">
      <c r="A2821" s="6" t="s">
        <v>12430</v>
      </c>
      <c r="B2821" s="6" t="s">
        <v>12431</v>
      </c>
      <c r="C2821" s="6" t="s">
        <v>43</v>
      </c>
      <c r="D2821" s="6" t="s">
        <v>12388</v>
      </c>
      <c r="E2821" s="6" t="s">
        <v>218</v>
      </c>
      <c r="F2821" s="6" t="s">
        <v>46</v>
      </c>
      <c r="G2821" s="6" t="s">
        <v>12432</v>
      </c>
      <c r="H2821" s="7"/>
      <c r="I2821" s="6" t="s">
        <v>48</v>
      </c>
      <c r="J2821" s="6" t="s">
        <v>48</v>
      </c>
      <c r="AG2821" s="15" t="s">
        <v>49</v>
      </c>
      <c r="AH2821" s="15"/>
      <c r="AI2821" s="15"/>
    </row>
    <row r="2822" spans="1:35" s="6" customFormat="1">
      <c r="A2822" s="6" t="s">
        <v>12433</v>
      </c>
      <c r="B2822" s="6" t="s">
        <v>12434</v>
      </c>
      <c r="C2822" s="6" t="s">
        <v>43</v>
      </c>
      <c r="D2822" s="6" t="s">
        <v>12388</v>
      </c>
      <c r="E2822" s="6" t="s">
        <v>218</v>
      </c>
      <c r="F2822" s="6" t="s">
        <v>46</v>
      </c>
      <c r="G2822" s="6" t="s">
        <v>12435</v>
      </c>
      <c r="H2822" s="7"/>
      <c r="I2822" s="6" t="s">
        <v>48</v>
      </c>
      <c r="J2822" s="6" t="s">
        <v>48</v>
      </c>
      <c r="AG2822" s="15" t="s">
        <v>49</v>
      </c>
      <c r="AH2822" s="15"/>
      <c r="AI2822" s="15"/>
    </row>
    <row r="2823" spans="1:35" s="6" customFormat="1">
      <c r="A2823" s="6" t="s">
        <v>12436</v>
      </c>
      <c r="B2823" s="6" t="s">
        <v>12437</v>
      </c>
      <c r="C2823" s="6" t="s">
        <v>43</v>
      </c>
      <c r="D2823" s="6" t="s">
        <v>12388</v>
      </c>
      <c r="E2823" s="6" t="s">
        <v>218</v>
      </c>
      <c r="F2823" s="6" t="s">
        <v>46</v>
      </c>
      <c r="G2823" s="6" t="s">
        <v>12438</v>
      </c>
      <c r="H2823" s="7"/>
      <c r="I2823" s="6" t="s">
        <v>48</v>
      </c>
      <c r="J2823" s="6" t="s">
        <v>48</v>
      </c>
      <c r="AG2823" s="15" t="s">
        <v>49</v>
      </c>
      <c r="AH2823" s="15"/>
      <c r="AI2823" s="15"/>
    </row>
    <row r="2824" spans="1:35" s="6" customFormat="1">
      <c r="A2824" s="6" t="s">
        <v>12439</v>
      </c>
      <c r="B2824" s="6" t="s">
        <v>12440</v>
      </c>
      <c r="C2824" s="6" t="s">
        <v>43</v>
      </c>
      <c r="D2824" s="6" t="s">
        <v>12388</v>
      </c>
      <c r="E2824" s="6" t="s">
        <v>45</v>
      </c>
      <c r="F2824" s="6" t="s">
        <v>46</v>
      </c>
      <c r="G2824" s="6" t="s">
        <v>12441</v>
      </c>
      <c r="H2824" s="7"/>
      <c r="I2824" s="6" t="s">
        <v>48</v>
      </c>
      <c r="J2824" s="6" t="s">
        <v>48</v>
      </c>
      <c r="AG2824" s="15" t="s">
        <v>49</v>
      </c>
      <c r="AH2824" s="15"/>
      <c r="AI2824" s="15"/>
    </row>
    <row r="2825" spans="1:35" s="6" customFormat="1">
      <c r="A2825" s="6" t="s">
        <v>12442</v>
      </c>
      <c r="B2825" s="6" t="s">
        <v>12443</v>
      </c>
      <c r="C2825" s="6" t="s">
        <v>43</v>
      </c>
      <c r="D2825" s="6" t="s">
        <v>12388</v>
      </c>
      <c r="E2825" s="6" t="s">
        <v>45</v>
      </c>
      <c r="F2825" s="6" t="s">
        <v>46</v>
      </c>
      <c r="G2825" s="6" t="s">
        <v>12444</v>
      </c>
      <c r="H2825" s="7"/>
      <c r="I2825" s="6" t="s">
        <v>48</v>
      </c>
      <c r="J2825" s="6" t="s">
        <v>48</v>
      </c>
      <c r="AG2825" s="15" t="s">
        <v>49</v>
      </c>
      <c r="AH2825" s="15"/>
      <c r="AI2825" s="15"/>
    </row>
    <row r="2826" spans="1:35" s="6" customFormat="1">
      <c r="A2826" s="6" t="s">
        <v>12445</v>
      </c>
      <c r="B2826" s="6" t="s">
        <v>12446</v>
      </c>
      <c r="C2826" s="6" t="s">
        <v>43</v>
      </c>
      <c r="D2826" s="6" t="s">
        <v>12388</v>
      </c>
      <c r="E2826" s="6" t="s">
        <v>218</v>
      </c>
      <c r="F2826" s="6" t="s">
        <v>46</v>
      </c>
      <c r="G2826" s="6" t="s">
        <v>12447</v>
      </c>
      <c r="H2826" s="7"/>
      <c r="I2826" s="6" t="s">
        <v>48</v>
      </c>
      <c r="J2826" s="6" t="s">
        <v>48</v>
      </c>
      <c r="AG2826" s="15" t="s">
        <v>49</v>
      </c>
      <c r="AH2826" s="15"/>
      <c r="AI2826" s="15"/>
    </row>
    <row r="2827" spans="1:35" s="6" customFormat="1">
      <c r="A2827" s="6" t="s">
        <v>12448</v>
      </c>
      <c r="B2827" s="6" t="s">
        <v>12449</v>
      </c>
      <c r="C2827" s="6" t="s">
        <v>43</v>
      </c>
      <c r="D2827" s="6" t="s">
        <v>12388</v>
      </c>
      <c r="E2827" s="6" t="s">
        <v>218</v>
      </c>
      <c r="F2827" s="6" t="s">
        <v>46</v>
      </c>
      <c r="G2827" s="6" t="s">
        <v>12450</v>
      </c>
      <c r="H2827" s="7"/>
      <c r="I2827" s="6" t="s">
        <v>48</v>
      </c>
      <c r="J2827" s="6" t="s">
        <v>48</v>
      </c>
      <c r="AG2827" s="15" t="s">
        <v>49</v>
      </c>
      <c r="AH2827" s="15"/>
      <c r="AI2827" s="15"/>
    </row>
    <row r="2828" spans="1:35" s="6" customFormat="1">
      <c r="A2828" s="6" t="s">
        <v>12451</v>
      </c>
      <c r="B2828" s="6" t="s">
        <v>12452</v>
      </c>
      <c r="C2828" s="6" t="s">
        <v>43</v>
      </c>
      <c r="D2828" s="6" t="s">
        <v>12388</v>
      </c>
      <c r="E2828" s="6" t="s">
        <v>218</v>
      </c>
      <c r="F2828" s="6" t="s">
        <v>46</v>
      </c>
      <c r="G2828" s="6" t="s">
        <v>12453</v>
      </c>
      <c r="H2828" s="7"/>
      <c r="I2828" s="6" t="s">
        <v>48</v>
      </c>
      <c r="J2828" s="6" t="s">
        <v>48</v>
      </c>
      <c r="AG2828" s="15" t="s">
        <v>49</v>
      </c>
      <c r="AH2828" s="15"/>
      <c r="AI2828" s="15"/>
    </row>
    <row r="2829" spans="1:35" s="6" customFormat="1">
      <c r="A2829" s="6" t="s">
        <v>12454</v>
      </c>
      <c r="B2829" s="6" t="s">
        <v>12455</v>
      </c>
      <c r="C2829" s="6" t="s">
        <v>43</v>
      </c>
      <c r="D2829" s="6" t="s">
        <v>12388</v>
      </c>
      <c r="E2829" s="6" t="s">
        <v>218</v>
      </c>
      <c r="F2829" s="6" t="s">
        <v>46</v>
      </c>
      <c r="G2829" s="6" t="s">
        <v>12456</v>
      </c>
      <c r="H2829" s="7"/>
      <c r="I2829" s="6" t="s">
        <v>48</v>
      </c>
      <c r="J2829" s="6" t="s">
        <v>48</v>
      </c>
      <c r="AG2829" s="15" t="s">
        <v>49</v>
      </c>
      <c r="AH2829" s="15"/>
      <c r="AI2829" s="15"/>
    </row>
    <row r="2830" spans="1:35" s="6" customFormat="1">
      <c r="A2830" s="6" t="s">
        <v>12457</v>
      </c>
      <c r="B2830" s="6" t="s">
        <v>12458</v>
      </c>
      <c r="C2830" s="6" t="s">
        <v>43</v>
      </c>
      <c r="D2830" s="6" t="s">
        <v>12388</v>
      </c>
      <c r="E2830" s="6" t="s">
        <v>218</v>
      </c>
      <c r="F2830" s="6" t="s">
        <v>46</v>
      </c>
      <c r="G2830" s="6" t="s">
        <v>12459</v>
      </c>
      <c r="H2830" s="7"/>
      <c r="I2830" s="6" t="s">
        <v>48</v>
      </c>
      <c r="J2830" s="6" t="s">
        <v>48</v>
      </c>
      <c r="AG2830" s="15" t="s">
        <v>49</v>
      </c>
      <c r="AH2830" s="15"/>
      <c r="AI2830" s="15"/>
    </row>
    <row r="2831" spans="1:35" s="6" customFormat="1">
      <c r="A2831" s="6" t="s">
        <v>12460</v>
      </c>
      <c r="B2831" s="6" t="s">
        <v>12461</v>
      </c>
      <c r="C2831" s="6" t="s">
        <v>43</v>
      </c>
      <c r="D2831" s="6" t="s">
        <v>12388</v>
      </c>
      <c r="E2831" s="6" t="s">
        <v>45</v>
      </c>
      <c r="F2831" s="6" t="s">
        <v>46</v>
      </c>
      <c r="G2831" s="6" t="s">
        <v>12462</v>
      </c>
      <c r="H2831" s="7"/>
      <c r="I2831" s="6" t="s">
        <v>48</v>
      </c>
      <c r="J2831" s="6" t="s">
        <v>48</v>
      </c>
      <c r="AG2831" s="15" t="s">
        <v>49</v>
      </c>
      <c r="AH2831" s="15"/>
      <c r="AI2831" s="15"/>
    </row>
    <row r="2832" spans="1:35" s="6" customFormat="1">
      <c r="A2832" s="6" t="s">
        <v>12463</v>
      </c>
      <c r="B2832" s="6" t="s">
        <v>12464</v>
      </c>
      <c r="C2832" s="6" t="s">
        <v>43</v>
      </c>
      <c r="D2832" s="6" t="s">
        <v>12388</v>
      </c>
      <c r="E2832" s="6" t="s">
        <v>218</v>
      </c>
      <c r="F2832" s="6" t="s">
        <v>46</v>
      </c>
      <c r="G2832" s="6" t="s">
        <v>12465</v>
      </c>
      <c r="H2832" s="7"/>
      <c r="I2832" s="6" t="s">
        <v>48</v>
      </c>
      <c r="J2832" s="6" t="s">
        <v>48</v>
      </c>
      <c r="AG2832" s="15" t="s">
        <v>49</v>
      </c>
      <c r="AH2832" s="15"/>
      <c r="AI2832" s="15"/>
    </row>
    <row r="2833" spans="1:37" s="6" customFormat="1">
      <c r="A2833" s="5" t="s">
        <v>12466</v>
      </c>
      <c r="B2833" s="5" t="s">
        <v>12467</v>
      </c>
      <c r="C2833" s="6" t="s">
        <v>43</v>
      </c>
      <c r="D2833" s="6" t="s">
        <v>850</v>
      </c>
      <c r="E2833" s="6" t="s">
        <v>12468</v>
      </c>
      <c r="F2833" s="6" t="s">
        <v>46</v>
      </c>
      <c r="G2833" s="6" t="s">
        <v>2569</v>
      </c>
      <c r="H2833" s="18">
        <v>69.5</v>
      </c>
      <c r="I2833" s="19" t="s">
        <v>1507</v>
      </c>
      <c r="J2833" s="19" t="s">
        <v>12469</v>
      </c>
      <c r="K2833" s="5" t="s">
        <v>12470</v>
      </c>
      <c r="L2833" s="5" t="s">
        <v>12471</v>
      </c>
      <c r="M2833" s="5" t="s">
        <v>12472</v>
      </c>
      <c r="N2833" s="5" t="s">
        <v>12473</v>
      </c>
      <c r="O2833" s="5" t="s">
        <v>12474</v>
      </c>
      <c r="P2833" s="5" t="s">
        <v>12475</v>
      </c>
      <c r="Q2833" s="5" t="s">
        <v>12476</v>
      </c>
      <c r="R2833" s="5" t="s">
        <v>12477</v>
      </c>
      <c r="S2833" s="5" t="s">
        <v>12478</v>
      </c>
      <c r="T2833" s="5" t="s">
        <v>12479</v>
      </c>
      <c r="U2833" s="5" t="s">
        <v>12480</v>
      </c>
      <c r="V2833" s="5" t="s">
        <v>12481</v>
      </c>
      <c r="W2833" s="5" t="s">
        <v>12482</v>
      </c>
      <c r="X2833" s="5" t="s">
        <v>12483</v>
      </c>
      <c r="Y2833" s="5" t="s">
        <v>12484</v>
      </c>
      <c r="Z2833" s="5" t="s">
        <v>12485</v>
      </c>
      <c r="AA2833" s="5" t="s">
        <v>12486</v>
      </c>
      <c r="AB2833" s="5" t="s">
        <v>12487</v>
      </c>
      <c r="AC2833" s="5" t="s">
        <v>12488</v>
      </c>
      <c r="AD2833" s="5" t="s">
        <v>12489</v>
      </c>
      <c r="AE2833" s="5" t="s">
        <v>12490</v>
      </c>
      <c r="AF2833" s="5"/>
      <c r="AG2833" s="14" t="s">
        <v>55</v>
      </c>
      <c r="AH2833" s="14" t="s">
        <v>1517</v>
      </c>
      <c r="AI2833" s="14" t="s">
        <v>12491</v>
      </c>
      <c r="AJ2833" s="5" t="s">
        <v>12492</v>
      </c>
      <c r="AK2833" s="5"/>
    </row>
    <row r="2834" spans="1:37">
      <c r="A2834" s="5" t="s">
        <v>12493</v>
      </c>
      <c r="B2834" s="5" t="s">
        <v>12494</v>
      </c>
      <c r="C2834" s="6" t="s">
        <v>43</v>
      </c>
      <c r="D2834" s="6" t="s">
        <v>850</v>
      </c>
      <c r="E2834" s="6" t="s">
        <v>12468</v>
      </c>
      <c r="F2834" s="6" t="s">
        <v>46</v>
      </c>
      <c r="G2834" s="6" t="s">
        <v>3385</v>
      </c>
      <c r="H2834" s="18">
        <v>69</v>
      </c>
      <c r="I2834" s="19" t="s">
        <v>1507</v>
      </c>
      <c r="J2834" s="19" t="s">
        <v>12469</v>
      </c>
      <c r="K2834" s="5" t="s">
        <v>12495</v>
      </c>
      <c r="L2834" s="5" t="s">
        <v>12496</v>
      </c>
      <c r="M2834" s="5" t="s">
        <v>12497</v>
      </c>
      <c r="N2834" s="5" t="s">
        <v>12498</v>
      </c>
      <c r="O2834" s="5" t="s">
        <v>12474</v>
      </c>
      <c r="P2834" s="5" t="s">
        <v>12475</v>
      </c>
      <c r="Q2834" s="5" t="s">
        <v>12476</v>
      </c>
      <c r="R2834" s="5" t="s">
        <v>12477</v>
      </c>
      <c r="S2834" s="5" t="s">
        <v>12478</v>
      </c>
      <c r="T2834" s="5" t="s">
        <v>12479</v>
      </c>
      <c r="U2834" s="5" t="s">
        <v>12480</v>
      </c>
      <c r="V2834" s="5" t="s">
        <v>12481</v>
      </c>
      <c r="W2834" s="5" t="s">
        <v>12482</v>
      </c>
      <c r="X2834" s="5" t="s">
        <v>12483</v>
      </c>
      <c r="Y2834" s="5" t="s">
        <v>12484</v>
      </c>
      <c r="Z2834" s="5" t="s">
        <v>12485</v>
      </c>
      <c r="AA2834" s="5" t="s">
        <v>12486</v>
      </c>
      <c r="AB2834" s="5" t="s">
        <v>12487</v>
      </c>
      <c r="AC2834" s="5" t="s">
        <v>12488</v>
      </c>
      <c r="AD2834" s="5" t="s">
        <v>12489</v>
      </c>
      <c r="AE2834" s="5" t="s">
        <v>12499</v>
      </c>
      <c r="AG2834" s="14" t="s">
        <v>55</v>
      </c>
      <c r="AH2834" s="14" t="s">
        <v>1517</v>
      </c>
      <c r="AI2834" s="14" t="s">
        <v>12491</v>
      </c>
      <c r="AJ2834" s="5" t="s">
        <v>12492</v>
      </c>
    </row>
    <row r="2835" spans="1:37">
      <c r="A2835" s="5" t="s">
        <v>12500</v>
      </c>
      <c r="B2835" s="5" t="s">
        <v>12501</v>
      </c>
      <c r="C2835" s="6" t="s">
        <v>43</v>
      </c>
      <c r="D2835" s="6" t="s">
        <v>850</v>
      </c>
      <c r="E2835" s="6" t="s">
        <v>12468</v>
      </c>
      <c r="F2835" s="6" t="s">
        <v>46</v>
      </c>
      <c r="G2835" s="6" t="s">
        <v>12502</v>
      </c>
      <c r="H2835" s="18">
        <v>62</v>
      </c>
      <c r="I2835" s="19" t="s">
        <v>1507</v>
      </c>
      <c r="J2835" s="19" t="s">
        <v>12469</v>
      </c>
      <c r="K2835" s="5" t="s">
        <v>12503</v>
      </c>
      <c r="L2835" s="5" t="s">
        <v>12504</v>
      </c>
      <c r="M2835" s="5" t="s">
        <v>12505</v>
      </c>
      <c r="N2835" s="5" t="s">
        <v>12506</v>
      </c>
      <c r="O2835" s="5" t="s">
        <v>12474</v>
      </c>
      <c r="P2835" s="5" t="s">
        <v>12475</v>
      </c>
      <c r="Q2835" s="5" t="s">
        <v>12476</v>
      </c>
      <c r="R2835" s="5" t="s">
        <v>12477</v>
      </c>
      <c r="S2835" s="5" t="s">
        <v>12478</v>
      </c>
      <c r="T2835" s="5" t="s">
        <v>12479</v>
      </c>
      <c r="U2835" s="5" t="s">
        <v>12480</v>
      </c>
      <c r="V2835" s="5" t="s">
        <v>12481</v>
      </c>
      <c r="W2835" s="5" t="s">
        <v>12482</v>
      </c>
      <c r="X2835" s="5" t="s">
        <v>12483</v>
      </c>
      <c r="Y2835" s="5" t="s">
        <v>12484</v>
      </c>
      <c r="Z2835" s="5" t="s">
        <v>12485</v>
      </c>
      <c r="AA2835" s="5" t="s">
        <v>12486</v>
      </c>
      <c r="AB2835" s="5" t="s">
        <v>12487</v>
      </c>
      <c r="AC2835" s="5" t="s">
        <v>12488</v>
      </c>
      <c r="AD2835" s="5" t="s">
        <v>12489</v>
      </c>
      <c r="AE2835" s="5" t="s">
        <v>12507</v>
      </c>
      <c r="AG2835" s="14" t="s">
        <v>55</v>
      </c>
      <c r="AH2835" s="14" t="s">
        <v>1517</v>
      </c>
      <c r="AI2835" s="14" t="s">
        <v>12491</v>
      </c>
      <c r="AJ2835" s="5" t="s">
        <v>12492</v>
      </c>
    </row>
    <row r="2836" spans="1:37">
      <c r="A2836" s="5" t="s">
        <v>12508</v>
      </c>
      <c r="B2836" s="5" t="s">
        <v>12509</v>
      </c>
      <c r="C2836" s="6" t="s">
        <v>43</v>
      </c>
      <c r="D2836" s="6" t="s">
        <v>850</v>
      </c>
      <c r="E2836" s="6" t="s">
        <v>12510</v>
      </c>
      <c r="F2836" s="6" t="s">
        <v>46</v>
      </c>
      <c r="G2836" s="6" t="s">
        <v>12511</v>
      </c>
      <c r="H2836" s="18">
        <f>0.35*20</f>
        <v>7</v>
      </c>
      <c r="I2836" s="19" t="s">
        <v>1507</v>
      </c>
      <c r="J2836" s="19" t="s">
        <v>12469</v>
      </c>
      <c r="K2836" s="5" t="s">
        <v>12512</v>
      </c>
      <c r="L2836" s="5" t="s">
        <v>12513</v>
      </c>
      <c r="M2836" s="5" t="s">
        <v>12514</v>
      </c>
      <c r="N2836" s="5" t="s">
        <v>12515</v>
      </c>
      <c r="O2836" s="5" t="s">
        <v>12516</v>
      </c>
      <c r="P2836" s="5" t="s">
        <v>12517</v>
      </c>
      <c r="Q2836" s="5" t="s">
        <v>12518</v>
      </c>
      <c r="R2836" s="5" t="s">
        <v>12519</v>
      </c>
      <c r="AA2836" s="5" t="s">
        <v>12520</v>
      </c>
      <c r="AB2836" s="5" t="s">
        <v>12521</v>
      </c>
      <c r="AC2836" s="5" t="s">
        <v>12522</v>
      </c>
      <c r="AD2836" s="5" t="s">
        <v>12523</v>
      </c>
      <c r="AE2836" s="5" t="s">
        <v>12524</v>
      </c>
      <c r="AG2836" s="14" t="s">
        <v>55</v>
      </c>
      <c r="AH2836" s="14" t="s">
        <v>1517</v>
      </c>
      <c r="AI2836" s="14" t="s">
        <v>12491</v>
      </c>
      <c r="AJ2836" s="5" t="s">
        <v>12492</v>
      </c>
    </row>
    <row r="2837" spans="1:37">
      <c r="A2837" s="6" t="s">
        <v>12525</v>
      </c>
      <c r="B2837" s="6" t="s">
        <v>12526</v>
      </c>
      <c r="C2837" s="6" t="s">
        <v>43</v>
      </c>
      <c r="D2837" s="6" t="s">
        <v>52</v>
      </c>
      <c r="E2837" s="6" t="s">
        <v>1391</v>
      </c>
      <c r="F2837" s="6" t="s">
        <v>46</v>
      </c>
      <c r="G2837" s="6" t="s">
        <v>12527</v>
      </c>
      <c r="I2837" s="5" t="s">
        <v>48</v>
      </c>
      <c r="J2837" s="5" t="s">
        <v>48</v>
      </c>
      <c r="K2837" s="6"/>
      <c r="L2837" s="6"/>
      <c r="M2837" s="6"/>
      <c r="N2837" s="6"/>
      <c r="O2837" s="6"/>
      <c r="P2837" s="6"/>
      <c r="Q2837" s="6"/>
      <c r="R2837" s="6"/>
      <c r="S2837" s="6"/>
      <c r="T2837" s="6"/>
      <c r="U2837" s="6"/>
      <c r="V2837" s="6"/>
      <c r="W2837" s="6"/>
      <c r="X2837" s="6"/>
      <c r="Y2837" s="6"/>
      <c r="Z2837" s="6"/>
      <c r="AA2837" s="6"/>
      <c r="AB2837" s="6"/>
      <c r="AC2837" s="6"/>
      <c r="AD2837" s="6"/>
      <c r="AE2837" s="6"/>
      <c r="AF2837" s="6"/>
      <c r="AG2837" s="15" t="s">
        <v>55</v>
      </c>
      <c r="AH2837" s="15"/>
      <c r="AI2837" s="15"/>
      <c r="AJ2837" s="6"/>
      <c r="AK2837" s="6"/>
    </row>
    <row r="2838" spans="1:37" s="6" customFormat="1">
      <c r="A2838" s="6" t="s">
        <v>12528</v>
      </c>
      <c r="B2838" s="6" t="s">
        <v>12529</v>
      </c>
      <c r="C2838" s="6" t="s">
        <v>43</v>
      </c>
      <c r="D2838" s="6" t="s">
        <v>52</v>
      </c>
      <c r="E2838" s="6" t="s">
        <v>1391</v>
      </c>
      <c r="F2838" s="6" t="s">
        <v>46</v>
      </c>
      <c r="G2838" s="6" t="s">
        <v>12530</v>
      </c>
      <c r="H2838" s="7"/>
      <c r="I2838" s="5" t="s">
        <v>48</v>
      </c>
      <c r="J2838" s="5" t="s">
        <v>48</v>
      </c>
      <c r="AG2838" s="15" t="s">
        <v>55</v>
      </c>
      <c r="AH2838" s="15"/>
      <c r="AI2838" s="15"/>
    </row>
    <row r="2839" spans="1:37" s="6" customFormat="1">
      <c r="A2839" s="6" t="s">
        <v>12531</v>
      </c>
      <c r="B2839" s="6" t="s">
        <v>12532</v>
      </c>
      <c r="C2839" s="6" t="s">
        <v>43</v>
      </c>
      <c r="D2839" s="6" t="s">
        <v>1504</v>
      </c>
      <c r="E2839" s="6" t="s">
        <v>2461</v>
      </c>
      <c r="F2839" s="6" t="s">
        <v>46</v>
      </c>
      <c r="G2839" s="6" t="s">
        <v>12533</v>
      </c>
      <c r="H2839" s="7"/>
      <c r="I2839" s="16" t="s">
        <v>48</v>
      </c>
      <c r="J2839" s="16" t="s">
        <v>48</v>
      </c>
      <c r="AG2839" s="15" t="s">
        <v>55</v>
      </c>
      <c r="AH2839" s="15"/>
      <c r="AI2839" s="15"/>
    </row>
    <row r="2840" spans="1:37" s="6" customFormat="1">
      <c r="A2840" s="6" t="s">
        <v>12534</v>
      </c>
      <c r="B2840" s="6" t="s">
        <v>12535</v>
      </c>
      <c r="C2840" s="6" t="s">
        <v>43</v>
      </c>
      <c r="D2840" s="6" t="s">
        <v>1504</v>
      </c>
      <c r="E2840" s="6" t="s">
        <v>2461</v>
      </c>
      <c r="F2840" s="6" t="s">
        <v>46</v>
      </c>
      <c r="G2840" s="6" t="s">
        <v>1947</v>
      </c>
      <c r="H2840" s="7"/>
      <c r="I2840" s="16" t="s">
        <v>48</v>
      </c>
      <c r="J2840" s="16" t="s">
        <v>48</v>
      </c>
      <c r="AG2840" s="15" t="s">
        <v>55</v>
      </c>
      <c r="AH2840" s="15"/>
      <c r="AI2840" s="15"/>
    </row>
    <row r="2841" spans="1:37" s="6" customFormat="1">
      <c r="A2841" s="6" t="s">
        <v>12536</v>
      </c>
      <c r="B2841" s="6" t="s">
        <v>12537</v>
      </c>
      <c r="C2841" s="6" t="s">
        <v>43</v>
      </c>
      <c r="D2841" s="6" t="s">
        <v>1504</v>
      </c>
      <c r="E2841" s="6" t="s">
        <v>2461</v>
      </c>
      <c r="F2841" s="6" t="s">
        <v>46</v>
      </c>
      <c r="G2841" s="6" t="s">
        <v>12538</v>
      </c>
      <c r="H2841" s="7"/>
      <c r="I2841" s="16" t="s">
        <v>48</v>
      </c>
      <c r="J2841" s="16" t="s">
        <v>48</v>
      </c>
      <c r="AG2841" s="15" t="s">
        <v>55</v>
      </c>
      <c r="AH2841" s="15"/>
      <c r="AI2841" s="15"/>
    </row>
    <row r="2842" spans="1:37" s="6" customFormat="1">
      <c r="A2842" s="5" t="s">
        <v>12539</v>
      </c>
      <c r="B2842" s="5" t="s">
        <v>12540</v>
      </c>
      <c r="C2842" s="6" t="s">
        <v>43</v>
      </c>
      <c r="D2842" s="6" t="s">
        <v>850</v>
      </c>
      <c r="E2842" s="6" t="s">
        <v>2047</v>
      </c>
      <c r="F2842" s="6" t="s">
        <v>46</v>
      </c>
      <c r="G2842" s="6" t="s">
        <v>12541</v>
      </c>
      <c r="H2842" s="7">
        <v>40.85</v>
      </c>
      <c r="I2842" s="19" t="s">
        <v>1888</v>
      </c>
      <c r="J2842" s="19" t="s">
        <v>11334</v>
      </c>
      <c r="K2842" s="5" t="s">
        <v>12542</v>
      </c>
      <c r="L2842" s="5" t="s">
        <v>12543</v>
      </c>
      <c r="M2842" s="5" t="s">
        <v>12544</v>
      </c>
      <c r="N2842" s="5" t="s">
        <v>12545</v>
      </c>
      <c r="O2842" s="5" t="s">
        <v>12546</v>
      </c>
      <c r="P2842" s="5" t="s">
        <v>12547</v>
      </c>
      <c r="Q2842" s="5" t="s">
        <v>12548</v>
      </c>
      <c r="R2842" s="5" t="s">
        <v>12549</v>
      </c>
      <c r="S2842" s="5" t="s">
        <v>12550</v>
      </c>
      <c r="T2842" s="5" t="s">
        <v>12551</v>
      </c>
      <c r="U2842" s="5" t="s">
        <v>12552</v>
      </c>
      <c r="V2842" s="5" t="s">
        <v>12553</v>
      </c>
      <c r="W2842" s="5"/>
      <c r="X2842" s="5"/>
      <c r="Y2842" s="5"/>
      <c r="Z2842" s="5"/>
      <c r="AA2842" s="5"/>
      <c r="AB2842" s="5"/>
      <c r="AC2842" s="5"/>
      <c r="AD2842" s="5"/>
      <c r="AE2842" s="5"/>
      <c r="AF2842" s="5"/>
      <c r="AG2842" s="14" t="s">
        <v>55</v>
      </c>
      <c r="AH2842" s="14" t="s">
        <v>12554</v>
      </c>
      <c r="AI2842" s="14" t="s">
        <v>1408</v>
      </c>
      <c r="AJ2842" s="5" t="s">
        <v>12555</v>
      </c>
      <c r="AK2842" s="5"/>
    </row>
    <row r="2843" spans="1:37">
      <c r="A2843" s="5" t="s">
        <v>12556</v>
      </c>
      <c r="B2843" s="5" t="s">
        <v>12540</v>
      </c>
      <c r="C2843" s="6" t="s">
        <v>43</v>
      </c>
      <c r="D2843" s="6" t="s">
        <v>850</v>
      </c>
      <c r="E2843" s="6" t="s">
        <v>12557</v>
      </c>
      <c r="F2843" s="6" t="s">
        <v>46</v>
      </c>
      <c r="G2843" s="6" t="s">
        <v>12558</v>
      </c>
      <c r="H2843" s="7">
        <v>40.85</v>
      </c>
      <c r="I2843" s="19" t="s">
        <v>1888</v>
      </c>
      <c r="J2843" s="19" t="s">
        <v>11334</v>
      </c>
      <c r="K2843" s="6" t="s">
        <v>12542</v>
      </c>
      <c r="L2843" s="6" t="s">
        <v>12543</v>
      </c>
      <c r="M2843" s="6" t="s">
        <v>12544</v>
      </c>
      <c r="N2843" s="6" t="s">
        <v>12545</v>
      </c>
      <c r="O2843" s="6" t="s">
        <v>12546</v>
      </c>
      <c r="P2843" s="6" t="s">
        <v>12547</v>
      </c>
      <c r="Q2843" s="6" t="s">
        <v>12548</v>
      </c>
      <c r="R2843" s="6" t="s">
        <v>12549</v>
      </c>
      <c r="S2843" s="5" t="s">
        <v>12550</v>
      </c>
      <c r="T2843" s="5" t="s">
        <v>12551</v>
      </c>
      <c r="U2843" s="5" t="s">
        <v>12552</v>
      </c>
      <c r="V2843" s="5" t="s">
        <v>12553</v>
      </c>
      <c r="AG2843" s="14" t="s">
        <v>55</v>
      </c>
      <c r="AH2843" s="14" t="s">
        <v>12554</v>
      </c>
      <c r="AI2843" s="14" t="s">
        <v>1408</v>
      </c>
      <c r="AJ2843" s="5" t="s">
        <v>12555</v>
      </c>
    </row>
    <row r="2844" spans="1:37">
      <c r="A2844" s="5" t="s">
        <v>12559</v>
      </c>
      <c r="B2844" s="5" t="s">
        <v>12560</v>
      </c>
      <c r="C2844" s="6" t="s">
        <v>43</v>
      </c>
      <c r="D2844" s="6" t="s">
        <v>850</v>
      </c>
      <c r="E2844" s="6" t="s">
        <v>2047</v>
      </c>
      <c r="F2844" s="6" t="s">
        <v>46</v>
      </c>
      <c r="G2844" s="6" t="s">
        <v>5132</v>
      </c>
      <c r="H2844" s="7">
        <v>9.85</v>
      </c>
      <c r="I2844" s="19" t="s">
        <v>1888</v>
      </c>
      <c r="J2844" s="19" t="s">
        <v>11334</v>
      </c>
      <c r="K2844" s="6" t="s">
        <v>12561</v>
      </c>
      <c r="L2844" s="6" t="s">
        <v>12562</v>
      </c>
      <c r="M2844" s="6" t="s">
        <v>12563</v>
      </c>
      <c r="N2844" s="6" t="s">
        <v>12564</v>
      </c>
      <c r="O2844" s="6" t="s">
        <v>12565</v>
      </c>
      <c r="P2844" s="6" t="s">
        <v>12566</v>
      </c>
      <c r="Q2844" s="6" t="s">
        <v>12567</v>
      </c>
      <c r="R2844" s="6" t="s">
        <v>12568</v>
      </c>
      <c r="S2844" s="5" t="s">
        <v>12550</v>
      </c>
      <c r="T2844" s="5" t="s">
        <v>12551</v>
      </c>
      <c r="U2844" s="5" t="s">
        <v>12552</v>
      </c>
      <c r="V2844" s="5" t="s">
        <v>12553</v>
      </c>
      <c r="AG2844" s="14" t="s">
        <v>55</v>
      </c>
      <c r="AH2844" s="14" t="s">
        <v>12554</v>
      </c>
      <c r="AI2844" s="14" t="s">
        <v>1408</v>
      </c>
      <c r="AJ2844" s="5" t="s">
        <v>12555</v>
      </c>
    </row>
    <row r="2845" spans="1:37">
      <c r="A2845" s="5" t="s">
        <v>12569</v>
      </c>
      <c r="B2845" s="5" t="s">
        <v>12560</v>
      </c>
      <c r="C2845" s="6" t="s">
        <v>43</v>
      </c>
      <c r="D2845" s="6" t="s">
        <v>850</v>
      </c>
      <c r="E2845" s="6" t="s">
        <v>12557</v>
      </c>
      <c r="F2845" s="6" t="s">
        <v>46</v>
      </c>
      <c r="G2845" s="6" t="s">
        <v>12570</v>
      </c>
      <c r="H2845" s="7">
        <v>9.85</v>
      </c>
      <c r="I2845" s="19" t="s">
        <v>1888</v>
      </c>
      <c r="J2845" s="19" t="s">
        <v>11334</v>
      </c>
      <c r="K2845" s="6" t="s">
        <v>12561</v>
      </c>
      <c r="L2845" s="6" t="s">
        <v>12562</v>
      </c>
      <c r="M2845" s="6" t="s">
        <v>12563</v>
      </c>
      <c r="N2845" s="6" t="s">
        <v>12564</v>
      </c>
      <c r="O2845" s="6" t="s">
        <v>12571</v>
      </c>
      <c r="P2845" s="6" t="s">
        <v>12572</v>
      </c>
      <c r="Q2845" s="6" t="s">
        <v>12573</v>
      </c>
      <c r="R2845" s="6" t="s">
        <v>12574</v>
      </c>
      <c r="S2845" s="5" t="s">
        <v>12550</v>
      </c>
      <c r="T2845" s="5" t="s">
        <v>12551</v>
      </c>
      <c r="U2845" s="5" t="s">
        <v>12552</v>
      </c>
      <c r="V2845" s="5" t="s">
        <v>12553</v>
      </c>
      <c r="AG2845" s="14" t="s">
        <v>55</v>
      </c>
      <c r="AH2845" s="14" t="s">
        <v>12554</v>
      </c>
      <c r="AI2845" s="14" t="s">
        <v>1408</v>
      </c>
      <c r="AJ2845" s="5" t="s">
        <v>12555</v>
      </c>
    </row>
    <row r="2846" spans="1:37">
      <c r="A2846" s="5" t="s">
        <v>12575</v>
      </c>
      <c r="B2846" s="5" t="s">
        <v>12576</v>
      </c>
      <c r="C2846" s="6" t="s">
        <v>43</v>
      </c>
      <c r="D2846" s="6" t="s">
        <v>850</v>
      </c>
      <c r="E2846" s="6" t="s">
        <v>2047</v>
      </c>
      <c r="F2846" s="6" t="s">
        <v>46</v>
      </c>
      <c r="G2846" s="6" t="s">
        <v>12577</v>
      </c>
      <c r="H2846" s="7">
        <v>12.25</v>
      </c>
      <c r="I2846" s="19" t="s">
        <v>1888</v>
      </c>
      <c r="J2846" s="19" t="s">
        <v>11334</v>
      </c>
      <c r="K2846" s="6" t="s">
        <v>12578</v>
      </c>
      <c r="L2846" s="6" t="s">
        <v>12579</v>
      </c>
      <c r="M2846" s="6" t="s">
        <v>12580</v>
      </c>
      <c r="N2846" s="6" t="s">
        <v>12581</v>
      </c>
      <c r="O2846" s="6" t="s">
        <v>12582</v>
      </c>
      <c r="P2846" s="6" t="s">
        <v>12583</v>
      </c>
      <c r="Q2846" s="6" t="s">
        <v>12584</v>
      </c>
      <c r="R2846" s="6" t="s">
        <v>12585</v>
      </c>
      <c r="S2846" s="5" t="s">
        <v>12550</v>
      </c>
      <c r="T2846" s="5" t="s">
        <v>12551</v>
      </c>
      <c r="U2846" s="5" t="s">
        <v>12552</v>
      </c>
      <c r="V2846" s="5" t="s">
        <v>12553</v>
      </c>
      <c r="AG2846" s="14" t="s">
        <v>55</v>
      </c>
      <c r="AH2846" s="14" t="s">
        <v>12554</v>
      </c>
      <c r="AI2846" s="14" t="s">
        <v>1408</v>
      </c>
      <c r="AJ2846" s="5" t="s">
        <v>12555</v>
      </c>
    </row>
    <row r="2847" spans="1:37">
      <c r="A2847" s="5" t="s">
        <v>12586</v>
      </c>
      <c r="B2847" s="5" t="s">
        <v>12576</v>
      </c>
      <c r="C2847" s="6" t="s">
        <v>43</v>
      </c>
      <c r="D2847" s="6" t="s">
        <v>850</v>
      </c>
      <c r="E2847" s="6" t="s">
        <v>12557</v>
      </c>
      <c r="F2847" s="6" t="s">
        <v>46</v>
      </c>
      <c r="G2847" s="6" t="s">
        <v>12587</v>
      </c>
      <c r="H2847" s="7">
        <v>12.25</v>
      </c>
      <c r="I2847" s="19" t="s">
        <v>1888</v>
      </c>
      <c r="J2847" s="19" t="s">
        <v>11334</v>
      </c>
      <c r="K2847" s="6" t="s">
        <v>12578</v>
      </c>
      <c r="L2847" s="6" t="s">
        <v>12579</v>
      </c>
      <c r="M2847" s="6" t="s">
        <v>12580</v>
      </c>
      <c r="N2847" s="6" t="s">
        <v>12581</v>
      </c>
      <c r="O2847" s="6" t="s">
        <v>12588</v>
      </c>
      <c r="P2847" s="6" t="s">
        <v>12589</v>
      </c>
      <c r="Q2847" s="6" t="s">
        <v>12590</v>
      </c>
      <c r="R2847" s="6" t="s">
        <v>12591</v>
      </c>
      <c r="S2847" s="5" t="s">
        <v>12550</v>
      </c>
      <c r="T2847" s="5" t="s">
        <v>12551</v>
      </c>
      <c r="U2847" s="5" t="s">
        <v>12552</v>
      </c>
      <c r="V2847" s="5" t="s">
        <v>12553</v>
      </c>
      <c r="AG2847" s="14" t="s">
        <v>55</v>
      </c>
      <c r="AH2847" s="14" t="s">
        <v>12554</v>
      </c>
      <c r="AI2847" s="14" t="s">
        <v>1408</v>
      </c>
      <c r="AJ2847" s="5" t="s">
        <v>12555</v>
      </c>
    </row>
    <row r="2848" spans="1:37">
      <c r="A2848" s="5" t="s">
        <v>12592</v>
      </c>
      <c r="B2848" s="5" t="s">
        <v>12593</v>
      </c>
      <c r="C2848" s="6" t="s">
        <v>43</v>
      </c>
      <c r="D2848" s="6" t="s">
        <v>850</v>
      </c>
      <c r="E2848" s="6" t="s">
        <v>2047</v>
      </c>
      <c r="F2848" s="6" t="s">
        <v>46</v>
      </c>
      <c r="G2848" s="6" t="s">
        <v>8306</v>
      </c>
      <c r="H2848" s="7">
        <v>16.350000000000001</v>
      </c>
      <c r="I2848" s="19" t="s">
        <v>1888</v>
      </c>
      <c r="J2848" s="19" t="s">
        <v>11334</v>
      </c>
      <c r="K2848" s="6" t="s">
        <v>12594</v>
      </c>
      <c r="L2848" s="6" t="s">
        <v>12595</v>
      </c>
      <c r="M2848" s="6" t="s">
        <v>12596</v>
      </c>
      <c r="N2848" s="6" t="s">
        <v>12597</v>
      </c>
      <c r="O2848" s="6" t="s">
        <v>12598</v>
      </c>
      <c r="P2848" s="6" t="s">
        <v>12599</v>
      </c>
      <c r="Q2848" s="6" t="s">
        <v>12600</v>
      </c>
      <c r="R2848" s="6" t="s">
        <v>12601</v>
      </c>
      <c r="S2848" s="5" t="s">
        <v>12550</v>
      </c>
      <c r="T2848" s="5" t="s">
        <v>12551</v>
      </c>
      <c r="U2848" s="5" t="s">
        <v>12552</v>
      </c>
      <c r="V2848" s="5" t="s">
        <v>12553</v>
      </c>
      <c r="AG2848" s="14" t="s">
        <v>55</v>
      </c>
      <c r="AH2848" s="14" t="s">
        <v>12554</v>
      </c>
      <c r="AI2848" s="14" t="s">
        <v>1408</v>
      </c>
      <c r="AJ2848" s="5" t="s">
        <v>12555</v>
      </c>
    </row>
    <row r="2849" spans="1:36">
      <c r="A2849" s="5" t="s">
        <v>12602</v>
      </c>
      <c r="B2849" s="5" t="s">
        <v>12593</v>
      </c>
      <c r="C2849" s="6" t="s">
        <v>43</v>
      </c>
      <c r="D2849" s="6" t="s">
        <v>850</v>
      </c>
      <c r="E2849" s="6" t="s">
        <v>12557</v>
      </c>
      <c r="F2849" s="6" t="s">
        <v>46</v>
      </c>
      <c r="G2849" s="6" t="s">
        <v>12603</v>
      </c>
      <c r="H2849" s="7">
        <v>16.350000000000001</v>
      </c>
      <c r="I2849" s="19" t="s">
        <v>1888</v>
      </c>
      <c r="J2849" s="19" t="s">
        <v>11334</v>
      </c>
      <c r="K2849" s="6" t="s">
        <v>12594</v>
      </c>
      <c r="L2849" s="6" t="s">
        <v>12595</v>
      </c>
      <c r="M2849" s="6" t="s">
        <v>12596</v>
      </c>
      <c r="N2849" s="6" t="s">
        <v>12597</v>
      </c>
      <c r="O2849" s="6" t="s">
        <v>12604</v>
      </c>
      <c r="P2849" s="6" t="s">
        <v>12605</v>
      </c>
      <c r="Q2849" s="6" t="s">
        <v>12606</v>
      </c>
      <c r="R2849" s="6" t="s">
        <v>12607</v>
      </c>
      <c r="S2849" s="5" t="s">
        <v>12550</v>
      </c>
      <c r="T2849" s="5" t="s">
        <v>12551</v>
      </c>
      <c r="U2849" s="5" t="s">
        <v>12552</v>
      </c>
      <c r="V2849" s="5" t="s">
        <v>12553</v>
      </c>
      <c r="AG2849" s="14" t="s">
        <v>55</v>
      </c>
      <c r="AH2849" s="14" t="s">
        <v>12554</v>
      </c>
      <c r="AI2849" s="14" t="s">
        <v>1408</v>
      </c>
      <c r="AJ2849" s="5" t="s">
        <v>12555</v>
      </c>
    </row>
    <row r="2850" spans="1:36">
      <c r="A2850" s="5" t="s">
        <v>12608</v>
      </c>
      <c r="B2850" s="5" t="s">
        <v>12609</v>
      </c>
      <c r="C2850" s="6" t="s">
        <v>43</v>
      </c>
      <c r="D2850" s="6" t="s">
        <v>850</v>
      </c>
      <c r="E2850" s="6" t="s">
        <v>2047</v>
      </c>
      <c r="F2850" s="6" t="s">
        <v>46</v>
      </c>
      <c r="G2850" s="6" t="s">
        <v>12610</v>
      </c>
      <c r="H2850" s="7">
        <v>20.45</v>
      </c>
      <c r="I2850" s="19" t="s">
        <v>1888</v>
      </c>
      <c r="J2850" s="19" t="s">
        <v>11334</v>
      </c>
      <c r="K2850" s="6" t="s">
        <v>12611</v>
      </c>
      <c r="L2850" s="6" t="s">
        <v>12612</v>
      </c>
      <c r="M2850" s="6" t="s">
        <v>12613</v>
      </c>
      <c r="N2850" s="6" t="s">
        <v>12614</v>
      </c>
      <c r="O2850" s="6" t="s">
        <v>12615</v>
      </c>
      <c r="P2850" s="6" t="s">
        <v>12616</v>
      </c>
      <c r="Q2850" s="6" t="s">
        <v>12617</v>
      </c>
      <c r="R2850" s="6" t="s">
        <v>12618</v>
      </c>
      <c r="S2850" s="5" t="s">
        <v>12550</v>
      </c>
      <c r="T2850" s="5" t="s">
        <v>12551</v>
      </c>
      <c r="U2850" s="5" t="s">
        <v>12552</v>
      </c>
      <c r="V2850" s="5" t="s">
        <v>12553</v>
      </c>
      <c r="AG2850" s="14" t="s">
        <v>55</v>
      </c>
      <c r="AH2850" s="14" t="s">
        <v>12554</v>
      </c>
      <c r="AI2850" s="14" t="s">
        <v>1408</v>
      </c>
      <c r="AJ2850" s="5" t="s">
        <v>12555</v>
      </c>
    </row>
    <row r="2851" spans="1:36">
      <c r="A2851" s="5" t="s">
        <v>12619</v>
      </c>
      <c r="B2851" s="5" t="s">
        <v>12609</v>
      </c>
      <c r="C2851" s="6" t="s">
        <v>43</v>
      </c>
      <c r="D2851" s="6" t="s">
        <v>850</v>
      </c>
      <c r="E2851" s="6" t="s">
        <v>12557</v>
      </c>
      <c r="F2851" s="6" t="s">
        <v>46</v>
      </c>
      <c r="G2851" s="6" t="s">
        <v>7085</v>
      </c>
      <c r="H2851" s="7">
        <v>20.45</v>
      </c>
      <c r="I2851" s="19" t="s">
        <v>1888</v>
      </c>
      <c r="J2851" s="19" t="s">
        <v>11334</v>
      </c>
      <c r="K2851" s="6" t="s">
        <v>12611</v>
      </c>
      <c r="L2851" s="6" t="s">
        <v>12612</v>
      </c>
      <c r="M2851" s="6" t="s">
        <v>12613</v>
      </c>
      <c r="N2851" s="6" t="s">
        <v>12614</v>
      </c>
      <c r="O2851" s="6" t="s">
        <v>12620</v>
      </c>
      <c r="P2851" s="6" t="s">
        <v>12621</v>
      </c>
      <c r="Q2851" s="6" t="s">
        <v>12622</v>
      </c>
      <c r="R2851" s="6" t="s">
        <v>12623</v>
      </c>
      <c r="S2851" s="5" t="s">
        <v>12550</v>
      </c>
      <c r="T2851" s="5" t="s">
        <v>12551</v>
      </c>
      <c r="U2851" s="5" t="s">
        <v>12552</v>
      </c>
      <c r="V2851" s="5" t="s">
        <v>12553</v>
      </c>
      <c r="AG2851" s="14" t="s">
        <v>55</v>
      </c>
      <c r="AH2851" s="14" t="s">
        <v>12554</v>
      </c>
      <c r="AI2851" s="14" t="s">
        <v>1408</v>
      </c>
      <c r="AJ2851" s="5" t="s">
        <v>12555</v>
      </c>
    </row>
    <row r="2852" spans="1:36">
      <c r="A2852" s="5" t="s">
        <v>12624</v>
      </c>
      <c r="B2852" s="5" t="s">
        <v>12625</v>
      </c>
      <c r="C2852" s="6" t="s">
        <v>43</v>
      </c>
      <c r="D2852" s="6" t="s">
        <v>850</v>
      </c>
      <c r="E2852" s="6" t="s">
        <v>2047</v>
      </c>
      <c r="F2852" s="6" t="s">
        <v>46</v>
      </c>
      <c r="G2852" s="6" t="s">
        <v>12626</v>
      </c>
      <c r="H2852" s="7">
        <v>24.55</v>
      </c>
      <c r="I2852" s="19" t="s">
        <v>1888</v>
      </c>
      <c r="J2852" s="19" t="s">
        <v>11334</v>
      </c>
      <c r="K2852" s="6" t="s">
        <v>12627</v>
      </c>
      <c r="L2852" s="6" t="s">
        <v>12628</v>
      </c>
      <c r="M2852" s="6" t="s">
        <v>12629</v>
      </c>
      <c r="N2852" s="6" t="s">
        <v>12630</v>
      </c>
      <c r="O2852" s="6" t="s">
        <v>12631</v>
      </c>
      <c r="P2852" s="6" t="s">
        <v>12632</v>
      </c>
      <c r="Q2852" s="6" t="s">
        <v>12633</v>
      </c>
      <c r="R2852" s="6" t="s">
        <v>12634</v>
      </c>
      <c r="S2852" s="5" t="s">
        <v>12550</v>
      </c>
      <c r="T2852" s="5" t="s">
        <v>12551</v>
      </c>
      <c r="U2852" s="5" t="s">
        <v>12552</v>
      </c>
      <c r="V2852" s="5" t="s">
        <v>12553</v>
      </c>
      <c r="AG2852" s="14" t="s">
        <v>55</v>
      </c>
      <c r="AH2852" s="14" t="s">
        <v>12554</v>
      </c>
      <c r="AI2852" s="14" t="s">
        <v>1408</v>
      </c>
      <c r="AJ2852" s="5" t="s">
        <v>12555</v>
      </c>
    </row>
    <row r="2853" spans="1:36">
      <c r="A2853" s="5" t="s">
        <v>12635</v>
      </c>
      <c r="B2853" s="5" t="s">
        <v>12625</v>
      </c>
      <c r="C2853" s="6" t="s">
        <v>43</v>
      </c>
      <c r="D2853" s="6" t="s">
        <v>850</v>
      </c>
      <c r="E2853" s="6" t="s">
        <v>12557</v>
      </c>
      <c r="F2853" s="6" t="s">
        <v>46</v>
      </c>
      <c r="G2853" s="6" t="s">
        <v>6855</v>
      </c>
      <c r="H2853" s="7">
        <v>24.55</v>
      </c>
      <c r="I2853" s="19" t="s">
        <v>1888</v>
      </c>
      <c r="J2853" s="19" t="s">
        <v>11334</v>
      </c>
      <c r="K2853" s="6" t="s">
        <v>12627</v>
      </c>
      <c r="L2853" s="6" t="s">
        <v>12628</v>
      </c>
      <c r="M2853" s="6" t="s">
        <v>12629</v>
      </c>
      <c r="N2853" s="6" t="s">
        <v>12630</v>
      </c>
      <c r="O2853" s="6" t="s">
        <v>12636</v>
      </c>
      <c r="P2853" s="6" t="s">
        <v>12637</v>
      </c>
      <c r="Q2853" s="6" t="s">
        <v>12638</v>
      </c>
      <c r="R2853" s="6" t="s">
        <v>12639</v>
      </c>
      <c r="S2853" s="5" t="s">
        <v>12550</v>
      </c>
      <c r="T2853" s="5" t="s">
        <v>12551</v>
      </c>
      <c r="U2853" s="5" t="s">
        <v>12552</v>
      </c>
      <c r="V2853" s="5" t="s">
        <v>12553</v>
      </c>
      <c r="AG2853" s="14" t="s">
        <v>55</v>
      </c>
      <c r="AH2853" s="14" t="s">
        <v>12554</v>
      </c>
      <c r="AI2853" s="14" t="s">
        <v>1408</v>
      </c>
      <c r="AJ2853" s="5" t="s">
        <v>12555</v>
      </c>
    </row>
    <row r="2854" spans="1:36">
      <c r="A2854" s="5" t="s">
        <v>12640</v>
      </c>
      <c r="B2854" s="5" t="s">
        <v>12641</v>
      </c>
      <c r="C2854" s="6" t="s">
        <v>43</v>
      </c>
      <c r="D2854" s="6" t="s">
        <v>850</v>
      </c>
      <c r="E2854" s="6" t="s">
        <v>2047</v>
      </c>
      <c r="F2854" s="6" t="s">
        <v>46</v>
      </c>
      <c r="G2854" s="6" t="s">
        <v>12642</v>
      </c>
      <c r="H2854" s="7">
        <v>32.75</v>
      </c>
      <c r="I2854" s="19" t="s">
        <v>1888</v>
      </c>
      <c r="J2854" s="19" t="s">
        <v>11334</v>
      </c>
      <c r="K2854" s="6" t="s">
        <v>12643</v>
      </c>
      <c r="L2854" s="6" t="s">
        <v>12644</v>
      </c>
      <c r="M2854" s="6" t="s">
        <v>12645</v>
      </c>
      <c r="N2854" s="6" t="s">
        <v>12646</v>
      </c>
      <c r="O2854" s="6" t="s">
        <v>12647</v>
      </c>
      <c r="P2854" s="6" t="s">
        <v>12648</v>
      </c>
      <c r="Q2854" s="6" t="s">
        <v>12649</v>
      </c>
      <c r="R2854" s="6" t="s">
        <v>12650</v>
      </c>
      <c r="S2854" s="5" t="s">
        <v>12550</v>
      </c>
      <c r="T2854" s="5" t="s">
        <v>12551</v>
      </c>
      <c r="U2854" s="5" t="s">
        <v>12552</v>
      </c>
      <c r="V2854" s="5" t="s">
        <v>12553</v>
      </c>
      <c r="AG2854" s="14" t="s">
        <v>55</v>
      </c>
      <c r="AH2854" s="14" t="s">
        <v>12554</v>
      </c>
      <c r="AI2854" s="14" t="s">
        <v>1408</v>
      </c>
      <c r="AJ2854" s="5" t="s">
        <v>12555</v>
      </c>
    </row>
    <row r="2855" spans="1:36">
      <c r="A2855" s="5" t="s">
        <v>12651</v>
      </c>
      <c r="B2855" s="5" t="s">
        <v>12641</v>
      </c>
      <c r="C2855" s="6" t="s">
        <v>43</v>
      </c>
      <c r="D2855" s="6" t="s">
        <v>850</v>
      </c>
      <c r="E2855" s="6" t="s">
        <v>12557</v>
      </c>
      <c r="F2855" s="6" t="s">
        <v>46</v>
      </c>
      <c r="G2855" s="6" t="s">
        <v>7544</v>
      </c>
      <c r="H2855" s="7">
        <v>32.75</v>
      </c>
      <c r="I2855" s="19" t="s">
        <v>1888</v>
      </c>
      <c r="J2855" s="19" t="s">
        <v>11334</v>
      </c>
      <c r="K2855" s="6" t="s">
        <v>12643</v>
      </c>
      <c r="L2855" s="6" t="s">
        <v>12644</v>
      </c>
      <c r="M2855" s="6" t="s">
        <v>12645</v>
      </c>
      <c r="N2855" s="6" t="s">
        <v>12646</v>
      </c>
      <c r="O2855" s="6" t="s">
        <v>12652</v>
      </c>
      <c r="P2855" s="6" t="s">
        <v>12653</v>
      </c>
      <c r="Q2855" s="6" t="s">
        <v>12654</v>
      </c>
      <c r="R2855" s="6" t="s">
        <v>12655</v>
      </c>
      <c r="S2855" s="5" t="s">
        <v>12550</v>
      </c>
      <c r="T2855" s="5" t="s">
        <v>12551</v>
      </c>
      <c r="U2855" s="5" t="s">
        <v>12552</v>
      </c>
      <c r="V2855" s="5" t="s">
        <v>12553</v>
      </c>
      <c r="AG2855" s="14" t="s">
        <v>55</v>
      </c>
      <c r="AH2855" s="14" t="s">
        <v>12554</v>
      </c>
      <c r="AI2855" s="14" t="s">
        <v>1408</v>
      </c>
      <c r="AJ2855" s="5" t="s">
        <v>12555</v>
      </c>
    </row>
    <row r="2856" spans="1:36">
      <c r="A2856" s="5" t="s">
        <v>12656</v>
      </c>
      <c r="B2856" s="5" t="s">
        <v>12657</v>
      </c>
      <c r="C2856" s="6" t="s">
        <v>43</v>
      </c>
      <c r="D2856" s="6" t="s">
        <v>850</v>
      </c>
      <c r="E2856" s="6" t="s">
        <v>2047</v>
      </c>
      <c r="F2856" s="6" t="s">
        <v>46</v>
      </c>
      <c r="G2856" s="6" t="s">
        <v>7580</v>
      </c>
      <c r="H2856" s="7">
        <v>33.299999999999997</v>
      </c>
      <c r="I2856" s="19" t="s">
        <v>1888</v>
      </c>
      <c r="J2856" s="19" t="s">
        <v>11334</v>
      </c>
      <c r="K2856" s="5" t="s">
        <v>12658</v>
      </c>
      <c r="L2856" s="5" t="s">
        <v>12659</v>
      </c>
      <c r="M2856" s="5" t="s">
        <v>12660</v>
      </c>
      <c r="N2856" s="5" t="s">
        <v>12661</v>
      </c>
      <c r="O2856" s="5" t="s">
        <v>12662</v>
      </c>
      <c r="P2856" s="5" t="s">
        <v>12663</v>
      </c>
      <c r="Q2856" s="5" t="s">
        <v>12664</v>
      </c>
      <c r="R2856" s="5" t="s">
        <v>12665</v>
      </c>
      <c r="S2856" s="5" t="s">
        <v>12550</v>
      </c>
      <c r="T2856" s="5" t="s">
        <v>12551</v>
      </c>
      <c r="U2856" s="5" t="s">
        <v>12552</v>
      </c>
      <c r="V2856" s="5" t="s">
        <v>12553</v>
      </c>
      <c r="AG2856" s="14" t="s">
        <v>55</v>
      </c>
      <c r="AH2856" s="14" t="s">
        <v>12554</v>
      </c>
      <c r="AI2856" s="14" t="s">
        <v>1408</v>
      </c>
      <c r="AJ2856" s="5" t="s">
        <v>12555</v>
      </c>
    </row>
    <row r="2857" spans="1:36">
      <c r="A2857" s="5" t="s">
        <v>12666</v>
      </c>
      <c r="B2857" s="5" t="s">
        <v>12657</v>
      </c>
      <c r="C2857" s="6" t="s">
        <v>43</v>
      </c>
      <c r="D2857" s="6" t="s">
        <v>850</v>
      </c>
      <c r="E2857" s="6" t="s">
        <v>12557</v>
      </c>
      <c r="F2857" s="6" t="s">
        <v>46</v>
      </c>
      <c r="G2857" s="6" t="s">
        <v>12558</v>
      </c>
      <c r="H2857" s="7">
        <v>33.299999999999997</v>
      </c>
      <c r="I2857" s="19" t="s">
        <v>1888</v>
      </c>
      <c r="J2857" s="19" t="s">
        <v>11334</v>
      </c>
      <c r="K2857" s="6" t="s">
        <v>12658</v>
      </c>
      <c r="L2857" s="6" t="s">
        <v>12659</v>
      </c>
      <c r="M2857" s="6" t="s">
        <v>12660</v>
      </c>
      <c r="N2857" s="6" t="s">
        <v>12661</v>
      </c>
      <c r="O2857" s="6" t="s">
        <v>12662</v>
      </c>
      <c r="P2857" s="6" t="s">
        <v>12663</v>
      </c>
      <c r="Q2857" s="6" t="s">
        <v>12664</v>
      </c>
      <c r="R2857" s="6" t="s">
        <v>12665</v>
      </c>
      <c r="S2857" s="5" t="s">
        <v>12550</v>
      </c>
      <c r="T2857" s="5" t="s">
        <v>12551</v>
      </c>
      <c r="U2857" s="5" t="s">
        <v>12552</v>
      </c>
      <c r="V2857" s="5" t="s">
        <v>12553</v>
      </c>
      <c r="AG2857" s="14" t="s">
        <v>55</v>
      </c>
      <c r="AH2857" s="14" t="s">
        <v>12554</v>
      </c>
      <c r="AI2857" s="14" t="s">
        <v>1408</v>
      </c>
      <c r="AJ2857" s="5" t="s">
        <v>12555</v>
      </c>
    </row>
    <row r="2858" spans="1:36">
      <c r="A2858" s="5" t="s">
        <v>12667</v>
      </c>
      <c r="B2858" s="5" t="s">
        <v>12668</v>
      </c>
      <c r="C2858" s="6" t="s">
        <v>43</v>
      </c>
      <c r="D2858" s="6" t="s">
        <v>850</v>
      </c>
      <c r="E2858" s="6" t="s">
        <v>2047</v>
      </c>
      <c r="F2858" s="6" t="s">
        <v>46</v>
      </c>
      <c r="G2858" s="6" t="s">
        <v>12669</v>
      </c>
      <c r="H2858" s="7">
        <v>7.95</v>
      </c>
      <c r="I2858" s="19" t="s">
        <v>1888</v>
      </c>
      <c r="J2858" s="19" t="s">
        <v>11334</v>
      </c>
      <c r="K2858" s="6" t="s">
        <v>12670</v>
      </c>
      <c r="L2858" s="6" t="s">
        <v>12671</v>
      </c>
      <c r="M2858" s="6" t="s">
        <v>12672</v>
      </c>
      <c r="N2858" s="6" t="s">
        <v>12673</v>
      </c>
      <c r="O2858" s="6" t="s">
        <v>12674</v>
      </c>
      <c r="P2858" s="6" t="s">
        <v>12675</v>
      </c>
      <c r="Q2858" s="6" t="s">
        <v>12676</v>
      </c>
      <c r="R2858" s="6" t="s">
        <v>12677</v>
      </c>
      <c r="S2858" s="5" t="s">
        <v>12550</v>
      </c>
      <c r="T2858" s="5" t="s">
        <v>12551</v>
      </c>
      <c r="U2858" s="5" t="s">
        <v>12552</v>
      </c>
      <c r="V2858" s="5" t="s">
        <v>12553</v>
      </c>
      <c r="AG2858" s="14" t="s">
        <v>55</v>
      </c>
      <c r="AH2858" s="14" t="s">
        <v>12554</v>
      </c>
      <c r="AI2858" s="14" t="s">
        <v>1408</v>
      </c>
      <c r="AJ2858" s="5" t="s">
        <v>12555</v>
      </c>
    </row>
    <row r="2859" spans="1:36">
      <c r="A2859" s="5" t="s">
        <v>12678</v>
      </c>
      <c r="B2859" s="5" t="s">
        <v>12668</v>
      </c>
      <c r="C2859" s="6" t="s">
        <v>43</v>
      </c>
      <c r="D2859" s="6" t="s">
        <v>850</v>
      </c>
      <c r="E2859" s="6" t="s">
        <v>12557</v>
      </c>
      <c r="F2859" s="6" t="s">
        <v>46</v>
      </c>
      <c r="G2859" s="6" t="s">
        <v>12570</v>
      </c>
      <c r="H2859" s="7">
        <v>7.95</v>
      </c>
      <c r="I2859" s="19" t="s">
        <v>1888</v>
      </c>
      <c r="J2859" s="19" t="s">
        <v>11334</v>
      </c>
      <c r="K2859" s="6" t="s">
        <v>12670</v>
      </c>
      <c r="L2859" s="6" t="s">
        <v>12671</v>
      </c>
      <c r="M2859" s="6" t="s">
        <v>12672</v>
      </c>
      <c r="N2859" s="6" t="s">
        <v>12673</v>
      </c>
      <c r="O2859" s="6" t="s">
        <v>12679</v>
      </c>
      <c r="P2859" s="6" t="s">
        <v>12680</v>
      </c>
      <c r="Q2859" s="6" t="s">
        <v>12681</v>
      </c>
      <c r="R2859" s="6" t="s">
        <v>12682</v>
      </c>
      <c r="S2859" s="5" t="s">
        <v>12550</v>
      </c>
      <c r="T2859" s="5" t="s">
        <v>12551</v>
      </c>
      <c r="U2859" s="5" t="s">
        <v>12552</v>
      </c>
      <c r="V2859" s="5" t="s">
        <v>12553</v>
      </c>
      <c r="AG2859" s="14" t="s">
        <v>55</v>
      </c>
      <c r="AH2859" s="14" t="s">
        <v>12554</v>
      </c>
      <c r="AI2859" s="14" t="s">
        <v>1408</v>
      </c>
      <c r="AJ2859" s="5" t="s">
        <v>12555</v>
      </c>
    </row>
    <row r="2860" spans="1:36">
      <c r="A2860" s="5" t="s">
        <v>12683</v>
      </c>
      <c r="B2860" s="5" t="s">
        <v>12684</v>
      </c>
      <c r="C2860" s="6" t="s">
        <v>43</v>
      </c>
      <c r="D2860" s="6" t="s">
        <v>850</v>
      </c>
      <c r="E2860" s="6" t="s">
        <v>218</v>
      </c>
      <c r="F2860" s="6" t="s">
        <v>46</v>
      </c>
      <c r="G2860" s="6" t="s">
        <v>12685</v>
      </c>
      <c r="H2860" s="7">
        <v>9.9499999999999993</v>
      </c>
      <c r="I2860" s="19" t="s">
        <v>1888</v>
      </c>
      <c r="J2860" s="19" t="s">
        <v>11334</v>
      </c>
      <c r="K2860" s="6" t="s">
        <v>12686</v>
      </c>
      <c r="L2860" s="6" t="s">
        <v>12687</v>
      </c>
      <c r="M2860" s="6" t="s">
        <v>12688</v>
      </c>
      <c r="N2860" s="6" t="s">
        <v>12689</v>
      </c>
      <c r="O2860" s="6" t="s">
        <v>12690</v>
      </c>
      <c r="P2860" s="6" t="s">
        <v>12691</v>
      </c>
      <c r="Q2860" s="6" t="s">
        <v>12692</v>
      </c>
      <c r="R2860" s="6" t="s">
        <v>12693</v>
      </c>
      <c r="S2860" s="5" t="s">
        <v>12550</v>
      </c>
      <c r="T2860" s="5" t="s">
        <v>12551</v>
      </c>
      <c r="U2860" s="5" t="s">
        <v>12552</v>
      </c>
      <c r="V2860" s="5" t="s">
        <v>12553</v>
      </c>
      <c r="AG2860" s="14" t="s">
        <v>49</v>
      </c>
      <c r="AH2860" s="14" t="s">
        <v>12554</v>
      </c>
      <c r="AI2860" s="14" t="s">
        <v>1408</v>
      </c>
      <c r="AJ2860" s="5" t="s">
        <v>12555</v>
      </c>
    </row>
    <row r="2861" spans="1:36">
      <c r="A2861" s="5" t="s">
        <v>12694</v>
      </c>
      <c r="B2861" s="5" t="s">
        <v>12684</v>
      </c>
      <c r="C2861" s="6" t="s">
        <v>43</v>
      </c>
      <c r="D2861" s="6" t="s">
        <v>850</v>
      </c>
      <c r="E2861" s="6" t="s">
        <v>2047</v>
      </c>
      <c r="F2861" s="6" t="s">
        <v>46</v>
      </c>
      <c r="G2861" s="6" t="s">
        <v>5359</v>
      </c>
      <c r="H2861" s="7">
        <v>9.9499999999999993</v>
      </c>
      <c r="I2861" s="19" t="s">
        <v>1888</v>
      </c>
      <c r="J2861" s="19" t="s">
        <v>11334</v>
      </c>
      <c r="K2861" s="6" t="s">
        <v>12686</v>
      </c>
      <c r="L2861" s="6" t="s">
        <v>12687</v>
      </c>
      <c r="M2861" s="6" t="s">
        <v>12688</v>
      </c>
      <c r="N2861" s="6" t="s">
        <v>12689</v>
      </c>
      <c r="O2861" s="6" t="s">
        <v>12690</v>
      </c>
      <c r="P2861" s="6" t="s">
        <v>12691</v>
      </c>
      <c r="Q2861" s="6" t="s">
        <v>12692</v>
      </c>
      <c r="R2861" s="6" t="s">
        <v>12693</v>
      </c>
      <c r="S2861" s="5" t="s">
        <v>12550</v>
      </c>
      <c r="T2861" s="5" t="s">
        <v>12551</v>
      </c>
      <c r="U2861" s="5" t="s">
        <v>12552</v>
      </c>
      <c r="V2861" s="5" t="s">
        <v>12553</v>
      </c>
      <c r="AG2861" s="14" t="s">
        <v>55</v>
      </c>
      <c r="AH2861" s="14" t="s">
        <v>12554</v>
      </c>
      <c r="AI2861" s="14" t="s">
        <v>1408</v>
      </c>
      <c r="AJ2861" s="5" t="s">
        <v>12555</v>
      </c>
    </row>
    <row r="2862" spans="1:36">
      <c r="A2862" s="5" t="s">
        <v>12695</v>
      </c>
      <c r="B2862" s="5" t="s">
        <v>12684</v>
      </c>
      <c r="C2862" s="6" t="s">
        <v>43</v>
      </c>
      <c r="D2862" s="6" t="s">
        <v>850</v>
      </c>
      <c r="E2862" s="6" t="s">
        <v>12557</v>
      </c>
      <c r="F2862" s="6" t="s">
        <v>46</v>
      </c>
      <c r="G2862" s="6" t="s">
        <v>12587</v>
      </c>
      <c r="H2862" s="7">
        <v>9.9499999999999993</v>
      </c>
      <c r="I2862" s="19" t="s">
        <v>1888</v>
      </c>
      <c r="J2862" s="19" t="s">
        <v>11334</v>
      </c>
      <c r="K2862" s="6" t="s">
        <v>12686</v>
      </c>
      <c r="L2862" s="6" t="s">
        <v>12687</v>
      </c>
      <c r="M2862" s="6" t="s">
        <v>12688</v>
      </c>
      <c r="N2862" s="6" t="s">
        <v>12689</v>
      </c>
      <c r="O2862" s="6" t="s">
        <v>12690</v>
      </c>
      <c r="P2862" s="6" t="s">
        <v>12691</v>
      </c>
      <c r="Q2862" s="6" t="s">
        <v>12692</v>
      </c>
      <c r="R2862" s="6" t="s">
        <v>12693</v>
      </c>
      <c r="S2862" s="5" t="s">
        <v>12550</v>
      </c>
      <c r="T2862" s="5" t="s">
        <v>12551</v>
      </c>
      <c r="U2862" s="5" t="s">
        <v>12552</v>
      </c>
      <c r="V2862" s="5" t="s">
        <v>12553</v>
      </c>
      <c r="AG2862" s="14" t="s">
        <v>55</v>
      </c>
      <c r="AH2862" s="14" t="s">
        <v>12554</v>
      </c>
      <c r="AI2862" s="14" t="s">
        <v>1408</v>
      </c>
      <c r="AJ2862" s="5" t="s">
        <v>12555</v>
      </c>
    </row>
    <row r="2863" spans="1:36">
      <c r="A2863" s="5" t="s">
        <v>12696</v>
      </c>
      <c r="B2863" s="5" t="s">
        <v>12697</v>
      </c>
      <c r="C2863" s="6" t="s">
        <v>43</v>
      </c>
      <c r="D2863" s="6" t="s">
        <v>850</v>
      </c>
      <c r="E2863" s="6" t="s">
        <v>218</v>
      </c>
      <c r="F2863" s="6" t="s">
        <v>46</v>
      </c>
      <c r="G2863" s="6" t="s">
        <v>12698</v>
      </c>
      <c r="H2863" s="7">
        <v>13.3</v>
      </c>
      <c r="I2863" s="19" t="s">
        <v>1888</v>
      </c>
      <c r="J2863" s="19" t="s">
        <v>11334</v>
      </c>
      <c r="K2863" s="6" t="s">
        <v>12699</v>
      </c>
      <c r="L2863" s="6" t="s">
        <v>12700</v>
      </c>
      <c r="M2863" s="6" t="s">
        <v>12701</v>
      </c>
      <c r="N2863" s="6" t="s">
        <v>12702</v>
      </c>
      <c r="O2863" s="6" t="s">
        <v>12703</v>
      </c>
      <c r="P2863" s="6" t="s">
        <v>12704</v>
      </c>
      <c r="Q2863" s="6" t="s">
        <v>12705</v>
      </c>
      <c r="R2863" s="6" t="s">
        <v>12706</v>
      </c>
      <c r="S2863" s="5" t="s">
        <v>12550</v>
      </c>
      <c r="T2863" s="5" t="s">
        <v>12551</v>
      </c>
      <c r="U2863" s="5" t="s">
        <v>12552</v>
      </c>
      <c r="V2863" s="5" t="s">
        <v>12553</v>
      </c>
      <c r="AG2863" s="14" t="s">
        <v>49</v>
      </c>
      <c r="AH2863" s="14" t="s">
        <v>12554</v>
      </c>
      <c r="AI2863" s="14" t="s">
        <v>1408</v>
      </c>
      <c r="AJ2863" s="5" t="s">
        <v>12555</v>
      </c>
    </row>
    <row r="2864" spans="1:36">
      <c r="A2864" s="5" t="s">
        <v>12707</v>
      </c>
      <c r="B2864" s="5" t="s">
        <v>12697</v>
      </c>
      <c r="C2864" s="6" t="s">
        <v>43</v>
      </c>
      <c r="D2864" s="6" t="s">
        <v>850</v>
      </c>
      <c r="E2864" s="6" t="s">
        <v>2047</v>
      </c>
      <c r="F2864" s="6" t="s">
        <v>46</v>
      </c>
      <c r="G2864" s="6" t="s">
        <v>12708</v>
      </c>
      <c r="H2864" s="7">
        <v>13.3</v>
      </c>
      <c r="I2864" s="19" t="s">
        <v>1888</v>
      </c>
      <c r="J2864" s="19" t="s">
        <v>11334</v>
      </c>
      <c r="K2864" s="6" t="s">
        <v>12699</v>
      </c>
      <c r="L2864" s="6" t="s">
        <v>12700</v>
      </c>
      <c r="M2864" s="6" t="s">
        <v>12701</v>
      </c>
      <c r="N2864" s="6" t="s">
        <v>12702</v>
      </c>
      <c r="O2864" s="6" t="s">
        <v>12703</v>
      </c>
      <c r="P2864" s="6" t="s">
        <v>12704</v>
      </c>
      <c r="Q2864" s="6" t="s">
        <v>12705</v>
      </c>
      <c r="R2864" s="6" t="s">
        <v>12706</v>
      </c>
      <c r="S2864" s="5" t="s">
        <v>12550</v>
      </c>
      <c r="T2864" s="5" t="s">
        <v>12551</v>
      </c>
      <c r="U2864" s="5" t="s">
        <v>12552</v>
      </c>
      <c r="V2864" s="5" t="s">
        <v>12553</v>
      </c>
      <c r="AG2864" s="14" t="s">
        <v>55</v>
      </c>
      <c r="AH2864" s="14" t="s">
        <v>12554</v>
      </c>
      <c r="AI2864" s="14" t="s">
        <v>1408</v>
      </c>
      <c r="AJ2864" s="5" t="s">
        <v>12555</v>
      </c>
    </row>
    <row r="2865" spans="1:37">
      <c r="A2865" s="5" t="s">
        <v>12709</v>
      </c>
      <c r="B2865" s="5" t="s">
        <v>12697</v>
      </c>
      <c r="C2865" s="6" t="s">
        <v>43</v>
      </c>
      <c r="D2865" s="6" t="s">
        <v>850</v>
      </c>
      <c r="E2865" s="6" t="s">
        <v>12557</v>
      </c>
      <c r="F2865" s="6" t="s">
        <v>46</v>
      </c>
      <c r="G2865" s="6" t="s">
        <v>12603</v>
      </c>
      <c r="H2865" s="7">
        <v>13.3</v>
      </c>
      <c r="I2865" s="19" t="s">
        <v>1888</v>
      </c>
      <c r="J2865" s="19" t="s">
        <v>11334</v>
      </c>
      <c r="K2865" s="6" t="s">
        <v>12699</v>
      </c>
      <c r="L2865" s="6" t="s">
        <v>12700</v>
      </c>
      <c r="M2865" s="6" t="s">
        <v>12701</v>
      </c>
      <c r="N2865" s="6" t="s">
        <v>12702</v>
      </c>
      <c r="O2865" s="6" t="s">
        <v>12703</v>
      </c>
      <c r="P2865" s="6" t="s">
        <v>12704</v>
      </c>
      <c r="Q2865" s="6" t="s">
        <v>12705</v>
      </c>
      <c r="R2865" s="6" t="s">
        <v>12706</v>
      </c>
      <c r="S2865" s="5" t="s">
        <v>12550</v>
      </c>
      <c r="T2865" s="5" t="s">
        <v>12551</v>
      </c>
      <c r="U2865" s="5" t="s">
        <v>12552</v>
      </c>
      <c r="V2865" s="5" t="s">
        <v>12553</v>
      </c>
      <c r="AG2865" s="14" t="s">
        <v>55</v>
      </c>
      <c r="AH2865" s="14" t="s">
        <v>12554</v>
      </c>
      <c r="AI2865" s="14" t="s">
        <v>1408</v>
      </c>
      <c r="AJ2865" s="5" t="s">
        <v>12555</v>
      </c>
    </row>
    <row r="2866" spans="1:37">
      <c r="A2866" s="5" t="s">
        <v>12710</v>
      </c>
      <c r="B2866" s="5" t="s">
        <v>12711</v>
      </c>
      <c r="C2866" s="6" t="s">
        <v>43</v>
      </c>
      <c r="D2866" s="6" t="s">
        <v>850</v>
      </c>
      <c r="E2866" s="6" t="s">
        <v>218</v>
      </c>
      <c r="F2866" s="6" t="s">
        <v>46</v>
      </c>
      <c r="G2866" s="6" t="s">
        <v>12712</v>
      </c>
      <c r="H2866" s="7">
        <v>16.649999999999999</v>
      </c>
      <c r="I2866" s="19" t="s">
        <v>1888</v>
      </c>
      <c r="J2866" s="19" t="s">
        <v>11334</v>
      </c>
      <c r="K2866" s="6" t="s">
        <v>12713</v>
      </c>
      <c r="L2866" s="6" t="s">
        <v>12714</v>
      </c>
      <c r="M2866" s="6" t="s">
        <v>12715</v>
      </c>
      <c r="N2866" s="6" t="s">
        <v>12716</v>
      </c>
      <c r="O2866" s="6" t="s">
        <v>12717</v>
      </c>
      <c r="P2866" s="6" t="s">
        <v>12718</v>
      </c>
      <c r="Q2866" s="6" t="s">
        <v>12719</v>
      </c>
      <c r="R2866" s="6" t="s">
        <v>12720</v>
      </c>
      <c r="S2866" s="5" t="s">
        <v>12550</v>
      </c>
      <c r="T2866" s="5" t="s">
        <v>12551</v>
      </c>
      <c r="U2866" s="5" t="s">
        <v>12552</v>
      </c>
      <c r="V2866" s="5" t="s">
        <v>12553</v>
      </c>
      <c r="AG2866" s="14" t="s">
        <v>49</v>
      </c>
      <c r="AH2866" s="14" t="s">
        <v>12554</v>
      </c>
      <c r="AI2866" s="14" t="s">
        <v>1408</v>
      </c>
      <c r="AJ2866" s="5" t="s">
        <v>12555</v>
      </c>
    </row>
    <row r="2867" spans="1:37">
      <c r="A2867" s="5" t="s">
        <v>12721</v>
      </c>
      <c r="B2867" s="5" t="s">
        <v>12711</v>
      </c>
      <c r="C2867" s="6" t="s">
        <v>43</v>
      </c>
      <c r="D2867" s="6" t="s">
        <v>850</v>
      </c>
      <c r="E2867" s="6" t="s">
        <v>2047</v>
      </c>
      <c r="F2867" s="6" t="s">
        <v>46</v>
      </c>
      <c r="G2867" s="6" t="s">
        <v>6244</v>
      </c>
      <c r="H2867" s="7">
        <v>16.649999999999999</v>
      </c>
      <c r="I2867" s="19" t="s">
        <v>1888</v>
      </c>
      <c r="J2867" s="19" t="s">
        <v>11334</v>
      </c>
      <c r="K2867" s="6" t="s">
        <v>12713</v>
      </c>
      <c r="L2867" s="6" t="s">
        <v>12714</v>
      </c>
      <c r="M2867" s="6" t="s">
        <v>12715</v>
      </c>
      <c r="N2867" s="6" t="s">
        <v>12716</v>
      </c>
      <c r="O2867" s="6" t="s">
        <v>12717</v>
      </c>
      <c r="P2867" s="6" t="s">
        <v>12718</v>
      </c>
      <c r="Q2867" s="6" t="s">
        <v>12719</v>
      </c>
      <c r="R2867" s="6" t="s">
        <v>12720</v>
      </c>
      <c r="S2867" s="5" t="s">
        <v>12550</v>
      </c>
      <c r="T2867" s="5" t="s">
        <v>12551</v>
      </c>
      <c r="U2867" s="5" t="s">
        <v>12552</v>
      </c>
      <c r="V2867" s="5" t="s">
        <v>12553</v>
      </c>
      <c r="AG2867" s="14" t="s">
        <v>55</v>
      </c>
      <c r="AH2867" s="14" t="s">
        <v>12554</v>
      </c>
      <c r="AI2867" s="14" t="s">
        <v>1408</v>
      </c>
      <c r="AJ2867" s="5" t="s">
        <v>12555</v>
      </c>
    </row>
    <row r="2868" spans="1:37">
      <c r="A2868" s="5" t="s">
        <v>12722</v>
      </c>
      <c r="B2868" s="5" t="s">
        <v>12711</v>
      </c>
      <c r="C2868" s="6" t="s">
        <v>43</v>
      </c>
      <c r="D2868" s="6" t="s">
        <v>850</v>
      </c>
      <c r="E2868" s="6" t="s">
        <v>12557</v>
      </c>
      <c r="F2868" s="6" t="s">
        <v>46</v>
      </c>
      <c r="G2868" s="6" t="s">
        <v>7085</v>
      </c>
      <c r="H2868" s="7">
        <v>16.649999999999999</v>
      </c>
      <c r="I2868" s="19" t="s">
        <v>1888</v>
      </c>
      <c r="J2868" s="19" t="s">
        <v>11334</v>
      </c>
      <c r="K2868" s="6" t="s">
        <v>12713</v>
      </c>
      <c r="L2868" s="6" t="s">
        <v>12714</v>
      </c>
      <c r="M2868" s="6" t="s">
        <v>12715</v>
      </c>
      <c r="N2868" s="6" t="s">
        <v>12716</v>
      </c>
      <c r="O2868" s="6" t="s">
        <v>12717</v>
      </c>
      <c r="P2868" s="6" t="s">
        <v>12718</v>
      </c>
      <c r="Q2868" s="6" t="s">
        <v>12719</v>
      </c>
      <c r="R2868" s="6" t="s">
        <v>12720</v>
      </c>
      <c r="S2868" s="5" t="s">
        <v>12550</v>
      </c>
      <c r="T2868" s="5" t="s">
        <v>12551</v>
      </c>
      <c r="U2868" s="5" t="s">
        <v>12552</v>
      </c>
      <c r="V2868" s="5" t="s">
        <v>12553</v>
      </c>
      <c r="AG2868" s="14" t="s">
        <v>55</v>
      </c>
      <c r="AH2868" s="14" t="s">
        <v>12554</v>
      </c>
      <c r="AI2868" s="14" t="s">
        <v>1408</v>
      </c>
      <c r="AJ2868" s="5" t="s">
        <v>12555</v>
      </c>
    </row>
    <row r="2869" spans="1:37">
      <c r="A2869" s="5" t="s">
        <v>12723</v>
      </c>
      <c r="B2869" s="5" t="s">
        <v>12724</v>
      </c>
      <c r="C2869" s="6" t="s">
        <v>43</v>
      </c>
      <c r="D2869" s="6" t="s">
        <v>850</v>
      </c>
      <c r="E2869" s="6" t="s">
        <v>2047</v>
      </c>
      <c r="F2869" s="6" t="s">
        <v>46</v>
      </c>
      <c r="G2869" s="6" t="s">
        <v>12610</v>
      </c>
      <c r="H2869" s="7">
        <v>19.95</v>
      </c>
      <c r="I2869" s="19" t="s">
        <v>1888</v>
      </c>
      <c r="J2869" s="19" t="s">
        <v>11334</v>
      </c>
      <c r="K2869" s="6" t="s">
        <v>12725</v>
      </c>
      <c r="L2869" s="6" t="s">
        <v>12726</v>
      </c>
      <c r="M2869" s="6" t="s">
        <v>12727</v>
      </c>
      <c r="N2869" s="6" t="s">
        <v>12728</v>
      </c>
      <c r="O2869" s="6" t="s">
        <v>12729</v>
      </c>
      <c r="P2869" s="6" t="s">
        <v>12730</v>
      </c>
      <c r="Q2869" s="6" t="s">
        <v>12731</v>
      </c>
      <c r="R2869" s="6" t="s">
        <v>12732</v>
      </c>
      <c r="S2869" s="5" t="s">
        <v>12550</v>
      </c>
      <c r="T2869" s="5" t="s">
        <v>12551</v>
      </c>
      <c r="U2869" s="5" t="s">
        <v>12552</v>
      </c>
      <c r="V2869" s="5" t="s">
        <v>12553</v>
      </c>
      <c r="AG2869" s="14" t="s">
        <v>55</v>
      </c>
      <c r="AH2869" s="14" t="s">
        <v>12554</v>
      </c>
      <c r="AI2869" s="14" t="s">
        <v>1408</v>
      </c>
      <c r="AJ2869" s="5" t="s">
        <v>12555</v>
      </c>
    </row>
    <row r="2870" spans="1:37">
      <c r="A2870" s="5" t="s">
        <v>12733</v>
      </c>
      <c r="B2870" s="5" t="s">
        <v>12724</v>
      </c>
      <c r="C2870" s="6" t="s">
        <v>43</v>
      </c>
      <c r="D2870" s="6" t="s">
        <v>850</v>
      </c>
      <c r="E2870" s="6" t="s">
        <v>12557</v>
      </c>
      <c r="F2870" s="6" t="s">
        <v>46</v>
      </c>
      <c r="G2870" s="6" t="s">
        <v>6855</v>
      </c>
      <c r="H2870" s="7">
        <v>19.95</v>
      </c>
      <c r="I2870" s="19" t="s">
        <v>1888</v>
      </c>
      <c r="J2870" s="19" t="s">
        <v>11334</v>
      </c>
      <c r="K2870" s="6" t="s">
        <v>12725</v>
      </c>
      <c r="L2870" s="6" t="s">
        <v>12726</v>
      </c>
      <c r="M2870" s="6" t="s">
        <v>12727</v>
      </c>
      <c r="N2870" s="6" t="s">
        <v>12728</v>
      </c>
      <c r="O2870" s="6" t="s">
        <v>12734</v>
      </c>
      <c r="P2870" s="6" t="s">
        <v>12735</v>
      </c>
      <c r="Q2870" s="6" t="s">
        <v>12736</v>
      </c>
      <c r="R2870" s="6" t="s">
        <v>12737</v>
      </c>
      <c r="S2870" s="5" t="s">
        <v>12550</v>
      </c>
      <c r="T2870" s="5" t="s">
        <v>12551</v>
      </c>
      <c r="U2870" s="5" t="s">
        <v>12552</v>
      </c>
      <c r="V2870" s="5" t="s">
        <v>12553</v>
      </c>
      <c r="AG2870" s="14" t="s">
        <v>55</v>
      </c>
      <c r="AH2870" s="14" t="s">
        <v>12554</v>
      </c>
      <c r="AI2870" s="14" t="s">
        <v>1408</v>
      </c>
      <c r="AJ2870" s="5" t="s">
        <v>12555</v>
      </c>
    </row>
    <row r="2871" spans="1:37">
      <c r="A2871" s="5" t="s">
        <v>12738</v>
      </c>
      <c r="B2871" s="5" t="s">
        <v>12739</v>
      </c>
      <c r="C2871" s="6" t="s">
        <v>43</v>
      </c>
      <c r="D2871" s="6" t="s">
        <v>850</v>
      </c>
      <c r="E2871" s="6" t="s">
        <v>2047</v>
      </c>
      <c r="F2871" s="6" t="s">
        <v>46</v>
      </c>
      <c r="G2871" s="6" t="s">
        <v>12740</v>
      </c>
      <c r="H2871" s="7">
        <v>26.6</v>
      </c>
      <c r="I2871" s="19" t="s">
        <v>1888</v>
      </c>
      <c r="J2871" s="19" t="s">
        <v>11334</v>
      </c>
      <c r="K2871" s="6" t="s">
        <v>12741</v>
      </c>
      <c r="L2871" s="6" t="s">
        <v>12742</v>
      </c>
      <c r="M2871" s="6" t="s">
        <v>12743</v>
      </c>
      <c r="N2871" s="6" t="s">
        <v>12744</v>
      </c>
      <c r="O2871" s="6" t="s">
        <v>12745</v>
      </c>
      <c r="P2871" s="6" t="s">
        <v>12746</v>
      </c>
      <c r="Q2871" s="6" t="s">
        <v>12747</v>
      </c>
      <c r="R2871" s="6" t="s">
        <v>12748</v>
      </c>
      <c r="S2871" s="5" t="s">
        <v>12550</v>
      </c>
      <c r="T2871" s="5" t="s">
        <v>12551</v>
      </c>
      <c r="U2871" s="5" t="s">
        <v>12552</v>
      </c>
      <c r="V2871" s="5" t="s">
        <v>12553</v>
      </c>
      <c r="AG2871" s="14" t="s">
        <v>55</v>
      </c>
      <c r="AH2871" s="14" t="s">
        <v>12554</v>
      </c>
      <c r="AI2871" s="14" t="s">
        <v>1408</v>
      </c>
      <c r="AJ2871" s="5" t="s">
        <v>12555</v>
      </c>
    </row>
    <row r="2872" spans="1:37">
      <c r="A2872" s="5" t="s">
        <v>12749</v>
      </c>
      <c r="B2872" s="5" t="s">
        <v>12739</v>
      </c>
      <c r="C2872" s="6" t="s">
        <v>43</v>
      </c>
      <c r="D2872" s="6" t="s">
        <v>850</v>
      </c>
      <c r="E2872" s="6" t="s">
        <v>12557</v>
      </c>
      <c r="F2872" s="6" t="s">
        <v>46</v>
      </c>
      <c r="G2872" s="6" t="s">
        <v>7544</v>
      </c>
      <c r="H2872" s="7">
        <v>26.6</v>
      </c>
      <c r="I2872" s="19" t="s">
        <v>1888</v>
      </c>
      <c r="J2872" s="19" t="s">
        <v>11334</v>
      </c>
      <c r="K2872" s="6" t="s">
        <v>12741</v>
      </c>
      <c r="L2872" s="6" t="s">
        <v>12742</v>
      </c>
      <c r="M2872" s="6" t="s">
        <v>12743</v>
      </c>
      <c r="N2872" s="6" t="s">
        <v>12744</v>
      </c>
      <c r="O2872" s="6" t="s">
        <v>12750</v>
      </c>
      <c r="P2872" s="6" t="s">
        <v>12751</v>
      </c>
      <c r="Q2872" s="6" t="s">
        <v>12752</v>
      </c>
      <c r="R2872" s="6" t="s">
        <v>12753</v>
      </c>
      <c r="S2872" s="5" t="s">
        <v>12550</v>
      </c>
      <c r="T2872" s="5" t="s">
        <v>12551</v>
      </c>
      <c r="U2872" s="5" t="s">
        <v>12552</v>
      </c>
      <c r="V2872" s="5" t="s">
        <v>12553</v>
      </c>
      <c r="AG2872" s="14" t="s">
        <v>55</v>
      </c>
      <c r="AH2872" s="14" t="s">
        <v>12554</v>
      </c>
      <c r="AI2872" s="14" t="s">
        <v>1408</v>
      </c>
      <c r="AJ2872" s="5" t="s">
        <v>12555</v>
      </c>
    </row>
    <row r="2873" spans="1:37">
      <c r="A2873" s="5" t="s">
        <v>12754</v>
      </c>
      <c r="B2873" s="5" t="s">
        <v>12755</v>
      </c>
      <c r="C2873" s="6" t="s">
        <v>43</v>
      </c>
      <c r="D2873" s="6" t="s">
        <v>850</v>
      </c>
      <c r="E2873" s="6" t="s">
        <v>218</v>
      </c>
      <c r="F2873" s="6" t="s">
        <v>46</v>
      </c>
      <c r="G2873" s="6" t="s">
        <v>10597</v>
      </c>
      <c r="H2873" s="7">
        <v>21.45</v>
      </c>
      <c r="I2873" s="19" t="s">
        <v>1888</v>
      </c>
      <c r="J2873" s="19" t="s">
        <v>11334</v>
      </c>
      <c r="K2873" s="5" t="s">
        <v>12756</v>
      </c>
      <c r="L2873" s="5" t="s">
        <v>12757</v>
      </c>
      <c r="M2873" s="5" t="s">
        <v>12758</v>
      </c>
      <c r="N2873" s="5" t="s">
        <v>12759</v>
      </c>
      <c r="O2873" s="5" t="s">
        <v>12760</v>
      </c>
      <c r="P2873" s="5" t="s">
        <v>12761</v>
      </c>
      <c r="Q2873" s="5" t="s">
        <v>12762</v>
      </c>
      <c r="R2873" s="5" t="s">
        <v>12763</v>
      </c>
      <c r="S2873" s="5" t="s">
        <v>12550</v>
      </c>
      <c r="T2873" s="5" t="s">
        <v>12551</v>
      </c>
      <c r="U2873" s="5" t="s">
        <v>12552</v>
      </c>
      <c r="V2873" s="5" t="s">
        <v>12553</v>
      </c>
      <c r="AG2873" s="14" t="s">
        <v>49</v>
      </c>
      <c r="AH2873" s="14" t="s">
        <v>12554</v>
      </c>
      <c r="AI2873" s="14" t="s">
        <v>1408</v>
      </c>
      <c r="AJ2873" s="5" t="s">
        <v>12555</v>
      </c>
    </row>
    <row r="2874" spans="1:37">
      <c r="A2874" s="5" t="s">
        <v>12764</v>
      </c>
      <c r="B2874" s="5" t="s">
        <v>12755</v>
      </c>
      <c r="C2874" s="6" t="s">
        <v>43</v>
      </c>
      <c r="D2874" s="6" t="s">
        <v>850</v>
      </c>
      <c r="E2874" s="6" t="s">
        <v>2047</v>
      </c>
      <c r="F2874" s="6" t="s">
        <v>46</v>
      </c>
      <c r="G2874" s="6" t="s">
        <v>12765</v>
      </c>
      <c r="H2874" s="7">
        <v>21.45</v>
      </c>
      <c r="I2874" s="19" t="s">
        <v>1888</v>
      </c>
      <c r="J2874" s="19" t="s">
        <v>11334</v>
      </c>
      <c r="K2874" s="6" t="s">
        <v>12756</v>
      </c>
      <c r="L2874" s="6" t="s">
        <v>12757</v>
      </c>
      <c r="M2874" s="6" t="s">
        <v>12758</v>
      </c>
      <c r="N2874" s="6" t="s">
        <v>12759</v>
      </c>
      <c r="O2874" s="6" t="s">
        <v>12760</v>
      </c>
      <c r="P2874" s="6" t="s">
        <v>12761</v>
      </c>
      <c r="Q2874" s="6" t="s">
        <v>12762</v>
      </c>
      <c r="R2874" s="6" t="s">
        <v>12763</v>
      </c>
      <c r="S2874" s="5" t="s">
        <v>12550</v>
      </c>
      <c r="T2874" s="5" t="s">
        <v>12551</v>
      </c>
      <c r="U2874" s="5" t="s">
        <v>12552</v>
      </c>
      <c r="V2874" s="5" t="s">
        <v>12553</v>
      </c>
      <c r="AG2874" s="14" t="s">
        <v>55</v>
      </c>
      <c r="AH2874" s="14" t="s">
        <v>12554</v>
      </c>
      <c r="AI2874" s="14" t="s">
        <v>1408</v>
      </c>
      <c r="AJ2874" s="5" t="s">
        <v>12555</v>
      </c>
    </row>
    <row r="2875" spans="1:37">
      <c r="A2875" s="5" t="s">
        <v>12766</v>
      </c>
      <c r="B2875" s="5" t="s">
        <v>12755</v>
      </c>
      <c r="C2875" s="6" t="s">
        <v>43</v>
      </c>
      <c r="D2875" s="6" t="s">
        <v>850</v>
      </c>
      <c r="E2875" s="6" t="s">
        <v>12557</v>
      </c>
      <c r="F2875" s="6" t="s">
        <v>46</v>
      </c>
      <c r="G2875" s="6" t="s">
        <v>12767</v>
      </c>
      <c r="H2875" s="7">
        <v>21.45</v>
      </c>
      <c r="I2875" s="19" t="s">
        <v>1888</v>
      </c>
      <c r="J2875" s="19" t="s">
        <v>11334</v>
      </c>
      <c r="K2875" s="6" t="s">
        <v>12756</v>
      </c>
      <c r="L2875" s="6" t="s">
        <v>12757</v>
      </c>
      <c r="M2875" s="6" t="s">
        <v>12758</v>
      </c>
      <c r="N2875" s="6" t="s">
        <v>12759</v>
      </c>
      <c r="O2875" s="6" t="s">
        <v>12760</v>
      </c>
      <c r="P2875" s="6" t="s">
        <v>12761</v>
      </c>
      <c r="Q2875" s="6" t="s">
        <v>12762</v>
      </c>
      <c r="R2875" s="6" t="s">
        <v>12763</v>
      </c>
      <c r="S2875" s="5" t="s">
        <v>12550</v>
      </c>
      <c r="T2875" s="5" t="s">
        <v>12551</v>
      </c>
      <c r="U2875" s="5" t="s">
        <v>12552</v>
      </c>
      <c r="V2875" s="5" t="s">
        <v>12553</v>
      </c>
      <c r="AG2875" s="14" t="s">
        <v>55</v>
      </c>
      <c r="AH2875" s="14" t="s">
        <v>12554</v>
      </c>
      <c r="AI2875" s="14" t="s">
        <v>1408</v>
      </c>
      <c r="AJ2875" s="5" t="s">
        <v>12555</v>
      </c>
    </row>
    <row r="2876" spans="1:37">
      <c r="A2876" s="6" t="s">
        <v>12768</v>
      </c>
      <c r="B2876" s="6" t="s">
        <v>12769</v>
      </c>
      <c r="C2876" s="6" t="s">
        <v>43</v>
      </c>
      <c r="D2876" s="6" t="s">
        <v>850</v>
      </c>
      <c r="E2876" s="6" t="s">
        <v>2047</v>
      </c>
      <c r="F2876" s="6" t="s">
        <v>46</v>
      </c>
      <c r="G2876" s="6" t="s">
        <v>2144</v>
      </c>
      <c r="I2876" s="16" t="s">
        <v>48</v>
      </c>
      <c r="J2876" s="16" t="s">
        <v>48</v>
      </c>
      <c r="K2876" s="6"/>
      <c r="L2876" s="6"/>
      <c r="M2876" s="6"/>
      <c r="N2876" s="6"/>
      <c r="O2876" s="6"/>
      <c r="P2876" s="6"/>
      <c r="Q2876" s="6"/>
      <c r="R2876" s="6"/>
      <c r="S2876" s="6"/>
      <c r="T2876" s="6"/>
      <c r="U2876" s="6"/>
      <c r="V2876" s="6"/>
      <c r="W2876" s="6"/>
      <c r="X2876" s="6"/>
      <c r="Y2876" s="6"/>
      <c r="Z2876" s="6"/>
      <c r="AA2876" s="6"/>
      <c r="AB2876" s="6"/>
      <c r="AC2876" s="6"/>
      <c r="AD2876" s="6"/>
      <c r="AE2876" s="6"/>
      <c r="AF2876" s="6"/>
      <c r="AG2876" s="15" t="s">
        <v>55</v>
      </c>
      <c r="AH2876" s="15"/>
      <c r="AI2876" s="15"/>
      <c r="AJ2876" s="6"/>
      <c r="AK2876" s="6"/>
    </row>
    <row r="2877" spans="1:37" s="6" customFormat="1">
      <c r="A2877" s="5" t="s">
        <v>12770</v>
      </c>
      <c r="B2877" s="5" t="s">
        <v>12771</v>
      </c>
      <c r="C2877" s="6" t="s">
        <v>43</v>
      </c>
      <c r="D2877" s="6" t="s">
        <v>850</v>
      </c>
      <c r="E2877" s="6" t="s">
        <v>2047</v>
      </c>
      <c r="F2877" s="6" t="s">
        <v>46</v>
      </c>
      <c r="G2877" s="6" t="s">
        <v>12772</v>
      </c>
      <c r="H2877" s="7">
        <v>5.0999999999999996</v>
      </c>
      <c r="I2877" s="19" t="s">
        <v>1888</v>
      </c>
      <c r="J2877" s="19" t="s">
        <v>11334</v>
      </c>
      <c r="K2877" s="6" t="s">
        <v>12773</v>
      </c>
      <c r="L2877" s="6" t="s">
        <v>12774</v>
      </c>
      <c r="M2877" s="6" t="s">
        <v>12775</v>
      </c>
      <c r="N2877" s="6" t="s">
        <v>12776</v>
      </c>
      <c r="O2877" s="6" t="s">
        <v>12777</v>
      </c>
      <c r="P2877" s="6" t="s">
        <v>12778</v>
      </c>
      <c r="Q2877" s="6" t="s">
        <v>12779</v>
      </c>
      <c r="R2877" s="6" t="s">
        <v>12780</v>
      </c>
      <c r="S2877" s="5" t="s">
        <v>12550</v>
      </c>
      <c r="T2877" s="5" t="s">
        <v>12551</v>
      </c>
      <c r="U2877" s="5" t="s">
        <v>12552</v>
      </c>
      <c r="V2877" s="5" t="s">
        <v>12553</v>
      </c>
      <c r="W2877" s="5"/>
      <c r="X2877" s="5"/>
      <c r="Y2877" s="5"/>
      <c r="Z2877" s="5"/>
      <c r="AA2877" s="5"/>
      <c r="AB2877" s="5"/>
      <c r="AC2877" s="5"/>
      <c r="AD2877" s="5"/>
      <c r="AE2877" s="5"/>
      <c r="AF2877" s="5"/>
      <c r="AG2877" s="14" t="s">
        <v>55</v>
      </c>
      <c r="AH2877" s="14" t="s">
        <v>12554</v>
      </c>
      <c r="AI2877" s="14" t="s">
        <v>1408</v>
      </c>
      <c r="AJ2877" s="5" t="s">
        <v>12555</v>
      </c>
      <c r="AK2877" s="5"/>
    </row>
    <row r="2878" spans="1:37">
      <c r="A2878" s="5" t="s">
        <v>12781</v>
      </c>
      <c r="B2878" s="5" t="s">
        <v>12771</v>
      </c>
      <c r="C2878" s="6" t="s">
        <v>43</v>
      </c>
      <c r="D2878" s="6" t="s">
        <v>850</v>
      </c>
      <c r="E2878" s="6" t="s">
        <v>12557</v>
      </c>
      <c r="F2878" s="6" t="s">
        <v>46</v>
      </c>
      <c r="G2878" s="6" t="s">
        <v>12782</v>
      </c>
      <c r="H2878" s="7">
        <v>5.0999999999999996</v>
      </c>
      <c r="I2878" s="19" t="s">
        <v>1888</v>
      </c>
      <c r="J2878" s="19" t="s">
        <v>11334</v>
      </c>
      <c r="K2878" s="6" t="s">
        <v>12773</v>
      </c>
      <c r="L2878" s="6" t="s">
        <v>12774</v>
      </c>
      <c r="M2878" s="6" t="s">
        <v>12775</v>
      </c>
      <c r="N2878" s="6" t="s">
        <v>12776</v>
      </c>
      <c r="O2878" s="6" t="s">
        <v>12783</v>
      </c>
      <c r="P2878" s="6" t="s">
        <v>12784</v>
      </c>
      <c r="Q2878" s="6" t="s">
        <v>12785</v>
      </c>
      <c r="R2878" s="6" t="s">
        <v>12786</v>
      </c>
      <c r="S2878" s="5" t="s">
        <v>12550</v>
      </c>
      <c r="T2878" s="5" t="s">
        <v>12551</v>
      </c>
      <c r="U2878" s="5" t="s">
        <v>12552</v>
      </c>
      <c r="V2878" s="5" t="s">
        <v>12553</v>
      </c>
      <c r="AG2878" s="14" t="s">
        <v>55</v>
      </c>
      <c r="AH2878" s="14" t="s">
        <v>12554</v>
      </c>
      <c r="AI2878" s="14" t="s">
        <v>1408</v>
      </c>
      <c r="AJ2878" s="5" t="s">
        <v>12555</v>
      </c>
    </row>
    <row r="2879" spans="1:37">
      <c r="A2879" s="5" t="s">
        <v>12787</v>
      </c>
      <c r="B2879" s="5" t="s">
        <v>12788</v>
      </c>
      <c r="C2879" s="6" t="s">
        <v>43</v>
      </c>
      <c r="D2879" s="6" t="s">
        <v>850</v>
      </c>
      <c r="E2879" s="6" t="s">
        <v>218</v>
      </c>
      <c r="F2879" s="6" t="s">
        <v>46</v>
      </c>
      <c r="G2879" s="6" t="s">
        <v>11304</v>
      </c>
      <c r="H2879" s="7">
        <v>6.4</v>
      </c>
      <c r="I2879" s="19" t="s">
        <v>1888</v>
      </c>
      <c r="J2879" s="19" t="s">
        <v>11334</v>
      </c>
      <c r="K2879" s="6" t="s">
        <v>12789</v>
      </c>
      <c r="L2879" s="6" t="s">
        <v>12790</v>
      </c>
      <c r="M2879" s="6" t="s">
        <v>12791</v>
      </c>
      <c r="N2879" s="6" t="s">
        <v>12792</v>
      </c>
      <c r="O2879" s="6" t="s">
        <v>12793</v>
      </c>
      <c r="P2879" s="6" t="s">
        <v>12794</v>
      </c>
      <c r="Q2879" s="6" t="s">
        <v>12795</v>
      </c>
      <c r="R2879" s="6" t="s">
        <v>12796</v>
      </c>
      <c r="S2879" s="5" t="s">
        <v>12550</v>
      </c>
      <c r="T2879" s="5" t="s">
        <v>12551</v>
      </c>
      <c r="U2879" s="5" t="s">
        <v>12552</v>
      </c>
      <c r="V2879" s="5" t="s">
        <v>12553</v>
      </c>
      <c r="AG2879" s="14" t="s">
        <v>49</v>
      </c>
      <c r="AH2879" s="14" t="s">
        <v>12554</v>
      </c>
      <c r="AI2879" s="14" t="s">
        <v>1408</v>
      </c>
      <c r="AJ2879" s="5" t="s">
        <v>12555</v>
      </c>
    </row>
    <row r="2880" spans="1:37">
      <c r="A2880" s="5" t="s">
        <v>12797</v>
      </c>
      <c r="B2880" s="5" t="s">
        <v>12788</v>
      </c>
      <c r="C2880" s="6" t="s">
        <v>43</v>
      </c>
      <c r="D2880" s="6" t="s">
        <v>850</v>
      </c>
      <c r="E2880" s="6" t="s">
        <v>2047</v>
      </c>
      <c r="F2880" s="6" t="s">
        <v>46</v>
      </c>
      <c r="G2880" s="6" t="s">
        <v>12798</v>
      </c>
      <c r="H2880" s="7">
        <v>6.4</v>
      </c>
      <c r="I2880" s="19" t="s">
        <v>1888</v>
      </c>
      <c r="J2880" s="19" t="s">
        <v>11334</v>
      </c>
      <c r="K2880" s="6" t="s">
        <v>12789</v>
      </c>
      <c r="L2880" s="6" t="s">
        <v>12790</v>
      </c>
      <c r="M2880" s="6" t="s">
        <v>12791</v>
      </c>
      <c r="N2880" s="6" t="s">
        <v>12792</v>
      </c>
      <c r="O2880" s="6" t="s">
        <v>12793</v>
      </c>
      <c r="P2880" s="6" t="s">
        <v>12794</v>
      </c>
      <c r="Q2880" s="6" t="s">
        <v>12795</v>
      </c>
      <c r="R2880" s="6" t="s">
        <v>12796</v>
      </c>
      <c r="S2880" s="5" t="s">
        <v>12550</v>
      </c>
      <c r="T2880" s="5" t="s">
        <v>12551</v>
      </c>
      <c r="U2880" s="5" t="s">
        <v>12552</v>
      </c>
      <c r="V2880" s="5" t="s">
        <v>12553</v>
      </c>
      <c r="AG2880" s="14" t="s">
        <v>55</v>
      </c>
      <c r="AH2880" s="14" t="s">
        <v>12554</v>
      </c>
      <c r="AI2880" s="14" t="s">
        <v>1408</v>
      </c>
      <c r="AJ2880" s="5" t="s">
        <v>12555</v>
      </c>
    </row>
    <row r="2881" spans="1:37">
      <c r="A2881" s="5" t="s">
        <v>12799</v>
      </c>
      <c r="B2881" s="5" t="s">
        <v>12788</v>
      </c>
      <c r="C2881" s="6" t="s">
        <v>43</v>
      </c>
      <c r="D2881" s="6" t="s">
        <v>850</v>
      </c>
      <c r="E2881" s="6" t="s">
        <v>12557</v>
      </c>
      <c r="F2881" s="6" t="s">
        <v>46</v>
      </c>
      <c r="G2881" s="6" t="s">
        <v>12800</v>
      </c>
      <c r="H2881" s="7">
        <v>6.4</v>
      </c>
      <c r="I2881" s="19" t="s">
        <v>1888</v>
      </c>
      <c r="J2881" s="19" t="s">
        <v>11334</v>
      </c>
      <c r="K2881" s="6" t="s">
        <v>12789</v>
      </c>
      <c r="L2881" s="6" t="s">
        <v>12790</v>
      </c>
      <c r="M2881" s="6" t="s">
        <v>12791</v>
      </c>
      <c r="N2881" s="6" t="s">
        <v>12792</v>
      </c>
      <c r="O2881" s="6" t="s">
        <v>12793</v>
      </c>
      <c r="P2881" s="6" t="s">
        <v>12794</v>
      </c>
      <c r="Q2881" s="6" t="s">
        <v>12795</v>
      </c>
      <c r="R2881" s="6" t="s">
        <v>12796</v>
      </c>
      <c r="S2881" s="5" t="s">
        <v>12550</v>
      </c>
      <c r="T2881" s="5" t="s">
        <v>12551</v>
      </c>
      <c r="U2881" s="5" t="s">
        <v>12552</v>
      </c>
      <c r="V2881" s="5" t="s">
        <v>12553</v>
      </c>
      <c r="AG2881" s="14" t="s">
        <v>55</v>
      </c>
      <c r="AH2881" s="14" t="s">
        <v>12554</v>
      </c>
      <c r="AI2881" s="14" t="s">
        <v>1408</v>
      </c>
      <c r="AJ2881" s="5" t="s">
        <v>12555</v>
      </c>
    </row>
    <row r="2882" spans="1:37">
      <c r="A2882" s="5" t="s">
        <v>12801</v>
      </c>
      <c r="B2882" s="5" t="s">
        <v>12802</v>
      </c>
      <c r="C2882" s="6" t="s">
        <v>43</v>
      </c>
      <c r="D2882" s="6" t="s">
        <v>850</v>
      </c>
      <c r="E2882" s="6" t="s">
        <v>218</v>
      </c>
      <c r="F2882" s="6" t="s">
        <v>46</v>
      </c>
      <c r="G2882" s="6" t="s">
        <v>6100</v>
      </c>
      <c r="H2882" s="7">
        <v>8.5</v>
      </c>
      <c r="I2882" s="19" t="s">
        <v>1888</v>
      </c>
      <c r="J2882" s="19" t="s">
        <v>11334</v>
      </c>
      <c r="K2882" s="6" t="s">
        <v>12803</v>
      </c>
      <c r="L2882" s="6" t="s">
        <v>12804</v>
      </c>
      <c r="M2882" s="6" t="s">
        <v>12805</v>
      </c>
      <c r="N2882" s="6" t="s">
        <v>12806</v>
      </c>
      <c r="O2882" s="6" t="s">
        <v>12807</v>
      </c>
      <c r="P2882" s="6" t="s">
        <v>12808</v>
      </c>
      <c r="Q2882" s="6" t="s">
        <v>12809</v>
      </c>
      <c r="R2882" s="6" t="s">
        <v>12810</v>
      </c>
      <c r="S2882" s="5" t="s">
        <v>12550</v>
      </c>
      <c r="T2882" s="5" t="s">
        <v>12551</v>
      </c>
      <c r="U2882" s="5" t="s">
        <v>12552</v>
      </c>
      <c r="V2882" s="5" t="s">
        <v>12553</v>
      </c>
      <c r="AG2882" s="14" t="s">
        <v>49</v>
      </c>
      <c r="AH2882" s="14" t="s">
        <v>12554</v>
      </c>
      <c r="AI2882" s="14" t="s">
        <v>1408</v>
      </c>
      <c r="AJ2882" s="5" t="s">
        <v>12555</v>
      </c>
    </row>
    <row r="2883" spans="1:37">
      <c r="A2883" s="5" t="s">
        <v>12811</v>
      </c>
      <c r="B2883" s="5" t="s">
        <v>12802</v>
      </c>
      <c r="C2883" s="6" t="s">
        <v>43</v>
      </c>
      <c r="D2883" s="6" t="s">
        <v>850</v>
      </c>
      <c r="E2883" s="6" t="s">
        <v>2047</v>
      </c>
      <c r="F2883" s="6" t="s">
        <v>46</v>
      </c>
      <c r="G2883" s="6" t="s">
        <v>12812</v>
      </c>
      <c r="H2883" s="7">
        <v>8.5</v>
      </c>
      <c r="I2883" s="19" t="s">
        <v>1888</v>
      </c>
      <c r="J2883" s="19" t="s">
        <v>11334</v>
      </c>
      <c r="K2883" s="6" t="s">
        <v>12803</v>
      </c>
      <c r="L2883" s="6" t="s">
        <v>12804</v>
      </c>
      <c r="M2883" s="6" t="s">
        <v>12805</v>
      </c>
      <c r="N2883" s="6" t="s">
        <v>12806</v>
      </c>
      <c r="O2883" s="6" t="s">
        <v>12807</v>
      </c>
      <c r="P2883" s="6" t="s">
        <v>12808</v>
      </c>
      <c r="Q2883" s="6" t="s">
        <v>12809</v>
      </c>
      <c r="R2883" s="6" t="s">
        <v>12810</v>
      </c>
      <c r="S2883" s="5" t="s">
        <v>12550</v>
      </c>
      <c r="T2883" s="5" t="s">
        <v>12551</v>
      </c>
      <c r="U2883" s="5" t="s">
        <v>12552</v>
      </c>
      <c r="V2883" s="5" t="s">
        <v>12553</v>
      </c>
      <c r="AG2883" s="14" t="s">
        <v>55</v>
      </c>
      <c r="AH2883" s="14" t="s">
        <v>12554</v>
      </c>
      <c r="AI2883" s="14" t="s">
        <v>1408</v>
      </c>
      <c r="AJ2883" s="5" t="s">
        <v>12555</v>
      </c>
    </row>
    <row r="2884" spans="1:37">
      <c r="A2884" s="5" t="s">
        <v>12813</v>
      </c>
      <c r="B2884" s="5" t="s">
        <v>12802</v>
      </c>
      <c r="C2884" s="6" t="s">
        <v>43</v>
      </c>
      <c r="D2884" s="6" t="s">
        <v>850</v>
      </c>
      <c r="E2884" s="6" t="s">
        <v>12557</v>
      </c>
      <c r="F2884" s="6" t="s">
        <v>46</v>
      </c>
      <c r="G2884" s="6" t="s">
        <v>12814</v>
      </c>
      <c r="H2884" s="7">
        <v>8.5</v>
      </c>
      <c r="I2884" s="19" t="s">
        <v>1888</v>
      </c>
      <c r="J2884" s="19" t="s">
        <v>11334</v>
      </c>
      <c r="K2884" s="6" t="s">
        <v>12803</v>
      </c>
      <c r="L2884" s="6" t="s">
        <v>12804</v>
      </c>
      <c r="M2884" s="6" t="s">
        <v>12805</v>
      </c>
      <c r="N2884" s="6" t="s">
        <v>12806</v>
      </c>
      <c r="O2884" s="6" t="s">
        <v>12807</v>
      </c>
      <c r="P2884" s="6" t="s">
        <v>12808</v>
      </c>
      <c r="Q2884" s="6" t="s">
        <v>12809</v>
      </c>
      <c r="R2884" s="6" t="s">
        <v>12810</v>
      </c>
      <c r="S2884" s="5" t="s">
        <v>12550</v>
      </c>
      <c r="T2884" s="5" t="s">
        <v>12551</v>
      </c>
      <c r="U2884" s="5" t="s">
        <v>12552</v>
      </c>
      <c r="V2884" s="5" t="s">
        <v>12553</v>
      </c>
      <c r="AG2884" s="14" t="s">
        <v>55</v>
      </c>
      <c r="AH2884" s="14" t="s">
        <v>12554</v>
      </c>
      <c r="AI2884" s="14" t="s">
        <v>1408</v>
      </c>
      <c r="AJ2884" s="5" t="s">
        <v>12555</v>
      </c>
    </row>
    <row r="2885" spans="1:37">
      <c r="A2885" s="5" t="s">
        <v>12815</v>
      </c>
      <c r="B2885" s="5" t="s">
        <v>12816</v>
      </c>
      <c r="C2885" s="6" t="s">
        <v>43</v>
      </c>
      <c r="D2885" s="6" t="s">
        <v>850</v>
      </c>
      <c r="E2885" s="6" t="s">
        <v>218</v>
      </c>
      <c r="F2885" s="6" t="s">
        <v>46</v>
      </c>
      <c r="G2885" s="6" t="s">
        <v>12817</v>
      </c>
      <c r="H2885" s="7">
        <v>10.75</v>
      </c>
      <c r="I2885" s="19" t="s">
        <v>1888</v>
      </c>
      <c r="J2885" s="19" t="s">
        <v>11334</v>
      </c>
      <c r="K2885" s="6" t="s">
        <v>12818</v>
      </c>
      <c r="L2885" s="6" t="s">
        <v>12819</v>
      </c>
      <c r="M2885" s="6" t="s">
        <v>12820</v>
      </c>
      <c r="N2885" s="6" t="s">
        <v>12821</v>
      </c>
      <c r="O2885" s="6" t="s">
        <v>12822</v>
      </c>
      <c r="P2885" s="6" t="s">
        <v>12823</v>
      </c>
      <c r="Q2885" s="6" t="s">
        <v>12824</v>
      </c>
      <c r="R2885" s="6" t="s">
        <v>12825</v>
      </c>
      <c r="S2885" s="5" t="s">
        <v>12550</v>
      </c>
      <c r="T2885" s="5" t="s">
        <v>12551</v>
      </c>
      <c r="U2885" s="5" t="s">
        <v>12552</v>
      </c>
      <c r="V2885" s="5" t="s">
        <v>12553</v>
      </c>
      <c r="AG2885" s="14" t="s">
        <v>49</v>
      </c>
      <c r="AH2885" s="14" t="s">
        <v>12554</v>
      </c>
      <c r="AI2885" s="14" t="s">
        <v>1408</v>
      </c>
      <c r="AJ2885" s="5" t="s">
        <v>12555</v>
      </c>
    </row>
    <row r="2886" spans="1:37">
      <c r="A2886" s="5" t="s">
        <v>12826</v>
      </c>
      <c r="B2886" s="5" t="s">
        <v>12816</v>
      </c>
      <c r="C2886" s="6" t="s">
        <v>43</v>
      </c>
      <c r="D2886" s="6" t="s">
        <v>850</v>
      </c>
      <c r="E2886" s="6" t="s">
        <v>2047</v>
      </c>
      <c r="F2886" s="6" t="s">
        <v>46</v>
      </c>
      <c r="G2886" s="6" t="s">
        <v>12827</v>
      </c>
      <c r="H2886" s="7">
        <v>10.75</v>
      </c>
      <c r="I2886" s="19" t="s">
        <v>1888</v>
      </c>
      <c r="J2886" s="19" t="s">
        <v>11334</v>
      </c>
      <c r="K2886" s="6" t="s">
        <v>12818</v>
      </c>
      <c r="L2886" s="6" t="s">
        <v>12819</v>
      </c>
      <c r="M2886" s="6" t="s">
        <v>12820</v>
      </c>
      <c r="N2886" s="6" t="s">
        <v>12821</v>
      </c>
      <c r="O2886" s="6" t="s">
        <v>12822</v>
      </c>
      <c r="P2886" s="6" t="s">
        <v>12823</v>
      </c>
      <c r="Q2886" s="6" t="s">
        <v>12824</v>
      </c>
      <c r="R2886" s="6" t="s">
        <v>12825</v>
      </c>
      <c r="S2886" s="5" t="s">
        <v>12550</v>
      </c>
      <c r="T2886" s="5" t="s">
        <v>12551</v>
      </c>
      <c r="U2886" s="5" t="s">
        <v>12552</v>
      </c>
      <c r="V2886" s="5" t="s">
        <v>12553</v>
      </c>
      <c r="AG2886" s="14" t="s">
        <v>55</v>
      </c>
      <c r="AH2886" s="14" t="s">
        <v>12554</v>
      </c>
      <c r="AI2886" s="14" t="s">
        <v>1408</v>
      </c>
      <c r="AJ2886" s="5" t="s">
        <v>12555</v>
      </c>
    </row>
    <row r="2887" spans="1:37">
      <c r="A2887" s="5" t="s">
        <v>12828</v>
      </c>
      <c r="B2887" s="5" t="s">
        <v>12816</v>
      </c>
      <c r="C2887" s="6" t="s">
        <v>43</v>
      </c>
      <c r="D2887" s="6" t="s">
        <v>850</v>
      </c>
      <c r="E2887" s="6" t="s">
        <v>12557</v>
      </c>
      <c r="F2887" s="6" t="s">
        <v>46</v>
      </c>
      <c r="G2887" s="6" t="s">
        <v>12829</v>
      </c>
      <c r="H2887" s="7">
        <v>10.75</v>
      </c>
      <c r="I2887" s="19" t="s">
        <v>1888</v>
      </c>
      <c r="J2887" s="19" t="s">
        <v>11334</v>
      </c>
      <c r="K2887" s="6" t="s">
        <v>12818</v>
      </c>
      <c r="L2887" s="6" t="s">
        <v>12819</v>
      </c>
      <c r="M2887" s="6" t="s">
        <v>12820</v>
      </c>
      <c r="N2887" s="6" t="s">
        <v>12821</v>
      </c>
      <c r="O2887" s="6" t="s">
        <v>12822</v>
      </c>
      <c r="P2887" s="6" t="s">
        <v>12823</v>
      </c>
      <c r="Q2887" s="6" t="s">
        <v>12824</v>
      </c>
      <c r="R2887" s="6" t="s">
        <v>12825</v>
      </c>
      <c r="S2887" s="5" t="s">
        <v>12550</v>
      </c>
      <c r="T2887" s="5" t="s">
        <v>12551</v>
      </c>
      <c r="U2887" s="5" t="s">
        <v>12552</v>
      </c>
      <c r="V2887" s="5" t="s">
        <v>12553</v>
      </c>
      <c r="AG2887" s="14" t="s">
        <v>55</v>
      </c>
      <c r="AH2887" s="14" t="s">
        <v>12554</v>
      </c>
      <c r="AI2887" s="14" t="s">
        <v>1408</v>
      </c>
      <c r="AJ2887" s="5" t="s">
        <v>12555</v>
      </c>
    </row>
    <row r="2888" spans="1:37">
      <c r="A2888" s="5" t="s">
        <v>12830</v>
      </c>
      <c r="B2888" s="5" t="s">
        <v>12831</v>
      </c>
      <c r="C2888" s="6" t="s">
        <v>43</v>
      </c>
      <c r="D2888" s="6" t="s">
        <v>850</v>
      </c>
      <c r="E2888" s="6" t="s">
        <v>2047</v>
      </c>
      <c r="F2888" s="6" t="s">
        <v>46</v>
      </c>
      <c r="G2888" s="6" t="s">
        <v>12832</v>
      </c>
      <c r="H2888" s="7">
        <v>12.8</v>
      </c>
      <c r="I2888" s="19" t="s">
        <v>1888</v>
      </c>
      <c r="J2888" s="19" t="s">
        <v>11334</v>
      </c>
      <c r="K2888" s="6" t="s">
        <v>12833</v>
      </c>
      <c r="L2888" s="6" t="s">
        <v>12834</v>
      </c>
      <c r="M2888" s="6" t="s">
        <v>12835</v>
      </c>
      <c r="N2888" s="6" t="s">
        <v>12836</v>
      </c>
      <c r="O2888" s="6" t="s">
        <v>12837</v>
      </c>
      <c r="P2888" s="6" t="s">
        <v>12838</v>
      </c>
      <c r="Q2888" s="6" t="s">
        <v>12839</v>
      </c>
      <c r="R2888" s="6" t="s">
        <v>12840</v>
      </c>
      <c r="S2888" s="5" t="s">
        <v>12550</v>
      </c>
      <c r="T2888" s="5" t="s">
        <v>12551</v>
      </c>
      <c r="U2888" s="5" t="s">
        <v>12552</v>
      </c>
      <c r="V2888" s="5" t="s">
        <v>12553</v>
      </c>
      <c r="AG2888" s="14" t="s">
        <v>55</v>
      </c>
      <c r="AH2888" s="14" t="s">
        <v>12554</v>
      </c>
      <c r="AI2888" s="14" t="s">
        <v>1408</v>
      </c>
      <c r="AJ2888" s="5" t="s">
        <v>12555</v>
      </c>
    </row>
    <row r="2889" spans="1:37">
      <c r="A2889" s="5" t="s">
        <v>12841</v>
      </c>
      <c r="B2889" s="5" t="s">
        <v>12831</v>
      </c>
      <c r="C2889" s="6" t="s">
        <v>43</v>
      </c>
      <c r="D2889" s="6" t="s">
        <v>850</v>
      </c>
      <c r="E2889" s="6" t="s">
        <v>12557</v>
      </c>
      <c r="F2889" s="6" t="s">
        <v>46</v>
      </c>
      <c r="G2889" s="6" t="s">
        <v>12842</v>
      </c>
      <c r="H2889" s="7">
        <v>12.8</v>
      </c>
      <c r="I2889" s="19" t="s">
        <v>1888</v>
      </c>
      <c r="J2889" s="19" t="s">
        <v>11334</v>
      </c>
      <c r="K2889" s="6" t="s">
        <v>12833</v>
      </c>
      <c r="L2889" s="6" t="s">
        <v>12834</v>
      </c>
      <c r="M2889" s="6" t="s">
        <v>12835</v>
      </c>
      <c r="N2889" s="6" t="s">
        <v>12836</v>
      </c>
      <c r="O2889" s="6" t="s">
        <v>12843</v>
      </c>
      <c r="P2889" s="6" t="s">
        <v>12844</v>
      </c>
      <c r="Q2889" s="6" t="s">
        <v>12845</v>
      </c>
      <c r="R2889" s="6" t="s">
        <v>12846</v>
      </c>
      <c r="S2889" s="5" t="s">
        <v>12550</v>
      </c>
      <c r="T2889" s="5" t="s">
        <v>12551</v>
      </c>
      <c r="U2889" s="5" t="s">
        <v>12552</v>
      </c>
      <c r="V2889" s="5" t="s">
        <v>12553</v>
      </c>
      <c r="AG2889" s="14" t="s">
        <v>55</v>
      </c>
      <c r="AH2889" s="14" t="s">
        <v>12554</v>
      </c>
      <c r="AI2889" s="14" t="s">
        <v>1408</v>
      </c>
      <c r="AJ2889" s="5" t="s">
        <v>12555</v>
      </c>
    </row>
    <row r="2890" spans="1:37">
      <c r="A2890" s="5" t="s">
        <v>12847</v>
      </c>
      <c r="B2890" s="5" t="s">
        <v>12848</v>
      </c>
      <c r="C2890" s="6" t="s">
        <v>43</v>
      </c>
      <c r="D2890" s="6" t="s">
        <v>850</v>
      </c>
      <c r="E2890" s="6" t="s">
        <v>218</v>
      </c>
      <c r="F2890" s="6" t="s">
        <v>46</v>
      </c>
      <c r="G2890" s="6" t="s">
        <v>12849</v>
      </c>
      <c r="H2890" s="7">
        <v>17.05</v>
      </c>
      <c r="I2890" s="19" t="s">
        <v>1888</v>
      </c>
      <c r="J2890" s="19" t="s">
        <v>11334</v>
      </c>
      <c r="K2890" s="6" t="s">
        <v>12850</v>
      </c>
      <c r="L2890" s="6" t="s">
        <v>12851</v>
      </c>
      <c r="M2890" s="6" t="s">
        <v>12852</v>
      </c>
      <c r="N2890" s="6" t="s">
        <v>12853</v>
      </c>
      <c r="O2890" s="6" t="s">
        <v>12854</v>
      </c>
      <c r="P2890" s="6" t="s">
        <v>12855</v>
      </c>
      <c r="Q2890" s="6" t="s">
        <v>12856</v>
      </c>
      <c r="R2890" s="6" t="s">
        <v>12857</v>
      </c>
      <c r="S2890" s="5" t="s">
        <v>12550</v>
      </c>
      <c r="T2890" s="5" t="s">
        <v>12551</v>
      </c>
      <c r="U2890" s="5" t="s">
        <v>12552</v>
      </c>
      <c r="V2890" s="5" t="s">
        <v>12553</v>
      </c>
      <c r="AG2890" s="14" t="s">
        <v>49</v>
      </c>
      <c r="AH2890" s="14" t="s">
        <v>12554</v>
      </c>
      <c r="AI2890" s="14" t="s">
        <v>1408</v>
      </c>
      <c r="AJ2890" s="5" t="s">
        <v>12555</v>
      </c>
    </row>
    <row r="2891" spans="1:37">
      <c r="A2891" s="5" t="s">
        <v>12858</v>
      </c>
      <c r="B2891" s="5" t="s">
        <v>12848</v>
      </c>
      <c r="C2891" s="6" t="s">
        <v>43</v>
      </c>
      <c r="D2891" s="6" t="s">
        <v>850</v>
      </c>
      <c r="E2891" s="6" t="s">
        <v>2047</v>
      </c>
      <c r="F2891" s="6" t="s">
        <v>46</v>
      </c>
      <c r="G2891" s="6" t="s">
        <v>12859</v>
      </c>
      <c r="H2891" s="7">
        <v>17.05</v>
      </c>
      <c r="I2891" s="19" t="s">
        <v>1888</v>
      </c>
      <c r="J2891" s="19" t="s">
        <v>11334</v>
      </c>
      <c r="K2891" s="6" t="s">
        <v>12850</v>
      </c>
      <c r="L2891" s="6" t="s">
        <v>12851</v>
      </c>
      <c r="M2891" s="6" t="s">
        <v>12852</v>
      </c>
      <c r="N2891" s="6" t="s">
        <v>12853</v>
      </c>
      <c r="O2891" s="6" t="s">
        <v>12854</v>
      </c>
      <c r="P2891" s="6" t="s">
        <v>12855</v>
      </c>
      <c r="Q2891" s="6" t="s">
        <v>12856</v>
      </c>
      <c r="R2891" s="6" t="s">
        <v>12857</v>
      </c>
      <c r="S2891" s="5" t="s">
        <v>12550</v>
      </c>
      <c r="T2891" s="5" t="s">
        <v>12551</v>
      </c>
      <c r="U2891" s="5" t="s">
        <v>12552</v>
      </c>
      <c r="V2891" s="5" t="s">
        <v>12553</v>
      </c>
      <c r="AG2891" s="14" t="s">
        <v>55</v>
      </c>
      <c r="AH2891" s="14" t="s">
        <v>12554</v>
      </c>
      <c r="AI2891" s="14" t="s">
        <v>1408</v>
      </c>
      <c r="AJ2891" s="5" t="s">
        <v>12555</v>
      </c>
    </row>
    <row r="2892" spans="1:37">
      <c r="A2892" s="5" t="s">
        <v>12860</v>
      </c>
      <c r="B2892" s="5" t="s">
        <v>12848</v>
      </c>
      <c r="C2892" s="6" t="s">
        <v>43</v>
      </c>
      <c r="D2892" s="6" t="s">
        <v>850</v>
      </c>
      <c r="E2892" s="6" t="s">
        <v>12557</v>
      </c>
      <c r="F2892" s="6" t="s">
        <v>46</v>
      </c>
      <c r="G2892" s="6" t="s">
        <v>6714</v>
      </c>
      <c r="H2892" s="7">
        <v>17.05</v>
      </c>
      <c r="I2892" s="19" t="s">
        <v>1888</v>
      </c>
      <c r="J2892" s="19" t="s">
        <v>11334</v>
      </c>
      <c r="K2892" s="6" t="s">
        <v>12850</v>
      </c>
      <c r="L2892" s="6" t="s">
        <v>12851</v>
      </c>
      <c r="M2892" s="6" t="s">
        <v>12852</v>
      </c>
      <c r="N2892" s="6" t="s">
        <v>12853</v>
      </c>
      <c r="O2892" s="6" t="s">
        <v>12854</v>
      </c>
      <c r="P2892" s="6" t="s">
        <v>12855</v>
      </c>
      <c r="Q2892" s="6" t="s">
        <v>12856</v>
      </c>
      <c r="R2892" s="6" t="s">
        <v>12857</v>
      </c>
      <c r="S2892" s="5" t="s">
        <v>12550</v>
      </c>
      <c r="T2892" s="5" t="s">
        <v>12551</v>
      </c>
      <c r="U2892" s="5" t="s">
        <v>12552</v>
      </c>
      <c r="V2892" s="5" t="s">
        <v>12553</v>
      </c>
      <c r="AG2892" s="14" t="s">
        <v>55</v>
      </c>
      <c r="AH2892" s="14" t="s">
        <v>12554</v>
      </c>
      <c r="AI2892" s="14" t="s">
        <v>1408</v>
      </c>
      <c r="AJ2892" s="5" t="s">
        <v>12555</v>
      </c>
    </row>
    <row r="2893" spans="1:37">
      <c r="A2893" s="6" t="s">
        <v>12861</v>
      </c>
      <c r="B2893" s="6" t="s">
        <v>12862</v>
      </c>
      <c r="C2893" s="6" t="s">
        <v>43</v>
      </c>
      <c r="D2893" s="6" t="s">
        <v>850</v>
      </c>
      <c r="E2893" s="6" t="s">
        <v>2047</v>
      </c>
      <c r="F2893" s="6" t="s">
        <v>46</v>
      </c>
      <c r="G2893" s="6" t="s">
        <v>12863</v>
      </c>
      <c r="I2893" s="5" t="s">
        <v>48</v>
      </c>
      <c r="J2893" s="5" t="s">
        <v>48</v>
      </c>
      <c r="K2893" s="6"/>
      <c r="L2893" s="6"/>
      <c r="M2893" s="6"/>
      <c r="N2893" s="6"/>
      <c r="O2893" s="6"/>
      <c r="P2893" s="6"/>
      <c r="Q2893" s="6"/>
      <c r="R2893" s="6"/>
      <c r="S2893" s="6"/>
      <c r="T2893" s="6"/>
      <c r="U2893" s="6"/>
      <c r="V2893" s="6"/>
      <c r="W2893" s="6"/>
      <c r="X2893" s="6"/>
      <c r="Y2893" s="6"/>
      <c r="Z2893" s="6"/>
      <c r="AA2893" s="6"/>
      <c r="AB2893" s="6"/>
      <c r="AC2893" s="6"/>
      <c r="AD2893" s="6"/>
      <c r="AE2893" s="6"/>
      <c r="AF2893" s="6"/>
      <c r="AG2893" s="15" t="s">
        <v>55</v>
      </c>
      <c r="AH2893" s="15"/>
      <c r="AI2893" s="15"/>
      <c r="AJ2893" s="6"/>
      <c r="AK2893" s="6"/>
    </row>
    <row r="2894" spans="1:37" s="6" customFormat="1">
      <c r="A2894" s="6" t="s">
        <v>12864</v>
      </c>
      <c r="B2894" s="6" t="s">
        <v>12865</v>
      </c>
      <c r="C2894" s="6" t="s">
        <v>43</v>
      </c>
      <c r="D2894" s="6" t="s">
        <v>44</v>
      </c>
      <c r="E2894" s="6" t="s">
        <v>218</v>
      </c>
      <c r="F2894" s="6" t="s">
        <v>46</v>
      </c>
      <c r="G2894" s="6" t="s">
        <v>12866</v>
      </c>
      <c r="H2894" s="7"/>
      <c r="I2894" s="6" t="s">
        <v>48</v>
      </c>
      <c r="J2894" s="6" t="s">
        <v>48</v>
      </c>
      <c r="AG2894" s="15" t="s">
        <v>55</v>
      </c>
      <c r="AH2894" s="15"/>
      <c r="AI2894" s="15"/>
    </row>
    <row r="2895" spans="1:37" s="6" customFormat="1">
      <c r="A2895" s="6" t="s">
        <v>12867</v>
      </c>
      <c r="B2895" s="6" t="s">
        <v>12868</v>
      </c>
      <c r="C2895" s="6" t="s">
        <v>43</v>
      </c>
      <c r="D2895" s="6" t="s">
        <v>52</v>
      </c>
      <c r="E2895" s="6" t="s">
        <v>1817</v>
      </c>
      <c r="F2895" s="6" t="s">
        <v>46</v>
      </c>
      <c r="G2895" s="6" t="s">
        <v>12869</v>
      </c>
      <c r="H2895" s="7"/>
      <c r="I2895" s="5" t="s">
        <v>48</v>
      </c>
      <c r="J2895" s="19" t="s">
        <v>48</v>
      </c>
      <c r="AG2895" s="15" t="s">
        <v>55</v>
      </c>
      <c r="AH2895" s="15"/>
      <c r="AI2895" s="15"/>
    </row>
    <row r="2896" spans="1:37" s="6" customFormat="1">
      <c r="A2896" s="6" t="s">
        <v>12870</v>
      </c>
      <c r="B2896" s="6" t="s">
        <v>12871</v>
      </c>
      <c r="C2896" s="6" t="s">
        <v>43</v>
      </c>
      <c r="D2896" s="6" t="s">
        <v>52</v>
      </c>
      <c r="E2896" s="6" t="s">
        <v>1817</v>
      </c>
      <c r="F2896" s="6" t="s">
        <v>46</v>
      </c>
      <c r="G2896" s="6" t="s">
        <v>12872</v>
      </c>
      <c r="H2896" s="7"/>
      <c r="I2896" s="5" t="s">
        <v>48</v>
      </c>
      <c r="J2896" s="19" t="s">
        <v>48</v>
      </c>
      <c r="AG2896" s="15" t="s">
        <v>55</v>
      </c>
      <c r="AH2896" s="15"/>
      <c r="AI2896" s="15"/>
    </row>
    <row r="2897" spans="1:37" s="6" customFormat="1">
      <c r="A2897" s="6" t="s">
        <v>12873</v>
      </c>
      <c r="B2897" s="6" t="s">
        <v>1816</v>
      </c>
      <c r="C2897" s="6" t="s">
        <v>43</v>
      </c>
      <c r="D2897" s="6" t="s">
        <v>52</v>
      </c>
      <c r="E2897" s="6" t="s">
        <v>1817</v>
      </c>
      <c r="F2897" s="6" t="s">
        <v>46</v>
      </c>
      <c r="G2897" s="6" t="s">
        <v>2588</v>
      </c>
      <c r="H2897" s="7"/>
      <c r="I2897" s="5" t="s">
        <v>48</v>
      </c>
      <c r="J2897" s="19" t="s">
        <v>48</v>
      </c>
      <c r="AG2897" s="15" t="s">
        <v>55</v>
      </c>
      <c r="AH2897" s="15"/>
      <c r="AI2897" s="15"/>
    </row>
    <row r="2898" spans="1:37" s="6" customFormat="1">
      <c r="A2898" s="5" t="s">
        <v>12874</v>
      </c>
      <c r="B2898" s="5" t="s">
        <v>12875</v>
      </c>
      <c r="C2898" s="6" t="s">
        <v>43</v>
      </c>
      <c r="D2898" s="6" t="s">
        <v>52</v>
      </c>
      <c r="E2898" s="6" t="s">
        <v>1817</v>
      </c>
      <c r="F2898" s="6" t="s">
        <v>46</v>
      </c>
      <c r="G2898" s="6" t="s">
        <v>12876</v>
      </c>
      <c r="H2898" s="18">
        <v>48.5</v>
      </c>
      <c r="I2898" s="19" t="s">
        <v>1393</v>
      </c>
      <c r="J2898" s="19" t="s">
        <v>9687</v>
      </c>
      <c r="K2898" s="5" t="s">
        <v>12877</v>
      </c>
      <c r="L2898" s="5" t="s">
        <v>12878</v>
      </c>
      <c r="M2898" s="5" t="s">
        <v>12879</v>
      </c>
      <c r="N2898" s="5" t="s">
        <v>12880</v>
      </c>
      <c r="O2898" s="5"/>
      <c r="P2898" s="5"/>
      <c r="Q2898" s="5"/>
      <c r="R2898" s="5"/>
      <c r="S2898" s="5"/>
      <c r="T2898" s="5"/>
      <c r="U2898" s="5"/>
      <c r="V2898" s="5"/>
      <c r="W2898" s="5"/>
      <c r="X2898" s="5"/>
      <c r="Y2898" s="5"/>
      <c r="Z2898" s="5"/>
      <c r="AA2898" s="5" t="s">
        <v>9692</v>
      </c>
      <c r="AB2898" s="5" t="s">
        <v>9693</v>
      </c>
      <c r="AC2898" s="5" t="s">
        <v>9694</v>
      </c>
      <c r="AD2898" s="5" t="s">
        <v>9695</v>
      </c>
      <c r="AE2898" s="5"/>
      <c r="AF2898" s="5"/>
      <c r="AG2898" s="14" t="s">
        <v>49</v>
      </c>
      <c r="AH2898" s="14" t="s">
        <v>1408</v>
      </c>
      <c r="AI2898" s="14" t="s">
        <v>1103</v>
      </c>
      <c r="AJ2898" s="5" t="s">
        <v>9696</v>
      </c>
      <c r="AK2898" s="5"/>
    </row>
    <row r="2899" spans="1:37">
      <c r="A2899" s="6" t="s">
        <v>12881</v>
      </c>
      <c r="B2899" s="6" t="s">
        <v>12882</v>
      </c>
      <c r="C2899" s="6" t="s">
        <v>43</v>
      </c>
      <c r="D2899" s="6" t="s">
        <v>52</v>
      </c>
      <c r="E2899" s="6" t="s">
        <v>1817</v>
      </c>
      <c r="F2899" s="6" t="s">
        <v>46</v>
      </c>
      <c r="G2899" s="6" t="s">
        <v>12883</v>
      </c>
      <c r="I2899" s="5" t="s">
        <v>48</v>
      </c>
      <c r="J2899" s="19" t="s">
        <v>48</v>
      </c>
      <c r="K2899" s="6"/>
      <c r="L2899" s="6"/>
      <c r="M2899" s="6"/>
      <c r="N2899" s="6"/>
      <c r="O2899" s="6"/>
      <c r="P2899" s="6"/>
      <c r="Q2899" s="6"/>
      <c r="R2899" s="6"/>
      <c r="S2899" s="6"/>
      <c r="T2899" s="6"/>
      <c r="U2899" s="6"/>
      <c r="V2899" s="6"/>
      <c r="W2899" s="6"/>
      <c r="X2899" s="6"/>
      <c r="Y2899" s="6"/>
      <c r="Z2899" s="6"/>
      <c r="AA2899" s="6"/>
      <c r="AB2899" s="6"/>
      <c r="AC2899" s="6"/>
      <c r="AD2899" s="6"/>
      <c r="AE2899" s="6"/>
      <c r="AF2899" s="6"/>
      <c r="AG2899" s="15" t="s">
        <v>55</v>
      </c>
      <c r="AH2899" s="15"/>
      <c r="AI2899" s="15"/>
      <c r="AJ2899" s="6"/>
      <c r="AK2899" s="6"/>
    </row>
    <row r="2900" spans="1:37" s="6" customFormat="1">
      <c r="A2900" s="6" t="s">
        <v>12884</v>
      </c>
      <c r="B2900" s="6" t="s">
        <v>12885</v>
      </c>
      <c r="C2900" s="6" t="s">
        <v>43</v>
      </c>
      <c r="D2900" s="6" t="s">
        <v>52</v>
      </c>
      <c r="E2900" s="6" t="s">
        <v>1817</v>
      </c>
      <c r="F2900" s="6" t="s">
        <v>46</v>
      </c>
      <c r="G2900" s="6" t="s">
        <v>12886</v>
      </c>
      <c r="H2900" s="7"/>
      <c r="I2900" s="5" t="s">
        <v>48</v>
      </c>
      <c r="J2900" s="19" t="s">
        <v>48</v>
      </c>
      <c r="AG2900" s="15" t="s">
        <v>55</v>
      </c>
      <c r="AH2900" s="15"/>
      <c r="AI2900" s="15"/>
    </row>
    <row r="2901" spans="1:37" s="6" customFormat="1">
      <c r="A2901" s="6" t="s">
        <v>12887</v>
      </c>
      <c r="B2901" s="6" t="s">
        <v>12888</v>
      </c>
      <c r="C2901" s="6" t="s">
        <v>43</v>
      </c>
      <c r="D2901" s="6" t="s">
        <v>1645</v>
      </c>
      <c r="E2901" s="6" t="s">
        <v>12889</v>
      </c>
      <c r="F2901" s="6" t="s">
        <v>46</v>
      </c>
      <c r="G2901" s="6" t="s">
        <v>12890</v>
      </c>
      <c r="H2901" s="7"/>
      <c r="I2901" s="19" t="s">
        <v>48</v>
      </c>
      <c r="J2901" s="19" t="s">
        <v>48</v>
      </c>
      <c r="AG2901" s="15" t="s">
        <v>55</v>
      </c>
      <c r="AH2901" s="15"/>
      <c r="AI2901" s="15"/>
    </row>
    <row r="2902" spans="1:37" s="6" customFormat="1">
      <c r="A2902" s="6" t="s">
        <v>12891</v>
      </c>
      <c r="B2902" s="6" t="s">
        <v>12892</v>
      </c>
      <c r="C2902" s="6" t="s">
        <v>12359</v>
      </c>
      <c r="D2902" s="6" t="s">
        <v>861</v>
      </c>
      <c r="E2902" s="6" t="s">
        <v>9920</v>
      </c>
      <c r="F2902" s="6" t="s">
        <v>46</v>
      </c>
      <c r="G2902" s="6" t="s">
        <v>7507</v>
      </c>
      <c r="H2902" s="7"/>
      <c r="I2902" s="5" t="s">
        <v>48</v>
      </c>
      <c r="J2902" s="5" t="s">
        <v>48</v>
      </c>
      <c r="AG2902" s="15" t="s">
        <v>55</v>
      </c>
      <c r="AH2902" s="15"/>
      <c r="AI2902" s="15"/>
    </row>
    <row r="2903" spans="1:37" s="6" customFormat="1">
      <c r="A2903" s="5" t="s">
        <v>12893</v>
      </c>
      <c r="B2903" s="5" t="s">
        <v>12894</v>
      </c>
      <c r="C2903" s="6" t="s">
        <v>12895</v>
      </c>
      <c r="D2903" s="6" t="s">
        <v>861</v>
      </c>
      <c r="E2903" s="6" t="s">
        <v>218</v>
      </c>
      <c r="F2903" s="6" t="s">
        <v>46</v>
      </c>
      <c r="G2903" s="6" t="s">
        <v>12896</v>
      </c>
      <c r="H2903" s="7">
        <v>27.5</v>
      </c>
      <c r="I2903" s="19" t="s">
        <v>1983</v>
      </c>
      <c r="J2903" s="19" t="s">
        <v>12897</v>
      </c>
      <c r="K2903" s="5"/>
      <c r="L2903" s="5"/>
      <c r="M2903" s="5"/>
      <c r="N2903" s="5"/>
      <c r="O2903" s="5"/>
      <c r="P2903" s="5"/>
      <c r="Q2903" s="5"/>
      <c r="R2903" s="5"/>
      <c r="S2903" s="5"/>
      <c r="T2903" s="5"/>
      <c r="U2903" s="5"/>
      <c r="V2903" s="5"/>
      <c r="W2903" s="5"/>
      <c r="X2903" s="5"/>
      <c r="Y2903" s="5"/>
      <c r="Z2903" s="5"/>
      <c r="AA2903" s="5"/>
      <c r="AB2903" s="5"/>
      <c r="AC2903" s="5"/>
      <c r="AD2903" s="5"/>
      <c r="AE2903" s="5"/>
      <c r="AF2903" s="5"/>
      <c r="AG2903" s="14" t="s">
        <v>49</v>
      </c>
      <c r="AH2903" s="14" t="s">
        <v>149</v>
      </c>
      <c r="AI2903" s="14" t="s">
        <v>12898</v>
      </c>
      <c r="AJ2903" s="5" t="s">
        <v>12899</v>
      </c>
      <c r="AK2903" s="5"/>
    </row>
    <row r="2904" spans="1:37">
      <c r="A2904" s="5" t="s">
        <v>12900</v>
      </c>
      <c r="B2904" s="5" t="s">
        <v>12894</v>
      </c>
      <c r="C2904" s="6" t="s">
        <v>12895</v>
      </c>
      <c r="D2904" s="6" t="s">
        <v>861</v>
      </c>
      <c r="E2904" s="6" t="s">
        <v>12901</v>
      </c>
      <c r="F2904" s="6" t="s">
        <v>46</v>
      </c>
      <c r="G2904" s="6" t="s">
        <v>8510</v>
      </c>
      <c r="H2904" s="7">
        <v>27.5</v>
      </c>
      <c r="I2904" s="19" t="s">
        <v>1983</v>
      </c>
      <c r="J2904" s="19" t="s">
        <v>12897</v>
      </c>
      <c r="R2904" s="5"/>
      <c r="AG2904" s="14" t="s">
        <v>55</v>
      </c>
      <c r="AH2904" s="14" t="s">
        <v>149</v>
      </c>
      <c r="AI2904" s="14" t="s">
        <v>1603</v>
      </c>
      <c r="AJ2904" s="5" t="s">
        <v>12902</v>
      </c>
    </row>
    <row r="2905" spans="1:37">
      <c r="A2905" s="6" t="s">
        <v>12903</v>
      </c>
      <c r="B2905" s="6" t="s">
        <v>12904</v>
      </c>
      <c r="C2905" s="6" t="s">
        <v>43</v>
      </c>
      <c r="D2905" s="6" t="s">
        <v>52</v>
      </c>
      <c r="E2905" s="6" t="s">
        <v>12905</v>
      </c>
      <c r="F2905" s="6" t="s">
        <v>46</v>
      </c>
      <c r="G2905" s="6" t="s">
        <v>43</v>
      </c>
      <c r="I2905" s="16" t="s">
        <v>48</v>
      </c>
      <c r="J2905" s="16" t="s">
        <v>48</v>
      </c>
      <c r="K2905" s="6"/>
      <c r="L2905" s="6"/>
      <c r="M2905" s="6"/>
      <c r="N2905" s="6"/>
      <c r="O2905" s="6"/>
      <c r="P2905" s="6"/>
      <c r="Q2905" s="6"/>
      <c r="R2905" s="6"/>
      <c r="S2905" s="6"/>
      <c r="T2905" s="6"/>
      <c r="U2905" s="6"/>
      <c r="V2905" s="6"/>
      <c r="W2905" s="6"/>
      <c r="X2905" s="6"/>
      <c r="Y2905" s="6"/>
      <c r="Z2905" s="6"/>
      <c r="AA2905" s="6"/>
      <c r="AB2905" s="6"/>
      <c r="AC2905" s="6"/>
      <c r="AD2905" s="6"/>
      <c r="AE2905" s="6"/>
      <c r="AF2905" s="6"/>
      <c r="AG2905" s="15" t="s">
        <v>55</v>
      </c>
      <c r="AH2905" s="15"/>
      <c r="AI2905" s="15"/>
      <c r="AJ2905" s="6"/>
      <c r="AK2905" s="6"/>
    </row>
    <row r="2906" spans="1:37" s="6" customFormat="1">
      <c r="A2906" s="6" t="s">
        <v>12906</v>
      </c>
      <c r="B2906" s="6" t="s">
        <v>12907</v>
      </c>
      <c r="C2906" s="6" t="s">
        <v>43</v>
      </c>
      <c r="D2906" s="6" t="s">
        <v>52</v>
      </c>
      <c r="E2906" s="6" t="s">
        <v>12905</v>
      </c>
      <c r="F2906" s="6" t="s">
        <v>46</v>
      </c>
      <c r="G2906" s="6" t="s">
        <v>43</v>
      </c>
      <c r="H2906" s="7"/>
      <c r="I2906" s="16" t="s">
        <v>48</v>
      </c>
      <c r="J2906" s="16" t="s">
        <v>48</v>
      </c>
      <c r="AG2906" s="15" t="s">
        <v>55</v>
      </c>
      <c r="AH2906" s="15"/>
      <c r="AI2906" s="15"/>
    </row>
    <row r="2907" spans="1:37" s="6" customFormat="1">
      <c r="A2907" s="6" t="s">
        <v>12908</v>
      </c>
      <c r="B2907" s="6" t="s">
        <v>12909</v>
      </c>
      <c r="C2907" s="6" t="s">
        <v>43</v>
      </c>
      <c r="D2907" s="6" t="s">
        <v>52</v>
      </c>
      <c r="E2907" s="6" t="s">
        <v>12905</v>
      </c>
      <c r="F2907" s="6" t="s">
        <v>46</v>
      </c>
      <c r="G2907" s="6" t="s">
        <v>43</v>
      </c>
      <c r="H2907" s="7"/>
      <c r="I2907" s="16" t="s">
        <v>48</v>
      </c>
      <c r="J2907" s="16" t="s">
        <v>48</v>
      </c>
      <c r="AG2907" s="15" t="s">
        <v>55</v>
      </c>
      <c r="AH2907" s="15"/>
      <c r="AI2907" s="15"/>
    </row>
    <row r="2908" spans="1:37" s="6" customFormat="1">
      <c r="A2908" s="6" t="s">
        <v>12910</v>
      </c>
      <c r="B2908" s="6" t="s">
        <v>12911</v>
      </c>
      <c r="C2908" s="6" t="s">
        <v>43</v>
      </c>
      <c r="D2908" s="6" t="s">
        <v>52</v>
      </c>
      <c r="E2908" s="6" t="s">
        <v>12905</v>
      </c>
      <c r="F2908" s="6" t="s">
        <v>46</v>
      </c>
      <c r="G2908" s="6" t="s">
        <v>12912</v>
      </c>
      <c r="H2908" s="7"/>
      <c r="I2908" s="16" t="s">
        <v>48</v>
      </c>
      <c r="J2908" s="16" t="s">
        <v>48</v>
      </c>
      <c r="AG2908" s="15" t="s">
        <v>55</v>
      </c>
      <c r="AH2908" s="15"/>
      <c r="AI2908" s="15"/>
    </row>
    <row r="2909" spans="1:37" s="6" customFormat="1">
      <c r="A2909" s="6" t="s">
        <v>12913</v>
      </c>
      <c r="B2909" s="6" t="s">
        <v>12914</v>
      </c>
      <c r="C2909" s="6" t="s">
        <v>43</v>
      </c>
      <c r="D2909" s="6" t="s">
        <v>52</v>
      </c>
      <c r="E2909" s="6" t="s">
        <v>12905</v>
      </c>
      <c r="F2909" s="6" t="s">
        <v>46</v>
      </c>
      <c r="G2909" s="6" t="s">
        <v>43</v>
      </c>
      <c r="H2909" s="7"/>
      <c r="I2909" s="16" t="s">
        <v>48</v>
      </c>
      <c r="J2909" s="16" t="s">
        <v>48</v>
      </c>
      <c r="AG2909" s="15" t="s">
        <v>55</v>
      </c>
      <c r="AH2909" s="15"/>
      <c r="AI2909" s="15"/>
    </row>
    <row r="2910" spans="1:37" s="6" customFormat="1">
      <c r="A2910" s="6" t="s">
        <v>12915</v>
      </c>
      <c r="B2910" s="6" t="s">
        <v>12916</v>
      </c>
      <c r="C2910" s="6" t="s">
        <v>43</v>
      </c>
      <c r="D2910" s="6" t="s">
        <v>52</v>
      </c>
      <c r="E2910" s="6" t="s">
        <v>12905</v>
      </c>
      <c r="F2910" s="6" t="s">
        <v>46</v>
      </c>
      <c r="G2910" s="6" t="s">
        <v>43</v>
      </c>
      <c r="H2910" s="7"/>
      <c r="I2910" s="16" t="s">
        <v>48</v>
      </c>
      <c r="J2910" s="16" t="s">
        <v>48</v>
      </c>
      <c r="AG2910" s="15" t="s">
        <v>55</v>
      </c>
      <c r="AH2910" s="15"/>
      <c r="AI2910" s="15"/>
    </row>
    <row r="2911" spans="1:37" s="6" customFormat="1">
      <c r="A2911" s="6" t="s">
        <v>12917</v>
      </c>
      <c r="B2911" s="6" t="s">
        <v>12918</v>
      </c>
      <c r="C2911" s="6" t="s">
        <v>43</v>
      </c>
      <c r="D2911" s="6" t="s">
        <v>52</v>
      </c>
      <c r="E2911" s="6" t="s">
        <v>12905</v>
      </c>
      <c r="F2911" s="6" t="s">
        <v>46</v>
      </c>
      <c r="G2911" s="6" t="s">
        <v>43</v>
      </c>
      <c r="H2911" s="7"/>
      <c r="I2911" s="16" t="s">
        <v>48</v>
      </c>
      <c r="J2911" s="16" t="s">
        <v>48</v>
      </c>
      <c r="AG2911" s="15" t="s">
        <v>55</v>
      </c>
      <c r="AH2911" s="15"/>
      <c r="AI2911" s="15"/>
    </row>
    <row r="2912" spans="1:37" s="6" customFormat="1">
      <c r="A2912" s="6" t="s">
        <v>12919</v>
      </c>
      <c r="B2912" s="6" t="s">
        <v>12920</v>
      </c>
      <c r="C2912" s="6" t="s">
        <v>43</v>
      </c>
      <c r="D2912" s="6" t="s">
        <v>52</v>
      </c>
      <c r="E2912" s="6" t="s">
        <v>12905</v>
      </c>
      <c r="F2912" s="6" t="s">
        <v>46</v>
      </c>
      <c r="G2912" s="6" t="s">
        <v>43</v>
      </c>
      <c r="H2912" s="7"/>
      <c r="I2912" s="16" t="s">
        <v>48</v>
      </c>
      <c r="J2912" s="16" t="s">
        <v>48</v>
      </c>
      <c r="AG2912" s="15" t="s">
        <v>55</v>
      </c>
      <c r="AH2912" s="15"/>
      <c r="AI2912" s="15"/>
    </row>
    <row r="2913" spans="1:35" s="6" customFormat="1">
      <c r="A2913" s="6" t="s">
        <v>12921</v>
      </c>
      <c r="B2913" s="6" t="s">
        <v>12922</v>
      </c>
      <c r="C2913" s="6" t="s">
        <v>43</v>
      </c>
      <c r="D2913" s="6" t="s">
        <v>52</v>
      </c>
      <c r="E2913" s="6" t="s">
        <v>12905</v>
      </c>
      <c r="F2913" s="6" t="s">
        <v>46</v>
      </c>
      <c r="G2913" s="6" t="s">
        <v>12923</v>
      </c>
      <c r="H2913" s="7"/>
      <c r="I2913" s="16" t="s">
        <v>48</v>
      </c>
      <c r="J2913" s="16" t="s">
        <v>48</v>
      </c>
      <c r="AG2913" s="15" t="s">
        <v>55</v>
      </c>
      <c r="AH2913" s="15"/>
      <c r="AI2913" s="15"/>
    </row>
    <row r="2914" spans="1:35" s="6" customFormat="1">
      <c r="A2914" s="6" t="s">
        <v>12924</v>
      </c>
      <c r="B2914" s="6" t="s">
        <v>12925</v>
      </c>
      <c r="C2914" s="6" t="s">
        <v>43</v>
      </c>
      <c r="D2914" s="6" t="s">
        <v>52</v>
      </c>
      <c r="E2914" s="6" t="s">
        <v>12905</v>
      </c>
      <c r="F2914" s="6" t="s">
        <v>46</v>
      </c>
      <c r="G2914" s="6" t="s">
        <v>43</v>
      </c>
      <c r="H2914" s="7"/>
      <c r="I2914" s="16" t="s">
        <v>48</v>
      </c>
      <c r="J2914" s="16" t="s">
        <v>48</v>
      </c>
      <c r="AG2914" s="15" t="s">
        <v>55</v>
      </c>
      <c r="AH2914" s="15"/>
      <c r="AI2914" s="15"/>
    </row>
    <row r="2915" spans="1:35" s="6" customFormat="1">
      <c r="A2915" s="6" t="s">
        <v>12926</v>
      </c>
      <c r="B2915" s="6" t="s">
        <v>12927</v>
      </c>
      <c r="C2915" s="6" t="s">
        <v>43</v>
      </c>
      <c r="D2915" s="6" t="s">
        <v>52</v>
      </c>
      <c r="E2915" s="6" t="s">
        <v>12905</v>
      </c>
      <c r="F2915" s="6" t="s">
        <v>46</v>
      </c>
      <c r="G2915" s="6" t="s">
        <v>12912</v>
      </c>
      <c r="H2915" s="7"/>
      <c r="I2915" s="16" t="s">
        <v>48</v>
      </c>
      <c r="J2915" s="16" t="s">
        <v>48</v>
      </c>
      <c r="AG2915" s="15" t="s">
        <v>55</v>
      </c>
      <c r="AH2915" s="15"/>
      <c r="AI2915" s="15"/>
    </row>
    <row r="2916" spans="1:35" s="6" customFormat="1">
      <c r="A2916" s="6" t="s">
        <v>12928</v>
      </c>
      <c r="B2916" s="6" t="s">
        <v>12929</v>
      </c>
      <c r="C2916" s="6" t="s">
        <v>43</v>
      </c>
      <c r="D2916" s="6" t="s">
        <v>52</v>
      </c>
      <c r="E2916" s="6" t="s">
        <v>12905</v>
      </c>
      <c r="F2916" s="6" t="s">
        <v>46</v>
      </c>
      <c r="G2916" s="6" t="s">
        <v>43</v>
      </c>
      <c r="H2916" s="7"/>
      <c r="I2916" s="16" t="s">
        <v>48</v>
      </c>
      <c r="J2916" s="16" t="s">
        <v>48</v>
      </c>
      <c r="AG2916" s="15" t="s">
        <v>55</v>
      </c>
      <c r="AH2916" s="15"/>
      <c r="AI2916" s="15"/>
    </row>
    <row r="2917" spans="1:35" s="6" customFormat="1">
      <c r="A2917" s="6" t="s">
        <v>12930</v>
      </c>
      <c r="B2917" s="6" t="s">
        <v>12931</v>
      </c>
      <c r="C2917" s="6" t="s">
        <v>43</v>
      </c>
      <c r="D2917" s="6" t="s">
        <v>52</v>
      </c>
      <c r="E2917" s="6" t="s">
        <v>12905</v>
      </c>
      <c r="F2917" s="6" t="s">
        <v>46</v>
      </c>
      <c r="G2917" s="6" t="s">
        <v>43</v>
      </c>
      <c r="H2917" s="7"/>
      <c r="I2917" s="16" t="s">
        <v>48</v>
      </c>
      <c r="J2917" s="16" t="s">
        <v>48</v>
      </c>
      <c r="AG2917" s="15" t="s">
        <v>55</v>
      </c>
      <c r="AH2917" s="15"/>
      <c r="AI2917" s="15"/>
    </row>
    <row r="2918" spans="1:35" s="6" customFormat="1">
      <c r="A2918" s="6" t="s">
        <v>12932</v>
      </c>
      <c r="B2918" s="6" t="s">
        <v>12933</v>
      </c>
      <c r="C2918" s="6" t="s">
        <v>43</v>
      </c>
      <c r="D2918" s="6" t="s">
        <v>52</v>
      </c>
      <c r="E2918" s="6" t="s">
        <v>12905</v>
      </c>
      <c r="F2918" s="6" t="s">
        <v>46</v>
      </c>
      <c r="G2918" s="6" t="s">
        <v>43</v>
      </c>
      <c r="H2918" s="7"/>
      <c r="I2918" s="16" t="s">
        <v>48</v>
      </c>
      <c r="J2918" s="16" t="s">
        <v>48</v>
      </c>
      <c r="AG2918" s="15" t="s">
        <v>55</v>
      </c>
      <c r="AH2918" s="15"/>
      <c r="AI2918" s="15"/>
    </row>
    <row r="2919" spans="1:35" s="6" customFormat="1">
      <c r="A2919" s="6" t="s">
        <v>12934</v>
      </c>
      <c r="B2919" s="6" t="s">
        <v>12935</v>
      </c>
      <c r="C2919" s="6" t="s">
        <v>43</v>
      </c>
      <c r="D2919" s="6" t="s">
        <v>52</v>
      </c>
      <c r="E2919" s="6" t="s">
        <v>12905</v>
      </c>
      <c r="F2919" s="6" t="s">
        <v>46</v>
      </c>
      <c r="G2919" s="6" t="s">
        <v>43</v>
      </c>
      <c r="H2919" s="7"/>
      <c r="I2919" s="16" t="s">
        <v>48</v>
      </c>
      <c r="J2919" s="16" t="s">
        <v>48</v>
      </c>
      <c r="AG2919" s="15" t="s">
        <v>55</v>
      </c>
      <c r="AH2919" s="15"/>
      <c r="AI2919" s="15"/>
    </row>
    <row r="2920" spans="1:35" s="6" customFormat="1">
      <c r="A2920" s="6" t="s">
        <v>12936</v>
      </c>
      <c r="B2920" s="6" t="s">
        <v>12937</v>
      </c>
      <c r="C2920" s="6" t="s">
        <v>43</v>
      </c>
      <c r="D2920" s="6" t="s">
        <v>52</v>
      </c>
      <c r="E2920" s="6" t="s">
        <v>12905</v>
      </c>
      <c r="F2920" s="6" t="s">
        <v>46</v>
      </c>
      <c r="G2920" s="6" t="s">
        <v>43</v>
      </c>
      <c r="H2920" s="7"/>
      <c r="I2920" s="16" t="s">
        <v>48</v>
      </c>
      <c r="J2920" s="16" t="s">
        <v>48</v>
      </c>
      <c r="AG2920" s="15" t="s">
        <v>55</v>
      </c>
      <c r="AH2920" s="15"/>
      <c r="AI2920" s="15"/>
    </row>
    <row r="2921" spans="1:35" s="6" customFormat="1">
      <c r="A2921" s="6" t="s">
        <v>12938</v>
      </c>
      <c r="B2921" s="6" t="s">
        <v>12939</v>
      </c>
      <c r="C2921" s="6" t="s">
        <v>43</v>
      </c>
      <c r="D2921" s="6" t="s">
        <v>52</v>
      </c>
      <c r="E2921" s="6" t="s">
        <v>12905</v>
      </c>
      <c r="F2921" s="6" t="s">
        <v>46</v>
      </c>
      <c r="G2921" s="6" t="s">
        <v>43</v>
      </c>
      <c r="H2921" s="7"/>
      <c r="I2921" s="16" t="s">
        <v>48</v>
      </c>
      <c r="J2921" s="16" t="s">
        <v>48</v>
      </c>
      <c r="AG2921" s="15" t="s">
        <v>55</v>
      </c>
      <c r="AH2921" s="15"/>
      <c r="AI2921" s="15"/>
    </row>
    <row r="2922" spans="1:35" s="6" customFormat="1">
      <c r="A2922" s="6" t="s">
        <v>12940</v>
      </c>
      <c r="B2922" s="6" t="s">
        <v>12941</v>
      </c>
      <c r="C2922" s="6" t="s">
        <v>43</v>
      </c>
      <c r="D2922" s="6" t="s">
        <v>52</v>
      </c>
      <c r="E2922" s="6" t="s">
        <v>12905</v>
      </c>
      <c r="F2922" s="6" t="s">
        <v>46</v>
      </c>
      <c r="G2922" s="6" t="s">
        <v>43</v>
      </c>
      <c r="H2922" s="7"/>
      <c r="I2922" s="16" t="s">
        <v>48</v>
      </c>
      <c r="J2922" s="16" t="s">
        <v>48</v>
      </c>
      <c r="AG2922" s="15" t="s">
        <v>55</v>
      </c>
      <c r="AH2922" s="15"/>
      <c r="AI2922" s="15"/>
    </row>
    <row r="2923" spans="1:35" s="6" customFormat="1">
      <c r="A2923" s="6" t="s">
        <v>12942</v>
      </c>
      <c r="B2923" s="6" t="s">
        <v>12943</v>
      </c>
      <c r="C2923" s="6" t="s">
        <v>43</v>
      </c>
      <c r="D2923" s="6" t="s">
        <v>52</v>
      </c>
      <c r="E2923" s="6" t="s">
        <v>12905</v>
      </c>
      <c r="F2923" s="6" t="s">
        <v>46</v>
      </c>
      <c r="G2923" s="6" t="s">
        <v>43</v>
      </c>
      <c r="H2923" s="7"/>
      <c r="I2923" s="16" t="s">
        <v>48</v>
      </c>
      <c r="J2923" s="16" t="s">
        <v>48</v>
      </c>
      <c r="AG2923" s="15" t="s">
        <v>55</v>
      </c>
      <c r="AH2923" s="15"/>
      <c r="AI2923" s="15"/>
    </row>
    <row r="2924" spans="1:35" s="6" customFormat="1">
      <c r="A2924" s="6" t="s">
        <v>12944</v>
      </c>
      <c r="B2924" s="6" t="s">
        <v>12945</v>
      </c>
      <c r="C2924" s="6" t="s">
        <v>43</v>
      </c>
      <c r="D2924" s="6" t="s">
        <v>52</v>
      </c>
      <c r="E2924" s="6" t="s">
        <v>12905</v>
      </c>
      <c r="F2924" s="6" t="s">
        <v>46</v>
      </c>
      <c r="G2924" s="6" t="s">
        <v>43</v>
      </c>
      <c r="H2924" s="7"/>
      <c r="I2924" s="16" t="s">
        <v>48</v>
      </c>
      <c r="J2924" s="16" t="s">
        <v>48</v>
      </c>
      <c r="AG2924" s="15" t="s">
        <v>55</v>
      </c>
      <c r="AH2924" s="15"/>
      <c r="AI2924" s="15"/>
    </row>
    <row r="2925" spans="1:35" s="6" customFormat="1">
      <c r="A2925" s="6" t="s">
        <v>12946</v>
      </c>
      <c r="B2925" s="6" t="s">
        <v>12947</v>
      </c>
      <c r="C2925" s="6" t="s">
        <v>43</v>
      </c>
      <c r="D2925" s="6" t="s">
        <v>52</v>
      </c>
      <c r="E2925" s="6" t="s">
        <v>12905</v>
      </c>
      <c r="F2925" s="6" t="s">
        <v>46</v>
      </c>
      <c r="G2925" s="6" t="s">
        <v>43</v>
      </c>
      <c r="H2925" s="7"/>
      <c r="I2925" s="16" t="s">
        <v>48</v>
      </c>
      <c r="J2925" s="16" t="s">
        <v>48</v>
      </c>
      <c r="AG2925" s="15" t="s">
        <v>55</v>
      </c>
      <c r="AH2925" s="15"/>
      <c r="AI2925" s="15"/>
    </row>
    <row r="2926" spans="1:35" s="6" customFormat="1">
      <c r="A2926" s="6" t="s">
        <v>12948</v>
      </c>
      <c r="B2926" s="6" t="s">
        <v>12949</v>
      </c>
      <c r="C2926" s="6" t="s">
        <v>43</v>
      </c>
      <c r="D2926" s="6" t="s">
        <v>52</v>
      </c>
      <c r="E2926" s="6" t="s">
        <v>12905</v>
      </c>
      <c r="F2926" s="6" t="s">
        <v>46</v>
      </c>
      <c r="G2926" s="6" t="s">
        <v>43</v>
      </c>
      <c r="H2926" s="7"/>
      <c r="I2926" s="16" t="s">
        <v>48</v>
      </c>
      <c r="J2926" s="16" t="s">
        <v>48</v>
      </c>
      <c r="AG2926" s="15" t="s">
        <v>55</v>
      </c>
      <c r="AH2926" s="15"/>
      <c r="AI2926" s="15"/>
    </row>
    <row r="2927" spans="1:35" s="6" customFormat="1">
      <c r="A2927" s="6" t="s">
        <v>12950</v>
      </c>
      <c r="B2927" s="6" t="s">
        <v>12951</v>
      </c>
      <c r="C2927" s="6" t="s">
        <v>43</v>
      </c>
      <c r="D2927" s="6" t="s">
        <v>52</v>
      </c>
      <c r="E2927" s="6" t="s">
        <v>12905</v>
      </c>
      <c r="F2927" s="6" t="s">
        <v>46</v>
      </c>
      <c r="G2927" s="6" t="s">
        <v>43</v>
      </c>
      <c r="H2927" s="7"/>
      <c r="I2927" s="16" t="s">
        <v>48</v>
      </c>
      <c r="J2927" s="16" t="s">
        <v>48</v>
      </c>
      <c r="AG2927" s="15" t="s">
        <v>55</v>
      </c>
      <c r="AH2927" s="15"/>
      <c r="AI2927" s="15"/>
    </row>
    <row r="2928" spans="1:35" s="6" customFormat="1">
      <c r="A2928" s="6" t="s">
        <v>12952</v>
      </c>
      <c r="B2928" s="6" t="s">
        <v>12953</v>
      </c>
      <c r="C2928" s="6" t="s">
        <v>43</v>
      </c>
      <c r="D2928" s="6" t="s">
        <v>52</v>
      </c>
      <c r="E2928" s="6" t="s">
        <v>12905</v>
      </c>
      <c r="F2928" s="6" t="s">
        <v>46</v>
      </c>
      <c r="G2928" s="6" t="s">
        <v>43</v>
      </c>
      <c r="H2928" s="7"/>
      <c r="I2928" s="16" t="s">
        <v>48</v>
      </c>
      <c r="J2928" s="16" t="s">
        <v>48</v>
      </c>
      <c r="AG2928" s="15" t="s">
        <v>55</v>
      </c>
      <c r="AH2928" s="15"/>
      <c r="AI2928" s="15"/>
    </row>
    <row r="2929" spans="1:37" s="6" customFormat="1">
      <c r="A2929" s="6" t="s">
        <v>12954</v>
      </c>
      <c r="B2929" s="6" t="s">
        <v>12955</v>
      </c>
      <c r="C2929" s="6" t="s">
        <v>43</v>
      </c>
      <c r="D2929" s="6" t="s">
        <v>52</v>
      </c>
      <c r="E2929" s="6" t="s">
        <v>12905</v>
      </c>
      <c r="F2929" s="6" t="s">
        <v>46</v>
      </c>
      <c r="G2929" s="6" t="s">
        <v>43</v>
      </c>
      <c r="H2929" s="7"/>
      <c r="I2929" s="16" t="s">
        <v>48</v>
      </c>
      <c r="J2929" s="16" t="s">
        <v>48</v>
      </c>
      <c r="AG2929" s="15" t="s">
        <v>55</v>
      </c>
      <c r="AH2929" s="15"/>
      <c r="AI2929" s="15"/>
    </row>
    <row r="2930" spans="1:37" s="6" customFormat="1">
      <c r="A2930" s="6" t="s">
        <v>12956</v>
      </c>
      <c r="B2930" s="6" t="s">
        <v>12957</v>
      </c>
      <c r="C2930" s="6" t="s">
        <v>12958</v>
      </c>
      <c r="D2930" s="6" t="s">
        <v>850</v>
      </c>
      <c r="E2930" s="6" t="s">
        <v>10152</v>
      </c>
      <c r="F2930" s="6" t="s">
        <v>46</v>
      </c>
      <c r="G2930" s="6" t="s">
        <v>12959</v>
      </c>
      <c r="H2930" s="7"/>
      <c r="I2930" s="6" t="s">
        <v>48</v>
      </c>
      <c r="J2930" s="6" t="s">
        <v>48</v>
      </c>
      <c r="AG2930" s="15" t="s">
        <v>55</v>
      </c>
      <c r="AH2930" s="15"/>
      <c r="AI2930" s="15"/>
    </row>
    <row r="2931" spans="1:37" s="6" customFormat="1">
      <c r="A2931" s="6" t="s">
        <v>12960</v>
      </c>
      <c r="B2931" s="6" t="s">
        <v>12961</v>
      </c>
      <c r="C2931" s="6" t="s">
        <v>43</v>
      </c>
      <c r="D2931" s="6" t="s">
        <v>12962</v>
      </c>
      <c r="E2931" s="6" t="s">
        <v>1540</v>
      </c>
      <c r="F2931" s="6" t="s">
        <v>46</v>
      </c>
      <c r="G2931" s="6" t="s">
        <v>1325</v>
      </c>
      <c r="H2931" s="7"/>
      <c r="I2931" s="6" t="s">
        <v>48</v>
      </c>
      <c r="J2931" s="6" t="s">
        <v>48</v>
      </c>
      <c r="AG2931" s="15" t="s">
        <v>55</v>
      </c>
      <c r="AH2931" s="15"/>
      <c r="AI2931" s="15"/>
    </row>
    <row r="2932" spans="1:37" s="6" customFormat="1">
      <c r="A2932" s="6" t="s">
        <v>12963</v>
      </c>
      <c r="B2932" s="6" t="s">
        <v>12964</v>
      </c>
      <c r="C2932" s="6" t="s">
        <v>43</v>
      </c>
      <c r="D2932" s="6" t="s">
        <v>12962</v>
      </c>
      <c r="E2932" s="6" t="s">
        <v>1540</v>
      </c>
      <c r="F2932" s="6" t="s">
        <v>46</v>
      </c>
      <c r="G2932" s="6" t="s">
        <v>12965</v>
      </c>
      <c r="H2932" s="7"/>
      <c r="I2932" s="6" t="s">
        <v>48</v>
      </c>
      <c r="J2932" s="6" t="s">
        <v>48</v>
      </c>
      <c r="AG2932" s="15" t="s">
        <v>55</v>
      </c>
      <c r="AH2932" s="15"/>
      <c r="AI2932" s="15"/>
    </row>
    <row r="2933" spans="1:37" s="6" customFormat="1">
      <c r="A2933" s="6" t="s">
        <v>12966</v>
      </c>
      <c r="B2933" s="6" t="s">
        <v>12967</v>
      </c>
      <c r="C2933" s="6" t="s">
        <v>43</v>
      </c>
      <c r="D2933" s="6" t="s">
        <v>12962</v>
      </c>
      <c r="E2933" s="6" t="s">
        <v>1540</v>
      </c>
      <c r="F2933" s="6" t="s">
        <v>46</v>
      </c>
      <c r="G2933" s="6" t="s">
        <v>12968</v>
      </c>
      <c r="H2933" s="7"/>
      <c r="I2933" s="6" t="s">
        <v>48</v>
      </c>
      <c r="J2933" s="6" t="s">
        <v>48</v>
      </c>
      <c r="AG2933" s="15" t="s">
        <v>55</v>
      </c>
      <c r="AH2933" s="15"/>
      <c r="AI2933" s="15"/>
    </row>
    <row r="2934" spans="1:37" s="6" customFormat="1">
      <c r="A2934" s="6" t="s">
        <v>12969</v>
      </c>
      <c r="B2934" s="6" t="s">
        <v>12970</v>
      </c>
      <c r="C2934" s="6" t="s">
        <v>43</v>
      </c>
      <c r="D2934" s="6" t="s">
        <v>12962</v>
      </c>
      <c r="E2934" s="6" t="s">
        <v>1587</v>
      </c>
      <c r="F2934" s="6" t="s">
        <v>46</v>
      </c>
      <c r="G2934" s="6" t="s">
        <v>12971</v>
      </c>
      <c r="H2934" s="7"/>
      <c r="I2934" s="6" t="s">
        <v>48</v>
      </c>
      <c r="J2934" s="6" t="s">
        <v>48</v>
      </c>
      <c r="AG2934" s="15" t="s">
        <v>55</v>
      </c>
      <c r="AH2934" s="15"/>
      <c r="AI2934" s="15"/>
    </row>
    <row r="2935" spans="1:37" s="6" customFormat="1">
      <c r="A2935" s="6" t="s">
        <v>12972</v>
      </c>
      <c r="B2935" s="6" t="s">
        <v>12973</v>
      </c>
      <c r="C2935" s="6" t="s">
        <v>43</v>
      </c>
      <c r="D2935" s="6" t="s">
        <v>12962</v>
      </c>
      <c r="E2935" s="6" t="s">
        <v>1540</v>
      </c>
      <c r="F2935" s="6" t="s">
        <v>46</v>
      </c>
      <c r="G2935" s="6" t="s">
        <v>12974</v>
      </c>
      <c r="H2935" s="7"/>
      <c r="I2935" s="6" t="s">
        <v>48</v>
      </c>
      <c r="J2935" s="6" t="s">
        <v>48</v>
      </c>
      <c r="AG2935" s="15" t="s">
        <v>55</v>
      </c>
      <c r="AH2935" s="15"/>
      <c r="AI2935" s="15"/>
    </row>
    <row r="2936" spans="1:37" s="6" customFormat="1">
      <c r="A2936" s="6" t="s">
        <v>12975</v>
      </c>
      <c r="B2936" s="6" t="s">
        <v>12976</v>
      </c>
      <c r="C2936" s="6" t="s">
        <v>43</v>
      </c>
      <c r="D2936" s="6" t="s">
        <v>12962</v>
      </c>
      <c r="E2936" s="6" t="s">
        <v>1540</v>
      </c>
      <c r="F2936" s="6" t="s">
        <v>46</v>
      </c>
      <c r="G2936" s="6" t="s">
        <v>12977</v>
      </c>
      <c r="H2936" s="7"/>
      <c r="I2936" s="6" t="s">
        <v>48</v>
      </c>
      <c r="J2936" s="6" t="s">
        <v>48</v>
      </c>
      <c r="AG2936" s="15" t="s">
        <v>55</v>
      </c>
      <c r="AH2936" s="15"/>
      <c r="AI2936" s="15"/>
    </row>
    <row r="2937" spans="1:37" s="6" customFormat="1">
      <c r="A2937" s="5" t="s">
        <v>12978</v>
      </c>
      <c r="B2937" s="5" t="s">
        <v>12979</v>
      </c>
      <c r="C2937" s="6" t="s">
        <v>43</v>
      </c>
      <c r="D2937" s="6" t="s">
        <v>52</v>
      </c>
      <c r="E2937" s="6" t="s">
        <v>53</v>
      </c>
      <c r="F2937" s="6" t="s">
        <v>46</v>
      </c>
      <c r="G2937" s="6" t="s">
        <v>43</v>
      </c>
      <c r="H2937" s="7"/>
      <c r="I2937" s="5"/>
      <c r="J2937" s="5"/>
      <c r="K2937" s="5"/>
      <c r="L2937" s="5"/>
      <c r="M2937" s="5"/>
      <c r="N2937" s="5"/>
      <c r="O2937" s="5"/>
      <c r="P2937" s="5"/>
      <c r="Q2937" s="5"/>
      <c r="R2937" s="5"/>
      <c r="S2937" s="5"/>
      <c r="T2937" s="5"/>
      <c r="U2937" s="5"/>
      <c r="V2937" s="5"/>
      <c r="W2937" s="5"/>
      <c r="X2937" s="5"/>
      <c r="Y2937" s="5"/>
      <c r="Z2937" s="5"/>
      <c r="AA2937" s="5"/>
      <c r="AB2937" s="5"/>
      <c r="AC2937" s="5"/>
      <c r="AD2937" s="5"/>
      <c r="AE2937" s="5"/>
      <c r="AF2937" s="5"/>
      <c r="AG2937" s="14"/>
      <c r="AH2937" s="14"/>
      <c r="AI2937" s="14"/>
      <c r="AJ2937" s="5"/>
      <c r="AK2937" s="5"/>
    </row>
    <row r="2938" spans="1:37">
      <c r="A2938" s="5" t="s">
        <v>12980</v>
      </c>
      <c r="B2938" s="5" t="s">
        <v>12981</v>
      </c>
      <c r="C2938" s="6" t="s">
        <v>43</v>
      </c>
      <c r="D2938" s="6" t="s">
        <v>52</v>
      </c>
      <c r="E2938" s="6" t="s">
        <v>53</v>
      </c>
      <c r="F2938" s="6" t="s">
        <v>46</v>
      </c>
      <c r="G2938" s="6" t="s">
        <v>43</v>
      </c>
      <c r="R2938" s="5"/>
    </row>
    <row r="2939" spans="1:37">
      <c r="A2939" s="5" t="s">
        <v>12982</v>
      </c>
      <c r="B2939" s="5" t="s">
        <v>12983</v>
      </c>
      <c r="C2939" s="6" t="s">
        <v>43</v>
      </c>
      <c r="D2939" s="6" t="s">
        <v>52</v>
      </c>
      <c r="E2939" s="6" t="s">
        <v>53</v>
      </c>
      <c r="F2939" s="6" t="s">
        <v>46</v>
      </c>
      <c r="G2939" s="6" t="s">
        <v>43</v>
      </c>
      <c r="R2939" s="5"/>
    </row>
    <row r="2940" spans="1:37">
      <c r="A2940" s="6" t="s">
        <v>12984</v>
      </c>
      <c r="B2940" s="6" t="s">
        <v>12985</v>
      </c>
      <c r="C2940" s="6" t="s">
        <v>43</v>
      </c>
      <c r="D2940" s="6" t="s">
        <v>1875</v>
      </c>
      <c r="E2940" s="6" t="s">
        <v>53</v>
      </c>
      <c r="F2940" s="6" t="s">
        <v>46</v>
      </c>
      <c r="G2940" s="6" t="s">
        <v>43</v>
      </c>
      <c r="I2940" s="6" t="s">
        <v>48</v>
      </c>
      <c r="J2940" s="6" t="s">
        <v>48</v>
      </c>
      <c r="K2940" s="6"/>
      <c r="L2940" s="6"/>
      <c r="M2940" s="6"/>
      <c r="N2940" s="6"/>
      <c r="O2940" s="6"/>
      <c r="P2940" s="6"/>
      <c r="Q2940" s="6"/>
      <c r="R2940" s="6"/>
      <c r="S2940" s="6"/>
      <c r="T2940" s="6"/>
      <c r="U2940" s="6"/>
      <c r="V2940" s="6"/>
      <c r="W2940" s="6"/>
      <c r="X2940" s="6"/>
      <c r="Y2940" s="6"/>
      <c r="Z2940" s="6"/>
      <c r="AA2940" s="6"/>
      <c r="AB2940" s="6"/>
      <c r="AC2940" s="6"/>
      <c r="AD2940" s="6"/>
      <c r="AE2940" s="6"/>
      <c r="AF2940" s="6"/>
      <c r="AG2940" s="15"/>
      <c r="AH2940" s="15"/>
      <c r="AI2940" s="15"/>
      <c r="AJ2940" s="6"/>
      <c r="AK2940" s="6"/>
    </row>
    <row r="2941" spans="1:37" s="6" customFormat="1">
      <c r="A2941" s="6" t="s">
        <v>12986</v>
      </c>
      <c r="B2941" s="6" t="s">
        <v>12987</v>
      </c>
      <c r="C2941" s="6" t="s">
        <v>43</v>
      </c>
      <c r="D2941" s="6" t="s">
        <v>1040</v>
      </c>
      <c r="E2941" s="6" t="s">
        <v>11562</v>
      </c>
      <c r="F2941" s="6" t="s">
        <v>46</v>
      </c>
      <c r="G2941" s="6" t="s">
        <v>481</v>
      </c>
      <c r="H2941" s="7"/>
      <c r="I2941" s="16" t="s">
        <v>48</v>
      </c>
      <c r="J2941" s="16" t="s">
        <v>48</v>
      </c>
      <c r="AG2941" s="15" t="s">
        <v>55</v>
      </c>
      <c r="AH2941" s="15"/>
      <c r="AI2941" s="15"/>
    </row>
    <row r="2942" spans="1:37" s="6" customFormat="1">
      <c r="A2942" s="5" t="s">
        <v>12988</v>
      </c>
      <c r="B2942" s="5" t="s">
        <v>12989</v>
      </c>
      <c r="C2942" s="6" t="s">
        <v>43</v>
      </c>
      <c r="D2942" s="6" t="s">
        <v>1040</v>
      </c>
      <c r="E2942" s="6" t="s">
        <v>11562</v>
      </c>
      <c r="F2942" s="6" t="s">
        <v>46</v>
      </c>
      <c r="G2942" s="6" t="s">
        <v>11103</v>
      </c>
      <c r="H2942" s="18">
        <v>1450</v>
      </c>
      <c r="I2942" s="19" t="s">
        <v>1277</v>
      </c>
      <c r="J2942" s="19" t="s">
        <v>12990</v>
      </c>
      <c r="K2942" s="5" t="s">
        <v>12991</v>
      </c>
      <c r="L2942" s="5" t="s">
        <v>12991</v>
      </c>
      <c r="M2942" s="5" t="s">
        <v>12991</v>
      </c>
      <c r="N2942" s="5" t="s">
        <v>12991</v>
      </c>
      <c r="O2942" s="5"/>
      <c r="P2942" s="5"/>
      <c r="Q2942" s="5"/>
      <c r="R2942" s="5"/>
      <c r="S2942" s="5"/>
      <c r="T2942" s="5"/>
      <c r="U2942" s="5"/>
      <c r="V2942" s="5"/>
      <c r="W2942" s="5"/>
      <c r="X2942" s="5"/>
      <c r="Y2942" s="5"/>
      <c r="Z2942" s="5"/>
      <c r="AA2942" s="5"/>
      <c r="AB2942" s="5"/>
      <c r="AC2942" s="5"/>
      <c r="AD2942" s="5"/>
      <c r="AE2942" s="5"/>
      <c r="AF2942" s="5"/>
      <c r="AG2942" s="14" t="s">
        <v>55</v>
      </c>
      <c r="AH2942" s="14" t="s">
        <v>1408</v>
      </c>
      <c r="AI2942" s="14" t="s">
        <v>1408</v>
      </c>
      <c r="AJ2942" s="5" t="s">
        <v>1566</v>
      </c>
      <c r="AK2942" s="5"/>
    </row>
    <row r="2943" spans="1:37">
      <c r="A2943" s="5" t="s">
        <v>12992</v>
      </c>
      <c r="B2943" s="5" t="s">
        <v>12993</v>
      </c>
      <c r="C2943" s="6" t="s">
        <v>43</v>
      </c>
      <c r="D2943" s="6" t="s">
        <v>1040</v>
      </c>
      <c r="E2943" s="6" t="s">
        <v>11562</v>
      </c>
      <c r="F2943" s="6" t="s">
        <v>46</v>
      </c>
      <c r="G2943" s="6" t="s">
        <v>12994</v>
      </c>
      <c r="H2943" s="18">
        <v>2140</v>
      </c>
      <c r="I2943" s="19" t="s">
        <v>1277</v>
      </c>
      <c r="J2943" s="19" t="s">
        <v>12990</v>
      </c>
      <c r="K2943" s="5" t="s">
        <v>12995</v>
      </c>
      <c r="L2943" s="5" t="s">
        <v>12995</v>
      </c>
      <c r="M2943" s="5" t="s">
        <v>12995</v>
      </c>
      <c r="N2943" s="5" t="s">
        <v>12995</v>
      </c>
      <c r="R2943" s="5"/>
      <c r="AG2943" s="14" t="s">
        <v>55</v>
      </c>
      <c r="AH2943" s="14" t="s">
        <v>1408</v>
      </c>
      <c r="AI2943" s="14" t="s">
        <v>1408</v>
      </c>
      <c r="AJ2943" s="5" t="s">
        <v>1566</v>
      </c>
    </row>
    <row r="2944" spans="1:37">
      <c r="A2944" s="5" t="s">
        <v>12996</v>
      </c>
      <c r="B2944" s="5" t="s">
        <v>12997</v>
      </c>
      <c r="C2944" s="6" t="s">
        <v>43</v>
      </c>
      <c r="D2944" s="6" t="s">
        <v>1040</v>
      </c>
      <c r="E2944" s="6" t="s">
        <v>11562</v>
      </c>
      <c r="F2944" s="6" t="s">
        <v>46</v>
      </c>
      <c r="G2944" s="6" t="s">
        <v>12998</v>
      </c>
      <c r="H2944" s="18">
        <v>4150</v>
      </c>
      <c r="I2944" s="19" t="s">
        <v>1277</v>
      </c>
      <c r="J2944" s="19" t="s">
        <v>12990</v>
      </c>
      <c r="K2944" s="5" t="s">
        <v>12999</v>
      </c>
      <c r="L2944" s="5" t="s">
        <v>12999</v>
      </c>
      <c r="M2944" s="5" t="s">
        <v>12999</v>
      </c>
      <c r="N2944" s="5" t="s">
        <v>12999</v>
      </c>
      <c r="R2944" s="5"/>
      <c r="AG2944" s="14" t="s">
        <v>55</v>
      </c>
      <c r="AH2944" s="14" t="s">
        <v>1408</v>
      </c>
      <c r="AI2944" s="14" t="s">
        <v>1408</v>
      </c>
      <c r="AJ2944" s="5" t="s">
        <v>1566</v>
      </c>
    </row>
    <row r="2945" spans="1:37">
      <c r="A2945" s="6" t="s">
        <v>13000</v>
      </c>
      <c r="B2945" s="6" t="s">
        <v>13001</v>
      </c>
      <c r="C2945" s="6" t="s">
        <v>43</v>
      </c>
      <c r="D2945" s="6" t="s">
        <v>1040</v>
      </c>
      <c r="E2945" s="6" t="s">
        <v>11562</v>
      </c>
      <c r="F2945" s="6" t="s">
        <v>46</v>
      </c>
      <c r="G2945" s="6" t="s">
        <v>496</v>
      </c>
      <c r="I2945" s="16" t="s">
        <v>48</v>
      </c>
      <c r="J2945" s="16" t="s">
        <v>48</v>
      </c>
      <c r="K2945" s="6"/>
      <c r="L2945" s="6"/>
      <c r="M2945" s="6"/>
      <c r="N2945" s="6"/>
      <c r="O2945" s="6"/>
      <c r="P2945" s="6"/>
      <c r="Q2945" s="6"/>
      <c r="R2945" s="6"/>
      <c r="S2945" s="6"/>
      <c r="T2945" s="6"/>
      <c r="U2945" s="6"/>
      <c r="V2945" s="6"/>
      <c r="W2945" s="6"/>
      <c r="X2945" s="6"/>
      <c r="Y2945" s="6"/>
      <c r="Z2945" s="6"/>
      <c r="AA2945" s="6"/>
      <c r="AB2945" s="6"/>
      <c r="AC2945" s="6"/>
      <c r="AD2945" s="6"/>
      <c r="AE2945" s="6"/>
      <c r="AF2945" s="6"/>
      <c r="AG2945" s="15" t="s">
        <v>55</v>
      </c>
      <c r="AH2945" s="15"/>
      <c r="AI2945" s="15"/>
      <c r="AJ2945" s="6"/>
      <c r="AK2945" s="6"/>
    </row>
    <row r="2946" spans="1:37" s="6" customFormat="1">
      <c r="A2946" s="6" t="s">
        <v>13002</v>
      </c>
      <c r="B2946" s="6" t="s">
        <v>13003</v>
      </c>
      <c r="C2946" s="6" t="s">
        <v>43</v>
      </c>
      <c r="D2946" s="6" t="s">
        <v>1040</v>
      </c>
      <c r="E2946" s="6" t="s">
        <v>11562</v>
      </c>
      <c r="F2946" s="6" t="s">
        <v>46</v>
      </c>
      <c r="G2946" s="6" t="s">
        <v>13004</v>
      </c>
      <c r="H2946" s="7"/>
      <c r="I2946" s="16" t="s">
        <v>48</v>
      </c>
      <c r="J2946" s="16" t="s">
        <v>48</v>
      </c>
      <c r="AG2946" s="15" t="s">
        <v>55</v>
      </c>
      <c r="AH2946" s="15"/>
      <c r="AI2946" s="15"/>
    </row>
    <row r="2947" spans="1:37" s="6" customFormat="1">
      <c r="A2947" s="6" t="s">
        <v>13005</v>
      </c>
      <c r="B2947" s="6" t="s">
        <v>13006</v>
      </c>
      <c r="C2947" s="6" t="s">
        <v>43</v>
      </c>
      <c r="D2947" s="6" t="s">
        <v>52</v>
      </c>
      <c r="E2947" s="6" t="s">
        <v>1817</v>
      </c>
      <c r="F2947" s="6" t="s">
        <v>46</v>
      </c>
      <c r="G2947" s="6" t="s">
        <v>13007</v>
      </c>
      <c r="H2947" s="7"/>
      <c r="I2947" s="6" t="s">
        <v>48</v>
      </c>
      <c r="J2947" s="6" t="s">
        <v>48</v>
      </c>
      <c r="AG2947" s="15" t="s">
        <v>55</v>
      </c>
      <c r="AH2947" s="15"/>
      <c r="AI2947" s="15"/>
    </row>
    <row r="2948" spans="1:37" s="6" customFormat="1">
      <c r="A2948" s="6" t="s">
        <v>13008</v>
      </c>
      <c r="B2948" s="6" t="s">
        <v>13009</v>
      </c>
      <c r="C2948" s="6" t="s">
        <v>43</v>
      </c>
      <c r="D2948" s="6" t="s">
        <v>850</v>
      </c>
      <c r="E2948" s="6" t="s">
        <v>218</v>
      </c>
      <c r="F2948" s="6" t="s">
        <v>46</v>
      </c>
      <c r="G2948" s="6" t="s">
        <v>13010</v>
      </c>
      <c r="H2948" s="7"/>
      <c r="I2948" s="6" t="s">
        <v>48</v>
      </c>
      <c r="J2948" s="6" t="s">
        <v>48</v>
      </c>
      <c r="AG2948" s="15" t="s">
        <v>55</v>
      </c>
      <c r="AH2948" s="15"/>
      <c r="AI2948" s="15"/>
    </row>
    <row r="2949" spans="1:37" s="6" customFormat="1">
      <c r="A2949" s="5" t="s">
        <v>13011</v>
      </c>
      <c r="B2949" s="5" t="s">
        <v>13012</v>
      </c>
      <c r="C2949" s="6" t="s">
        <v>6050</v>
      </c>
      <c r="D2949" s="6" t="s">
        <v>1390</v>
      </c>
      <c r="E2949" s="6" t="s">
        <v>11106</v>
      </c>
      <c r="F2949" s="6" t="s">
        <v>46</v>
      </c>
      <c r="G2949" s="6" t="s">
        <v>13013</v>
      </c>
      <c r="H2949" s="7">
        <v>15.65</v>
      </c>
      <c r="I2949" s="19" t="s">
        <v>1882</v>
      </c>
      <c r="J2949" s="19" t="s">
        <v>13014</v>
      </c>
      <c r="K2949" s="5" t="s">
        <v>13015</v>
      </c>
      <c r="L2949" s="5" t="s">
        <v>13016</v>
      </c>
      <c r="M2949" s="5" t="s">
        <v>13017</v>
      </c>
      <c r="N2949" s="5" t="s">
        <v>13018</v>
      </c>
      <c r="O2949" s="5" t="s">
        <v>13019</v>
      </c>
      <c r="P2949" s="5" t="s">
        <v>13020</v>
      </c>
      <c r="Q2949" s="5" t="s">
        <v>13021</v>
      </c>
      <c r="R2949" s="5" t="s">
        <v>13022</v>
      </c>
      <c r="S2949" s="5" t="s">
        <v>13023</v>
      </c>
      <c r="T2949" s="5" t="s">
        <v>13024</v>
      </c>
      <c r="U2949" s="5" t="s">
        <v>13025</v>
      </c>
      <c r="V2949" s="5" t="s">
        <v>13026</v>
      </c>
      <c r="W2949" s="5"/>
      <c r="X2949" s="5"/>
      <c r="Y2949" s="5"/>
      <c r="Z2949" s="5"/>
      <c r="AA2949" s="5" t="s">
        <v>11120</v>
      </c>
      <c r="AB2949" s="5" t="s">
        <v>11121</v>
      </c>
      <c r="AC2949" s="5" t="s">
        <v>11122</v>
      </c>
      <c r="AD2949" s="5" t="s">
        <v>11123</v>
      </c>
      <c r="AE2949" s="5"/>
      <c r="AF2949" s="5"/>
      <c r="AG2949" s="14" t="s">
        <v>55</v>
      </c>
      <c r="AH2949" s="14" t="s">
        <v>234</v>
      </c>
      <c r="AI2949" s="14" t="s">
        <v>1408</v>
      </c>
      <c r="AJ2949" s="5" t="s">
        <v>1566</v>
      </c>
      <c r="AK2949" s="5"/>
    </row>
    <row r="2950" spans="1:37">
      <c r="A2950" s="5" t="s">
        <v>13027</v>
      </c>
      <c r="B2950" s="5" t="s">
        <v>13028</v>
      </c>
      <c r="C2950" s="6" t="s">
        <v>43</v>
      </c>
      <c r="D2950" s="6" t="s">
        <v>1390</v>
      </c>
      <c r="E2950" s="6" t="s">
        <v>11106</v>
      </c>
      <c r="F2950" s="6" t="s">
        <v>46</v>
      </c>
      <c r="G2950" s="6" t="s">
        <v>13029</v>
      </c>
      <c r="H2950" s="7">
        <v>20.6</v>
      </c>
      <c r="I2950" s="19" t="s">
        <v>1882</v>
      </c>
      <c r="J2950" s="19" t="s">
        <v>13014</v>
      </c>
      <c r="K2950" s="5" t="s">
        <v>13030</v>
      </c>
      <c r="L2950" s="5" t="s">
        <v>13031</v>
      </c>
      <c r="M2950" s="5" t="s">
        <v>13032</v>
      </c>
      <c r="N2950" s="5" t="s">
        <v>13033</v>
      </c>
      <c r="O2950" s="5" t="s">
        <v>13034</v>
      </c>
      <c r="P2950" s="5" t="s">
        <v>13035</v>
      </c>
      <c r="Q2950" s="5" t="s">
        <v>13036</v>
      </c>
      <c r="R2950" s="5" t="s">
        <v>13037</v>
      </c>
      <c r="S2950" s="5" t="s">
        <v>13023</v>
      </c>
      <c r="T2950" s="5" t="s">
        <v>13024</v>
      </c>
      <c r="U2950" s="5" t="s">
        <v>13025</v>
      </c>
      <c r="V2950" s="5" t="s">
        <v>13026</v>
      </c>
      <c r="AA2950" s="5" t="s">
        <v>11120</v>
      </c>
      <c r="AB2950" s="5" t="s">
        <v>11121</v>
      </c>
      <c r="AC2950" s="5" t="s">
        <v>11122</v>
      </c>
      <c r="AD2950" s="5" t="s">
        <v>11123</v>
      </c>
      <c r="AG2950" s="14" t="s">
        <v>55</v>
      </c>
      <c r="AH2950" s="14" t="s">
        <v>234</v>
      </c>
      <c r="AI2950" s="14" t="s">
        <v>1408</v>
      </c>
      <c r="AJ2950" s="5" t="s">
        <v>1566</v>
      </c>
    </row>
    <row r="2951" spans="1:37">
      <c r="A2951" s="5" t="s">
        <v>13038</v>
      </c>
      <c r="B2951" s="5" t="s">
        <v>13039</v>
      </c>
      <c r="C2951" s="6" t="s">
        <v>43</v>
      </c>
      <c r="D2951" s="6" t="s">
        <v>1390</v>
      </c>
      <c r="E2951" s="6" t="s">
        <v>11106</v>
      </c>
      <c r="F2951" s="6" t="s">
        <v>46</v>
      </c>
      <c r="G2951" s="6" t="s">
        <v>13040</v>
      </c>
      <c r="H2951" s="7">
        <v>4.95</v>
      </c>
      <c r="I2951" s="19" t="s">
        <v>1882</v>
      </c>
      <c r="J2951" s="19" t="s">
        <v>13014</v>
      </c>
      <c r="K2951" s="5" t="s">
        <v>13041</v>
      </c>
      <c r="L2951" s="5" t="s">
        <v>13042</v>
      </c>
      <c r="M2951" s="5" t="s">
        <v>13043</v>
      </c>
      <c r="N2951" s="5" t="s">
        <v>13044</v>
      </c>
      <c r="O2951" s="5" t="s">
        <v>13045</v>
      </c>
      <c r="P2951" s="5" t="s">
        <v>13046</v>
      </c>
      <c r="Q2951" s="5" t="s">
        <v>13047</v>
      </c>
      <c r="R2951" s="5" t="s">
        <v>13048</v>
      </c>
      <c r="S2951" s="5" t="s">
        <v>13023</v>
      </c>
      <c r="T2951" s="5" t="s">
        <v>13024</v>
      </c>
      <c r="U2951" s="5" t="s">
        <v>13025</v>
      </c>
      <c r="V2951" s="5" t="s">
        <v>13026</v>
      </c>
      <c r="AA2951" s="5" t="s">
        <v>11120</v>
      </c>
      <c r="AB2951" s="5" t="s">
        <v>11121</v>
      </c>
      <c r="AC2951" s="5" t="s">
        <v>11122</v>
      </c>
      <c r="AD2951" s="5" t="s">
        <v>11123</v>
      </c>
      <c r="AG2951" s="14" t="s">
        <v>55</v>
      </c>
      <c r="AH2951" s="14" t="s">
        <v>234</v>
      </c>
      <c r="AI2951" s="14" t="s">
        <v>1408</v>
      </c>
      <c r="AJ2951" s="5" t="s">
        <v>1566</v>
      </c>
    </row>
    <row r="2952" spans="1:37">
      <c r="A2952" s="5" t="s">
        <v>13049</v>
      </c>
      <c r="B2952" s="5" t="s">
        <v>13050</v>
      </c>
      <c r="C2952" s="6" t="s">
        <v>43</v>
      </c>
      <c r="D2952" s="6" t="s">
        <v>1390</v>
      </c>
      <c r="E2952" s="6" t="s">
        <v>11106</v>
      </c>
      <c r="F2952" s="6" t="s">
        <v>46</v>
      </c>
      <c r="G2952" s="6" t="s">
        <v>12800</v>
      </c>
      <c r="H2952" s="7">
        <v>5.95</v>
      </c>
      <c r="I2952" s="19" t="s">
        <v>1882</v>
      </c>
      <c r="J2952" s="19" t="s">
        <v>13014</v>
      </c>
      <c r="K2952" s="5" t="s">
        <v>13051</v>
      </c>
      <c r="L2952" s="5" t="s">
        <v>13052</v>
      </c>
      <c r="M2952" s="5" t="s">
        <v>13053</v>
      </c>
      <c r="N2952" s="5" t="s">
        <v>13054</v>
      </c>
      <c r="O2952" s="5" t="s">
        <v>13055</v>
      </c>
      <c r="P2952" s="5" t="s">
        <v>13056</v>
      </c>
      <c r="Q2952" s="5" t="s">
        <v>13057</v>
      </c>
      <c r="R2952" s="5" t="s">
        <v>13058</v>
      </c>
      <c r="S2952" s="5" t="s">
        <v>13023</v>
      </c>
      <c r="T2952" s="5" t="s">
        <v>13024</v>
      </c>
      <c r="U2952" s="5" t="s">
        <v>13025</v>
      </c>
      <c r="V2952" s="5" t="s">
        <v>13026</v>
      </c>
      <c r="AA2952" s="5" t="s">
        <v>11120</v>
      </c>
      <c r="AB2952" s="5" t="s">
        <v>11121</v>
      </c>
      <c r="AC2952" s="5" t="s">
        <v>11122</v>
      </c>
      <c r="AD2952" s="5" t="s">
        <v>11123</v>
      </c>
      <c r="AG2952" s="14" t="s">
        <v>55</v>
      </c>
      <c r="AH2952" s="14" t="s">
        <v>234</v>
      </c>
      <c r="AI2952" s="14" t="s">
        <v>1408</v>
      </c>
      <c r="AJ2952" s="5" t="s">
        <v>1566</v>
      </c>
    </row>
    <row r="2953" spans="1:37">
      <c r="A2953" s="5" t="s">
        <v>13059</v>
      </c>
      <c r="B2953" s="5" t="s">
        <v>13060</v>
      </c>
      <c r="C2953" s="6" t="s">
        <v>43</v>
      </c>
      <c r="D2953" s="6" t="s">
        <v>1390</v>
      </c>
      <c r="E2953" s="6" t="s">
        <v>11106</v>
      </c>
      <c r="F2953" s="6" t="s">
        <v>46</v>
      </c>
      <c r="G2953" s="6" t="s">
        <v>13061</v>
      </c>
      <c r="H2953" s="7">
        <v>7.4</v>
      </c>
      <c r="I2953" s="19" t="s">
        <v>1882</v>
      </c>
      <c r="J2953" s="19" t="s">
        <v>13014</v>
      </c>
      <c r="K2953" s="5" t="s">
        <v>13062</v>
      </c>
      <c r="L2953" s="5" t="s">
        <v>13063</v>
      </c>
      <c r="M2953" s="5" t="s">
        <v>13064</v>
      </c>
      <c r="N2953" s="5" t="s">
        <v>13065</v>
      </c>
      <c r="O2953" s="5" t="s">
        <v>13019</v>
      </c>
      <c r="P2953" s="5" t="s">
        <v>13020</v>
      </c>
      <c r="Q2953" s="5" t="s">
        <v>13021</v>
      </c>
      <c r="R2953" s="5" t="s">
        <v>13022</v>
      </c>
      <c r="S2953" s="5" t="s">
        <v>13023</v>
      </c>
      <c r="T2953" s="5" t="s">
        <v>13024</v>
      </c>
      <c r="U2953" s="5" t="s">
        <v>13025</v>
      </c>
      <c r="V2953" s="5" t="s">
        <v>13026</v>
      </c>
      <c r="AA2953" s="5" t="s">
        <v>11120</v>
      </c>
      <c r="AB2953" s="5" t="s">
        <v>11121</v>
      </c>
      <c r="AC2953" s="5" t="s">
        <v>11122</v>
      </c>
      <c r="AD2953" s="5" t="s">
        <v>11123</v>
      </c>
      <c r="AG2953" s="14" t="s">
        <v>55</v>
      </c>
      <c r="AH2953" s="14" t="s">
        <v>234</v>
      </c>
      <c r="AI2953" s="14" t="s">
        <v>1408</v>
      </c>
      <c r="AJ2953" s="5" t="s">
        <v>1566</v>
      </c>
    </row>
    <row r="2954" spans="1:37">
      <c r="A2954" s="5" t="s">
        <v>13066</v>
      </c>
      <c r="B2954" s="5" t="s">
        <v>13067</v>
      </c>
      <c r="C2954" s="6" t="s">
        <v>43</v>
      </c>
      <c r="D2954" s="6" t="s">
        <v>1390</v>
      </c>
      <c r="E2954" s="6" t="s">
        <v>11106</v>
      </c>
      <c r="F2954" s="6" t="s">
        <v>46</v>
      </c>
      <c r="G2954" s="6" t="s">
        <v>13068</v>
      </c>
      <c r="H2954" s="7">
        <v>12.9</v>
      </c>
      <c r="I2954" s="19" t="s">
        <v>1882</v>
      </c>
      <c r="J2954" s="19" t="s">
        <v>13014</v>
      </c>
      <c r="K2954" s="5" t="s">
        <v>13069</v>
      </c>
      <c r="L2954" s="5" t="s">
        <v>13070</v>
      </c>
      <c r="M2954" s="5" t="s">
        <v>13071</v>
      </c>
      <c r="N2954" s="5" t="s">
        <v>13072</v>
      </c>
      <c r="O2954" s="5" t="s">
        <v>13034</v>
      </c>
      <c r="P2954" s="5" t="s">
        <v>13035</v>
      </c>
      <c r="Q2954" s="5" t="s">
        <v>13036</v>
      </c>
      <c r="R2954" s="5" t="s">
        <v>13037</v>
      </c>
      <c r="S2954" s="5" t="s">
        <v>13023</v>
      </c>
      <c r="T2954" s="5" t="s">
        <v>13024</v>
      </c>
      <c r="U2954" s="5" t="s">
        <v>13025</v>
      </c>
      <c r="V2954" s="5" t="s">
        <v>13026</v>
      </c>
      <c r="AA2954" s="5" t="s">
        <v>11120</v>
      </c>
      <c r="AB2954" s="5" t="s">
        <v>11121</v>
      </c>
      <c r="AC2954" s="5" t="s">
        <v>11122</v>
      </c>
      <c r="AD2954" s="5" t="s">
        <v>11123</v>
      </c>
      <c r="AG2954" s="14" t="s">
        <v>55</v>
      </c>
      <c r="AH2954" s="14" t="s">
        <v>234</v>
      </c>
      <c r="AI2954" s="14" t="s">
        <v>1408</v>
      </c>
      <c r="AJ2954" s="5" t="s">
        <v>1566</v>
      </c>
    </row>
    <row r="2955" spans="1:37">
      <c r="A2955" s="6" t="s">
        <v>13073</v>
      </c>
      <c r="B2955" s="6" t="s">
        <v>13074</v>
      </c>
      <c r="C2955" s="6" t="s">
        <v>43</v>
      </c>
      <c r="D2955" s="6" t="s">
        <v>52</v>
      </c>
      <c r="E2955" s="6" t="s">
        <v>1085</v>
      </c>
      <c r="F2955" s="6" t="s">
        <v>46</v>
      </c>
      <c r="G2955" s="6" t="s">
        <v>13075</v>
      </c>
      <c r="I2955" s="16" t="s">
        <v>48</v>
      </c>
      <c r="J2955" s="16" t="s">
        <v>48</v>
      </c>
      <c r="K2955" s="6"/>
      <c r="L2955" s="6"/>
      <c r="M2955" s="6"/>
      <c r="N2955" s="6"/>
      <c r="O2955" s="6"/>
      <c r="P2955" s="6"/>
      <c r="Q2955" s="6"/>
      <c r="R2955" s="6"/>
      <c r="S2955" s="6"/>
      <c r="T2955" s="6"/>
      <c r="U2955" s="6"/>
      <c r="V2955" s="6"/>
      <c r="W2955" s="6"/>
      <c r="X2955" s="6"/>
      <c r="Y2955" s="6"/>
      <c r="Z2955" s="6"/>
      <c r="AA2955" s="6"/>
      <c r="AB2955" s="6"/>
      <c r="AC2955" s="6"/>
      <c r="AD2955" s="6"/>
      <c r="AE2955" s="6"/>
      <c r="AF2955" s="6"/>
      <c r="AG2955" s="15" t="s">
        <v>55</v>
      </c>
      <c r="AH2955" s="15"/>
      <c r="AI2955" s="15"/>
      <c r="AJ2955" s="6"/>
      <c r="AK2955" s="6"/>
    </row>
    <row r="2956" spans="1:37" s="6" customFormat="1" ht="15">
      <c r="A2956" s="5" t="s">
        <v>13076</v>
      </c>
      <c r="B2956" s="5" t="s">
        <v>13077</v>
      </c>
      <c r="C2956" s="6" t="s">
        <v>43</v>
      </c>
      <c r="D2956" s="6" t="s">
        <v>1390</v>
      </c>
      <c r="E2956" s="6" t="s">
        <v>1587</v>
      </c>
      <c r="F2956" s="6" t="s">
        <v>46</v>
      </c>
      <c r="G2956" s="6" t="s">
        <v>13078</v>
      </c>
      <c r="H2956" s="7">
        <v>183.15</v>
      </c>
      <c r="I2956" s="19" t="s">
        <v>1589</v>
      </c>
      <c r="J2956" s="19" t="s">
        <v>13079</v>
      </c>
      <c r="K2956" s="5" t="s">
        <v>13080</v>
      </c>
      <c r="L2956" s="5" t="s">
        <v>13080</v>
      </c>
      <c r="M2956" s="5" t="s">
        <v>13080</v>
      </c>
      <c r="N2956" s="5" t="s">
        <v>13080</v>
      </c>
      <c r="O2956" s="5" t="s">
        <v>13081</v>
      </c>
      <c r="P2956" s="5" t="s">
        <v>13082</v>
      </c>
      <c r="Q2956" s="5" t="s">
        <v>13083</v>
      </c>
      <c r="R2956" s="5" t="s">
        <v>13084</v>
      </c>
      <c r="S2956" s="5"/>
      <c r="T2956" s="5"/>
      <c r="U2956" s="5"/>
      <c r="V2956" s="5"/>
      <c r="W2956" s="5" t="s">
        <v>13085</v>
      </c>
      <c r="X2956" s="5" t="s">
        <v>13086</v>
      </c>
      <c r="Y2956" s="5" t="s">
        <v>13087</v>
      </c>
      <c r="Z2956" s="29" t="s">
        <v>13088</v>
      </c>
      <c r="AA2956" s="5"/>
      <c r="AB2956" s="5"/>
      <c r="AC2956" s="5"/>
      <c r="AD2956" s="5"/>
      <c r="AE2956" s="5"/>
      <c r="AF2956" s="5"/>
      <c r="AG2956" s="14" t="s">
        <v>55</v>
      </c>
      <c r="AH2956" s="14" t="s">
        <v>1603</v>
      </c>
      <c r="AI2956" s="14" t="s">
        <v>1408</v>
      </c>
      <c r="AJ2956" s="5"/>
      <c r="AK2956" s="5"/>
    </row>
    <row r="2957" spans="1:37" ht="15">
      <c r="A2957" s="5" t="s">
        <v>13089</v>
      </c>
      <c r="B2957" s="5" t="s">
        <v>13077</v>
      </c>
      <c r="C2957" s="6" t="s">
        <v>43</v>
      </c>
      <c r="D2957" s="6" t="s">
        <v>1390</v>
      </c>
      <c r="E2957" s="6" t="s">
        <v>1386</v>
      </c>
      <c r="F2957" s="6" t="s">
        <v>46</v>
      </c>
      <c r="G2957" s="6" t="s">
        <v>13090</v>
      </c>
      <c r="H2957" s="7">
        <v>183.15</v>
      </c>
      <c r="I2957" s="19" t="s">
        <v>1589</v>
      </c>
      <c r="J2957" s="19" t="s">
        <v>13079</v>
      </c>
      <c r="K2957" s="5" t="s">
        <v>13080</v>
      </c>
      <c r="L2957" s="5" t="s">
        <v>13080</v>
      </c>
      <c r="M2957" s="5" t="s">
        <v>13080</v>
      </c>
      <c r="N2957" s="5" t="s">
        <v>13080</v>
      </c>
      <c r="O2957" s="5" t="s">
        <v>13081</v>
      </c>
      <c r="P2957" s="5" t="s">
        <v>13082</v>
      </c>
      <c r="Q2957" s="5" t="s">
        <v>13083</v>
      </c>
      <c r="R2957" s="5" t="s">
        <v>13084</v>
      </c>
      <c r="W2957" s="5" t="s">
        <v>13085</v>
      </c>
      <c r="X2957" s="5" t="s">
        <v>13086</v>
      </c>
      <c r="Y2957" s="5" t="s">
        <v>13087</v>
      </c>
      <c r="Z2957" s="29" t="s">
        <v>13088</v>
      </c>
      <c r="AG2957" s="14" t="s">
        <v>55</v>
      </c>
      <c r="AH2957" s="14" t="s">
        <v>1603</v>
      </c>
      <c r="AI2957" s="14" t="s">
        <v>1408</v>
      </c>
    </row>
    <row r="2958" spans="1:37" ht="15">
      <c r="A2958" s="5" t="s">
        <v>13091</v>
      </c>
      <c r="B2958" s="5" t="s">
        <v>13077</v>
      </c>
      <c r="C2958" s="6" t="s">
        <v>43</v>
      </c>
      <c r="D2958" s="6" t="s">
        <v>1390</v>
      </c>
      <c r="E2958" s="6" t="s">
        <v>2065</v>
      </c>
      <c r="F2958" s="6" t="s">
        <v>46</v>
      </c>
      <c r="G2958" s="6" t="s">
        <v>13092</v>
      </c>
      <c r="H2958" s="7">
        <v>183.15</v>
      </c>
      <c r="I2958" s="19" t="s">
        <v>1589</v>
      </c>
      <c r="J2958" s="19" t="s">
        <v>13079</v>
      </c>
      <c r="K2958" s="5" t="s">
        <v>13080</v>
      </c>
      <c r="L2958" s="5" t="s">
        <v>13080</v>
      </c>
      <c r="M2958" s="5" t="s">
        <v>13080</v>
      </c>
      <c r="N2958" s="5" t="s">
        <v>13080</v>
      </c>
      <c r="O2958" s="5" t="s">
        <v>13081</v>
      </c>
      <c r="P2958" s="5" t="s">
        <v>13082</v>
      </c>
      <c r="Q2958" s="5" t="s">
        <v>13083</v>
      </c>
      <c r="R2958" s="5" t="s">
        <v>13084</v>
      </c>
      <c r="W2958" s="5" t="s">
        <v>13085</v>
      </c>
      <c r="X2958" s="5" t="s">
        <v>13086</v>
      </c>
      <c r="Y2958" s="5" t="s">
        <v>13087</v>
      </c>
      <c r="Z2958" s="29" t="s">
        <v>13088</v>
      </c>
      <c r="AG2958" s="14" t="s">
        <v>55</v>
      </c>
      <c r="AH2958" s="14" t="s">
        <v>1603</v>
      </c>
      <c r="AI2958" s="14" t="s">
        <v>1408</v>
      </c>
    </row>
    <row r="2959" spans="1:37" ht="15">
      <c r="A2959" s="5" t="s">
        <v>13093</v>
      </c>
      <c r="B2959" s="5" t="s">
        <v>13094</v>
      </c>
      <c r="C2959" s="6" t="s">
        <v>43</v>
      </c>
      <c r="D2959" s="6" t="s">
        <v>1390</v>
      </c>
      <c r="E2959" s="6" t="s">
        <v>1587</v>
      </c>
      <c r="F2959" s="6" t="s">
        <v>46</v>
      </c>
      <c r="G2959" s="6" t="s">
        <v>13095</v>
      </c>
      <c r="H2959" s="7">
        <v>123.2</v>
      </c>
      <c r="I2959" s="19" t="s">
        <v>1589</v>
      </c>
      <c r="J2959" s="19" t="s">
        <v>13079</v>
      </c>
      <c r="K2959" s="6" t="s">
        <v>13096</v>
      </c>
      <c r="L2959" s="6" t="s">
        <v>13096</v>
      </c>
      <c r="M2959" s="6" t="s">
        <v>13096</v>
      </c>
      <c r="N2959" s="6" t="s">
        <v>13096</v>
      </c>
      <c r="O2959" s="5" t="s">
        <v>13097</v>
      </c>
      <c r="P2959" s="5" t="s">
        <v>13098</v>
      </c>
      <c r="Q2959" s="5" t="s">
        <v>13099</v>
      </c>
      <c r="R2959" s="5" t="s">
        <v>13100</v>
      </c>
      <c r="W2959" s="6" t="s">
        <v>13085</v>
      </c>
      <c r="X2959" s="6" t="s">
        <v>13086</v>
      </c>
      <c r="Y2959" s="6" t="s">
        <v>13087</v>
      </c>
      <c r="Z2959" s="29" t="s">
        <v>13088</v>
      </c>
      <c r="AG2959" s="14" t="s">
        <v>55</v>
      </c>
      <c r="AH2959" s="14" t="s">
        <v>1603</v>
      </c>
      <c r="AI2959" s="14" t="s">
        <v>1408</v>
      </c>
    </row>
    <row r="2960" spans="1:37" ht="15">
      <c r="A2960" s="5" t="s">
        <v>13101</v>
      </c>
      <c r="B2960" s="5" t="s">
        <v>13094</v>
      </c>
      <c r="C2960" s="6" t="s">
        <v>43</v>
      </c>
      <c r="D2960" s="6" t="s">
        <v>1390</v>
      </c>
      <c r="E2960" s="6" t="s">
        <v>1386</v>
      </c>
      <c r="F2960" s="6" t="s">
        <v>46</v>
      </c>
      <c r="G2960" s="6" t="s">
        <v>13102</v>
      </c>
      <c r="H2960" s="7">
        <v>123.2</v>
      </c>
      <c r="I2960" s="19" t="s">
        <v>1589</v>
      </c>
      <c r="J2960" s="19" t="s">
        <v>13079</v>
      </c>
      <c r="K2960" s="6" t="s">
        <v>13096</v>
      </c>
      <c r="L2960" s="6" t="s">
        <v>13096</v>
      </c>
      <c r="M2960" s="6" t="s">
        <v>13096</v>
      </c>
      <c r="N2960" s="6" t="s">
        <v>13096</v>
      </c>
      <c r="O2960" s="5" t="s">
        <v>13097</v>
      </c>
      <c r="P2960" s="5" t="s">
        <v>13098</v>
      </c>
      <c r="Q2960" s="5" t="s">
        <v>13099</v>
      </c>
      <c r="R2960" s="5" t="s">
        <v>13100</v>
      </c>
      <c r="Z2960" s="29" t="s">
        <v>13088</v>
      </c>
      <c r="AG2960" s="14" t="s">
        <v>55</v>
      </c>
      <c r="AH2960" s="14" t="s">
        <v>1603</v>
      </c>
      <c r="AI2960" s="14" t="s">
        <v>1408</v>
      </c>
    </row>
    <row r="2961" spans="1:35" ht="15">
      <c r="A2961" s="5" t="s">
        <v>13103</v>
      </c>
      <c r="B2961" s="5" t="s">
        <v>13094</v>
      </c>
      <c r="C2961" s="6" t="s">
        <v>43</v>
      </c>
      <c r="D2961" s="6" t="s">
        <v>1390</v>
      </c>
      <c r="E2961" s="6" t="s">
        <v>2065</v>
      </c>
      <c r="F2961" s="6" t="s">
        <v>46</v>
      </c>
      <c r="G2961" s="6" t="s">
        <v>13104</v>
      </c>
      <c r="H2961" s="7">
        <v>123.2</v>
      </c>
      <c r="I2961" s="19" t="s">
        <v>1589</v>
      </c>
      <c r="J2961" s="19" t="s">
        <v>13079</v>
      </c>
      <c r="K2961" s="6" t="s">
        <v>13096</v>
      </c>
      <c r="L2961" s="6" t="s">
        <v>13096</v>
      </c>
      <c r="M2961" s="6" t="s">
        <v>13096</v>
      </c>
      <c r="N2961" s="6" t="s">
        <v>13096</v>
      </c>
      <c r="O2961" s="5" t="s">
        <v>13097</v>
      </c>
      <c r="P2961" s="5" t="s">
        <v>13098</v>
      </c>
      <c r="Q2961" s="5" t="s">
        <v>13099</v>
      </c>
      <c r="R2961" s="5" t="s">
        <v>13100</v>
      </c>
      <c r="Z2961" s="29" t="s">
        <v>13088</v>
      </c>
      <c r="AG2961" s="14" t="s">
        <v>55</v>
      </c>
      <c r="AH2961" s="14" t="s">
        <v>1603</v>
      </c>
      <c r="AI2961" s="14" t="s">
        <v>1408</v>
      </c>
    </row>
    <row r="2962" spans="1:35" ht="15">
      <c r="A2962" s="5" t="s">
        <v>13105</v>
      </c>
      <c r="B2962" s="5" t="s">
        <v>13106</v>
      </c>
      <c r="C2962" s="6" t="s">
        <v>43</v>
      </c>
      <c r="D2962" s="6" t="s">
        <v>1390</v>
      </c>
      <c r="E2962" s="6" t="s">
        <v>1587</v>
      </c>
      <c r="F2962" s="6" t="s">
        <v>46</v>
      </c>
      <c r="G2962" s="6" t="s">
        <v>13107</v>
      </c>
      <c r="H2962" s="7">
        <v>134.19999999999999</v>
      </c>
      <c r="I2962" s="19" t="s">
        <v>1589</v>
      </c>
      <c r="J2962" s="19" t="s">
        <v>13079</v>
      </c>
      <c r="K2962" s="6" t="s">
        <v>13108</v>
      </c>
      <c r="L2962" s="6" t="s">
        <v>13108</v>
      </c>
      <c r="M2962" s="6" t="s">
        <v>13108</v>
      </c>
      <c r="N2962" s="6" t="s">
        <v>13108</v>
      </c>
      <c r="O2962" s="5" t="s">
        <v>13109</v>
      </c>
      <c r="P2962" s="5" t="s">
        <v>13110</v>
      </c>
      <c r="Q2962" s="5" t="s">
        <v>13111</v>
      </c>
      <c r="R2962" s="5" t="s">
        <v>13112</v>
      </c>
      <c r="Z2962" s="29" t="s">
        <v>13088</v>
      </c>
      <c r="AG2962" s="14" t="s">
        <v>55</v>
      </c>
      <c r="AH2962" s="14" t="s">
        <v>1603</v>
      </c>
      <c r="AI2962" s="14" t="s">
        <v>1408</v>
      </c>
    </row>
    <row r="2963" spans="1:35" ht="15">
      <c r="A2963" s="5" t="s">
        <v>13113</v>
      </c>
      <c r="B2963" s="5" t="s">
        <v>13106</v>
      </c>
      <c r="C2963" s="6" t="s">
        <v>43</v>
      </c>
      <c r="D2963" s="6" t="s">
        <v>1390</v>
      </c>
      <c r="E2963" s="6" t="s">
        <v>1386</v>
      </c>
      <c r="F2963" s="6" t="s">
        <v>46</v>
      </c>
      <c r="G2963" s="6" t="s">
        <v>13114</v>
      </c>
      <c r="H2963" s="7">
        <v>134.19999999999999</v>
      </c>
      <c r="I2963" s="19" t="s">
        <v>1589</v>
      </c>
      <c r="J2963" s="19" t="s">
        <v>13079</v>
      </c>
      <c r="K2963" s="6" t="s">
        <v>13108</v>
      </c>
      <c r="L2963" s="6" t="s">
        <v>13108</v>
      </c>
      <c r="M2963" s="6" t="s">
        <v>13108</v>
      </c>
      <c r="N2963" s="6" t="s">
        <v>13108</v>
      </c>
      <c r="O2963" s="5" t="s">
        <v>13109</v>
      </c>
      <c r="P2963" s="5" t="s">
        <v>13110</v>
      </c>
      <c r="Q2963" s="5" t="s">
        <v>13111</v>
      </c>
      <c r="R2963" s="5" t="s">
        <v>13112</v>
      </c>
      <c r="Z2963" s="29" t="s">
        <v>13088</v>
      </c>
      <c r="AG2963" s="14" t="s">
        <v>55</v>
      </c>
      <c r="AH2963" s="14" t="s">
        <v>1603</v>
      </c>
      <c r="AI2963" s="14" t="s">
        <v>1408</v>
      </c>
    </row>
    <row r="2964" spans="1:35" ht="15">
      <c r="A2964" s="5" t="s">
        <v>13115</v>
      </c>
      <c r="B2964" s="5" t="s">
        <v>13106</v>
      </c>
      <c r="C2964" s="6" t="s">
        <v>43</v>
      </c>
      <c r="D2964" s="6" t="s">
        <v>1390</v>
      </c>
      <c r="E2964" s="6" t="s">
        <v>2065</v>
      </c>
      <c r="F2964" s="6" t="s">
        <v>46</v>
      </c>
      <c r="G2964" s="6" t="s">
        <v>13107</v>
      </c>
      <c r="H2964" s="7">
        <v>134.19999999999999</v>
      </c>
      <c r="I2964" s="19" t="s">
        <v>1589</v>
      </c>
      <c r="J2964" s="19" t="s">
        <v>13079</v>
      </c>
      <c r="K2964" s="6" t="s">
        <v>13108</v>
      </c>
      <c r="L2964" s="6" t="s">
        <v>13108</v>
      </c>
      <c r="M2964" s="6" t="s">
        <v>13108</v>
      </c>
      <c r="N2964" s="6" t="s">
        <v>13108</v>
      </c>
      <c r="O2964" s="5" t="s">
        <v>13109</v>
      </c>
      <c r="P2964" s="5" t="s">
        <v>13110</v>
      </c>
      <c r="Q2964" s="5" t="s">
        <v>13111</v>
      </c>
      <c r="R2964" s="5" t="s">
        <v>13112</v>
      </c>
      <c r="Z2964" s="29" t="s">
        <v>13088</v>
      </c>
      <c r="AG2964" s="14" t="s">
        <v>55</v>
      </c>
      <c r="AH2964" s="14" t="s">
        <v>1603</v>
      </c>
      <c r="AI2964" s="14" t="s">
        <v>1408</v>
      </c>
    </row>
    <row r="2965" spans="1:35" ht="15">
      <c r="A2965" s="5" t="s">
        <v>13116</v>
      </c>
      <c r="B2965" s="5" t="s">
        <v>13117</v>
      </c>
      <c r="C2965" s="6" t="s">
        <v>43</v>
      </c>
      <c r="D2965" s="6" t="s">
        <v>1390</v>
      </c>
      <c r="E2965" s="6" t="s">
        <v>1587</v>
      </c>
      <c r="F2965" s="6" t="s">
        <v>46</v>
      </c>
      <c r="G2965" s="6" t="s">
        <v>5422</v>
      </c>
      <c r="H2965" s="7">
        <v>219.78</v>
      </c>
      <c r="I2965" s="19" t="s">
        <v>1589</v>
      </c>
      <c r="J2965" s="19" t="s">
        <v>13079</v>
      </c>
      <c r="K2965" s="5" t="s">
        <v>13080</v>
      </c>
      <c r="L2965" s="5" t="s">
        <v>13080</v>
      </c>
      <c r="M2965" s="5" t="s">
        <v>13080</v>
      </c>
      <c r="N2965" s="5" t="s">
        <v>13080</v>
      </c>
      <c r="O2965" s="5" t="s">
        <v>13118</v>
      </c>
      <c r="P2965" s="5" t="s">
        <v>13119</v>
      </c>
      <c r="Q2965" s="5" t="s">
        <v>13120</v>
      </c>
      <c r="R2965" s="5" t="s">
        <v>13121</v>
      </c>
      <c r="W2965" s="5" t="s">
        <v>13085</v>
      </c>
      <c r="X2965" s="5" t="s">
        <v>13086</v>
      </c>
      <c r="Y2965" s="5" t="s">
        <v>13087</v>
      </c>
      <c r="Z2965" s="29" t="s">
        <v>13088</v>
      </c>
      <c r="AG2965" s="14" t="s">
        <v>55</v>
      </c>
      <c r="AH2965" s="14" t="s">
        <v>1603</v>
      </c>
      <c r="AI2965" s="14" t="s">
        <v>1408</v>
      </c>
    </row>
    <row r="2966" spans="1:35" ht="15">
      <c r="A2966" s="5" t="s">
        <v>13122</v>
      </c>
      <c r="B2966" s="5" t="s">
        <v>13117</v>
      </c>
      <c r="C2966" s="6" t="s">
        <v>43</v>
      </c>
      <c r="D2966" s="6" t="s">
        <v>1390</v>
      </c>
      <c r="E2966" s="6" t="s">
        <v>1386</v>
      </c>
      <c r="F2966" s="6" t="s">
        <v>46</v>
      </c>
      <c r="G2966" s="6" t="s">
        <v>13123</v>
      </c>
      <c r="H2966" s="7">
        <v>219.78</v>
      </c>
      <c r="I2966" s="19" t="s">
        <v>1589</v>
      </c>
      <c r="J2966" s="19" t="s">
        <v>13079</v>
      </c>
      <c r="K2966" s="5" t="s">
        <v>13080</v>
      </c>
      <c r="L2966" s="5" t="s">
        <v>13080</v>
      </c>
      <c r="M2966" s="5" t="s">
        <v>13080</v>
      </c>
      <c r="N2966" s="5" t="s">
        <v>13080</v>
      </c>
      <c r="O2966" s="5" t="s">
        <v>13118</v>
      </c>
      <c r="P2966" s="5" t="s">
        <v>13119</v>
      </c>
      <c r="Q2966" s="5" t="s">
        <v>13120</v>
      </c>
      <c r="R2966" s="5" t="s">
        <v>13121</v>
      </c>
      <c r="W2966" s="5" t="s">
        <v>13085</v>
      </c>
      <c r="X2966" s="5" t="s">
        <v>13086</v>
      </c>
      <c r="Y2966" s="5" t="s">
        <v>13087</v>
      </c>
      <c r="Z2966" s="29" t="s">
        <v>13088</v>
      </c>
      <c r="AG2966" s="14" t="s">
        <v>55</v>
      </c>
      <c r="AH2966" s="14" t="s">
        <v>1603</v>
      </c>
      <c r="AI2966" s="14" t="s">
        <v>1408</v>
      </c>
    </row>
    <row r="2967" spans="1:35" ht="15">
      <c r="A2967" s="5" t="s">
        <v>13124</v>
      </c>
      <c r="B2967" s="5" t="s">
        <v>13117</v>
      </c>
      <c r="C2967" s="6" t="s">
        <v>43</v>
      </c>
      <c r="D2967" s="6" t="s">
        <v>1390</v>
      </c>
      <c r="E2967" s="6" t="s">
        <v>2065</v>
      </c>
      <c r="F2967" s="6" t="s">
        <v>46</v>
      </c>
      <c r="G2967" s="6" t="s">
        <v>13125</v>
      </c>
      <c r="H2967" s="7">
        <v>219.78</v>
      </c>
      <c r="I2967" s="19" t="s">
        <v>1589</v>
      </c>
      <c r="J2967" s="19" t="s">
        <v>13079</v>
      </c>
      <c r="K2967" s="5" t="s">
        <v>13080</v>
      </c>
      <c r="L2967" s="5" t="s">
        <v>13080</v>
      </c>
      <c r="M2967" s="5" t="s">
        <v>13080</v>
      </c>
      <c r="N2967" s="5" t="s">
        <v>13080</v>
      </c>
      <c r="O2967" s="5" t="s">
        <v>13118</v>
      </c>
      <c r="P2967" s="5" t="s">
        <v>13119</v>
      </c>
      <c r="Q2967" s="5" t="s">
        <v>13120</v>
      </c>
      <c r="R2967" s="5" t="s">
        <v>13121</v>
      </c>
      <c r="W2967" s="5" t="s">
        <v>13085</v>
      </c>
      <c r="X2967" s="5" t="s">
        <v>13086</v>
      </c>
      <c r="Y2967" s="5" t="s">
        <v>13087</v>
      </c>
      <c r="Z2967" s="29" t="s">
        <v>13088</v>
      </c>
      <c r="AG2967" s="14" t="s">
        <v>55</v>
      </c>
      <c r="AH2967" s="14" t="s">
        <v>1603</v>
      </c>
      <c r="AI2967" s="14" t="s">
        <v>1408</v>
      </c>
    </row>
    <row r="2968" spans="1:35" ht="15">
      <c r="A2968" s="5" t="s">
        <v>13126</v>
      </c>
      <c r="B2968" s="5" t="s">
        <v>13127</v>
      </c>
      <c r="C2968" s="6" t="s">
        <v>43</v>
      </c>
      <c r="D2968" s="6" t="s">
        <v>1390</v>
      </c>
      <c r="E2968" s="6" t="s">
        <v>1587</v>
      </c>
      <c r="F2968" s="6" t="s">
        <v>46</v>
      </c>
      <c r="G2968" s="6" t="s">
        <v>13128</v>
      </c>
      <c r="H2968" s="7">
        <v>147.47999999999999</v>
      </c>
      <c r="I2968" s="19" t="s">
        <v>1589</v>
      </c>
      <c r="J2968" s="19" t="s">
        <v>13079</v>
      </c>
      <c r="K2968" s="6" t="s">
        <v>13096</v>
      </c>
      <c r="L2968" s="6" t="s">
        <v>13096</v>
      </c>
      <c r="M2968" s="6" t="s">
        <v>13096</v>
      </c>
      <c r="N2968" s="6" t="s">
        <v>13096</v>
      </c>
      <c r="O2968" s="5" t="s">
        <v>13129</v>
      </c>
      <c r="P2968" s="5" t="s">
        <v>13130</v>
      </c>
      <c r="Q2968" s="5" t="s">
        <v>13131</v>
      </c>
      <c r="R2968" s="5" t="s">
        <v>13132</v>
      </c>
      <c r="Z2968" s="29" t="s">
        <v>13088</v>
      </c>
      <c r="AG2968" s="14" t="s">
        <v>55</v>
      </c>
      <c r="AH2968" s="14" t="s">
        <v>1603</v>
      </c>
      <c r="AI2968" s="14" t="s">
        <v>1408</v>
      </c>
    </row>
    <row r="2969" spans="1:35" ht="15">
      <c r="A2969" s="5" t="s">
        <v>13133</v>
      </c>
      <c r="B2969" s="5" t="s">
        <v>13134</v>
      </c>
      <c r="C2969" s="6" t="s">
        <v>43</v>
      </c>
      <c r="D2969" s="6" t="s">
        <v>1390</v>
      </c>
      <c r="E2969" s="6" t="s">
        <v>1587</v>
      </c>
      <c r="F2969" s="6" t="s">
        <v>46</v>
      </c>
      <c r="G2969" s="6" t="s">
        <v>13135</v>
      </c>
      <c r="H2969" s="7">
        <v>161.04</v>
      </c>
      <c r="I2969" s="19" t="s">
        <v>1589</v>
      </c>
      <c r="J2969" s="19" t="s">
        <v>13079</v>
      </c>
      <c r="K2969" s="6" t="s">
        <v>13108</v>
      </c>
      <c r="L2969" s="6" t="s">
        <v>13108</v>
      </c>
      <c r="M2969" s="6" t="s">
        <v>13108</v>
      </c>
      <c r="N2969" s="6" t="s">
        <v>13108</v>
      </c>
      <c r="O2969" s="5" t="s">
        <v>13136</v>
      </c>
      <c r="P2969" s="5" t="s">
        <v>13137</v>
      </c>
      <c r="Q2969" s="5" t="s">
        <v>13138</v>
      </c>
      <c r="R2969" s="5" t="s">
        <v>13139</v>
      </c>
      <c r="Z2969" s="29" t="s">
        <v>13088</v>
      </c>
      <c r="AG2969" s="14" t="s">
        <v>55</v>
      </c>
      <c r="AH2969" s="14" t="s">
        <v>1603</v>
      </c>
      <c r="AI2969" s="14" t="s">
        <v>1408</v>
      </c>
    </row>
    <row r="2970" spans="1:35" ht="15">
      <c r="A2970" s="5" t="s">
        <v>13140</v>
      </c>
      <c r="B2970" s="5" t="s">
        <v>13134</v>
      </c>
      <c r="C2970" s="6" t="s">
        <v>43</v>
      </c>
      <c r="D2970" s="6" t="s">
        <v>1390</v>
      </c>
      <c r="E2970" s="6" t="s">
        <v>1386</v>
      </c>
      <c r="F2970" s="6" t="s">
        <v>46</v>
      </c>
      <c r="G2970" s="6" t="s">
        <v>13141</v>
      </c>
      <c r="H2970" s="7">
        <v>161.04</v>
      </c>
      <c r="I2970" s="19" t="s">
        <v>1589</v>
      </c>
      <c r="J2970" s="19" t="s">
        <v>13079</v>
      </c>
      <c r="K2970" s="6" t="s">
        <v>13108</v>
      </c>
      <c r="L2970" s="6" t="s">
        <v>13108</v>
      </c>
      <c r="M2970" s="6" t="s">
        <v>13108</v>
      </c>
      <c r="N2970" s="6" t="s">
        <v>13108</v>
      </c>
      <c r="O2970" s="5" t="s">
        <v>13136</v>
      </c>
      <c r="P2970" s="5" t="s">
        <v>13137</v>
      </c>
      <c r="Q2970" s="5" t="s">
        <v>13138</v>
      </c>
      <c r="R2970" s="5" t="s">
        <v>13139</v>
      </c>
      <c r="Z2970" s="29" t="s">
        <v>13088</v>
      </c>
      <c r="AG2970" s="14" t="s">
        <v>55</v>
      </c>
      <c r="AH2970" s="14" t="s">
        <v>1603</v>
      </c>
      <c r="AI2970" s="14" t="s">
        <v>1408</v>
      </c>
    </row>
    <row r="2971" spans="1:35" ht="15">
      <c r="A2971" s="5" t="s">
        <v>13142</v>
      </c>
      <c r="B2971" s="5" t="s">
        <v>13134</v>
      </c>
      <c r="C2971" s="6" t="s">
        <v>43</v>
      </c>
      <c r="D2971" s="6" t="s">
        <v>1390</v>
      </c>
      <c r="E2971" s="6" t="s">
        <v>2461</v>
      </c>
      <c r="F2971" s="6" t="s">
        <v>46</v>
      </c>
      <c r="G2971" s="6" t="s">
        <v>13143</v>
      </c>
      <c r="H2971" s="7">
        <v>161.04</v>
      </c>
      <c r="I2971" s="19" t="s">
        <v>1589</v>
      </c>
      <c r="J2971" s="19" t="s">
        <v>13079</v>
      </c>
      <c r="K2971" s="6" t="s">
        <v>13108</v>
      </c>
      <c r="L2971" s="6" t="s">
        <v>13108</v>
      </c>
      <c r="M2971" s="6" t="s">
        <v>13108</v>
      </c>
      <c r="N2971" s="6" t="s">
        <v>13108</v>
      </c>
      <c r="O2971" s="5" t="s">
        <v>13136</v>
      </c>
      <c r="P2971" s="5" t="s">
        <v>13137</v>
      </c>
      <c r="Q2971" s="5" t="s">
        <v>13138</v>
      </c>
      <c r="R2971" s="5" t="s">
        <v>13139</v>
      </c>
      <c r="Z2971" s="29" t="s">
        <v>13088</v>
      </c>
      <c r="AG2971" s="14" t="s">
        <v>55</v>
      </c>
      <c r="AH2971" s="14" t="s">
        <v>1603</v>
      </c>
      <c r="AI2971" s="14" t="s">
        <v>1408</v>
      </c>
    </row>
    <row r="2972" spans="1:35" ht="15">
      <c r="A2972" s="5" t="s">
        <v>13144</v>
      </c>
      <c r="B2972" s="5" t="s">
        <v>13145</v>
      </c>
      <c r="C2972" s="6" t="s">
        <v>43</v>
      </c>
      <c r="D2972" s="6" t="s">
        <v>1390</v>
      </c>
      <c r="E2972" s="6" t="s">
        <v>1386</v>
      </c>
      <c r="F2972" s="6" t="s">
        <v>46</v>
      </c>
      <c r="G2972" s="6" t="s">
        <v>13146</v>
      </c>
      <c r="H2972" s="7">
        <v>174.46</v>
      </c>
      <c r="I2972" s="19" t="s">
        <v>1589</v>
      </c>
      <c r="J2972" s="19" t="s">
        <v>13079</v>
      </c>
      <c r="K2972" s="6" t="s">
        <v>13108</v>
      </c>
      <c r="L2972" s="6" t="s">
        <v>13108</v>
      </c>
      <c r="M2972" s="6" t="s">
        <v>13108</v>
      </c>
      <c r="N2972" s="6" t="s">
        <v>13108</v>
      </c>
      <c r="O2972" s="5" t="s">
        <v>13147</v>
      </c>
      <c r="P2972" s="5" t="s">
        <v>13148</v>
      </c>
      <c r="Q2972" s="5" t="s">
        <v>13149</v>
      </c>
      <c r="R2972" s="5" t="s">
        <v>13150</v>
      </c>
      <c r="Z2972" s="29" t="s">
        <v>13088</v>
      </c>
      <c r="AG2972" s="14" t="s">
        <v>55</v>
      </c>
      <c r="AH2972" s="14" t="s">
        <v>1603</v>
      </c>
      <c r="AI2972" s="14" t="s">
        <v>1408</v>
      </c>
    </row>
    <row r="2973" spans="1:35" ht="15">
      <c r="A2973" s="5" t="s">
        <v>13151</v>
      </c>
      <c r="B2973" s="5" t="s">
        <v>13152</v>
      </c>
      <c r="C2973" s="6" t="s">
        <v>43</v>
      </c>
      <c r="D2973" s="6" t="s">
        <v>1390</v>
      </c>
      <c r="E2973" s="6" t="s">
        <v>1587</v>
      </c>
      <c r="F2973" s="6" t="s">
        <v>46</v>
      </c>
      <c r="G2973" s="6" t="s">
        <v>13153</v>
      </c>
      <c r="H2973" s="7">
        <v>181.17</v>
      </c>
      <c r="I2973" s="19" t="s">
        <v>1589</v>
      </c>
      <c r="J2973" s="19" t="s">
        <v>13079</v>
      </c>
      <c r="K2973" s="6" t="s">
        <v>13108</v>
      </c>
      <c r="L2973" s="6" t="s">
        <v>13108</v>
      </c>
      <c r="M2973" s="6" t="s">
        <v>13108</v>
      </c>
      <c r="N2973" s="6" t="s">
        <v>13108</v>
      </c>
      <c r="O2973" s="5" t="s">
        <v>13154</v>
      </c>
      <c r="P2973" s="5" t="s">
        <v>13155</v>
      </c>
      <c r="Q2973" s="5" t="s">
        <v>13156</v>
      </c>
      <c r="R2973" s="5" t="s">
        <v>13157</v>
      </c>
      <c r="Z2973" s="29" t="s">
        <v>13088</v>
      </c>
      <c r="AG2973" s="14" t="s">
        <v>55</v>
      </c>
      <c r="AH2973" s="14" t="s">
        <v>1603</v>
      </c>
      <c r="AI2973" s="14" t="s">
        <v>1408</v>
      </c>
    </row>
    <row r="2974" spans="1:35" ht="15">
      <c r="A2974" s="5" t="s">
        <v>13158</v>
      </c>
      <c r="B2974" s="5" t="s">
        <v>13159</v>
      </c>
      <c r="C2974" s="6" t="s">
        <v>43</v>
      </c>
      <c r="D2974" s="6" t="s">
        <v>1390</v>
      </c>
      <c r="E2974" s="6" t="s">
        <v>1587</v>
      </c>
      <c r="F2974" s="6" t="s">
        <v>46</v>
      </c>
      <c r="G2974" s="6" t="s">
        <v>13160</v>
      </c>
      <c r="H2974" s="7">
        <v>256.41000000000003</v>
      </c>
      <c r="I2974" s="19" t="s">
        <v>1589</v>
      </c>
      <c r="J2974" s="19" t="s">
        <v>13079</v>
      </c>
      <c r="K2974" s="5" t="s">
        <v>13080</v>
      </c>
      <c r="L2974" s="5" t="s">
        <v>13080</v>
      </c>
      <c r="M2974" s="5" t="s">
        <v>13080</v>
      </c>
      <c r="N2974" s="5" t="s">
        <v>13080</v>
      </c>
      <c r="O2974" s="5" t="s">
        <v>13161</v>
      </c>
      <c r="P2974" s="5" t="s">
        <v>13162</v>
      </c>
      <c r="Q2974" s="5" t="s">
        <v>13163</v>
      </c>
      <c r="R2974" s="5" t="s">
        <v>13164</v>
      </c>
      <c r="W2974" s="5" t="s">
        <v>13085</v>
      </c>
      <c r="X2974" s="5" t="s">
        <v>13086</v>
      </c>
      <c r="Y2974" s="5" t="s">
        <v>13087</v>
      </c>
      <c r="Z2974" s="29" t="s">
        <v>13088</v>
      </c>
      <c r="AG2974" s="14" t="s">
        <v>55</v>
      </c>
      <c r="AH2974" s="14" t="s">
        <v>1603</v>
      </c>
      <c r="AI2974" s="14" t="s">
        <v>1408</v>
      </c>
    </row>
    <row r="2975" spans="1:35" ht="15">
      <c r="A2975" s="5" t="s">
        <v>13165</v>
      </c>
      <c r="B2975" s="5" t="s">
        <v>13159</v>
      </c>
      <c r="C2975" s="6" t="s">
        <v>43</v>
      </c>
      <c r="D2975" s="6" t="s">
        <v>1390</v>
      </c>
      <c r="E2975" s="6" t="s">
        <v>2827</v>
      </c>
      <c r="F2975" s="6" t="s">
        <v>46</v>
      </c>
      <c r="G2975" s="6" t="s">
        <v>13166</v>
      </c>
      <c r="H2975" s="7">
        <v>256.41000000000003</v>
      </c>
      <c r="I2975" s="19" t="s">
        <v>1589</v>
      </c>
      <c r="J2975" s="19" t="s">
        <v>13079</v>
      </c>
      <c r="K2975" s="5" t="s">
        <v>13080</v>
      </c>
      <c r="L2975" s="5" t="s">
        <v>13080</v>
      </c>
      <c r="M2975" s="5" t="s">
        <v>13080</v>
      </c>
      <c r="N2975" s="5" t="s">
        <v>13080</v>
      </c>
      <c r="O2975" s="5" t="s">
        <v>13161</v>
      </c>
      <c r="P2975" s="5" t="s">
        <v>13162</v>
      </c>
      <c r="Q2975" s="5" t="s">
        <v>13163</v>
      </c>
      <c r="R2975" s="5" t="s">
        <v>13164</v>
      </c>
      <c r="W2975" s="5" t="s">
        <v>13085</v>
      </c>
      <c r="X2975" s="5" t="s">
        <v>13086</v>
      </c>
      <c r="Y2975" s="5" t="s">
        <v>13087</v>
      </c>
      <c r="Z2975" s="29" t="s">
        <v>13088</v>
      </c>
      <c r="AG2975" s="14" t="s">
        <v>55</v>
      </c>
      <c r="AH2975" s="14" t="s">
        <v>1603</v>
      </c>
      <c r="AI2975" s="14" t="s">
        <v>1408</v>
      </c>
    </row>
    <row r="2976" spans="1:35" ht="15">
      <c r="A2976" s="5" t="s">
        <v>13167</v>
      </c>
      <c r="B2976" s="5" t="s">
        <v>13159</v>
      </c>
      <c r="C2976" s="6" t="s">
        <v>43</v>
      </c>
      <c r="D2976" s="6" t="s">
        <v>1390</v>
      </c>
      <c r="E2976" s="6" t="s">
        <v>1386</v>
      </c>
      <c r="F2976" s="6" t="s">
        <v>46</v>
      </c>
      <c r="G2976" s="6" t="s">
        <v>13168</v>
      </c>
      <c r="H2976" s="7">
        <v>256.41000000000003</v>
      </c>
      <c r="I2976" s="19" t="s">
        <v>1589</v>
      </c>
      <c r="J2976" s="19" t="s">
        <v>13079</v>
      </c>
      <c r="K2976" s="5" t="s">
        <v>13080</v>
      </c>
      <c r="L2976" s="5" t="s">
        <v>13080</v>
      </c>
      <c r="M2976" s="5" t="s">
        <v>13080</v>
      </c>
      <c r="N2976" s="5" t="s">
        <v>13080</v>
      </c>
      <c r="O2976" s="5" t="s">
        <v>13161</v>
      </c>
      <c r="P2976" s="5" t="s">
        <v>13162</v>
      </c>
      <c r="Q2976" s="5" t="s">
        <v>13163</v>
      </c>
      <c r="R2976" s="5" t="s">
        <v>13164</v>
      </c>
      <c r="W2976" s="5" t="s">
        <v>13085</v>
      </c>
      <c r="X2976" s="5" t="s">
        <v>13086</v>
      </c>
      <c r="Y2976" s="5" t="s">
        <v>13087</v>
      </c>
      <c r="Z2976" s="29" t="s">
        <v>13088</v>
      </c>
      <c r="AG2976" s="14" t="s">
        <v>55</v>
      </c>
      <c r="AH2976" s="14" t="s">
        <v>1603</v>
      </c>
      <c r="AI2976" s="14" t="s">
        <v>1408</v>
      </c>
    </row>
    <row r="2977" spans="1:35" ht="15">
      <c r="A2977" s="5" t="s">
        <v>13169</v>
      </c>
      <c r="B2977" s="5" t="s">
        <v>13159</v>
      </c>
      <c r="C2977" s="6" t="s">
        <v>43</v>
      </c>
      <c r="D2977" s="6" t="s">
        <v>1390</v>
      </c>
      <c r="E2977" s="6" t="s">
        <v>2065</v>
      </c>
      <c r="F2977" s="6" t="s">
        <v>46</v>
      </c>
      <c r="G2977" s="6" t="s">
        <v>13160</v>
      </c>
      <c r="H2977" s="7">
        <v>256.41000000000003</v>
      </c>
      <c r="I2977" s="19" t="s">
        <v>1589</v>
      </c>
      <c r="J2977" s="19" t="s">
        <v>13079</v>
      </c>
      <c r="K2977" s="5" t="s">
        <v>13080</v>
      </c>
      <c r="L2977" s="5" t="s">
        <v>13080</v>
      </c>
      <c r="M2977" s="5" t="s">
        <v>13080</v>
      </c>
      <c r="N2977" s="5" t="s">
        <v>13080</v>
      </c>
      <c r="O2977" s="5" t="s">
        <v>13161</v>
      </c>
      <c r="P2977" s="5" t="s">
        <v>13162</v>
      </c>
      <c r="Q2977" s="5" t="s">
        <v>13163</v>
      </c>
      <c r="R2977" s="5" t="s">
        <v>13164</v>
      </c>
      <c r="W2977" s="5" t="s">
        <v>13085</v>
      </c>
      <c r="X2977" s="5" t="s">
        <v>13086</v>
      </c>
      <c r="Y2977" s="5" t="s">
        <v>13087</v>
      </c>
      <c r="Z2977" s="29" t="s">
        <v>13088</v>
      </c>
      <c r="AG2977" s="14" t="s">
        <v>55</v>
      </c>
      <c r="AH2977" s="14" t="s">
        <v>1603</v>
      </c>
      <c r="AI2977" s="14" t="s">
        <v>1408</v>
      </c>
    </row>
    <row r="2978" spans="1:35" ht="15">
      <c r="A2978" s="5" t="s">
        <v>13170</v>
      </c>
      <c r="B2978" s="5" t="s">
        <v>13171</v>
      </c>
      <c r="C2978" s="6" t="s">
        <v>43</v>
      </c>
      <c r="D2978" s="6" t="s">
        <v>1390</v>
      </c>
      <c r="E2978" s="6" t="s">
        <v>1587</v>
      </c>
      <c r="F2978" s="6" t="s">
        <v>46</v>
      </c>
      <c r="G2978" s="6" t="s">
        <v>13172</v>
      </c>
      <c r="H2978" s="7">
        <v>172.48</v>
      </c>
      <c r="I2978" s="19" t="s">
        <v>1589</v>
      </c>
      <c r="J2978" s="19" t="s">
        <v>13079</v>
      </c>
      <c r="K2978" s="6" t="s">
        <v>13096</v>
      </c>
      <c r="L2978" s="6" t="s">
        <v>13096</v>
      </c>
      <c r="M2978" s="6" t="s">
        <v>13096</v>
      </c>
      <c r="N2978" s="6" t="s">
        <v>13096</v>
      </c>
      <c r="O2978" s="5" t="s">
        <v>13173</v>
      </c>
      <c r="P2978" s="5" t="s">
        <v>13174</v>
      </c>
      <c r="Q2978" s="5" t="s">
        <v>13175</v>
      </c>
      <c r="R2978" s="5" t="s">
        <v>13176</v>
      </c>
      <c r="Z2978" s="29" t="s">
        <v>13088</v>
      </c>
      <c r="AG2978" s="14" t="s">
        <v>55</v>
      </c>
      <c r="AH2978" s="14" t="s">
        <v>1603</v>
      </c>
      <c r="AI2978" s="14" t="s">
        <v>1408</v>
      </c>
    </row>
    <row r="2979" spans="1:35" ht="15">
      <c r="A2979" s="5" t="s">
        <v>13177</v>
      </c>
      <c r="B2979" s="5" t="s">
        <v>13178</v>
      </c>
      <c r="C2979" s="6" t="s">
        <v>43</v>
      </c>
      <c r="D2979" s="6" t="s">
        <v>1390</v>
      </c>
      <c r="E2979" s="6" t="s">
        <v>1587</v>
      </c>
      <c r="F2979" s="6" t="s">
        <v>46</v>
      </c>
      <c r="G2979" s="6" t="s">
        <v>13179</v>
      </c>
      <c r="H2979" s="7">
        <v>187.88</v>
      </c>
      <c r="I2979" s="19" t="s">
        <v>1589</v>
      </c>
      <c r="J2979" s="19" t="s">
        <v>13079</v>
      </c>
      <c r="K2979" s="6" t="s">
        <v>13108</v>
      </c>
      <c r="L2979" s="6" t="s">
        <v>13108</v>
      </c>
      <c r="M2979" s="6" t="s">
        <v>13108</v>
      </c>
      <c r="N2979" s="6" t="s">
        <v>13108</v>
      </c>
      <c r="O2979" s="5" t="s">
        <v>13180</v>
      </c>
      <c r="P2979" s="5" t="s">
        <v>13181</v>
      </c>
      <c r="Q2979" s="5" t="s">
        <v>13182</v>
      </c>
      <c r="R2979" s="5" t="s">
        <v>13183</v>
      </c>
      <c r="Z2979" s="29" t="s">
        <v>13088</v>
      </c>
      <c r="AG2979" s="14" t="s">
        <v>55</v>
      </c>
      <c r="AH2979" s="14" t="s">
        <v>1603</v>
      </c>
      <c r="AI2979" s="14" t="s">
        <v>1408</v>
      </c>
    </row>
    <row r="2980" spans="1:35" ht="15">
      <c r="A2980" s="5" t="s">
        <v>13184</v>
      </c>
      <c r="B2980" s="5" t="s">
        <v>13185</v>
      </c>
      <c r="C2980" s="6" t="s">
        <v>43</v>
      </c>
      <c r="D2980" s="6" t="s">
        <v>1390</v>
      </c>
      <c r="E2980" s="6" t="s">
        <v>1587</v>
      </c>
      <c r="F2980" s="6" t="s">
        <v>46</v>
      </c>
      <c r="G2980" s="6" t="s">
        <v>13186</v>
      </c>
      <c r="H2980" s="7">
        <v>184.8</v>
      </c>
      <c r="I2980" s="19" t="s">
        <v>1589</v>
      </c>
      <c r="J2980" s="19" t="s">
        <v>13079</v>
      </c>
      <c r="K2980" s="6" t="s">
        <v>13096</v>
      </c>
      <c r="L2980" s="6" t="s">
        <v>13096</v>
      </c>
      <c r="M2980" s="6" t="s">
        <v>13096</v>
      </c>
      <c r="N2980" s="6" t="s">
        <v>13096</v>
      </c>
      <c r="O2980" s="5" t="s">
        <v>13187</v>
      </c>
      <c r="P2980" s="5" t="s">
        <v>13188</v>
      </c>
      <c r="Q2980" s="5" t="s">
        <v>13189</v>
      </c>
      <c r="R2980" s="5" t="s">
        <v>13190</v>
      </c>
      <c r="Z2980" s="29" t="s">
        <v>13088</v>
      </c>
      <c r="AG2980" s="14" t="s">
        <v>55</v>
      </c>
      <c r="AH2980" s="14" t="s">
        <v>1603</v>
      </c>
      <c r="AI2980" s="14" t="s">
        <v>1408</v>
      </c>
    </row>
    <row r="2981" spans="1:35" ht="15">
      <c r="A2981" s="5" t="s">
        <v>13191</v>
      </c>
      <c r="B2981" s="5" t="s">
        <v>13192</v>
      </c>
      <c r="C2981" s="6" t="s">
        <v>43</v>
      </c>
      <c r="D2981" s="6" t="s">
        <v>1390</v>
      </c>
      <c r="E2981" s="6" t="s">
        <v>1587</v>
      </c>
      <c r="F2981" s="6" t="s">
        <v>46</v>
      </c>
      <c r="G2981" s="6" t="s">
        <v>13193</v>
      </c>
      <c r="H2981" s="7">
        <v>293.04000000000002</v>
      </c>
      <c r="I2981" s="19" t="s">
        <v>1589</v>
      </c>
      <c r="J2981" s="19" t="s">
        <v>13079</v>
      </c>
      <c r="K2981" s="5" t="s">
        <v>13080</v>
      </c>
      <c r="L2981" s="5" t="s">
        <v>13080</v>
      </c>
      <c r="M2981" s="5" t="s">
        <v>13080</v>
      </c>
      <c r="N2981" s="5" t="s">
        <v>13080</v>
      </c>
      <c r="O2981" s="5" t="s">
        <v>13194</v>
      </c>
      <c r="P2981" s="5" t="s">
        <v>13195</v>
      </c>
      <c r="Q2981" s="5" t="s">
        <v>13196</v>
      </c>
      <c r="R2981" s="5" t="s">
        <v>13197</v>
      </c>
      <c r="W2981" s="5" t="s">
        <v>13085</v>
      </c>
      <c r="X2981" s="5" t="s">
        <v>13086</v>
      </c>
      <c r="Y2981" s="5" t="s">
        <v>13087</v>
      </c>
      <c r="Z2981" s="29" t="s">
        <v>13088</v>
      </c>
      <c r="AG2981" s="14" t="s">
        <v>55</v>
      </c>
      <c r="AH2981" s="14" t="s">
        <v>1603</v>
      </c>
      <c r="AI2981" s="14" t="s">
        <v>1408</v>
      </c>
    </row>
    <row r="2982" spans="1:35" ht="15">
      <c r="A2982" s="5" t="s">
        <v>13198</v>
      </c>
      <c r="B2982" s="5" t="s">
        <v>13192</v>
      </c>
      <c r="C2982" s="6" t="s">
        <v>43</v>
      </c>
      <c r="D2982" s="6" t="s">
        <v>1390</v>
      </c>
      <c r="E2982" s="6" t="s">
        <v>2827</v>
      </c>
      <c r="F2982" s="6" t="s">
        <v>46</v>
      </c>
      <c r="G2982" s="6" t="s">
        <v>8934</v>
      </c>
      <c r="H2982" s="7">
        <v>293.04000000000002</v>
      </c>
      <c r="I2982" s="19" t="s">
        <v>1589</v>
      </c>
      <c r="J2982" s="19" t="s">
        <v>13079</v>
      </c>
      <c r="K2982" s="5" t="s">
        <v>13080</v>
      </c>
      <c r="L2982" s="5" t="s">
        <v>13080</v>
      </c>
      <c r="M2982" s="5" t="s">
        <v>13080</v>
      </c>
      <c r="N2982" s="5" t="s">
        <v>13080</v>
      </c>
      <c r="O2982" s="5" t="s">
        <v>13194</v>
      </c>
      <c r="P2982" s="5" t="s">
        <v>13195</v>
      </c>
      <c r="Q2982" s="5" t="s">
        <v>13196</v>
      </c>
      <c r="R2982" s="5" t="s">
        <v>13197</v>
      </c>
      <c r="W2982" s="5" t="s">
        <v>13085</v>
      </c>
      <c r="X2982" s="5" t="s">
        <v>13086</v>
      </c>
      <c r="Y2982" s="5" t="s">
        <v>13087</v>
      </c>
      <c r="Z2982" s="29" t="s">
        <v>13088</v>
      </c>
      <c r="AG2982" s="14" t="s">
        <v>55</v>
      </c>
      <c r="AH2982" s="14" t="s">
        <v>1603</v>
      </c>
      <c r="AI2982" s="14" t="s">
        <v>1408</v>
      </c>
    </row>
    <row r="2983" spans="1:35" ht="15">
      <c r="A2983" s="5" t="s">
        <v>13199</v>
      </c>
      <c r="B2983" s="5" t="s">
        <v>13192</v>
      </c>
      <c r="C2983" s="6" t="s">
        <v>43</v>
      </c>
      <c r="D2983" s="6" t="s">
        <v>1390</v>
      </c>
      <c r="E2983" s="6" t="s">
        <v>1386</v>
      </c>
      <c r="F2983" s="6" t="s">
        <v>46</v>
      </c>
      <c r="G2983" s="6" t="s">
        <v>13200</v>
      </c>
      <c r="H2983" s="7">
        <v>293.04000000000002</v>
      </c>
      <c r="I2983" s="19" t="s">
        <v>1589</v>
      </c>
      <c r="J2983" s="19" t="s">
        <v>13079</v>
      </c>
      <c r="K2983" s="5" t="s">
        <v>13080</v>
      </c>
      <c r="L2983" s="5" t="s">
        <v>13080</v>
      </c>
      <c r="M2983" s="5" t="s">
        <v>13080</v>
      </c>
      <c r="N2983" s="5" t="s">
        <v>13080</v>
      </c>
      <c r="O2983" s="5" t="s">
        <v>13194</v>
      </c>
      <c r="P2983" s="5" t="s">
        <v>13195</v>
      </c>
      <c r="Q2983" s="5" t="s">
        <v>13196</v>
      </c>
      <c r="R2983" s="5" t="s">
        <v>13197</v>
      </c>
      <c r="W2983" s="5" t="s">
        <v>13085</v>
      </c>
      <c r="X2983" s="5" t="s">
        <v>13086</v>
      </c>
      <c r="Y2983" s="5" t="s">
        <v>13087</v>
      </c>
      <c r="Z2983" s="29" t="s">
        <v>13088</v>
      </c>
      <c r="AG2983" s="14" t="s">
        <v>55</v>
      </c>
      <c r="AH2983" s="14" t="s">
        <v>1603</v>
      </c>
      <c r="AI2983" s="14" t="s">
        <v>1408</v>
      </c>
    </row>
    <row r="2984" spans="1:35" ht="15">
      <c r="A2984" s="5" t="s">
        <v>13201</v>
      </c>
      <c r="B2984" s="5" t="s">
        <v>13192</v>
      </c>
      <c r="C2984" s="6" t="s">
        <v>43</v>
      </c>
      <c r="D2984" s="6" t="s">
        <v>1390</v>
      </c>
      <c r="E2984" s="6" t="s">
        <v>2065</v>
      </c>
      <c r="F2984" s="6" t="s">
        <v>46</v>
      </c>
      <c r="G2984" s="6" t="s">
        <v>13193</v>
      </c>
      <c r="H2984" s="7">
        <v>293.04000000000002</v>
      </c>
      <c r="I2984" s="19" t="s">
        <v>1589</v>
      </c>
      <c r="J2984" s="19" t="s">
        <v>13079</v>
      </c>
      <c r="K2984" s="5" t="s">
        <v>13080</v>
      </c>
      <c r="L2984" s="5" t="s">
        <v>13080</v>
      </c>
      <c r="M2984" s="5" t="s">
        <v>13080</v>
      </c>
      <c r="N2984" s="5" t="s">
        <v>13080</v>
      </c>
      <c r="O2984" s="5" t="s">
        <v>13194</v>
      </c>
      <c r="P2984" s="5" t="s">
        <v>13195</v>
      </c>
      <c r="Q2984" s="5" t="s">
        <v>13196</v>
      </c>
      <c r="R2984" s="5" t="s">
        <v>13197</v>
      </c>
      <c r="W2984" s="5" t="s">
        <v>13085</v>
      </c>
      <c r="X2984" s="5" t="s">
        <v>13086</v>
      </c>
      <c r="Y2984" s="5" t="s">
        <v>13087</v>
      </c>
      <c r="Z2984" s="29" t="s">
        <v>13088</v>
      </c>
      <c r="AG2984" s="14" t="s">
        <v>55</v>
      </c>
      <c r="AH2984" s="14" t="s">
        <v>1603</v>
      </c>
      <c r="AI2984" s="14" t="s">
        <v>1408</v>
      </c>
    </row>
    <row r="2985" spans="1:35" ht="15">
      <c r="A2985" s="5" t="s">
        <v>13202</v>
      </c>
      <c r="B2985" s="5" t="s">
        <v>13203</v>
      </c>
      <c r="C2985" s="6" t="s">
        <v>43</v>
      </c>
      <c r="D2985" s="6" t="s">
        <v>1390</v>
      </c>
      <c r="E2985" s="6" t="s">
        <v>1587</v>
      </c>
      <c r="F2985" s="6" t="s">
        <v>46</v>
      </c>
      <c r="G2985" s="6" t="s">
        <v>13204</v>
      </c>
      <c r="H2985" s="7">
        <v>214.72</v>
      </c>
      <c r="I2985" s="19" t="s">
        <v>1589</v>
      </c>
      <c r="J2985" s="19" t="s">
        <v>13079</v>
      </c>
      <c r="K2985" s="6" t="s">
        <v>13108</v>
      </c>
      <c r="L2985" s="6" t="s">
        <v>13108</v>
      </c>
      <c r="M2985" s="6" t="s">
        <v>13108</v>
      </c>
      <c r="N2985" s="6" t="s">
        <v>13108</v>
      </c>
      <c r="O2985" s="5" t="s">
        <v>13205</v>
      </c>
      <c r="P2985" s="5" t="s">
        <v>13206</v>
      </c>
      <c r="Q2985" s="5" t="s">
        <v>13207</v>
      </c>
      <c r="R2985" s="5" t="s">
        <v>13208</v>
      </c>
      <c r="Z2985" s="29" t="s">
        <v>13088</v>
      </c>
      <c r="AG2985" s="14" t="s">
        <v>55</v>
      </c>
      <c r="AH2985" s="14" t="s">
        <v>1603</v>
      </c>
      <c r="AI2985" s="14" t="s">
        <v>1408</v>
      </c>
    </row>
    <row r="2986" spans="1:35" ht="15">
      <c r="A2986" s="5" t="s">
        <v>13209</v>
      </c>
      <c r="B2986" s="5" t="s">
        <v>13210</v>
      </c>
      <c r="C2986" s="6" t="s">
        <v>43</v>
      </c>
      <c r="D2986" s="6" t="s">
        <v>1390</v>
      </c>
      <c r="E2986" s="6" t="s">
        <v>1587</v>
      </c>
      <c r="F2986" s="6" t="s">
        <v>46</v>
      </c>
      <c r="G2986" s="6" t="s">
        <v>13211</v>
      </c>
      <c r="H2986" s="7">
        <v>22.76</v>
      </c>
      <c r="I2986" s="19" t="s">
        <v>1589</v>
      </c>
      <c r="J2986" s="19" t="s">
        <v>13079</v>
      </c>
      <c r="K2986" s="6" t="s">
        <v>13096</v>
      </c>
      <c r="L2986" s="6" t="s">
        <v>13096</v>
      </c>
      <c r="M2986" s="6" t="s">
        <v>13096</v>
      </c>
      <c r="N2986" s="6" t="s">
        <v>13096</v>
      </c>
      <c r="O2986" s="5" t="s">
        <v>13212</v>
      </c>
      <c r="P2986" s="5" t="s">
        <v>13213</v>
      </c>
      <c r="Q2986" s="5" t="s">
        <v>13214</v>
      </c>
      <c r="R2986" s="5" t="s">
        <v>13215</v>
      </c>
      <c r="Z2986" s="29" t="s">
        <v>13088</v>
      </c>
      <c r="AG2986" s="14" t="s">
        <v>55</v>
      </c>
      <c r="AH2986" s="14" t="s">
        <v>1603</v>
      </c>
      <c r="AI2986" s="14" t="s">
        <v>1408</v>
      </c>
    </row>
    <row r="2987" spans="1:35" ht="15">
      <c r="A2987" s="5" t="s">
        <v>13216</v>
      </c>
      <c r="B2987" s="5" t="s">
        <v>13217</v>
      </c>
      <c r="C2987" s="6" t="s">
        <v>43</v>
      </c>
      <c r="D2987" s="6" t="s">
        <v>1390</v>
      </c>
      <c r="E2987" s="6" t="s">
        <v>1587</v>
      </c>
      <c r="F2987" s="6" t="s">
        <v>46</v>
      </c>
      <c r="G2987" s="6" t="s">
        <v>13218</v>
      </c>
      <c r="H2987" s="7">
        <v>366.3</v>
      </c>
      <c r="I2987" s="19" t="s">
        <v>1589</v>
      </c>
      <c r="J2987" s="19" t="s">
        <v>13079</v>
      </c>
      <c r="K2987" s="5" t="s">
        <v>13080</v>
      </c>
      <c r="L2987" s="5" t="s">
        <v>13080</v>
      </c>
      <c r="M2987" s="5" t="s">
        <v>13080</v>
      </c>
      <c r="N2987" s="5" t="s">
        <v>13080</v>
      </c>
      <c r="O2987" s="5" t="s">
        <v>13219</v>
      </c>
      <c r="P2987" s="5" t="s">
        <v>13220</v>
      </c>
      <c r="Q2987" s="5" t="s">
        <v>13221</v>
      </c>
      <c r="R2987" s="5" t="s">
        <v>13222</v>
      </c>
      <c r="W2987" s="5" t="s">
        <v>13085</v>
      </c>
      <c r="X2987" s="5" t="s">
        <v>13086</v>
      </c>
      <c r="Y2987" s="5" t="s">
        <v>13087</v>
      </c>
      <c r="Z2987" s="29" t="s">
        <v>13088</v>
      </c>
      <c r="AG2987" s="14" t="s">
        <v>55</v>
      </c>
      <c r="AH2987" s="14" t="s">
        <v>1603</v>
      </c>
      <c r="AI2987" s="14" t="s">
        <v>1408</v>
      </c>
    </row>
    <row r="2988" spans="1:35" ht="15">
      <c r="A2988" s="5" t="s">
        <v>13223</v>
      </c>
      <c r="B2988" s="5" t="s">
        <v>13217</v>
      </c>
      <c r="C2988" s="6" t="s">
        <v>43</v>
      </c>
      <c r="D2988" s="6" t="s">
        <v>1390</v>
      </c>
      <c r="E2988" s="6" t="s">
        <v>2827</v>
      </c>
      <c r="F2988" s="6" t="s">
        <v>46</v>
      </c>
      <c r="G2988" s="6" t="s">
        <v>13224</v>
      </c>
      <c r="H2988" s="7">
        <v>366.3</v>
      </c>
      <c r="I2988" s="19" t="s">
        <v>1589</v>
      </c>
      <c r="J2988" s="19" t="s">
        <v>13079</v>
      </c>
      <c r="K2988" s="5" t="s">
        <v>13080</v>
      </c>
      <c r="L2988" s="5" t="s">
        <v>13080</v>
      </c>
      <c r="M2988" s="5" t="s">
        <v>13080</v>
      </c>
      <c r="N2988" s="5" t="s">
        <v>13080</v>
      </c>
      <c r="O2988" s="5" t="s">
        <v>13219</v>
      </c>
      <c r="P2988" s="5" t="s">
        <v>13220</v>
      </c>
      <c r="Q2988" s="5" t="s">
        <v>13221</v>
      </c>
      <c r="R2988" s="5" t="s">
        <v>13222</v>
      </c>
      <c r="W2988" s="5" t="s">
        <v>13085</v>
      </c>
      <c r="X2988" s="5" t="s">
        <v>13086</v>
      </c>
      <c r="Y2988" s="5" t="s">
        <v>13087</v>
      </c>
      <c r="Z2988" s="29" t="s">
        <v>13088</v>
      </c>
      <c r="AG2988" s="14" t="s">
        <v>55</v>
      </c>
      <c r="AH2988" s="14" t="s">
        <v>1603</v>
      </c>
      <c r="AI2988" s="14" t="s">
        <v>1408</v>
      </c>
    </row>
    <row r="2989" spans="1:35" ht="15">
      <c r="A2989" s="5" t="s">
        <v>13225</v>
      </c>
      <c r="B2989" s="5" t="s">
        <v>13217</v>
      </c>
      <c r="C2989" s="6" t="s">
        <v>43</v>
      </c>
      <c r="D2989" s="6" t="s">
        <v>1390</v>
      </c>
      <c r="E2989" s="6" t="s">
        <v>1386</v>
      </c>
      <c r="F2989" s="6" t="s">
        <v>46</v>
      </c>
      <c r="G2989" s="6" t="s">
        <v>13226</v>
      </c>
      <c r="H2989" s="7">
        <v>366.3</v>
      </c>
      <c r="I2989" s="19" t="s">
        <v>1589</v>
      </c>
      <c r="J2989" s="19" t="s">
        <v>13079</v>
      </c>
      <c r="K2989" s="5" t="s">
        <v>13080</v>
      </c>
      <c r="L2989" s="5" t="s">
        <v>13080</v>
      </c>
      <c r="M2989" s="5" t="s">
        <v>13080</v>
      </c>
      <c r="N2989" s="5" t="s">
        <v>13080</v>
      </c>
      <c r="O2989" s="5" t="s">
        <v>13219</v>
      </c>
      <c r="P2989" s="5" t="s">
        <v>13220</v>
      </c>
      <c r="Q2989" s="5" t="s">
        <v>13221</v>
      </c>
      <c r="R2989" s="5" t="s">
        <v>13222</v>
      </c>
      <c r="W2989" s="5" t="s">
        <v>13085</v>
      </c>
      <c r="X2989" s="5" t="s">
        <v>13086</v>
      </c>
      <c r="Y2989" s="5" t="s">
        <v>13087</v>
      </c>
      <c r="Z2989" s="29" t="s">
        <v>13088</v>
      </c>
      <c r="AG2989" s="14" t="s">
        <v>55</v>
      </c>
      <c r="AH2989" s="14" t="s">
        <v>1603</v>
      </c>
      <c r="AI2989" s="14" t="s">
        <v>1408</v>
      </c>
    </row>
    <row r="2990" spans="1:35" ht="15">
      <c r="A2990" s="5" t="s">
        <v>13227</v>
      </c>
      <c r="B2990" s="5" t="s">
        <v>13217</v>
      </c>
      <c r="C2990" s="6" t="s">
        <v>43</v>
      </c>
      <c r="D2990" s="6" t="s">
        <v>1390</v>
      </c>
      <c r="E2990" s="6" t="s">
        <v>2065</v>
      </c>
      <c r="F2990" s="6" t="s">
        <v>46</v>
      </c>
      <c r="G2990" s="6" t="s">
        <v>13228</v>
      </c>
      <c r="H2990" s="7">
        <v>366.3</v>
      </c>
      <c r="I2990" s="19" t="s">
        <v>1589</v>
      </c>
      <c r="J2990" s="19" t="s">
        <v>13079</v>
      </c>
      <c r="K2990" s="5" t="s">
        <v>13080</v>
      </c>
      <c r="L2990" s="5" t="s">
        <v>13080</v>
      </c>
      <c r="M2990" s="5" t="s">
        <v>13080</v>
      </c>
      <c r="N2990" s="5" t="s">
        <v>13080</v>
      </c>
      <c r="O2990" s="5" t="s">
        <v>13219</v>
      </c>
      <c r="P2990" s="5" t="s">
        <v>13220</v>
      </c>
      <c r="Q2990" s="5" t="s">
        <v>13221</v>
      </c>
      <c r="R2990" s="5" t="s">
        <v>13222</v>
      </c>
      <c r="W2990" s="5" t="s">
        <v>13085</v>
      </c>
      <c r="X2990" s="5" t="s">
        <v>13086</v>
      </c>
      <c r="Y2990" s="5" t="s">
        <v>13087</v>
      </c>
      <c r="Z2990" s="29" t="s">
        <v>13088</v>
      </c>
      <c r="AG2990" s="14" t="s">
        <v>55</v>
      </c>
      <c r="AH2990" s="14" t="s">
        <v>1603</v>
      </c>
      <c r="AI2990" s="14" t="s">
        <v>1408</v>
      </c>
    </row>
    <row r="2991" spans="1:35" ht="15">
      <c r="A2991" s="5" t="s">
        <v>13229</v>
      </c>
      <c r="B2991" s="5" t="s">
        <v>13230</v>
      </c>
      <c r="C2991" s="6" t="s">
        <v>43</v>
      </c>
      <c r="D2991" s="6" t="s">
        <v>1390</v>
      </c>
      <c r="E2991" s="6" t="s">
        <v>1587</v>
      </c>
      <c r="F2991" s="6" t="s">
        <v>46</v>
      </c>
      <c r="G2991" s="6" t="s">
        <v>13231</v>
      </c>
      <c r="H2991" s="7">
        <v>246.4</v>
      </c>
      <c r="I2991" s="19" t="s">
        <v>1589</v>
      </c>
      <c r="J2991" s="19" t="s">
        <v>13079</v>
      </c>
      <c r="K2991" s="6" t="s">
        <v>13096</v>
      </c>
      <c r="L2991" s="6" t="s">
        <v>13096</v>
      </c>
      <c r="M2991" s="6" t="s">
        <v>13096</v>
      </c>
      <c r="N2991" s="6" t="s">
        <v>13096</v>
      </c>
      <c r="O2991" s="5" t="s">
        <v>13232</v>
      </c>
      <c r="P2991" s="5" t="s">
        <v>13233</v>
      </c>
      <c r="Q2991" s="5" t="s">
        <v>13234</v>
      </c>
      <c r="R2991" s="5" t="s">
        <v>13235</v>
      </c>
      <c r="Z2991" s="29" t="s">
        <v>13088</v>
      </c>
      <c r="AG2991" s="14" t="s">
        <v>55</v>
      </c>
      <c r="AH2991" s="14" t="s">
        <v>1603</v>
      </c>
      <c r="AI2991" s="14" t="s">
        <v>1408</v>
      </c>
    </row>
    <row r="2992" spans="1:35" ht="15">
      <c r="A2992" s="5" t="s">
        <v>13236</v>
      </c>
      <c r="B2992" s="5" t="s">
        <v>13237</v>
      </c>
      <c r="C2992" s="6" t="s">
        <v>43</v>
      </c>
      <c r="D2992" s="6" t="s">
        <v>1390</v>
      </c>
      <c r="E2992" s="6" t="s">
        <v>1587</v>
      </c>
      <c r="F2992" s="6" t="s">
        <v>46</v>
      </c>
      <c r="G2992" s="6" t="s">
        <v>13238</v>
      </c>
      <c r="H2992" s="7">
        <v>268.39999999999998</v>
      </c>
      <c r="I2992" s="19" t="s">
        <v>1589</v>
      </c>
      <c r="J2992" s="19" t="s">
        <v>13079</v>
      </c>
      <c r="K2992" s="6" t="s">
        <v>13108</v>
      </c>
      <c r="L2992" s="6" t="s">
        <v>13108</v>
      </c>
      <c r="M2992" s="6" t="s">
        <v>13108</v>
      </c>
      <c r="N2992" s="6" t="s">
        <v>13108</v>
      </c>
      <c r="O2992" s="5" t="s">
        <v>13239</v>
      </c>
      <c r="P2992" s="5" t="s">
        <v>13240</v>
      </c>
      <c r="Q2992" s="5" t="s">
        <v>13241</v>
      </c>
      <c r="R2992" s="5" t="s">
        <v>13242</v>
      </c>
      <c r="Z2992" s="29" t="s">
        <v>13088</v>
      </c>
      <c r="AG2992" s="14" t="s">
        <v>55</v>
      </c>
      <c r="AH2992" s="14" t="s">
        <v>1603</v>
      </c>
      <c r="AI2992" s="14" t="s">
        <v>1408</v>
      </c>
    </row>
    <row r="2993" spans="1:35" ht="15">
      <c r="A2993" s="5" t="s">
        <v>13243</v>
      </c>
      <c r="B2993" s="5" t="s">
        <v>13237</v>
      </c>
      <c r="C2993" s="6" t="s">
        <v>43</v>
      </c>
      <c r="D2993" s="6" t="s">
        <v>1390</v>
      </c>
      <c r="E2993" s="6" t="s">
        <v>1386</v>
      </c>
      <c r="F2993" s="6" t="s">
        <v>46</v>
      </c>
      <c r="G2993" s="6" t="s">
        <v>13244</v>
      </c>
      <c r="H2993" s="7">
        <v>268.39999999999998</v>
      </c>
      <c r="I2993" s="19" t="s">
        <v>1589</v>
      </c>
      <c r="J2993" s="19" t="s">
        <v>13079</v>
      </c>
      <c r="K2993" s="6" t="s">
        <v>13108</v>
      </c>
      <c r="L2993" s="6" t="s">
        <v>13108</v>
      </c>
      <c r="M2993" s="6" t="s">
        <v>13108</v>
      </c>
      <c r="N2993" s="6" t="s">
        <v>13108</v>
      </c>
      <c r="O2993" s="5" t="s">
        <v>13239</v>
      </c>
      <c r="P2993" s="5" t="s">
        <v>13240</v>
      </c>
      <c r="Q2993" s="5" t="s">
        <v>13241</v>
      </c>
      <c r="R2993" s="5" t="s">
        <v>13242</v>
      </c>
      <c r="Z2993" s="29" t="s">
        <v>13088</v>
      </c>
      <c r="AG2993" s="14" t="s">
        <v>55</v>
      </c>
      <c r="AH2993" s="14" t="s">
        <v>1603</v>
      </c>
      <c r="AI2993" s="14" t="s">
        <v>1408</v>
      </c>
    </row>
    <row r="2994" spans="1:35" ht="15">
      <c r="A2994" s="5" t="s">
        <v>13245</v>
      </c>
      <c r="B2994" s="5" t="s">
        <v>13246</v>
      </c>
      <c r="C2994" s="6" t="s">
        <v>43</v>
      </c>
      <c r="D2994" s="6" t="s">
        <v>1390</v>
      </c>
      <c r="E2994" s="6" t="s">
        <v>1386</v>
      </c>
      <c r="F2994" s="6" t="s">
        <v>46</v>
      </c>
      <c r="G2994" s="6" t="s">
        <v>13247</v>
      </c>
      <c r="H2994" s="7">
        <v>36.96</v>
      </c>
      <c r="I2994" s="19" t="s">
        <v>1589</v>
      </c>
      <c r="J2994" s="19" t="s">
        <v>13079</v>
      </c>
      <c r="K2994" s="6" t="s">
        <v>13096</v>
      </c>
      <c r="L2994" s="6" t="s">
        <v>13096</v>
      </c>
      <c r="M2994" s="6" t="s">
        <v>13096</v>
      </c>
      <c r="N2994" s="6" t="s">
        <v>13096</v>
      </c>
      <c r="O2994" s="5" t="s">
        <v>13248</v>
      </c>
      <c r="P2994" s="5" t="s">
        <v>13249</v>
      </c>
      <c r="Q2994" s="5" t="s">
        <v>13250</v>
      </c>
      <c r="R2994" s="5" t="s">
        <v>13251</v>
      </c>
      <c r="Z2994" s="29" t="s">
        <v>13088</v>
      </c>
      <c r="AG2994" s="14" t="s">
        <v>55</v>
      </c>
      <c r="AH2994" s="14" t="s">
        <v>1603</v>
      </c>
      <c r="AI2994" s="14" t="s">
        <v>1408</v>
      </c>
    </row>
    <row r="2995" spans="1:35" ht="15">
      <c r="A2995" s="5" t="s">
        <v>13252</v>
      </c>
      <c r="B2995" s="5" t="s">
        <v>13253</v>
      </c>
      <c r="C2995" s="6" t="s">
        <v>43</v>
      </c>
      <c r="D2995" s="6" t="s">
        <v>1390</v>
      </c>
      <c r="E2995" s="6" t="s">
        <v>1386</v>
      </c>
      <c r="F2995" s="6" t="s">
        <v>46</v>
      </c>
      <c r="G2995" s="6" t="s">
        <v>3731</v>
      </c>
      <c r="H2995" s="7">
        <v>43.12</v>
      </c>
      <c r="I2995" s="19" t="s">
        <v>1589</v>
      </c>
      <c r="J2995" s="19" t="s">
        <v>13079</v>
      </c>
      <c r="K2995" s="6" t="s">
        <v>13096</v>
      </c>
      <c r="L2995" s="6" t="s">
        <v>13096</v>
      </c>
      <c r="M2995" s="6" t="s">
        <v>13096</v>
      </c>
      <c r="N2995" s="6" t="s">
        <v>13096</v>
      </c>
      <c r="O2995" s="5" t="s">
        <v>13254</v>
      </c>
      <c r="P2995" s="5" t="s">
        <v>13255</v>
      </c>
      <c r="Q2995" s="5" t="s">
        <v>13256</v>
      </c>
      <c r="R2995" s="5" t="s">
        <v>13257</v>
      </c>
      <c r="Z2995" s="29" t="s">
        <v>13088</v>
      </c>
      <c r="AG2995" s="14" t="s">
        <v>55</v>
      </c>
      <c r="AH2995" s="14" t="s">
        <v>1603</v>
      </c>
      <c r="AI2995" s="14" t="s">
        <v>1408</v>
      </c>
    </row>
    <row r="2996" spans="1:35" ht="15">
      <c r="A2996" s="5" t="s">
        <v>13258</v>
      </c>
      <c r="B2996" s="5" t="s">
        <v>13259</v>
      </c>
      <c r="C2996" s="6" t="s">
        <v>43</v>
      </c>
      <c r="D2996" s="6" t="s">
        <v>1390</v>
      </c>
      <c r="E2996" s="6" t="s">
        <v>2461</v>
      </c>
      <c r="F2996" s="6" t="s">
        <v>46</v>
      </c>
      <c r="G2996" s="6" t="s">
        <v>2710</v>
      </c>
      <c r="H2996" s="7">
        <v>73.260000000000005</v>
      </c>
      <c r="I2996" s="19" t="s">
        <v>1589</v>
      </c>
      <c r="J2996" s="19" t="s">
        <v>13079</v>
      </c>
      <c r="K2996" s="5" t="s">
        <v>13080</v>
      </c>
      <c r="L2996" s="5" t="s">
        <v>13080</v>
      </c>
      <c r="M2996" s="5" t="s">
        <v>13080</v>
      </c>
      <c r="N2996" s="5" t="s">
        <v>13080</v>
      </c>
      <c r="O2996" s="5" t="s">
        <v>13260</v>
      </c>
      <c r="P2996" s="5" t="s">
        <v>13261</v>
      </c>
      <c r="Q2996" s="5" t="s">
        <v>13262</v>
      </c>
      <c r="R2996" s="5" t="s">
        <v>13263</v>
      </c>
      <c r="W2996" s="5" t="s">
        <v>13085</v>
      </c>
      <c r="X2996" s="5" t="s">
        <v>13086</v>
      </c>
      <c r="Y2996" s="5" t="s">
        <v>13087</v>
      </c>
      <c r="Z2996" s="29" t="s">
        <v>13088</v>
      </c>
      <c r="AG2996" s="14" t="s">
        <v>55</v>
      </c>
      <c r="AH2996" s="14" t="s">
        <v>1603</v>
      </c>
      <c r="AI2996" s="14" t="s">
        <v>1408</v>
      </c>
    </row>
    <row r="2997" spans="1:35" ht="15">
      <c r="A2997" s="5" t="s">
        <v>13264</v>
      </c>
      <c r="B2997" s="5" t="s">
        <v>13265</v>
      </c>
      <c r="C2997" s="6" t="s">
        <v>43</v>
      </c>
      <c r="D2997" s="6" t="s">
        <v>1390</v>
      </c>
      <c r="E2997" s="6" t="s">
        <v>1386</v>
      </c>
      <c r="F2997" s="6" t="s">
        <v>46</v>
      </c>
      <c r="G2997" s="6" t="s">
        <v>7451</v>
      </c>
      <c r="H2997" s="7">
        <v>53.68</v>
      </c>
      <c r="I2997" s="19" t="s">
        <v>1589</v>
      </c>
      <c r="J2997" s="19" t="s">
        <v>13079</v>
      </c>
      <c r="K2997" s="6" t="s">
        <v>13108</v>
      </c>
      <c r="L2997" s="6" t="s">
        <v>13108</v>
      </c>
      <c r="M2997" s="6" t="s">
        <v>13108</v>
      </c>
      <c r="N2997" s="6" t="s">
        <v>13108</v>
      </c>
      <c r="O2997" s="5" t="s">
        <v>13266</v>
      </c>
      <c r="P2997" s="5" t="s">
        <v>13267</v>
      </c>
      <c r="Q2997" s="5" t="s">
        <v>13268</v>
      </c>
      <c r="R2997" s="5" t="s">
        <v>13269</v>
      </c>
      <c r="Z2997" s="29" t="s">
        <v>13088</v>
      </c>
      <c r="AG2997" s="14" t="s">
        <v>55</v>
      </c>
      <c r="AH2997" s="14" t="s">
        <v>1603</v>
      </c>
      <c r="AI2997" s="14" t="s">
        <v>1408</v>
      </c>
    </row>
    <row r="2998" spans="1:35" ht="15">
      <c r="A2998" s="5" t="s">
        <v>13270</v>
      </c>
      <c r="B2998" s="5" t="s">
        <v>13271</v>
      </c>
      <c r="C2998" s="6" t="s">
        <v>43</v>
      </c>
      <c r="D2998" s="6" t="s">
        <v>1390</v>
      </c>
      <c r="E2998" s="6" t="s">
        <v>1587</v>
      </c>
      <c r="F2998" s="6" t="s">
        <v>46</v>
      </c>
      <c r="G2998" s="6" t="s">
        <v>13272</v>
      </c>
      <c r="H2998" s="7">
        <v>61.6</v>
      </c>
      <c r="I2998" s="19" t="s">
        <v>1589</v>
      </c>
      <c r="J2998" s="19" t="s">
        <v>13079</v>
      </c>
      <c r="K2998" s="6" t="s">
        <v>13096</v>
      </c>
      <c r="L2998" s="6" t="s">
        <v>13096</v>
      </c>
      <c r="M2998" s="6" t="s">
        <v>13096</v>
      </c>
      <c r="N2998" s="6" t="s">
        <v>13096</v>
      </c>
      <c r="O2998" s="5" t="s">
        <v>13273</v>
      </c>
      <c r="P2998" s="5" t="s">
        <v>13274</v>
      </c>
      <c r="Q2998" s="5" t="s">
        <v>13275</v>
      </c>
      <c r="R2998" s="5" t="s">
        <v>13276</v>
      </c>
      <c r="Z2998" s="29" t="s">
        <v>13088</v>
      </c>
      <c r="AG2998" s="14" t="s">
        <v>55</v>
      </c>
      <c r="AH2998" s="14" t="s">
        <v>1603</v>
      </c>
      <c r="AI2998" s="14" t="s">
        <v>1408</v>
      </c>
    </row>
    <row r="2999" spans="1:35" ht="15">
      <c r="A2999" s="5" t="s">
        <v>13277</v>
      </c>
      <c r="B2999" s="5" t="s">
        <v>13271</v>
      </c>
      <c r="C2999" s="6" t="s">
        <v>43</v>
      </c>
      <c r="D2999" s="6" t="s">
        <v>1390</v>
      </c>
      <c r="E2999" s="6" t="s">
        <v>1386</v>
      </c>
      <c r="F2999" s="6" t="s">
        <v>46</v>
      </c>
      <c r="G2999" s="6" t="s">
        <v>13278</v>
      </c>
      <c r="H2999" s="7">
        <v>61.6</v>
      </c>
      <c r="I2999" s="19" t="s">
        <v>1589</v>
      </c>
      <c r="J2999" s="19" t="s">
        <v>13079</v>
      </c>
      <c r="K2999" s="6" t="s">
        <v>13096</v>
      </c>
      <c r="L2999" s="6" t="s">
        <v>13096</v>
      </c>
      <c r="M2999" s="6" t="s">
        <v>13096</v>
      </c>
      <c r="N2999" s="6" t="s">
        <v>13096</v>
      </c>
      <c r="O2999" s="5" t="s">
        <v>13279</v>
      </c>
      <c r="P2999" s="5" t="s">
        <v>13280</v>
      </c>
      <c r="Q2999" s="5" t="s">
        <v>13281</v>
      </c>
      <c r="R2999" s="5" t="s">
        <v>13282</v>
      </c>
      <c r="Z2999" s="29" t="s">
        <v>13088</v>
      </c>
      <c r="AG2999" s="14" t="s">
        <v>55</v>
      </c>
      <c r="AH2999" s="14" t="s">
        <v>1603</v>
      </c>
      <c r="AI2999" s="14" t="s">
        <v>1408</v>
      </c>
    </row>
    <row r="3000" spans="1:35" ht="15">
      <c r="A3000" s="5" t="s">
        <v>13283</v>
      </c>
      <c r="B3000" s="5" t="s">
        <v>13284</v>
      </c>
      <c r="C3000" s="6" t="s">
        <v>43</v>
      </c>
      <c r="D3000" s="6" t="s">
        <v>1390</v>
      </c>
      <c r="E3000" s="6" t="s">
        <v>2461</v>
      </c>
      <c r="F3000" s="6" t="s">
        <v>46</v>
      </c>
      <c r="G3000" s="6" t="s">
        <v>13285</v>
      </c>
      <c r="H3000" s="7">
        <v>109.89</v>
      </c>
      <c r="I3000" s="19" t="s">
        <v>1589</v>
      </c>
      <c r="J3000" s="19" t="s">
        <v>13079</v>
      </c>
      <c r="K3000" s="5" t="s">
        <v>13080</v>
      </c>
      <c r="L3000" s="5" t="s">
        <v>13080</v>
      </c>
      <c r="M3000" s="5" t="s">
        <v>13080</v>
      </c>
      <c r="N3000" s="5" t="s">
        <v>13080</v>
      </c>
      <c r="O3000" s="5" t="s">
        <v>13286</v>
      </c>
      <c r="P3000" s="5" t="s">
        <v>13287</v>
      </c>
      <c r="Q3000" s="5" t="s">
        <v>13288</v>
      </c>
      <c r="R3000" s="5" t="s">
        <v>13289</v>
      </c>
      <c r="W3000" s="5" t="s">
        <v>13085</v>
      </c>
      <c r="X3000" s="5" t="s">
        <v>13086</v>
      </c>
      <c r="Y3000" s="5" t="s">
        <v>13087</v>
      </c>
      <c r="Z3000" s="29" t="s">
        <v>13088</v>
      </c>
      <c r="AG3000" s="14" t="s">
        <v>55</v>
      </c>
      <c r="AH3000" s="14" t="s">
        <v>1603</v>
      </c>
      <c r="AI3000" s="14" t="s">
        <v>1408</v>
      </c>
    </row>
    <row r="3001" spans="1:35" ht="15">
      <c r="A3001" s="5" t="s">
        <v>13290</v>
      </c>
      <c r="B3001" s="5" t="s">
        <v>13291</v>
      </c>
      <c r="C3001" s="6" t="s">
        <v>43</v>
      </c>
      <c r="D3001" s="6" t="s">
        <v>1390</v>
      </c>
      <c r="E3001" s="6" t="s">
        <v>1587</v>
      </c>
      <c r="F3001" s="6" t="s">
        <v>46</v>
      </c>
      <c r="G3001" s="6" t="s">
        <v>13292</v>
      </c>
      <c r="H3001" s="7">
        <v>73.92</v>
      </c>
      <c r="I3001" s="19" t="s">
        <v>1589</v>
      </c>
      <c r="J3001" s="19" t="s">
        <v>13079</v>
      </c>
      <c r="K3001" s="6" t="s">
        <v>13096</v>
      </c>
      <c r="L3001" s="6" t="s">
        <v>13096</v>
      </c>
      <c r="M3001" s="6" t="s">
        <v>13096</v>
      </c>
      <c r="N3001" s="6" t="s">
        <v>13096</v>
      </c>
      <c r="O3001" s="5" t="s">
        <v>13293</v>
      </c>
      <c r="P3001" s="5" t="s">
        <v>13294</v>
      </c>
      <c r="Q3001" s="5" t="s">
        <v>13295</v>
      </c>
      <c r="R3001" s="5" t="s">
        <v>13296</v>
      </c>
      <c r="Z3001" s="29" t="s">
        <v>13088</v>
      </c>
      <c r="AG3001" s="14" t="s">
        <v>55</v>
      </c>
      <c r="AH3001" s="14" t="s">
        <v>1603</v>
      </c>
      <c r="AI3001" s="14" t="s">
        <v>1408</v>
      </c>
    </row>
    <row r="3002" spans="1:35" ht="15">
      <c r="A3002" s="5" t="s">
        <v>13297</v>
      </c>
      <c r="B3002" s="5" t="s">
        <v>13291</v>
      </c>
      <c r="C3002" s="6" t="s">
        <v>43</v>
      </c>
      <c r="D3002" s="6" t="s">
        <v>1390</v>
      </c>
      <c r="E3002" s="6" t="s">
        <v>1386</v>
      </c>
      <c r="F3002" s="6" t="s">
        <v>46</v>
      </c>
      <c r="G3002" s="6" t="s">
        <v>13298</v>
      </c>
      <c r="H3002" s="7">
        <v>73.92</v>
      </c>
      <c r="I3002" s="19" t="s">
        <v>1589</v>
      </c>
      <c r="J3002" s="19" t="s">
        <v>13079</v>
      </c>
      <c r="K3002" s="6" t="s">
        <v>13096</v>
      </c>
      <c r="L3002" s="6" t="s">
        <v>13096</v>
      </c>
      <c r="M3002" s="6" t="s">
        <v>13096</v>
      </c>
      <c r="N3002" s="6" t="s">
        <v>13096</v>
      </c>
      <c r="O3002" s="5" t="s">
        <v>13299</v>
      </c>
      <c r="P3002" s="5" t="s">
        <v>13300</v>
      </c>
      <c r="Q3002" s="5" t="s">
        <v>13301</v>
      </c>
      <c r="R3002" s="5" t="s">
        <v>13302</v>
      </c>
      <c r="Z3002" s="29" t="s">
        <v>13088</v>
      </c>
      <c r="AG3002" s="14" t="s">
        <v>55</v>
      </c>
      <c r="AH3002" s="14" t="s">
        <v>1603</v>
      </c>
      <c r="AI3002" s="14" t="s">
        <v>1408</v>
      </c>
    </row>
    <row r="3003" spans="1:35" ht="15">
      <c r="A3003" s="5" t="s">
        <v>13303</v>
      </c>
      <c r="B3003" s="5" t="s">
        <v>13304</v>
      </c>
      <c r="C3003" s="6" t="s">
        <v>43</v>
      </c>
      <c r="D3003" s="6" t="s">
        <v>1390</v>
      </c>
      <c r="E3003" s="6" t="s">
        <v>1587</v>
      </c>
      <c r="F3003" s="6" t="s">
        <v>46</v>
      </c>
      <c r="G3003" s="6" t="s">
        <v>2415</v>
      </c>
      <c r="H3003" s="7">
        <v>80.08</v>
      </c>
      <c r="I3003" s="19" t="s">
        <v>1589</v>
      </c>
      <c r="J3003" s="19" t="s">
        <v>13079</v>
      </c>
      <c r="K3003" s="6" t="s">
        <v>13096</v>
      </c>
      <c r="L3003" s="6" t="s">
        <v>13096</v>
      </c>
      <c r="M3003" s="6" t="s">
        <v>13096</v>
      </c>
      <c r="N3003" s="6" t="s">
        <v>13096</v>
      </c>
      <c r="O3003" s="5" t="s">
        <v>13305</v>
      </c>
      <c r="P3003" s="5" t="s">
        <v>13306</v>
      </c>
      <c r="Q3003" s="5" t="s">
        <v>13307</v>
      </c>
      <c r="R3003" s="5" t="s">
        <v>13308</v>
      </c>
      <c r="Z3003" s="29" t="s">
        <v>13088</v>
      </c>
      <c r="AG3003" s="14" t="s">
        <v>55</v>
      </c>
      <c r="AH3003" s="14" t="s">
        <v>1603</v>
      </c>
      <c r="AI3003" s="14" t="s">
        <v>1408</v>
      </c>
    </row>
    <row r="3004" spans="1:35" ht="15">
      <c r="A3004" s="5" t="s">
        <v>13309</v>
      </c>
      <c r="B3004" s="5" t="s">
        <v>13304</v>
      </c>
      <c r="C3004" s="6" t="s">
        <v>43</v>
      </c>
      <c r="D3004" s="6" t="s">
        <v>1390</v>
      </c>
      <c r="E3004" s="6" t="s">
        <v>1386</v>
      </c>
      <c r="F3004" s="6" t="s">
        <v>46</v>
      </c>
      <c r="G3004" s="6" t="s">
        <v>2415</v>
      </c>
      <c r="H3004" s="7">
        <v>80.08</v>
      </c>
      <c r="I3004" s="19" t="s">
        <v>1589</v>
      </c>
      <c r="J3004" s="19" t="s">
        <v>13079</v>
      </c>
      <c r="K3004" s="6" t="s">
        <v>13096</v>
      </c>
      <c r="L3004" s="6" t="s">
        <v>13096</v>
      </c>
      <c r="M3004" s="6" t="s">
        <v>13096</v>
      </c>
      <c r="N3004" s="6" t="s">
        <v>13096</v>
      </c>
      <c r="O3004" s="5" t="s">
        <v>13310</v>
      </c>
      <c r="P3004" s="5" t="s">
        <v>13311</v>
      </c>
      <c r="Q3004" s="5" t="s">
        <v>13312</v>
      </c>
      <c r="R3004" s="5" t="s">
        <v>13313</v>
      </c>
      <c r="Z3004" s="29" t="s">
        <v>13088</v>
      </c>
      <c r="AG3004" s="14" t="s">
        <v>55</v>
      </c>
      <c r="AH3004" s="14" t="s">
        <v>1603</v>
      </c>
      <c r="AI3004" s="14" t="s">
        <v>1408</v>
      </c>
    </row>
    <row r="3005" spans="1:35" ht="15">
      <c r="A3005" s="5" t="s">
        <v>13314</v>
      </c>
      <c r="B3005" s="5" t="s">
        <v>13315</v>
      </c>
      <c r="C3005" s="6" t="s">
        <v>43</v>
      </c>
      <c r="D3005" s="6" t="s">
        <v>1390</v>
      </c>
      <c r="E3005" s="6" t="s">
        <v>1587</v>
      </c>
      <c r="F3005" s="6" t="s">
        <v>46</v>
      </c>
      <c r="G3005" s="6" t="s">
        <v>10353</v>
      </c>
      <c r="H3005" s="7">
        <v>87.23</v>
      </c>
      <c r="I3005" s="19" t="s">
        <v>1589</v>
      </c>
      <c r="J3005" s="19" t="s">
        <v>13079</v>
      </c>
      <c r="K3005" s="6" t="s">
        <v>13108</v>
      </c>
      <c r="L3005" s="6" t="s">
        <v>13108</v>
      </c>
      <c r="M3005" s="6" t="s">
        <v>13108</v>
      </c>
      <c r="N3005" s="6" t="s">
        <v>13108</v>
      </c>
      <c r="O3005" s="5" t="s">
        <v>13316</v>
      </c>
      <c r="P3005" s="5" t="s">
        <v>13317</v>
      </c>
      <c r="Q3005" s="5" t="s">
        <v>13318</v>
      </c>
      <c r="R3005" s="5" t="s">
        <v>13319</v>
      </c>
      <c r="Z3005" s="29" t="s">
        <v>13088</v>
      </c>
      <c r="AG3005" s="14" t="s">
        <v>55</v>
      </c>
      <c r="AH3005" s="14" t="s">
        <v>1603</v>
      </c>
      <c r="AI3005" s="14" t="s">
        <v>1408</v>
      </c>
    </row>
    <row r="3006" spans="1:35" ht="15">
      <c r="A3006" s="5" t="s">
        <v>13320</v>
      </c>
      <c r="B3006" s="5" t="s">
        <v>13315</v>
      </c>
      <c r="C3006" s="6" t="s">
        <v>43</v>
      </c>
      <c r="D3006" s="6" t="s">
        <v>1390</v>
      </c>
      <c r="E3006" s="6" t="s">
        <v>1386</v>
      </c>
      <c r="F3006" s="6" t="s">
        <v>46</v>
      </c>
      <c r="G3006" s="6" t="s">
        <v>10353</v>
      </c>
      <c r="H3006" s="7">
        <v>87.23</v>
      </c>
      <c r="I3006" s="19" t="s">
        <v>1589</v>
      </c>
      <c r="J3006" s="19" t="s">
        <v>13079</v>
      </c>
      <c r="K3006" s="6" t="s">
        <v>13108</v>
      </c>
      <c r="L3006" s="6" t="s">
        <v>13108</v>
      </c>
      <c r="M3006" s="6" t="s">
        <v>13108</v>
      </c>
      <c r="N3006" s="6" t="s">
        <v>13108</v>
      </c>
      <c r="O3006" s="5" t="s">
        <v>13316</v>
      </c>
      <c r="P3006" s="5" t="s">
        <v>13317</v>
      </c>
      <c r="Q3006" s="5" t="s">
        <v>13318</v>
      </c>
      <c r="R3006" s="5" t="s">
        <v>13319</v>
      </c>
      <c r="Z3006" s="29" t="s">
        <v>13088</v>
      </c>
      <c r="AG3006" s="14" t="s">
        <v>55</v>
      </c>
      <c r="AH3006" s="14" t="s">
        <v>1603</v>
      </c>
      <c r="AI3006" s="14" t="s">
        <v>1408</v>
      </c>
    </row>
    <row r="3007" spans="1:35" ht="15">
      <c r="A3007" s="5" t="s">
        <v>13321</v>
      </c>
      <c r="B3007" s="5" t="s">
        <v>13322</v>
      </c>
      <c r="C3007" s="6" t="s">
        <v>43</v>
      </c>
      <c r="D3007" s="6" t="s">
        <v>1390</v>
      </c>
      <c r="E3007" s="6" t="s">
        <v>1587</v>
      </c>
      <c r="F3007" s="6" t="s">
        <v>46</v>
      </c>
      <c r="G3007" s="6" t="s">
        <v>13323</v>
      </c>
      <c r="H3007" s="7">
        <v>86.24</v>
      </c>
      <c r="I3007" s="19" t="s">
        <v>1589</v>
      </c>
      <c r="J3007" s="19" t="s">
        <v>13079</v>
      </c>
      <c r="K3007" s="6" t="s">
        <v>13096</v>
      </c>
      <c r="L3007" s="6" t="s">
        <v>13096</v>
      </c>
      <c r="M3007" s="6" t="s">
        <v>13096</v>
      </c>
      <c r="N3007" s="6" t="s">
        <v>13096</v>
      </c>
      <c r="O3007" s="5" t="s">
        <v>13324</v>
      </c>
      <c r="P3007" s="5" t="s">
        <v>13325</v>
      </c>
      <c r="Q3007" s="5" t="s">
        <v>13326</v>
      </c>
      <c r="R3007" s="5" t="s">
        <v>13327</v>
      </c>
      <c r="Z3007" s="29" t="s">
        <v>13088</v>
      </c>
      <c r="AG3007" s="14" t="s">
        <v>55</v>
      </c>
      <c r="AH3007" s="14" t="s">
        <v>1603</v>
      </c>
      <c r="AI3007" s="14" t="s">
        <v>1408</v>
      </c>
    </row>
    <row r="3008" spans="1:35" ht="15">
      <c r="A3008" s="5" t="s">
        <v>13328</v>
      </c>
      <c r="B3008" s="5" t="s">
        <v>13329</v>
      </c>
      <c r="C3008" s="6" t="s">
        <v>43</v>
      </c>
      <c r="D3008" s="6" t="s">
        <v>1390</v>
      </c>
      <c r="E3008" s="6" t="s">
        <v>1386</v>
      </c>
      <c r="F3008" s="6" t="s">
        <v>46</v>
      </c>
      <c r="G3008" s="6" t="s">
        <v>13330</v>
      </c>
      <c r="H3008" s="7">
        <v>93.94</v>
      </c>
      <c r="I3008" s="19" t="s">
        <v>1589</v>
      </c>
      <c r="J3008" s="19" t="s">
        <v>13079</v>
      </c>
      <c r="K3008" s="6" t="s">
        <v>13108</v>
      </c>
      <c r="L3008" s="6" t="s">
        <v>13108</v>
      </c>
      <c r="M3008" s="6" t="s">
        <v>13108</v>
      </c>
      <c r="N3008" s="6" t="s">
        <v>13108</v>
      </c>
      <c r="O3008" s="5" t="s">
        <v>13331</v>
      </c>
      <c r="P3008" s="5" t="s">
        <v>13332</v>
      </c>
      <c r="Q3008" s="5" t="s">
        <v>13333</v>
      </c>
      <c r="R3008" s="5" t="s">
        <v>13334</v>
      </c>
      <c r="Z3008" s="29" t="s">
        <v>13088</v>
      </c>
      <c r="AG3008" s="14" t="s">
        <v>55</v>
      </c>
      <c r="AH3008" s="14" t="s">
        <v>1603</v>
      </c>
      <c r="AI3008" s="14" t="s">
        <v>1408</v>
      </c>
    </row>
    <row r="3009" spans="1:37" ht="15">
      <c r="A3009" s="5" t="s">
        <v>13335</v>
      </c>
      <c r="B3009" s="5" t="s">
        <v>13336</v>
      </c>
      <c r="C3009" s="6" t="s">
        <v>43</v>
      </c>
      <c r="D3009" s="6" t="s">
        <v>1390</v>
      </c>
      <c r="E3009" s="6" t="s">
        <v>1587</v>
      </c>
      <c r="F3009" s="6" t="s">
        <v>46</v>
      </c>
      <c r="G3009" s="6" t="s">
        <v>4123</v>
      </c>
      <c r="H3009" s="7">
        <v>92.4</v>
      </c>
      <c r="I3009" s="19" t="s">
        <v>1589</v>
      </c>
      <c r="J3009" s="19" t="s">
        <v>13079</v>
      </c>
      <c r="K3009" s="6" t="s">
        <v>13096</v>
      </c>
      <c r="L3009" s="6" t="s">
        <v>13096</v>
      </c>
      <c r="M3009" s="6" t="s">
        <v>13096</v>
      </c>
      <c r="N3009" s="6" t="s">
        <v>13096</v>
      </c>
      <c r="O3009" s="5" t="s">
        <v>13337</v>
      </c>
      <c r="P3009" s="5" t="s">
        <v>13338</v>
      </c>
      <c r="Q3009" s="5" t="s">
        <v>13339</v>
      </c>
      <c r="R3009" s="5" t="s">
        <v>13340</v>
      </c>
      <c r="Z3009" s="29" t="s">
        <v>13088</v>
      </c>
      <c r="AG3009" s="14" t="s">
        <v>55</v>
      </c>
      <c r="AH3009" s="14" t="s">
        <v>1603</v>
      </c>
      <c r="AI3009" s="14" t="s">
        <v>1408</v>
      </c>
    </row>
    <row r="3010" spans="1:37" ht="15">
      <c r="A3010" s="5" t="s">
        <v>13341</v>
      </c>
      <c r="B3010" s="5" t="s">
        <v>13342</v>
      </c>
      <c r="C3010" s="6" t="s">
        <v>43</v>
      </c>
      <c r="D3010" s="6" t="s">
        <v>1390</v>
      </c>
      <c r="E3010" s="6" t="s">
        <v>1587</v>
      </c>
      <c r="F3010" s="6" t="s">
        <v>46</v>
      </c>
      <c r="G3010" s="6" t="s">
        <v>13343</v>
      </c>
      <c r="H3010" s="7">
        <v>146.52000000000001</v>
      </c>
      <c r="I3010" s="19" t="s">
        <v>1589</v>
      </c>
      <c r="J3010" s="19" t="s">
        <v>13079</v>
      </c>
      <c r="K3010" s="5" t="s">
        <v>13080</v>
      </c>
      <c r="L3010" s="5" t="s">
        <v>13080</v>
      </c>
      <c r="M3010" s="5" t="s">
        <v>13080</v>
      </c>
      <c r="N3010" s="5" t="s">
        <v>13080</v>
      </c>
      <c r="O3010" s="5" t="s">
        <v>13344</v>
      </c>
      <c r="P3010" s="5" t="s">
        <v>13345</v>
      </c>
      <c r="Q3010" s="5" t="s">
        <v>13346</v>
      </c>
      <c r="R3010" s="5" t="s">
        <v>13347</v>
      </c>
      <c r="W3010" s="5" t="s">
        <v>13085</v>
      </c>
      <c r="X3010" s="5" t="s">
        <v>13086</v>
      </c>
      <c r="Y3010" s="5" t="s">
        <v>13087</v>
      </c>
      <c r="Z3010" s="29" t="s">
        <v>13088</v>
      </c>
      <c r="AG3010" s="14" t="s">
        <v>55</v>
      </c>
      <c r="AH3010" s="14" t="s">
        <v>1603</v>
      </c>
      <c r="AI3010" s="14" t="s">
        <v>1408</v>
      </c>
    </row>
    <row r="3011" spans="1:37" ht="15">
      <c r="A3011" s="5" t="s">
        <v>13348</v>
      </c>
      <c r="B3011" s="5" t="s">
        <v>13342</v>
      </c>
      <c r="C3011" s="6" t="s">
        <v>43</v>
      </c>
      <c r="D3011" s="6" t="s">
        <v>1390</v>
      </c>
      <c r="E3011" s="6" t="s">
        <v>1386</v>
      </c>
      <c r="F3011" s="6" t="s">
        <v>46</v>
      </c>
      <c r="G3011" s="6" t="s">
        <v>13349</v>
      </c>
      <c r="H3011" s="7">
        <v>146.52000000000001</v>
      </c>
      <c r="I3011" s="19" t="s">
        <v>1589</v>
      </c>
      <c r="J3011" s="19" t="s">
        <v>13079</v>
      </c>
      <c r="K3011" s="5" t="s">
        <v>13080</v>
      </c>
      <c r="L3011" s="5" t="s">
        <v>13080</v>
      </c>
      <c r="M3011" s="5" t="s">
        <v>13080</v>
      </c>
      <c r="N3011" s="5" t="s">
        <v>13080</v>
      </c>
      <c r="O3011" s="5" t="s">
        <v>13344</v>
      </c>
      <c r="P3011" s="5" t="s">
        <v>13345</v>
      </c>
      <c r="Q3011" s="5" t="s">
        <v>13346</v>
      </c>
      <c r="R3011" s="5" t="s">
        <v>13347</v>
      </c>
      <c r="W3011" s="5" t="s">
        <v>13085</v>
      </c>
      <c r="X3011" s="5" t="s">
        <v>13086</v>
      </c>
      <c r="Y3011" s="5" t="s">
        <v>13087</v>
      </c>
      <c r="Z3011" s="29" t="s">
        <v>13088</v>
      </c>
      <c r="AG3011" s="14" t="s">
        <v>55</v>
      </c>
      <c r="AH3011" s="14" t="s">
        <v>1603</v>
      </c>
      <c r="AI3011" s="14" t="s">
        <v>1408</v>
      </c>
    </row>
    <row r="3012" spans="1:37" ht="15">
      <c r="A3012" s="5" t="s">
        <v>13350</v>
      </c>
      <c r="B3012" s="5" t="s">
        <v>13351</v>
      </c>
      <c r="C3012" s="6" t="s">
        <v>43</v>
      </c>
      <c r="D3012" s="6" t="s">
        <v>1390</v>
      </c>
      <c r="E3012" s="6" t="s">
        <v>1587</v>
      </c>
      <c r="F3012" s="6" t="s">
        <v>46</v>
      </c>
      <c r="G3012" s="6" t="s">
        <v>13352</v>
      </c>
      <c r="H3012" s="7">
        <v>98.56</v>
      </c>
      <c r="I3012" s="19" t="s">
        <v>1589</v>
      </c>
      <c r="J3012" s="19" t="s">
        <v>13079</v>
      </c>
      <c r="K3012" s="6" t="s">
        <v>13096</v>
      </c>
      <c r="L3012" s="6" t="s">
        <v>13096</v>
      </c>
      <c r="M3012" s="6" t="s">
        <v>13096</v>
      </c>
      <c r="N3012" s="6" t="s">
        <v>13096</v>
      </c>
      <c r="O3012" s="5" t="s">
        <v>13353</v>
      </c>
      <c r="P3012" s="5" t="s">
        <v>13354</v>
      </c>
      <c r="Q3012" s="5" t="s">
        <v>13355</v>
      </c>
      <c r="R3012" s="5" t="s">
        <v>13356</v>
      </c>
      <c r="Z3012" s="29" t="s">
        <v>13088</v>
      </c>
      <c r="AG3012" s="14" t="s">
        <v>55</v>
      </c>
      <c r="AH3012" s="14" t="s">
        <v>1603</v>
      </c>
      <c r="AI3012" s="14" t="s">
        <v>1408</v>
      </c>
    </row>
    <row r="3013" spans="1:37" ht="15">
      <c r="A3013" s="5" t="s">
        <v>13357</v>
      </c>
      <c r="B3013" s="5" t="s">
        <v>13351</v>
      </c>
      <c r="C3013" s="6" t="s">
        <v>43</v>
      </c>
      <c r="D3013" s="6" t="s">
        <v>1390</v>
      </c>
      <c r="E3013" s="6" t="s">
        <v>1386</v>
      </c>
      <c r="F3013" s="6" t="s">
        <v>46</v>
      </c>
      <c r="G3013" s="6" t="s">
        <v>13358</v>
      </c>
      <c r="H3013" s="7">
        <v>98.56</v>
      </c>
      <c r="I3013" s="19" t="s">
        <v>1589</v>
      </c>
      <c r="J3013" s="19" t="s">
        <v>13079</v>
      </c>
      <c r="K3013" s="6" t="s">
        <v>13096</v>
      </c>
      <c r="L3013" s="6" t="s">
        <v>13096</v>
      </c>
      <c r="M3013" s="6" t="s">
        <v>13096</v>
      </c>
      <c r="N3013" s="6" t="s">
        <v>13096</v>
      </c>
      <c r="O3013" s="5" t="s">
        <v>13359</v>
      </c>
      <c r="P3013" s="5" t="s">
        <v>13360</v>
      </c>
      <c r="Q3013" s="5" t="s">
        <v>13361</v>
      </c>
      <c r="R3013" s="5" t="s">
        <v>13362</v>
      </c>
      <c r="Z3013" s="29" t="s">
        <v>13088</v>
      </c>
      <c r="AG3013" s="14" t="s">
        <v>55</v>
      </c>
      <c r="AH3013" s="14" t="s">
        <v>1603</v>
      </c>
      <c r="AI3013" s="14" t="s">
        <v>1408</v>
      </c>
    </row>
    <row r="3014" spans="1:37" ht="15">
      <c r="A3014" s="5" t="s">
        <v>13363</v>
      </c>
      <c r="B3014" s="5" t="s">
        <v>13364</v>
      </c>
      <c r="C3014" s="6" t="s">
        <v>43</v>
      </c>
      <c r="D3014" s="6" t="s">
        <v>1390</v>
      </c>
      <c r="E3014" s="6" t="s">
        <v>1587</v>
      </c>
      <c r="F3014" s="6" t="s">
        <v>46</v>
      </c>
      <c r="G3014" s="6" t="s">
        <v>13365</v>
      </c>
      <c r="H3014" s="7">
        <v>107.36</v>
      </c>
      <c r="I3014" s="19" t="s">
        <v>1589</v>
      </c>
      <c r="J3014" s="19" t="s">
        <v>13079</v>
      </c>
      <c r="K3014" s="6" t="s">
        <v>13108</v>
      </c>
      <c r="L3014" s="6" t="s">
        <v>13108</v>
      </c>
      <c r="M3014" s="6" t="s">
        <v>13108</v>
      </c>
      <c r="N3014" s="6" t="s">
        <v>13108</v>
      </c>
      <c r="O3014" s="5" t="s">
        <v>13366</v>
      </c>
      <c r="P3014" s="5" t="s">
        <v>13367</v>
      </c>
      <c r="Q3014" s="5" t="s">
        <v>13368</v>
      </c>
      <c r="R3014" s="5" t="s">
        <v>13369</v>
      </c>
      <c r="Z3014" s="29" t="s">
        <v>13088</v>
      </c>
      <c r="AG3014" s="14" t="s">
        <v>55</v>
      </c>
      <c r="AH3014" s="14" t="s">
        <v>1603</v>
      </c>
      <c r="AI3014" s="14" t="s">
        <v>1408</v>
      </c>
    </row>
    <row r="3015" spans="1:37" ht="15">
      <c r="A3015" s="5" t="s">
        <v>13370</v>
      </c>
      <c r="B3015" s="5" t="s">
        <v>13364</v>
      </c>
      <c r="C3015" s="6" t="s">
        <v>43</v>
      </c>
      <c r="D3015" s="6" t="s">
        <v>1390</v>
      </c>
      <c r="E3015" s="6" t="s">
        <v>1386</v>
      </c>
      <c r="F3015" s="6" t="s">
        <v>46</v>
      </c>
      <c r="G3015" s="6" t="s">
        <v>13330</v>
      </c>
      <c r="H3015" s="7">
        <v>107.36</v>
      </c>
      <c r="I3015" s="19" t="s">
        <v>1589</v>
      </c>
      <c r="J3015" s="19" t="s">
        <v>13079</v>
      </c>
      <c r="K3015" s="6" t="s">
        <v>13108</v>
      </c>
      <c r="L3015" s="6" t="s">
        <v>13108</v>
      </c>
      <c r="M3015" s="6" t="s">
        <v>13108</v>
      </c>
      <c r="N3015" s="6" t="s">
        <v>13108</v>
      </c>
      <c r="O3015" s="5" t="s">
        <v>13366</v>
      </c>
      <c r="P3015" s="5" t="s">
        <v>13367</v>
      </c>
      <c r="Q3015" s="5" t="s">
        <v>13368</v>
      </c>
      <c r="R3015" s="5" t="s">
        <v>13369</v>
      </c>
      <c r="Z3015" s="29" t="s">
        <v>13088</v>
      </c>
      <c r="AG3015" s="14" t="s">
        <v>55</v>
      </c>
      <c r="AH3015" s="14" t="s">
        <v>1603</v>
      </c>
      <c r="AI3015" s="14" t="s">
        <v>1408</v>
      </c>
    </row>
    <row r="3016" spans="1:37" ht="15">
      <c r="A3016" s="5" t="s">
        <v>13371</v>
      </c>
      <c r="B3016" s="5" t="s">
        <v>13364</v>
      </c>
      <c r="C3016" s="6" t="s">
        <v>43</v>
      </c>
      <c r="D3016" s="6" t="s">
        <v>1390</v>
      </c>
      <c r="E3016" s="6" t="s">
        <v>2461</v>
      </c>
      <c r="F3016" s="6" t="s">
        <v>46</v>
      </c>
      <c r="G3016" s="6" t="s">
        <v>13372</v>
      </c>
      <c r="H3016" s="7">
        <v>107.36</v>
      </c>
      <c r="I3016" s="19" t="s">
        <v>1589</v>
      </c>
      <c r="J3016" s="19" t="s">
        <v>13079</v>
      </c>
      <c r="K3016" s="6" t="s">
        <v>13108</v>
      </c>
      <c r="L3016" s="6" t="s">
        <v>13108</v>
      </c>
      <c r="M3016" s="6" t="s">
        <v>13108</v>
      </c>
      <c r="N3016" s="6" t="s">
        <v>13108</v>
      </c>
      <c r="O3016" s="5" t="s">
        <v>13366</v>
      </c>
      <c r="P3016" s="5" t="s">
        <v>13367</v>
      </c>
      <c r="Q3016" s="5" t="s">
        <v>13368</v>
      </c>
      <c r="R3016" s="5" t="s">
        <v>13369</v>
      </c>
      <c r="Z3016" s="29" t="s">
        <v>13088</v>
      </c>
      <c r="AG3016" s="14" t="s">
        <v>55</v>
      </c>
      <c r="AH3016" s="14" t="s">
        <v>1603</v>
      </c>
      <c r="AI3016" s="14" t="s">
        <v>1408</v>
      </c>
    </row>
    <row r="3017" spans="1:37" ht="15">
      <c r="A3017" s="5" t="s">
        <v>13373</v>
      </c>
      <c r="B3017" s="5" t="s">
        <v>13374</v>
      </c>
      <c r="C3017" s="6" t="s">
        <v>43</v>
      </c>
      <c r="D3017" s="6" t="s">
        <v>1390</v>
      </c>
      <c r="E3017" s="6" t="s">
        <v>1587</v>
      </c>
      <c r="F3017" s="6" t="s">
        <v>46</v>
      </c>
      <c r="G3017" s="6" t="s">
        <v>10353</v>
      </c>
      <c r="H3017" s="7">
        <v>127.49</v>
      </c>
      <c r="I3017" s="19" t="s">
        <v>1589</v>
      </c>
      <c r="J3017" s="19" t="s">
        <v>13079</v>
      </c>
      <c r="K3017" s="6" t="s">
        <v>13108</v>
      </c>
      <c r="L3017" s="6" t="s">
        <v>13108</v>
      </c>
      <c r="M3017" s="6" t="s">
        <v>13108</v>
      </c>
      <c r="N3017" s="6" t="s">
        <v>13108</v>
      </c>
      <c r="O3017" s="5" t="s">
        <v>13375</v>
      </c>
      <c r="P3017" s="5" t="s">
        <v>13376</v>
      </c>
      <c r="Q3017" s="5" t="s">
        <v>13377</v>
      </c>
      <c r="R3017" s="5" t="s">
        <v>13378</v>
      </c>
      <c r="Z3017" s="29" t="s">
        <v>13088</v>
      </c>
      <c r="AG3017" s="14" t="s">
        <v>55</v>
      </c>
      <c r="AH3017" s="14" t="s">
        <v>1603</v>
      </c>
      <c r="AI3017" s="14" t="s">
        <v>1408</v>
      </c>
    </row>
    <row r="3018" spans="1:37">
      <c r="A3018" s="6" t="s">
        <v>13379</v>
      </c>
      <c r="B3018" s="6" t="s">
        <v>13380</v>
      </c>
      <c r="C3018" s="6" t="s">
        <v>43</v>
      </c>
      <c r="D3018" s="6" t="s">
        <v>13381</v>
      </c>
      <c r="E3018" s="6" t="s">
        <v>10938</v>
      </c>
      <c r="F3018" s="6" t="s">
        <v>46</v>
      </c>
      <c r="G3018" s="6" t="s">
        <v>6825</v>
      </c>
      <c r="I3018" s="5" t="s">
        <v>48</v>
      </c>
      <c r="J3018" s="5" t="s">
        <v>48</v>
      </c>
      <c r="K3018" s="6"/>
      <c r="L3018" s="6"/>
      <c r="M3018" s="6"/>
      <c r="N3018" s="6"/>
      <c r="O3018" s="6"/>
      <c r="P3018" s="6"/>
      <c r="Q3018" s="6"/>
      <c r="R3018" s="6"/>
      <c r="S3018" s="6"/>
      <c r="T3018" s="6"/>
      <c r="U3018" s="6"/>
      <c r="V3018" s="6"/>
      <c r="W3018" s="6"/>
      <c r="X3018" s="6"/>
      <c r="Y3018" s="6"/>
      <c r="Z3018" s="6"/>
      <c r="AA3018" s="6"/>
      <c r="AB3018" s="6"/>
      <c r="AC3018" s="6"/>
      <c r="AD3018" s="6"/>
      <c r="AE3018" s="6"/>
      <c r="AF3018" s="6"/>
      <c r="AG3018" s="15" t="s">
        <v>55</v>
      </c>
      <c r="AH3018" s="15"/>
      <c r="AI3018" s="15"/>
      <c r="AJ3018" s="6"/>
      <c r="AK3018" s="6"/>
    </row>
    <row r="3019" spans="1:37" s="6" customFormat="1">
      <c r="A3019" s="6" t="s">
        <v>13382</v>
      </c>
      <c r="B3019" s="6" t="s">
        <v>13383</v>
      </c>
      <c r="C3019" s="6" t="s">
        <v>43</v>
      </c>
      <c r="D3019" s="6" t="s">
        <v>13381</v>
      </c>
      <c r="E3019" s="6" t="s">
        <v>10938</v>
      </c>
      <c r="F3019" s="6" t="s">
        <v>46</v>
      </c>
      <c r="G3019" s="6" t="s">
        <v>13384</v>
      </c>
      <c r="H3019" s="7"/>
      <c r="I3019" s="6" t="s">
        <v>48</v>
      </c>
      <c r="J3019" s="6" t="s">
        <v>48</v>
      </c>
      <c r="AG3019" s="15" t="s">
        <v>55</v>
      </c>
      <c r="AH3019" s="15"/>
      <c r="AI3019" s="15"/>
    </row>
    <row r="3020" spans="1:37" s="6" customFormat="1">
      <c r="A3020" s="6" t="s">
        <v>13385</v>
      </c>
      <c r="B3020" s="6" t="s">
        <v>13386</v>
      </c>
      <c r="C3020" s="6" t="s">
        <v>43</v>
      </c>
      <c r="D3020" s="6" t="s">
        <v>13381</v>
      </c>
      <c r="E3020" s="6" t="s">
        <v>10938</v>
      </c>
      <c r="F3020" s="6" t="s">
        <v>46</v>
      </c>
      <c r="G3020" s="6" t="s">
        <v>13387</v>
      </c>
      <c r="H3020" s="7"/>
      <c r="I3020" s="5" t="s">
        <v>48</v>
      </c>
      <c r="J3020" s="5" t="s">
        <v>48</v>
      </c>
      <c r="AG3020" s="15" t="s">
        <v>55</v>
      </c>
      <c r="AH3020" s="15"/>
      <c r="AI3020" s="15"/>
    </row>
    <row r="3021" spans="1:37" s="6" customFormat="1">
      <c r="A3021" s="6" t="s">
        <v>13388</v>
      </c>
      <c r="B3021" s="6" t="s">
        <v>13389</v>
      </c>
      <c r="C3021" s="6" t="s">
        <v>43</v>
      </c>
      <c r="D3021" s="6" t="s">
        <v>13381</v>
      </c>
      <c r="E3021" s="6" t="s">
        <v>10938</v>
      </c>
      <c r="F3021" s="6" t="s">
        <v>46</v>
      </c>
      <c r="G3021" s="6" t="s">
        <v>2201</v>
      </c>
      <c r="H3021" s="7"/>
      <c r="I3021" s="6" t="s">
        <v>48</v>
      </c>
      <c r="J3021" s="6" t="s">
        <v>48</v>
      </c>
      <c r="AG3021" s="15" t="s">
        <v>55</v>
      </c>
      <c r="AH3021" s="15"/>
      <c r="AI3021" s="15"/>
    </row>
    <row r="3022" spans="1:37" s="6" customFormat="1">
      <c r="A3022" s="6" t="s">
        <v>13390</v>
      </c>
      <c r="B3022" s="6" t="s">
        <v>13391</v>
      </c>
      <c r="C3022" s="6" t="s">
        <v>43</v>
      </c>
      <c r="D3022" s="6" t="s">
        <v>13381</v>
      </c>
      <c r="E3022" s="6" t="s">
        <v>10938</v>
      </c>
      <c r="F3022" s="6" t="s">
        <v>46</v>
      </c>
      <c r="G3022" s="6" t="s">
        <v>8461</v>
      </c>
      <c r="H3022" s="7"/>
      <c r="I3022" s="5" t="s">
        <v>48</v>
      </c>
      <c r="J3022" s="5" t="s">
        <v>48</v>
      </c>
      <c r="AG3022" s="15" t="s">
        <v>55</v>
      </c>
      <c r="AH3022" s="15"/>
      <c r="AI3022" s="15"/>
    </row>
    <row r="3023" spans="1:37" s="6" customFormat="1">
      <c r="A3023" s="6" t="s">
        <v>13392</v>
      </c>
      <c r="B3023" s="6" t="s">
        <v>13393</v>
      </c>
      <c r="C3023" s="6" t="s">
        <v>43</v>
      </c>
      <c r="D3023" s="6" t="s">
        <v>13381</v>
      </c>
      <c r="E3023" s="6" t="s">
        <v>10938</v>
      </c>
      <c r="F3023" s="6" t="s">
        <v>46</v>
      </c>
      <c r="G3023" s="6" t="s">
        <v>13394</v>
      </c>
      <c r="H3023" s="7"/>
      <c r="I3023" s="5" t="s">
        <v>48</v>
      </c>
      <c r="J3023" s="5" t="s">
        <v>48</v>
      </c>
      <c r="AG3023" s="15" t="s">
        <v>55</v>
      </c>
      <c r="AH3023" s="15"/>
      <c r="AI3023" s="15"/>
    </row>
    <row r="3024" spans="1:37" s="6" customFormat="1">
      <c r="A3024" s="6" t="s">
        <v>13395</v>
      </c>
      <c r="B3024" s="6" t="s">
        <v>13396</v>
      </c>
      <c r="C3024" s="6" t="s">
        <v>43</v>
      </c>
      <c r="D3024" s="6" t="s">
        <v>13381</v>
      </c>
      <c r="E3024" s="6" t="s">
        <v>10938</v>
      </c>
      <c r="F3024" s="6" t="s">
        <v>46</v>
      </c>
      <c r="G3024" s="6" t="s">
        <v>13397</v>
      </c>
      <c r="H3024" s="7"/>
      <c r="I3024" s="5" t="s">
        <v>48</v>
      </c>
      <c r="J3024" s="5" t="s">
        <v>48</v>
      </c>
      <c r="AG3024" s="15" t="s">
        <v>55</v>
      </c>
      <c r="AH3024" s="15"/>
      <c r="AI3024" s="15"/>
    </row>
    <row r="3025" spans="1:37" s="6" customFormat="1">
      <c r="A3025" s="6" t="s">
        <v>13398</v>
      </c>
      <c r="B3025" s="6" t="s">
        <v>13399</v>
      </c>
      <c r="C3025" s="6" t="s">
        <v>43</v>
      </c>
      <c r="D3025" s="6" t="s">
        <v>52</v>
      </c>
      <c r="E3025" s="6" t="s">
        <v>53</v>
      </c>
      <c r="F3025" s="6" t="s">
        <v>46</v>
      </c>
      <c r="G3025" s="6" t="s">
        <v>43</v>
      </c>
      <c r="H3025" s="7"/>
      <c r="I3025" s="6" t="s">
        <v>48</v>
      </c>
      <c r="J3025" s="6" t="s">
        <v>48</v>
      </c>
      <c r="AG3025" s="15" t="s">
        <v>55</v>
      </c>
      <c r="AH3025" s="15"/>
      <c r="AI3025" s="15"/>
    </row>
    <row r="3026" spans="1:37" s="6" customFormat="1">
      <c r="A3026" s="5" t="s">
        <v>13400</v>
      </c>
      <c r="B3026" s="5" t="s">
        <v>13401</v>
      </c>
      <c r="C3026" s="6" t="s">
        <v>43</v>
      </c>
      <c r="D3026" s="6" t="s">
        <v>10989</v>
      </c>
      <c r="E3026" s="6" t="s">
        <v>1653</v>
      </c>
      <c r="F3026" s="6" t="s">
        <v>46</v>
      </c>
      <c r="G3026" s="6" t="s">
        <v>43</v>
      </c>
      <c r="H3026" s="7"/>
      <c r="I3026" s="5"/>
      <c r="J3026" s="5"/>
      <c r="K3026" s="5"/>
      <c r="L3026" s="5"/>
      <c r="M3026" s="5"/>
      <c r="N3026" s="5"/>
      <c r="O3026" s="5"/>
      <c r="P3026" s="5"/>
      <c r="Q3026" s="5"/>
      <c r="R3026" s="5"/>
      <c r="S3026" s="5"/>
      <c r="T3026" s="5"/>
      <c r="U3026" s="5"/>
      <c r="V3026" s="5"/>
      <c r="W3026" s="5"/>
      <c r="X3026" s="5"/>
      <c r="Y3026" s="5"/>
      <c r="Z3026" s="5"/>
      <c r="AA3026" s="5"/>
      <c r="AB3026" s="5"/>
      <c r="AC3026" s="5"/>
      <c r="AD3026" s="5"/>
      <c r="AE3026" s="5"/>
      <c r="AF3026" s="5"/>
      <c r="AG3026" s="14" t="s">
        <v>55</v>
      </c>
      <c r="AH3026" s="14"/>
      <c r="AI3026" s="14"/>
      <c r="AJ3026" s="5"/>
      <c r="AK3026" s="5"/>
    </row>
    <row r="3027" spans="1:37">
      <c r="A3027" s="6" t="s">
        <v>13402</v>
      </c>
      <c r="B3027" s="6" t="s">
        <v>13403</v>
      </c>
      <c r="C3027" s="6" t="s">
        <v>43</v>
      </c>
      <c r="D3027" s="6" t="s">
        <v>239</v>
      </c>
      <c r="E3027" s="6" t="s">
        <v>53</v>
      </c>
      <c r="F3027" s="6" t="s">
        <v>46</v>
      </c>
      <c r="G3027" s="6" t="s">
        <v>43</v>
      </c>
      <c r="I3027" s="6" t="s">
        <v>48</v>
      </c>
      <c r="J3027" s="6" t="s">
        <v>48</v>
      </c>
      <c r="K3027" s="6"/>
      <c r="L3027" s="6"/>
      <c r="M3027" s="6"/>
      <c r="N3027" s="6"/>
      <c r="O3027" s="6"/>
      <c r="P3027" s="6"/>
      <c r="Q3027" s="6"/>
      <c r="R3027" s="6"/>
      <c r="S3027" s="6"/>
      <c r="T3027" s="6"/>
      <c r="U3027" s="6"/>
      <c r="V3027" s="6"/>
      <c r="W3027" s="6"/>
      <c r="X3027" s="6"/>
      <c r="Y3027" s="6"/>
      <c r="Z3027" s="6"/>
      <c r="AA3027" s="6"/>
      <c r="AB3027" s="6"/>
      <c r="AC3027" s="6"/>
      <c r="AD3027" s="6"/>
      <c r="AE3027" s="6"/>
      <c r="AF3027" s="6"/>
      <c r="AG3027" s="15" t="s">
        <v>55</v>
      </c>
      <c r="AH3027" s="15"/>
      <c r="AI3027" s="15"/>
      <c r="AJ3027" s="6"/>
      <c r="AK3027" s="6"/>
    </row>
    <row r="3028" spans="1:37" s="6" customFormat="1">
      <c r="A3028" s="6" t="s">
        <v>13404</v>
      </c>
      <c r="B3028" s="6" t="s">
        <v>13405</v>
      </c>
      <c r="C3028" s="6" t="s">
        <v>43</v>
      </c>
      <c r="D3028" s="6" t="s">
        <v>239</v>
      </c>
      <c r="E3028" s="6" t="s">
        <v>53</v>
      </c>
      <c r="F3028" s="6" t="s">
        <v>46</v>
      </c>
      <c r="G3028" s="6" t="s">
        <v>895</v>
      </c>
      <c r="H3028" s="18">
        <v>410</v>
      </c>
      <c r="I3028" s="6" t="s">
        <v>48</v>
      </c>
      <c r="J3028" s="6" t="s">
        <v>48</v>
      </c>
      <c r="AG3028" s="15" t="s">
        <v>55</v>
      </c>
      <c r="AH3028" s="15"/>
      <c r="AI3028" s="15"/>
    </row>
    <row r="3029" spans="1:37" s="6" customFormat="1">
      <c r="A3029" s="6" t="s">
        <v>13406</v>
      </c>
      <c r="B3029" s="6" t="s">
        <v>13407</v>
      </c>
      <c r="C3029" s="6" t="s">
        <v>43</v>
      </c>
      <c r="D3029" s="6" t="s">
        <v>239</v>
      </c>
      <c r="E3029" s="6" t="s">
        <v>53</v>
      </c>
      <c r="F3029" s="6" t="s">
        <v>46</v>
      </c>
      <c r="G3029" s="6" t="s">
        <v>13408</v>
      </c>
      <c r="H3029" s="18">
        <v>410</v>
      </c>
      <c r="I3029" s="6" t="s">
        <v>48</v>
      </c>
      <c r="J3029" s="6" t="s">
        <v>48</v>
      </c>
      <c r="AG3029" s="15" t="s">
        <v>55</v>
      </c>
      <c r="AH3029" s="15"/>
      <c r="AI3029" s="15"/>
    </row>
    <row r="3030" spans="1:37" s="6" customFormat="1">
      <c r="A3030" s="6" t="s">
        <v>13409</v>
      </c>
      <c r="B3030" s="6" t="s">
        <v>13410</v>
      </c>
      <c r="C3030" s="6" t="s">
        <v>43</v>
      </c>
      <c r="D3030" s="6" t="s">
        <v>239</v>
      </c>
      <c r="E3030" s="6" t="s">
        <v>53</v>
      </c>
      <c r="F3030" s="6" t="s">
        <v>46</v>
      </c>
      <c r="G3030" s="6" t="s">
        <v>481</v>
      </c>
      <c r="H3030" s="18">
        <v>275</v>
      </c>
      <c r="I3030" s="6" t="s">
        <v>48</v>
      </c>
      <c r="J3030" s="6" t="s">
        <v>48</v>
      </c>
      <c r="AG3030" s="15" t="s">
        <v>55</v>
      </c>
      <c r="AH3030" s="15"/>
      <c r="AI3030" s="15"/>
    </row>
    <row r="3031" spans="1:37" s="6" customFormat="1">
      <c r="A3031" s="6" t="s">
        <v>13411</v>
      </c>
      <c r="B3031" s="6" t="s">
        <v>13412</v>
      </c>
      <c r="C3031" s="6" t="s">
        <v>43</v>
      </c>
      <c r="D3031" s="6" t="s">
        <v>239</v>
      </c>
      <c r="E3031" s="6" t="s">
        <v>53</v>
      </c>
      <c r="F3031" s="6" t="s">
        <v>46</v>
      </c>
      <c r="G3031" s="6" t="s">
        <v>43</v>
      </c>
      <c r="H3031" s="18">
        <v>145</v>
      </c>
      <c r="I3031" s="6" t="s">
        <v>48</v>
      </c>
      <c r="J3031" s="6" t="s">
        <v>48</v>
      </c>
      <c r="AG3031" s="15" t="s">
        <v>55</v>
      </c>
      <c r="AH3031" s="15"/>
      <c r="AI3031" s="15"/>
    </row>
    <row r="3032" spans="1:37" s="6" customFormat="1">
      <c r="A3032" s="6" t="s">
        <v>13413</v>
      </c>
      <c r="B3032" s="6" t="s">
        <v>13414</v>
      </c>
      <c r="C3032" s="6" t="s">
        <v>43</v>
      </c>
      <c r="D3032" s="6" t="s">
        <v>239</v>
      </c>
      <c r="E3032" s="6" t="s">
        <v>2933</v>
      </c>
      <c r="F3032" s="6" t="s">
        <v>46</v>
      </c>
      <c r="G3032" s="6" t="s">
        <v>481</v>
      </c>
      <c r="H3032" s="18">
        <v>425</v>
      </c>
      <c r="I3032" s="5" t="s">
        <v>48</v>
      </c>
      <c r="J3032" s="5" t="s">
        <v>48</v>
      </c>
      <c r="AG3032" s="15" t="s">
        <v>55</v>
      </c>
      <c r="AH3032" s="15"/>
      <c r="AI3032" s="15"/>
    </row>
    <row r="3033" spans="1:37" s="6" customFormat="1">
      <c r="A3033" s="6" t="s">
        <v>13415</v>
      </c>
      <c r="B3033" s="6" t="s">
        <v>13416</v>
      </c>
      <c r="C3033" s="6" t="s">
        <v>13417</v>
      </c>
      <c r="D3033" s="6" t="s">
        <v>13381</v>
      </c>
      <c r="E3033" s="6" t="s">
        <v>10938</v>
      </c>
      <c r="F3033" s="6" t="s">
        <v>46</v>
      </c>
      <c r="G3033" s="6" t="s">
        <v>13418</v>
      </c>
      <c r="H3033" s="7"/>
      <c r="I3033" s="6" t="s">
        <v>48</v>
      </c>
      <c r="J3033" s="6" t="s">
        <v>48</v>
      </c>
      <c r="AG3033" s="15" t="s">
        <v>55</v>
      </c>
      <c r="AH3033" s="15"/>
      <c r="AI3033" s="15"/>
    </row>
    <row r="3034" spans="1:37" s="6" customFormat="1">
      <c r="A3034" s="6" t="s">
        <v>13419</v>
      </c>
      <c r="B3034" s="6" t="s">
        <v>13420</v>
      </c>
      <c r="C3034" s="6" t="s">
        <v>43</v>
      </c>
      <c r="D3034" s="6" t="s">
        <v>10937</v>
      </c>
      <c r="E3034" s="6" t="s">
        <v>10938</v>
      </c>
      <c r="F3034" s="6" t="s">
        <v>46</v>
      </c>
      <c r="G3034" s="6" t="s">
        <v>13421</v>
      </c>
      <c r="H3034" s="7"/>
      <c r="I3034" s="6" t="s">
        <v>48</v>
      </c>
      <c r="J3034" s="6" t="s">
        <v>48</v>
      </c>
      <c r="AG3034" s="15" t="s">
        <v>55</v>
      </c>
      <c r="AH3034" s="15"/>
      <c r="AI3034" s="15"/>
    </row>
    <row r="3035" spans="1:37" s="6" customFormat="1">
      <c r="A3035" s="6" t="s">
        <v>13422</v>
      </c>
      <c r="B3035" s="6" t="s">
        <v>13423</v>
      </c>
      <c r="C3035" s="6" t="s">
        <v>43</v>
      </c>
      <c r="D3035" s="6" t="s">
        <v>13381</v>
      </c>
      <c r="E3035" s="6" t="s">
        <v>10938</v>
      </c>
      <c r="F3035" s="6" t="s">
        <v>46</v>
      </c>
      <c r="G3035" s="6" t="s">
        <v>13424</v>
      </c>
      <c r="H3035" s="7"/>
      <c r="I3035" s="6" t="s">
        <v>48</v>
      </c>
      <c r="J3035" s="6" t="s">
        <v>48</v>
      </c>
      <c r="AG3035" s="15" t="s">
        <v>55</v>
      </c>
      <c r="AH3035" s="15"/>
      <c r="AI3035" s="15"/>
    </row>
    <row r="3036" spans="1:37" s="6" customFormat="1">
      <c r="A3036" s="6" t="s">
        <v>13425</v>
      </c>
      <c r="B3036" s="6" t="s">
        <v>13426</v>
      </c>
      <c r="C3036" s="6" t="s">
        <v>43</v>
      </c>
      <c r="D3036" s="6" t="s">
        <v>13381</v>
      </c>
      <c r="E3036" s="6" t="s">
        <v>10938</v>
      </c>
      <c r="F3036" s="6" t="s">
        <v>46</v>
      </c>
      <c r="G3036" s="6" t="s">
        <v>13427</v>
      </c>
      <c r="H3036" s="7"/>
      <c r="I3036" s="5" t="s">
        <v>48</v>
      </c>
      <c r="J3036" s="5" t="s">
        <v>48</v>
      </c>
      <c r="AG3036" s="15" t="s">
        <v>55</v>
      </c>
      <c r="AH3036" s="15"/>
      <c r="AI3036" s="15"/>
    </row>
    <row r="3037" spans="1:37" s="6" customFormat="1">
      <c r="A3037" s="6" t="s">
        <v>13428</v>
      </c>
      <c r="B3037" s="6" t="s">
        <v>13429</v>
      </c>
      <c r="C3037" s="6" t="s">
        <v>43</v>
      </c>
      <c r="D3037" s="6" t="s">
        <v>13381</v>
      </c>
      <c r="E3037" s="6" t="s">
        <v>10938</v>
      </c>
      <c r="F3037" s="6" t="s">
        <v>46</v>
      </c>
      <c r="G3037" s="6" t="s">
        <v>13430</v>
      </c>
      <c r="H3037" s="7"/>
      <c r="I3037" s="6" t="s">
        <v>48</v>
      </c>
      <c r="J3037" s="6" t="s">
        <v>48</v>
      </c>
      <c r="AG3037" s="15" t="s">
        <v>55</v>
      </c>
      <c r="AH3037" s="15"/>
      <c r="AI3037" s="15"/>
    </row>
    <row r="3038" spans="1:37" s="6" customFormat="1">
      <c r="A3038" s="6" t="s">
        <v>13431</v>
      </c>
      <c r="B3038" s="6" t="s">
        <v>13432</v>
      </c>
      <c r="C3038" s="6" t="s">
        <v>43</v>
      </c>
      <c r="D3038" s="6" t="s">
        <v>13381</v>
      </c>
      <c r="E3038" s="6" t="s">
        <v>10938</v>
      </c>
      <c r="F3038" s="6" t="s">
        <v>46</v>
      </c>
      <c r="G3038" s="6" t="s">
        <v>13433</v>
      </c>
      <c r="H3038" s="7"/>
      <c r="I3038" s="6" t="s">
        <v>48</v>
      </c>
      <c r="J3038" s="6" t="s">
        <v>48</v>
      </c>
      <c r="AG3038" s="15" t="s">
        <v>55</v>
      </c>
      <c r="AH3038" s="15"/>
      <c r="AI3038" s="15"/>
    </row>
    <row r="3039" spans="1:37" s="6" customFormat="1">
      <c r="A3039" s="6" t="s">
        <v>13434</v>
      </c>
      <c r="B3039" s="6" t="s">
        <v>13435</v>
      </c>
      <c r="C3039" s="6" t="s">
        <v>43</v>
      </c>
      <c r="D3039" s="6" t="s">
        <v>13381</v>
      </c>
      <c r="E3039" s="6" t="s">
        <v>10938</v>
      </c>
      <c r="F3039" s="6" t="s">
        <v>46</v>
      </c>
      <c r="G3039" s="6" t="s">
        <v>8754</v>
      </c>
      <c r="H3039" s="7"/>
      <c r="I3039" s="5" t="s">
        <v>48</v>
      </c>
      <c r="J3039" s="5" t="s">
        <v>48</v>
      </c>
      <c r="AG3039" s="15" t="s">
        <v>55</v>
      </c>
      <c r="AH3039" s="15"/>
      <c r="AI3039" s="15"/>
    </row>
    <row r="3040" spans="1:37" s="6" customFormat="1">
      <c r="A3040" s="6" t="s">
        <v>13436</v>
      </c>
      <c r="B3040" s="6" t="s">
        <v>13437</v>
      </c>
      <c r="C3040" s="6" t="s">
        <v>8002</v>
      </c>
      <c r="D3040" s="6" t="s">
        <v>10937</v>
      </c>
      <c r="E3040" s="6" t="s">
        <v>10938</v>
      </c>
      <c r="F3040" s="6" t="s">
        <v>46</v>
      </c>
      <c r="G3040" s="6" t="s">
        <v>13438</v>
      </c>
      <c r="H3040" s="7"/>
      <c r="I3040" s="5" t="s">
        <v>48</v>
      </c>
      <c r="J3040" s="5" t="s">
        <v>48</v>
      </c>
      <c r="AG3040" s="15" t="s">
        <v>55</v>
      </c>
      <c r="AH3040" s="15"/>
      <c r="AI3040" s="15"/>
    </row>
    <row r="3041" spans="1:35" s="6" customFormat="1">
      <c r="A3041" s="6" t="s">
        <v>13439</v>
      </c>
      <c r="B3041" s="6" t="s">
        <v>13440</v>
      </c>
      <c r="C3041" s="6" t="s">
        <v>43</v>
      </c>
      <c r="D3041" s="6" t="s">
        <v>13381</v>
      </c>
      <c r="E3041" s="6" t="s">
        <v>10938</v>
      </c>
      <c r="F3041" s="6" t="s">
        <v>46</v>
      </c>
      <c r="G3041" s="6" t="s">
        <v>13441</v>
      </c>
      <c r="H3041" s="7"/>
      <c r="I3041" s="6" t="s">
        <v>48</v>
      </c>
      <c r="J3041" s="6" t="s">
        <v>48</v>
      </c>
      <c r="AG3041" s="15" t="s">
        <v>55</v>
      </c>
      <c r="AH3041" s="15"/>
      <c r="AI3041" s="15"/>
    </row>
    <row r="3042" spans="1:35" s="6" customFormat="1">
      <c r="A3042" s="6" t="s">
        <v>13442</v>
      </c>
      <c r="B3042" s="6" t="s">
        <v>13443</v>
      </c>
      <c r="C3042" s="6" t="s">
        <v>43</v>
      </c>
      <c r="D3042" s="6" t="s">
        <v>13381</v>
      </c>
      <c r="E3042" s="6" t="s">
        <v>10938</v>
      </c>
      <c r="F3042" s="6" t="s">
        <v>46</v>
      </c>
      <c r="G3042" s="6" t="s">
        <v>13444</v>
      </c>
      <c r="H3042" s="7"/>
      <c r="I3042" s="6" t="s">
        <v>48</v>
      </c>
      <c r="J3042" s="6" t="s">
        <v>48</v>
      </c>
      <c r="AG3042" s="15" t="s">
        <v>55</v>
      </c>
      <c r="AH3042" s="15"/>
      <c r="AI3042" s="15"/>
    </row>
    <row r="3043" spans="1:35" s="6" customFormat="1">
      <c r="A3043" s="6" t="s">
        <v>13445</v>
      </c>
      <c r="B3043" s="6" t="s">
        <v>13446</v>
      </c>
      <c r="C3043" s="6" t="s">
        <v>13417</v>
      </c>
      <c r="D3043" s="6" t="s">
        <v>13381</v>
      </c>
      <c r="E3043" s="6" t="s">
        <v>10938</v>
      </c>
      <c r="F3043" s="6" t="s">
        <v>46</v>
      </c>
      <c r="G3043" s="6" t="s">
        <v>13447</v>
      </c>
      <c r="H3043" s="7"/>
      <c r="I3043" s="6" t="s">
        <v>48</v>
      </c>
      <c r="J3043" s="6" t="s">
        <v>48</v>
      </c>
      <c r="AG3043" s="15" t="s">
        <v>55</v>
      </c>
      <c r="AH3043" s="15"/>
      <c r="AI3043" s="15"/>
    </row>
    <row r="3044" spans="1:35" s="6" customFormat="1">
      <c r="A3044" s="6" t="s">
        <v>13448</v>
      </c>
      <c r="B3044" s="6" t="s">
        <v>13449</v>
      </c>
      <c r="C3044" s="6" t="s">
        <v>43</v>
      </c>
      <c r="D3044" s="6" t="s">
        <v>13381</v>
      </c>
      <c r="E3044" s="6" t="s">
        <v>10938</v>
      </c>
      <c r="F3044" s="6" t="s">
        <v>46</v>
      </c>
      <c r="G3044" s="6" t="s">
        <v>13450</v>
      </c>
      <c r="H3044" s="7"/>
      <c r="I3044" s="6" t="s">
        <v>48</v>
      </c>
      <c r="J3044" s="6" t="s">
        <v>48</v>
      </c>
      <c r="AG3044" s="15" t="s">
        <v>55</v>
      </c>
      <c r="AH3044" s="15"/>
      <c r="AI3044" s="15"/>
    </row>
    <row r="3045" spans="1:35" s="6" customFormat="1">
      <c r="A3045" s="6" t="s">
        <v>13451</v>
      </c>
      <c r="B3045" s="6" t="s">
        <v>13452</v>
      </c>
      <c r="C3045" s="6" t="s">
        <v>13417</v>
      </c>
      <c r="D3045" s="6" t="s">
        <v>13381</v>
      </c>
      <c r="E3045" s="6" t="s">
        <v>10938</v>
      </c>
      <c r="F3045" s="6" t="s">
        <v>46</v>
      </c>
      <c r="G3045" s="6" t="s">
        <v>6050</v>
      </c>
      <c r="H3045" s="7"/>
      <c r="I3045" s="6" t="s">
        <v>48</v>
      </c>
      <c r="J3045" s="6" t="s">
        <v>48</v>
      </c>
      <c r="AG3045" s="15" t="s">
        <v>49</v>
      </c>
      <c r="AH3045" s="15"/>
      <c r="AI3045" s="15"/>
    </row>
    <row r="3046" spans="1:35" s="6" customFormat="1">
      <c r="A3046" s="6" t="s">
        <v>13453</v>
      </c>
      <c r="B3046" s="6" t="s">
        <v>13454</v>
      </c>
      <c r="C3046" s="6" t="s">
        <v>43</v>
      </c>
      <c r="D3046" s="6" t="s">
        <v>10937</v>
      </c>
      <c r="E3046" s="6" t="s">
        <v>10938</v>
      </c>
      <c r="F3046" s="6" t="s">
        <v>46</v>
      </c>
      <c r="G3046" s="6" t="s">
        <v>13455</v>
      </c>
      <c r="H3046" s="7"/>
      <c r="I3046" s="5" t="s">
        <v>48</v>
      </c>
      <c r="J3046" s="5" t="s">
        <v>48</v>
      </c>
      <c r="AG3046" s="15" t="s">
        <v>55</v>
      </c>
      <c r="AH3046" s="15"/>
      <c r="AI3046" s="15"/>
    </row>
    <row r="3047" spans="1:35" s="6" customFormat="1">
      <c r="A3047" s="6" t="s">
        <v>13456</v>
      </c>
      <c r="B3047" s="6" t="s">
        <v>13457</v>
      </c>
      <c r="C3047" s="6" t="s">
        <v>43</v>
      </c>
      <c r="D3047" s="6" t="s">
        <v>10937</v>
      </c>
      <c r="E3047" s="6" t="s">
        <v>10938</v>
      </c>
      <c r="F3047" s="6" t="s">
        <v>46</v>
      </c>
      <c r="G3047" s="6" t="s">
        <v>6770</v>
      </c>
      <c r="H3047" s="7"/>
      <c r="I3047" s="6" t="s">
        <v>48</v>
      </c>
      <c r="J3047" s="6" t="s">
        <v>48</v>
      </c>
      <c r="AG3047" s="15" t="s">
        <v>55</v>
      </c>
      <c r="AH3047" s="15"/>
      <c r="AI3047" s="15"/>
    </row>
    <row r="3048" spans="1:35" s="6" customFormat="1">
      <c r="A3048" s="6" t="s">
        <v>13458</v>
      </c>
      <c r="B3048" s="6" t="s">
        <v>13459</v>
      </c>
      <c r="C3048" s="6" t="s">
        <v>43</v>
      </c>
      <c r="D3048" s="6" t="s">
        <v>13381</v>
      </c>
      <c r="E3048" s="6" t="s">
        <v>10938</v>
      </c>
      <c r="F3048" s="6" t="s">
        <v>46</v>
      </c>
      <c r="G3048" s="6" t="s">
        <v>7088</v>
      </c>
      <c r="H3048" s="7"/>
      <c r="I3048" s="6" t="s">
        <v>48</v>
      </c>
      <c r="J3048" s="6" t="s">
        <v>48</v>
      </c>
      <c r="AG3048" s="15" t="s">
        <v>55</v>
      </c>
      <c r="AH3048" s="15"/>
      <c r="AI3048" s="15"/>
    </row>
    <row r="3049" spans="1:35" s="6" customFormat="1">
      <c r="A3049" s="6" t="s">
        <v>13460</v>
      </c>
      <c r="B3049" s="6" t="s">
        <v>13461</v>
      </c>
      <c r="C3049" s="6" t="s">
        <v>6731</v>
      </c>
      <c r="D3049" s="6" t="s">
        <v>13381</v>
      </c>
      <c r="E3049" s="6" t="s">
        <v>10938</v>
      </c>
      <c r="F3049" s="6" t="s">
        <v>46</v>
      </c>
      <c r="G3049" s="6" t="s">
        <v>1640</v>
      </c>
      <c r="H3049" s="7"/>
      <c r="I3049" s="5" t="s">
        <v>48</v>
      </c>
      <c r="J3049" s="5" t="s">
        <v>48</v>
      </c>
      <c r="AG3049" s="15" t="s">
        <v>55</v>
      </c>
      <c r="AH3049" s="15"/>
      <c r="AI3049" s="15"/>
    </row>
    <row r="3050" spans="1:35" s="6" customFormat="1">
      <c r="A3050" s="6" t="s">
        <v>13462</v>
      </c>
      <c r="B3050" s="6" t="s">
        <v>13463</v>
      </c>
      <c r="C3050" s="6" t="s">
        <v>43</v>
      </c>
      <c r="D3050" s="6" t="s">
        <v>13381</v>
      </c>
      <c r="E3050" s="6" t="s">
        <v>10938</v>
      </c>
      <c r="F3050" s="6" t="s">
        <v>46</v>
      </c>
      <c r="G3050" s="6" t="s">
        <v>13464</v>
      </c>
      <c r="H3050" s="7"/>
      <c r="I3050" s="6" t="s">
        <v>48</v>
      </c>
      <c r="J3050" s="6" t="s">
        <v>48</v>
      </c>
      <c r="AG3050" s="15" t="s">
        <v>55</v>
      </c>
      <c r="AH3050" s="15"/>
      <c r="AI3050" s="15"/>
    </row>
    <row r="3051" spans="1:35" s="6" customFormat="1">
      <c r="A3051" s="6" t="s">
        <v>13465</v>
      </c>
      <c r="B3051" s="6" t="s">
        <v>13466</v>
      </c>
      <c r="C3051" s="6" t="s">
        <v>43</v>
      </c>
      <c r="D3051" s="6" t="s">
        <v>13381</v>
      </c>
      <c r="E3051" s="6" t="s">
        <v>10938</v>
      </c>
      <c r="F3051" s="6" t="s">
        <v>46</v>
      </c>
      <c r="G3051" s="6" t="s">
        <v>13467</v>
      </c>
      <c r="H3051" s="7"/>
      <c r="I3051" s="6" t="s">
        <v>48</v>
      </c>
      <c r="J3051" s="6" t="s">
        <v>48</v>
      </c>
      <c r="AG3051" s="15" t="s">
        <v>55</v>
      </c>
      <c r="AH3051" s="15"/>
      <c r="AI3051" s="15"/>
    </row>
    <row r="3052" spans="1:35" s="6" customFormat="1">
      <c r="A3052" s="6" t="s">
        <v>13468</v>
      </c>
      <c r="B3052" s="6" t="s">
        <v>13469</v>
      </c>
      <c r="C3052" s="6" t="s">
        <v>43</v>
      </c>
      <c r="D3052" s="6" t="s">
        <v>10937</v>
      </c>
      <c r="E3052" s="6" t="s">
        <v>10938</v>
      </c>
      <c r="F3052" s="6" t="s">
        <v>46</v>
      </c>
      <c r="G3052" s="6" t="s">
        <v>13470</v>
      </c>
      <c r="H3052" s="7"/>
      <c r="I3052" s="5" t="s">
        <v>48</v>
      </c>
      <c r="J3052" s="5" t="s">
        <v>48</v>
      </c>
      <c r="AG3052" s="15" t="s">
        <v>55</v>
      </c>
      <c r="AH3052" s="15"/>
      <c r="AI3052" s="15"/>
    </row>
    <row r="3053" spans="1:35" s="6" customFormat="1">
      <c r="A3053" s="6" t="s">
        <v>13471</v>
      </c>
      <c r="B3053" s="6" t="s">
        <v>13472</v>
      </c>
      <c r="C3053" s="6" t="s">
        <v>43</v>
      </c>
      <c r="D3053" s="6" t="s">
        <v>13381</v>
      </c>
      <c r="E3053" s="6" t="s">
        <v>10938</v>
      </c>
      <c r="F3053" s="6" t="s">
        <v>46</v>
      </c>
      <c r="G3053" s="6" t="s">
        <v>13473</v>
      </c>
      <c r="H3053" s="7"/>
      <c r="I3053" s="6" t="s">
        <v>48</v>
      </c>
      <c r="J3053" s="6" t="s">
        <v>48</v>
      </c>
      <c r="AG3053" s="15" t="s">
        <v>55</v>
      </c>
      <c r="AH3053" s="15"/>
      <c r="AI3053" s="15"/>
    </row>
    <row r="3054" spans="1:35" s="6" customFormat="1">
      <c r="A3054" s="6" t="s">
        <v>13474</v>
      </c>
      <c r="B3054" s="6" t="s">
        <v>13475</v>
      </c>
      <c r="C3054" s="6" t="s">
        <v>43</v>
      </c>
      <c r="D3054" s="6" t="s">
        <v>10937</v>
      </c>
      <c r="E3054" s="6" t="s">
        <v>10938</v>
      </c>
      <c r="F3054" s="6" t="s">
        <v>46</v>
      </c>
      <c r="G3054" s="6" t="s">
        <v>13476</v>
      </c>
      <c r="H3054" s="7"/>
      <c r="I3054" s="5" t="s">
        <v>48</v>
      </c>
      <c r="J3054" s="5" t="s">
        <v>48</v>
      </c>
      <c r="AG3054" s="15" t="s">
        <v>55</v>
      </c>
      <c r="AH3054" s="15"/>
      <c r="AI3054" s="15"/>
    </row>
    <row r="3055" spans="1:35" s="6" customFormat="1">
      <c r="A3055" s="6" t="s">
        <v>13477</v>
      </c>
      <c r="B3055" s="6" t="s">
        <v>13478</v>
      </c>
      <c r="C3055" s="6" t="s">
        <v>43</v>
      </c>
      <c r="D3055" s="6" t="s">
        <v>10937</v>
      </c>
      <c r="E3055" s="6" t="s">
        <v>10938</v>
      </c>
      <c r="F3055" s="6" t="s">
        <v>46</v>
      </c>
      <c r="G3055" s="6" t="s">
        <v>8845</v>
      </c>
      <c r="H3055" s="7"/>
      <c r="I3055" s="5" t="s">
        <v>48</v>
      </c>
      <c r="J3055" s="5" t="s">
        <v>48</v>
      </c>
      <c r="AG3055" s="15" t="s">
        <v>55</v>
      </c>
      <c r="AH3055" s="15"/>
      <c r="AI3055" s="15"/>
    </row>
    <row r="3056" spans="1:35" s="6" customFormat="1">
      <c r="A3056" s="6" t="s">
        <v>13479</v>
      </c>
      <c r="B3056" s="6" t="s">
        <v>13480</v>
      </c>
      <c r="C3056" s="6" t="s">
        <v>43</v>
      </c>
      <c r="D3056" s="6" t="s">
        <v>13381</v>
      </c>
      <c r="E3056" s="6" t="s">
        <v>10938</v>
      </c>
      <c r="F3056" s="6" t="s">
        <v>46</v>
      </c>
      <c r="G3056" s="6" t="s">
        <v>13481</v>
      </c>
      <c r="H3056" s="7"/>
      <c r="I3056" s="5" t="s">
        <v>48</v>
      </c>
      <c r="J3056" s="5" t="s">
        <v>48</v>
      </c>
      <c r="AG3056" s="15" t="s">
        <v>55</v>
      </c>
      <c r="AH3056" s="15"/>
      <c r="AI3056" s="15"/>
    </row>
    <row r="3057" spans="1:37" s="6" customFormat="1">
      <c r="A3057" s="6" t="s">
        <v>13482</v>
      </c>
      <c r="B3057" s="6" t="s">
        <v>13483</v>
      </c>
      <c r="C3057" s="6" t="s">
        <v>43</v>
      </c>
      <c r="D3057" s="6" t="s">
        <v>13381</v>
      </c>
      <c r="E3057" s="6" t="s">
        <v>10938</v>
      </c>
      <c r="F3057" s="6" t="s">
        <v>46</v>
      </c>
      <c r="G3057" s="6" t="s">
        <v>13484</v>
      </c>
      <c r="H3057" s="7"/>
      <c r="I3057" s="6" t="s">
        <v>48</v>
      </c>
      <c r="J3057" s="6" t="s">
        <v>48</v>
      </c>
      <c r="AG3057" s="15" t="s">
        <v>55</v>
      </c>
      <c r="AH3057" s="15"/>
      <c r="AI3057" s="15"/>
    </row>
    <row r="3058" spans="1:37" s="6" customFormat="1">
      <c r="A3058" s="6" t="s">
        <v>13485</v>
      </c>
      <c r="B3058" s="6" t="s">
        <v>13486</v>
      </c>
      <c r="C3058" s="6" t="s">
        <v>13417</v>
      </c>
      <c r="D3058" s="6" t="s">
        <v>13381</v>
      </c>
      <c r="E3058" s="6" t="s">
        <v>10938</v>
      </c>
      <c r="F3058" s="6" t="s">
        <v>46</v>
      </c>
      <c r="G3058" s="6" t="s">
        <v>6714</v>
      </c>
      <c r="H3058" s="7"/>
      <c r="I3058" s="6" t="s">
        <v>48</v>
      </c>
      <c r="J3058" s="6" t="s">
        <v>48</v>
      </c>
      <c r="AG3058" s="15" t="s">
        <v>55</v>
      </c>
      <c r="AH3058" s="15"/>
      <c r="AI3058" s="15"/>
    </row>
    <row r="3059" spans="1:37" s="6" customFormat="1">
      <c r="A3059" s="5" t="s">
        <v>13487</v>
      </c>
      <c r="B3059" s="5" t="s">
        <v>13488</v>
      </c>
      <c r="C3059" s="6" t="s">
        <v>13489</v>
      </c>
      <c r="D3059" s="6" t="s">
        <v>52</v>
      </c>
      <c r="E3059" s="6" t="s">
        <v>13490</v>
      </c>
      <c r="F3059" s="6" t="s">
        <v>46</v>
      </c>
      <c r="G3059" s="6" t="s">
        <v>13491</v>
      </c>
      <c r="H3059" s="18">
        <v>16</v>
      </c>
      <c r="I3059" s="19" t="s">
        <v>1393</v>
      </c>
      <c r="J3059" s="19" t="s">
        <v>13492</v>
      </c>
      <c r="K3059" s="5" t="s">
        <v>13493</v>
      </c>
      <c r="L3059" s="5" t="s">
        <v>13494</v>
      </c>
      <c r="M3059" s="5" t="s">
        <v>13495</v>
      </c>
      <c r="N3059" s="5" t="s">
        <v>13496</v>
      </c>
      <c r="O3059" s="5"/>
      <c r="P3059" s="5"/>
      <c r="Q3059" s="5"/>
      <c r="R3059" s="5"/>
      <c r="S3059" s="5"/>
      <c r="T3059" s="5"/>
      <c r="U3059" s="5"/>
      <c r="V3059" s="5" t="s">
        <v>13497</v>
      </c>
      <c r="W3059" s="5"/>
      <c r="X3059" s="5"/>
      <c r="Y3059" s="5"/>
      <c r="Z3059" s="5"/>
      <c r="AA3059" s="5"/>
      <c r="AB3059" s="5"/>
      <c r="AC3059" s="5"/>
      <c r="AD3059" s="5"/>
      <c r="AE3059" s="5"/>
      <c r="AF3059" s="5"/>
      <c r="AG3059" s="14" t="s">
        <v>55</v>
      </c>
      <c r="AH3059" s="14" t="s">
        <v>1408</v>
      </c>
      <c r="AI3059" s="14" t="s">
        <v>1836</v>
      </c>
      <c r="AJ3059" s="5" t="s">
        <v>13498</v>
      </c>
      <c r="AK3059" s="5"/>
    </row>
    <row r="3060" spans="1:37">
      <c r="A3060" s="5" t="s">
        <v>13499</v>
      </c>
      <c r="B3060" s="5" t="s">
        <v>13500</v>
      </c>
      <c r="C3060" s="6" t="s">
        <v>13501</v>
      </c>
      <c r="D3060" s="6" t="s">
        <v>52</v>
      </c>
      <c r="E3060" s="6" t="s">
        <v>13490</v>
      </c>
      <c r="F3060" s="6" t="s">
        <v>46</v>
      </c>
      <c r="G3060" s="6" t="s">
        <v>13502</v>
      </c>
      <c r="H3060" s="18">
        <v>15</v>
      </c>
      <c r="I3060" s="19" t="s">
        <v>1393</v>
      </c>
      <c r="J3060" s="19" t="s">
        <v>13492</v>
      </c>
      <c r="K3060" s="5" t="s">
        <v>13503</v>
      </c>
      <c r="L3060" s="5" t="s">
        <v>13504</v>
      </c>
      <c r="M3060" s="5" t="s">
        <v>13505</v>
      </c>
      <c r="N3060" s="5" t="s">
        <v>13506</v>
      </c>
      <c r="R3060" s="5"/>
      <c r="V3060" s="5" t="s">
        <v>13507</v>
      </c>
      <c r="AG3060" s="14" t="s">
        <v>55</v>
      </c>
      <c r="AH3060" s="14" t="s">
        <v>1408</v>
      </c>
      <c r="AI3060" s="14" t="s">
        <v>1836</v>
      </c>
      <c r="AJ3060" s="5" t="s">
        <v>13498</v>
      </c>
    </row>
    <row r="3061" spans="1:37">
      <c r="A3061" s="5" t="s">
        <v>13508</v>
      </c>
      <c r="B3061" s="5" t="s">
        <v>13509</v>
      </c>
      <c r="C3061" s="6" t="s">
        <v>13501</v>
      </c>
      <c r="D3061" s="6" t="s">
        <v>52</v>
      </c>
      <c r="E3061" s="6" t="s">
        <v>503</v>
      </c>
      <c r="F3061" s="6" t="s">
        <v>46</v>
      </c>
      <c r="G3061" s="6" t="s">
        <v>13510</v>
      </c>
      <c r="H3061" s="18">
        <v>1.5</v>
      </c>
      <c r="I3061" s="19" t="s">
        <v>1393</v>
      </c>
      <c r="J3061" s="19" t="s">
        <v>13492</v>
      </c>
      <c r="K3061" s="5" t="s">
        <v>13511</v>
      </c>
      <c r="L3061" s="5" t="s">
        <v>13512</v>
      </c>
      <c r="M3061" s="5" t="s">
        <v>13513</v>
      </c>
      <c r="N3061" s="5" t="s">
        <v>13514</v>
      </c>
      <c r="R3061" s="5"/>
      <c r="V3061" s="5" t="s">
        <v>13515</v>
      </c>
      <c r="AG3061" s="14" t="s">
        <v>55</v>
      </c>
      <c r="AH3061" s="14" t="s">
        <v>1408</v>
      </c>
      <c r="AI3061" s="14" t="s">
        <v>1408</v>
      </c>
      <c r="AJ3061" s="5" t="s">
        <v>1566</v>
      </c>
    </row>
    <row r="3062" spans="1:37">
      <c r="A3062" s="5" t="s">
        <v>13516</v>
      </c>
      <c r="B3062" s="5" t="s">
        <v>13517</v>
      </c>
      <c r="C3062" s="6" t="s">
        <v>13501</v>
      </c>
      <c r="D3062" s="6" t="s">
        <v>52</v>
      </c>
      <c r="E3062" s="6" t="s">
        <v>13518</v>
      </c>
      <c r="F3062" s="6" t="s">
        <v>46</v>
      </c>
      <c r="G3062" s="6" t="s">
        <v>6525</v>
      </c>
      <c r="H3062" s="18">
        <v>12</v>
      </c>
      <c r="I3062" s="19" t="s">
        <v>1393</v>
      </c>
      <c r="J3062" s="19" t="s">
        <v>13492</v>
      </c>
      <c r="K3062" s="5" t="s">
        <v>13519</v>
      </c>
      <c r="L3062" s="5" t="s">
        <v>13520</v>
      </c>
      <c r="M3062" s="5" t="s">
        <v>13519</v>
      </c>
      <c r="N3062" s="5" t="s">
        <v>13521</v>
      </c>
      <c r="R3062" s="5"/>
      <c r="AG3062" s="14" t="s">
        <v>55</v>
      </c>
      <c r="AH3062" s="14" t="s">
        <v>1408</v>
      </c>
      <c r="AI3062" s="14" t="s">
        <v>1408</v>
      </c>
      <c r="AJ3062" s="5" t="s">
        <v>1566</v>
      </c>
    </row>
    <row r="3063" spans="1:37">
      <c r="A3063" s="5" t="s">
        <v>13522</v>
      </c>
      <c r="B3063" s="5" t="s">
        <v>13523</v>
      </c>
      <c r="C3063" s="6" t="s">
        <v>6928</v>
      </c>
      <c r="D3063" s="6" t="s">
        <v>44</v>
      </c>
      <c r="E3063" s="6" t="s">
        <v>13524</v>
      </c>
      <c r="F3063" s="6" t="s">
        <v>46</v>
      </c>
      <c r="G3063" s="6" t="s">
        <v>13525</v>
      </c>
      <c r="H3063" s="18">
        <v>10.5</v>
      </c>
      <c r="I3063" s="19" t="s">
        <v>1393</v>
      </c>
      <c r="J3063" s="19" t="s">
        <v>13492</v>
      </c>
      <c r="K3063" s="5" t="s">
        <v>13526</v>
      </c>
      <c r="L3063" s="5" t="s">
        <v>13527</v>
      </c>
      <c r="M3063" s="5" t="s">
        <v>13528</v>
      </c>
      <c r="N3063" s="5" t="s">
        <v>13529</v>
      </c>
      <c r="R3063" s="5"/>
      <c r="V3063" s="5" t="s">
        <v>13529</v>
      </c>
      <c r="AG3063" s="14" t="s">
        <v>55</v>
      </c>
      <c r="AH3063" s="14" t="s">
        <v>1408</v>
      </c>
      <c r="AI3063" s="14" t="s">
        <v>1408</v>
      </c>
      <c r="AJ3063" s="5" t="s">
        <v>1566</v>
      </c>
    </row>
    <row r="3064" spans="1:37">
      <c r="A3064" s="5" t="s">
        <v>13530</v>
      </c>
      <c r="B3064" s="5" t="s">
        <v>13531</v>
      </c>
      <c r="C3064" s="6" t="s">
        <v>13532</v>
      </c>
      <c r="D3064" s="6" t="s">
        <v>44</v>
      </c>
      <c r="E3064" s="6" t="s">
        <v>13524</v>
      </c>
      <c r="F3064" s="6" t="s">
        <v>46</v>
      </c>
      <c r="G3064" s="6" t="s">
        <v>6518</v>
      </c>
      <c r="H3064" s="18">
        <v>12</v>
      </c>
      <c r="I3064" s="19" t="s">
        <v>1393</v>
      </c>
      <c r="J3064" s="19" t="s">
        <v>13492</v>
      </c>
      <c r="K3064" s="5" t="s">
        <v>13533</v>
      </c>
      <c r="L3064" s="5" t="s">
        <v>13534</v>
      </c>
      <c r="M3064" s="5" t="s">
        <v>13535</v>
      </c>
      <c r="N3064" s="5" t="s">
        <v>13536</v>
      </c>
      <c r="R3064" s="5"/>
      <c r="V3064" s="5" t="s">
        <v>13536</v>
      </c>
      <c r="AG3064" s="14" t="s">
        <v>55</v>
      </c>
      <c r="AH3064" s="14" t="s">
        <v>1408</v>
      </c>
      <c r="AI3064" s="14" t="s">
        <v>1408</v>
      </c>
      <c r="AJ3064" s="5" t="s">
        <v>1566</v>
      </c>
    </row>
    <row r="3065" spans="1:37">
      <c r="A3065" s="5" t="s">
        <v>13537</v>
      </c>
      <c r="B3065" s="5" t="s">
        <v>13538</v>
      </c>
      <c r="C3065" s="6" t="s">
        <v>13539</v>
      </c>
      <c r="D3065" s="6" t="s">
        <v>52</v>
      </c>
      <c r="E3065" s="6" t="s">
        <v>13518</v>
      </c>
      <c r="F3065" s="6" t="s">
        <v>46</v>
      </c>
      <c r="G3065" s="6" t="s">
        <v>13540</v>
      </c>
      <c r="H3065" s="18">
        <v>36</v>
      </c>
      <c r="I3065" s="19" t="s">
        <v>1393</v>
      </c>
      <c r="J3065" s="19" t="s">
        <v>13492</v>
      </c>
      <c r="K3065" s="5" t="s">
        <v>13541</v>
      </c>
      <c r="L3065" s="5" t="s">
        <v>13542</v>
      </c>
      <c r="M3065" s="5" t="s">
        <v>13543</v>
      </c>
      <c r="N3065" s="5" t="s">
        <v>13544</v>
      </c>
      <c r="R3065" s="5"/>
      <c r="V3065" s="5" t="s">
        <v>13544</v>
      </c>
      <c r="AG3065" s="14" t="s">
        <v>55</v>
      </c>
      <c r="AH3065" s="14" t="s">
        <v>1408</v>
      </c>
      <c r="AI3065" s="14" t="s">
        <v>1408</v>
      </c>
      <c r="AJ3065" s="5" t="s">
        <v>1566</v>
      </c>
    </row>
    <row r="3066" spans="1:37">
      <c r="A3066" s="5" t="s">
        <v>13545</v>
      </c>
      <c r="B3066" s="5" t="s">
        <v>13546</v>
      </c>
      <c r="C3066" s="6" t="s">
        <v>13547</v>
      </c>
      <c r="D3066" s="6" t="s">
        <v>52</v>
      </c>
      <c r="E3066" s="6" t="s">
        <v>13518</v>
      </c>
      <c r="F3066" s="6" t="s">
        <v>46</v>
      </c>
      <c r="G3066" s="6" t="s">
        <v>13548</v>
      </c>
      <c r="H3066" s="18">
        <v>62</v>
      </c>
      <c r="I3066" s="19" t="s">
        <v>1393</v>
      </c>
      <c r="J3066" s="19" t="s">
        <v>13492</v>
      </c>
      <c r="K3066" s="5" t="s">
        <v>13549</v>
      </c>
      <c r="L3066" s="5" t="s">
        <v>13550</v>
      </c>
      <c r="M3066" s="5" t="s">
        <v>13551</v>
      </c>
      <c r="N3066" s="5" t="s">
        <v>13552</v>
      </c>
      <c r="R3066" s="5"/>
      <c r="V3066" s="5" t="s">
        <v>13553</v>
      </c>
      <c r="AG3066" s="14" t="s">
        <v>55</v>
      </c>
      <c r="AH3066" s="14" t="s">
        <v>1408</v>
      </c>
      <c r="AI3066" s="14" t="s">
        <v>1408</v>
      </c>
      <c r="AJ3066" s="5" t="s">
        <v>1566</v>
      </c>
    </row>
    <row r="3067" spans="1:37">
      <c r="A3067" s="5" t="s">
        <v>13554</v>
      </c>
      <c r="B3067" s="5" t="s">
        <v>13555</v>
      </c>
      <c r="C3067" s="6" t="s">
        <v>7880</v>
      </c>
      <c r="D3067" s="6" t="s">
        <v>52</v>
      </c>
      <c r="E3067" s="6" t="s">
        <v>13556</v>
      </c>
      <c r="F3067" s="6" t="s">
        <v>46</v>
      </c>
      <c r="G3067" s="6" t="s">
        <v>13557</v>
      </c>
      <c r="H3067" s="18">
        <v>45</v>
      </c>
      <c r="I3067" s="19" t="s">
        <v>1393</v>
      </c>
      <c r="J3067" s="19" t="s">
        <v>13492</v>
      </c>
      <c r="K3067" s="5" t="s">
        <v>13558</v>
      </c>
      <c r="L3067" s="5" t="s">
        <v>13559</v>
      </c>
      <c r="M3067" s="5" t="s">
        <v>13560</v>
      </c>
      <c r="N3067" s="5" t="s">
        <v>13561</v>
      </c>
      <c r="R3067" s="5"/>
      <c r="AG3067" s="14" t="s">
        <v>55</v>
      </c>
      <c r="AH3067" s="14" t="s">
        <v>1408</v>
      </c>
      <c r="AI3067" s="14" t="s">
        <v>1103</v>
      </c>
      <c r="AJ3067" s="5" t="s">
        <v>9696</v>
      </c>
    </row>
    <row r="3068" spans="1:37">
      <c r="A3068" s="5" t="s">
        <v>13562</v>
      </c>
      <c r="B3068" s="5" t="s">
        <v>13563</v>
      </c>
      <c r="C3068" s="6" t="s">
        <v>7880</v>
      </c>
      <c r="D3068" s="6" t="s">
        <v>52</v>
      </c>
      <c r="E3068" s="6" t="s">
        <v>13556</v>
      </c>
      <c r="F3068" s="6" t="s">
        <v>46</v>
      </c>
      <c r="G3068" s="6" t="s">
        <v>13564</v>
      </c>
      <c r="H3068" s="18">
        <v>18</v>
      </c>
      <c r="I3068" s="19" t="s">
        <v>1393</v>
      </c>
      <c r="J3068" s="19" t="s">
        <v>13492</v>
      </c>
      <c r="K3068" s="5" t="s">
        <v>13565</v>
      </c>
      <c r="L3068" s="5" t="s">
        <v>13566</v>
      </c>
      <c r="M3068" s="5" t="s">
        <v>13567</v>
      </c>
      <c r="N3068" s="5" t="s">
        <v>13568</v>
      </c>
      <c r="R3068" s="5"/>
      <c r="AG3068" s="14" t="s">
        <v>55</v>
      </c>
      <c r="AH3068" s="14" t="s">
        <v>1408</v>
      </c>
      <c r="AI3068" s="14" t="s">
        <v>1103</v>
      </c>
      <c r="AJ3068" s="5" t="s">
        <v>9696</v>
      </c>
    </row>
    <row r="3069" spans="1:37">
      <c r="A3069" s="5" t="s">
        <v>13569</v>
      </c>
      <c r="B3069" s="5" t="s">
        <v>13570</v>
      </c>
      <c r="C3069" s="6" t="s">
        <v>11419</v>
      </c>
      <c r="D3069" s="6" t="s">
        <v>52</v>
      </c>
      <c r="E3069" s="6" t="s">
        <v>13556</v>
      </c>
      <c r="F3069" s="6" t="s">
        <v>46</v>
      </c>
      <c r="G3069" s="6" t="s">
        <v>6258</v>
      </c>
      <c r="H3069" s="18">
        <v>28</v>
      </c>
      <c r="I3069" s="19" t="s">
        <v>1393</v>
      </c>
      <c r="J3069" s="19" t="s">
        <v>13492</v>
      </c>
      <c r="K3069" s="5" t="s">
        <v>13571</v>
      </c>
      <c r="L3069" s="5" t="s">
        <v>13572</v>
      </c>
      <c r="M3069" s="5" t="s">
        <v>13573</v>
      </c>
      <c r="N3069" s="5" t="s">
        <v>13574</v>
      </c>
      <c r="R3069" s="5"/>
      <c r="AG3069" s="14" t="s">
        <v>55</v>
      </c>
      <c r="AH3069" s="14" t="s">
        <v>1408</v>
      </c>
      <c r="AI3069" s="14" t="s">
        <v>1836</v>
      </c>
      <c r="AJ3069" s="5" t="s">
        <v>13498</v>
      </c>
    </row>
    <row r="3070" spans="1:37">
      <c r="A3070" s="5" t="s">
        <v>13575</v>
      </c>
      <c r="B3070" s="5" t="s">
        <v>13576</v>
      </c>
      <c r="C3070" s="6" t="s">
        <v>13577</v>
      </c>
      <c r="D3070" s="6" t="s">
        <v>52</v>
      </c>
      <c r="E3070" s="6" t="s">
        <v>1106</v>
      </c>
      <c r="F3070" s="6" t="s">
        <v>46</v>
      </c>
      <c r="G3070" s="6" t="s">
        <v>13578</v>
      </c>
      <c r="H3070" s="18">
        <v>7.5</v>
      </c>
      <c r="I3070" s="19" t="s">
        <v>1393</v>
      </c>
      <c r="J3070" s="19" t="s">
        <v>13492</v>
      </c>
      <c r="K3070" s="5" t="s">
        <v>13579</v>
      </c>
      <c r="L3070" s="5" t="s">
        <v>13580</v>
      </c>
      <c r="M3070" s="5" t="s">
        <v>13581</v>
      </c>
      <c r="N3070" s="5" t="s">
        <v>13582</v>
      </c>
      <c r="R3070" s="5"/>
      <c r="AE3070" s="5" t="s">
        <v>13583</v>
      </c>
      <c r="AG3070" s="14" t="s">
        <v>55</v>
      </c>
      <c r="AH3070" s="14" t="s">
        <v>1102</v>
      </c>
      <c r="AI3070" s="14" t="s">
        <v>13584</v>
      </c>
      <c r="AJ3070" s="5" t="s">
        <v>13585</v>
      </c>
    </row>
    <row r="3071" spans="1:37">
      <c r="A3071" s="5" t="s">
        <v>13586</v>
      </c>
      <c r="B3071" s="5" t="s">
        <v>13587</v>
      </c>
      <c r="C3071" s="6" t="s">
        <v>11399</v>
      </c>
      <c r="D3071" s="6" t="s">
        <v>52</v>
      </c>
      <c r="E3071" s="6" t="s">
        <v>1106</v>
      </c>
      <c r="F3071" s="6" t="s">
        <v>46</v>
      </c>
      <c r="G3071" s="6" t="s">
        <v>13588</v>
      </c>
      <c r="H3071" s="18">
        <v>6</v>
      </c>
      <c r="I3071" s="19" t="s">
        <v>1393</v>
      </c>
      <c r="J3071" s="19" t="s">
        <v>13492</v>
      </c>
      <c r="K3071" s="5" t="s">
        <v>13589</v>
      </c>
      <c r="L3071" s="5" t="s">
        <v>13590</v>
      </c>
      <c r="M3071" s="5" t="s">
        <v>13591</v>
      </c>
      <c r="N3071" s="5" t="s">
        <v>13592</v>
      </c>
      <c r="R3071" s="5"/>
      <c r="AE3071" s="5" t="s">
        <v>1208</v>
      </c>
      <c r="AG3071" s="14" t="s">
        <v>55</v>
      </c>
      <c r="AH3071" s="14" t="s">
        <v>1102</v>
      </c>
      <c r="AI3071" s="14" t="s">
        <v>13584</v>
      </c>
      <c r="AJ3071" s="5" t="s">
        <v>13585</v>
      </c>
    </row>
    <row r="3072" spans="1:37">
      <c r="A3072" s="5" t="s">
        <v>13593</v>
      </c>
      <c r="B3072" s="5" t="s">
        <v>13594</v>
      </c>
      <c r="C3072" s="6" t="s">
        <v>1954</v>
      </c>
      <c r="D3072" s="6" t="s">
        <v>52</v>
      </c>
      <c r="E3072" s="6" t="s">
        <v>1106</v>
      </c>
      <c r="F3072" s="6" t="s">
        <v>46</v>
      </c>
      <c r="G3072" s="6" t="s">
        <v>13595</v>
      </c>
      <c r="H3072" s="18">
        <v>7.25</v>
      </c>
      <c r="I3072" s="19" t="s">
        <v>1393</v>
      </c>
      <c r="J3072" s="19" t="s">
        <v>13492</v>
      </c>
      <c r="K3072" s="5" t="s">
        <v>13596</v>
      </c>
      <c r="L3072" s="5" t="s">
        <v>13597</v>
      </c>
      <c r="M3072" s="5" t="s">
        <v>13598</v>
      </c>
      <c r="N3072" s="5" t="s">
        <v>13599</v>
      </c>
      <c r="R3072" s="5"/>
      <c r="AE3072" s="5" t="s">
        <v>13600</v>
      </c>
      <c r="AG3072" s="14" t="s">
        <v>55</v>
      </c>
      <c r="AH3072" s="14" t="s">
        <v>1102</v>
      </c>
      <c r="AI3072" s="14" t="s">
        <v>13584</v>
      </c>
      <c r="AJ3072" s="5" t="s">
        <v>13585</v>
      </c>
    </row>
    <row r="3073" spans="1:37">
      <c r="A3073" s="5" t="s">
        <v>13601</v>
      </c>
      <c r="B3073" s="5" t="s">
        <v>13602</v>
      </c>
      <c r="C3073" s="6" t="s">
        <v>13577</v>
      </c>
      <c r="D3073" s="6" t="s">
        <v>52</v>
      </c>
      <c r="E3073" s="6" t="s">
        <v>1106</v>
      </c>
      <c r="F3073" s="6" t="s">
        <v>46</v>
      </c>
      <c r="G3073" s="6" t="s">
        <v>13603</v>
      </c>
      <c r="H3073" s="18">
        <v>24.5</v>
      </c>
      <c r="I3073" s="19" t="s">
        <v>1393</v>
      </c>
      <c r="J3073" s="19" t="s">
        <v>13492</v>
      </c>
      <c r="K3073" s="5" t="s">
        <v>13604</v>
      </c>
      <c r="L3073" s="5" t="s">
        <v>13605</v>
      </c>
      <c r="M3073" s="5" t="s">
        <v>13606</v>
      </c>
      <c r="N3073" s="5" t="s">
        <v>13607</v>
      </c>
      <c r="R3073" s="5"/>
      <c r="AE3073" s="5" t="s">
        <v>13608</v>
      </c>
      <c r="AG3073" s="14" t="s">
        <v>55</v>
      </c>
      <c r="AH3073" s="14" t="s">
        <v>1102</v>
      </c>
      <c r="AI3073" s="14" t="s">
        <v>13584</v>
      </c>
      <c r="AJ3073" s="5" t="s">
        <v>13585</v>
      </c>
    </row>
    <row r="3074" spans="1:37">
      <c r="A3074" s="6" t="s">
        <v>13609</v>
      </c>
      <c r="B3074" s="6" t="s">
        <v>13610</v>
      </c>
      <c r="C3074" s="6" t="s">
        <v>43</v>
      </c>
      <c r="D3074" s="6" t="s">
        <v>52</v>
      </c>
      <c r="E3074" s="6" t="s">
        <v>13611</v>
      </c>
      <c r="F3074" s="6" t="s">
        <v>46</v>
      </c>
      <c r="G3074" s="6" t="s">
        <v>13612</v>
      </c>
      <c r="I3074" s="5" t="s">
        <v>48</v>
      </c>
      <c r="J3074" s="5" t="s">
        <v>48</v>
      </c>
      <c r="K3074" s="6"/>
      <c r="L3074" s="6"/>
      <c r="M3074" s="6"/>
      <c r="N3074" s="6"/>
      <c r="O3074" s="6"/>
      <c r="P3074" s="6"/>
      <c r="Q3074" s="6"/>
      <c r="R3074" s="6"/>
      <c r="S3074" s="6"/>
      <c r="T3074" s="6"/>
      <c r="U3074" s="6"/>
      <c r="V3074" s="6"/>
      <c r="W3074" s="6"/>
      <c r="X3074" s="6"/>
      <c r="Y3074" s="6"/>
      <c r="Z3074" s="6"/>
      <c r="AA3074" s="6"/>
      <c r="AB3074" s="6"/>
      <c r="AC3074" s="6"/>
      <c r="AD3074" s="6"/>
      <c r="AE3074" s="6"/>
      <c r="AF3074" s="6"/>
      <c r="AG3074" s="15" t="s">
        <v>55</v>
      </c>
      <c r="AH3074" s="15"/>
      <c r="AI3074" s="15"/>
      <c r="AJ3074" s="6"/>
      <c r="AK3074" s="6"/>
    </row>
    <row r="3075" spans="1:37" s="6" customFormat="1" ht="13.15" customHeight="1">
      <c r="A3075" s="6" t="s">
        <v>13613</v>
      </c>
      <c r="B3075" s="6" t="s">
        <v>13614</v>
      </c>
      <c r="C3075" s="6" t="s">
        <v>43</v>
      </c>
      <c r="D3075" s="6" t="s">
        <v>52</v>
      </c>
      <c r="E3075" s="6" t="s">
        <v>13611</v>
      </c>
      <c r="F3075" s="6" t="s">
        <v>46</v>
      </c>
      <c r="G3075" s="6" t="s">
        <v>13615</v>
      </c>
      <c r="H3075" s="7"/>
      <c r="I3075" s="5" t="s">
        <v>48</v>
      </c>
      <c r="J3075" s="5" t="s">
        <v>48</v>
      </c>
      <c r="L3075" s="6" t="s">
        <v>13616</v>
      </c>
      <c r="M3075" s="6" t="s">
        <v>13617</v>
      </c>
      <c r="AG3075" s="15"/>
      <c r="AH3075" s="15"/>
      <c r="AI3075" s="15"/>
    </row>
    <row r="3076" spans="1:37" s="6" customFormat="1" ht="13.15" customHeight="1">
      <c r="A3076" s="6" t="s">
        <v>13618</v>
      </c>
      <c r="B3076" s="6" t="s">
        <v>13619</v>
      </c>
      <c r="C3076" s="6" t="s">
        <v>11341</v>
      </c>
      <c r="D3076" s="6" t="s">
        <v>11342</v>
      </c>
      <c r="E3076" s="6" t="s">
        <v>862</v>
      </c>
      <c r="F3076" s="6" t="s">
        <v>46</v>
      </c>
      <c r="G3076" s="6" t="s">
        <v>13620</v>
      </c>
      <c r="H3076" s="7"/>
      <c r="I3076" s="19" t="s">
        <v>48</v>
      </c>
      <c r="J3076" s="5" t="s">
        <v>48</v>
      </c>
      <c r="AG3076" s="15" t="s">
        <v>55</v>
      </c>
      <c r="AH3076" s="15"/>
      <c r="AI3076" s="15"/>
    </row>
    <row r="3077" spans="1:37" s="6" customFormat="1">
      <c r="A3077" s="5" t="s">
        <v>13621</v>
      </c>
      <c r="B3077" s="5" t="s">
        <v>13622</v>
      </c>
      <c r="C3077" s="6" t="s">
        <v>43</v>
      </c>
      <c r="D3077" s="6" t="s">
        <v>1989</v>
      </c>
      <c r="E3077" s="6" t="s">
        <v>53</v>
      </c>
      <c r="F3077" s="6" t="s">
        <v>46</v>
      </c>
      <c r="G3077" s="6" t="s">
        <v>43</v>
      </c>
      <c r="H3077" s="7"/>
      <c r="I3077" s="5"/>
      <c r="J3077" s="5"/>
      <c r="K3077" s="5"/>
      <c r="L3077" s="5"/>
      <c r="M3077" s="5"/>
      <c r="N3077" s="5"/>
      <c r="O3077" s="5"/>
      <c r="P3077" s="5"/>
      <c r="Q3077" s="5"/>
      <c r="R3077" s="5"/>
      <c r="S3077" s="5"/>
      <c r="T3077" s="5"/>
      <c r="U3077" s="5"/>
      <c r="V3077" s="5"/>
      <c r="W3077" s="5"/>
      <c r="X3077" s="5"/>
      <c r="Y3077" s="5"/>
      <c r="Z3077" s="5"/>
      <c r="AA3077" s="5"/>
      <c r="AB3077" s="5"/>
      <c r="AC3077" s="5"/>
      <c r="AD3077" s="5"/>
      <c r="AE3077" s="5"/>
      <c r="AF3077" s="5"/>
      <c r="AG3077" s="14" t="s">
        <v>55</v>
      </c>
      <c r="AH3077" s="14"/>
      <c r="AI3077" s="14"/>
      <c r="AJ3077" s="5"/>
      <c r="AK3077" s="5"/>
    </row>
    <row r="3078" spans="1:37">
      <c r="A3078" s="6" t="s">
        <v>13623</v>
      </c>
      <c r="B3078" s="6" t="s">
        <v>13624</v>
      </c>
      <c r="C3078" s="6" t="s">
        <v>1544</v>
      </c>
      <c r="D3078" s="6" t="s">
        <v>10937</v>
      </c>
      <c r="E3078" s="6" t="s">
        <v>10938</v>
      </c>
      <c r="F3078" s="6" t="s">
        <v>46</v>
      </c>
      <c r="G3078" s="6" t="s">
        <v>13625</v>
      </c>
      <c r="I3078" s="5" t="s">
        <v>48</v>
      </c>
      <c r="J3078" s="5" t="s">
        <v>48</v>
      </c>
      <c r="K3078" s="6"/>
      <c r="L3078" s="6"/>
      <c r="M3078" s="6"/>
      <c r="N3078" s="6"/>
      <c r="O3078" s="6"/>
      <c r="P3078" s="6"/>
      <c r="Q3078" s="6"/>
      <c r="R3078" s="6"/>
      <c r="S3078" s="6"/>
      <c r="T3078" s="6"/>
      <c r="U3078" s="6"/>
      <c r="V3078" s="6"/>
      <c r="W3078" s="6"/>
      <c r="X3078" s="6"/>
      <c r="Y3078" s="6"/>
      <c r="Z3078" s="6"/>
      <c r="AA3078" s="6"/>
      <c r="AB3078" s="6"/>
      <c r="AC3078" s="6"/>
      <c r="AD3078" s="6"/>
      <c r="AE3078" s="6"/>
      <c r="AF3078" s="6"/>
      <c r="AG3078" s="15" t="s">
        <v>55</v>
      </c>
      <c r="AH3078" s="15"/>
      <c r="AI3078" s="15"/>
      <c r="AJ3078" s="6"/>
      <c r="AK3078" s="6"/>
    </row>
    <row r="3079" spans="1:37" s="6" customFormat="1">
      <c r="A3079" s="6" t="s">
        <v>13626</v>
      </c>
      <c r="B3079" s="6" t="s">
        <v>13627</v>
      </c>
      <c r="C3079" s="6" t="s">
        <v>43</v>
      </c>
      <c r="D3079" s="6" t="s">
        <v>10937</v>
      </c>
      <c r="E3079" s="6" t="s">
        <v>10938</v>
      </c>
      <c r="F3079" s="6" t="s">
        <v>46</v>
      </c>
      <c r="G3079" s="6" t="s">
        <v>13628</v>
      </c>
      <c r="H3079" s="7"/>
      <c r="I3079" s="6" t="s">
        <v>48</v>
      </c>
      <c r="J3079" s="6" t="s">
        <v>48</v>
      </c>
      <c r="AG3079" s="15" t="s">
        <v>55</v>
      </c>
      <c r="AH3079" s="15"/>
      <c r="AI3079" s="15"/>
    </row>
    <row r="3080" spans="1:37" s="6" customFormat="1">
      <c r="A3080" s="6" t="s">
        <v>13629</v>
      </c>
      <c r="B3080" s="6" t="s">
        <v>13630</v>
      </c>
      <c r="C3080" s="6" t="s">
        <v>43</v>
      </c>
      <c r="D3080" s="6" t="s">
        <v>10937</v>
      </c>
      <c r="E3080" s="6" t="s">
        <v>10938</v>
      </c>
      <c r="F3080" s="6" t="s">
        <v>46</v>
      </c>
      <c r="G3080" s="6" t="s">
        <v>13631</v>
      </c>
      <c r="H3080" s="7"/>
      <c r="I3080" s="6" t="s">
        <v>48</v>
      </c>
      <c r="J3080" s="6" t="s">
        <v>48</v>
      </c>
      <c r="AG3080" s="15" t="s">
        <v>55</v>
      </c>
      <c r="AH3080" s="15"/>
      <c r="AI3080" s="15"/>
    </row>
    <row r="3081" spans="1:37" s="6" customFormat="1">
      <c r="A3081" s="6" t="s">
        <v>13632</v>
      </c>
      <c r="B3081" s="6" t="s">
        <v>13633</v>
      </c>
      <c r="C3081" s="6" t="s">
        <v>43</v>
      </c>
      <c r="D3081" s="6" t="s">
        <v>10937</v>
      </c>
      <c r="E3081" s="6" t="s">
        <v>10938</v>
      </c>
      <c r="F3081" s="6" t="s">
        <v>46</v>
      </c>
      <c r="G3081" s="6" t="s">
        <v>13634</v>
      </c>
      <c r="H3081" s="7"/>
      <c r="I3081" s="6" t="s">
        <v>48</v>
      </c>
      <c r="J3081" s="6" t="s">
        <v>48</v>
      </c>
      <c r="AG3081" s="15" t="s">
        <v>55</v>
      </c>
      <c r="AH3081" s="15"/>
      <c r="AI3081" s="15"/>
    </row>
    <row r="3082" spans="1:37" s="6" customFormat="1">
      <c r="A3082" s="6" t="s">
        <v>13635</v>
      </c>
      <c r="B3082" s="6" t="s">
        <v>13636</v>
      </c>
      <c r="C3082" s="6" t="s">
        <v>43</v>
      </c>
      <c r="D3082" s="6" t="s">
        <v>10937</v>
      </c>
      <c r="E3082" s="6" t="s">
        <v>10938</v>
      </c>
      <c r="F3082" s="6" t="s">
        <v>46</v>
      </c>
      <c r="G3082" s="6" t="s">
        <v>3962</v>
      </c>
      <c r="H3082" s="7"/>
      <c r="I3082" s="6" t="s">
        <v>48</v>
      </c>
      <c r="J3082" s="6" t="s">
        <v>48</v>
      </c>
      <c r="AG3082" s="15" t="s">
        <v>55</v>
      </c>
      <c r="AH3082" s="15"/>
      <c r="AI3082" s="15"/>
    </row>
    <row r="3083" spans="1:37" s="6" customFormat="1">
      <c r="A3083" s="6" t="s">
        <v>13637</v>
      </c>
      <c r="B3083" s="6" t="s">
        <v>13638</v>
      </c>
      <c r="C3083" s="6" t="s">
        <v>43</v>
      </c>
      <c r="D3083" s="6" t="s">
        <v>10937</v>
      </c>
      <c r="E3083" s="6" t="s">
        <v>10938</v>
      </c>
      <c r="F3083" s="6" t="s">
        <v>46</v>
      </c>
      <c r="G3083" s="6" t="s">
        <v>4463</v>
      </c>
      <c r="H3083" s="7"/>
      <c r="I3083" s="6" t="s">
        <v>48</v>
      </c>
      <c r="J3083" s="6" t="s">
        <v>48</v>
      </c>
      <c r="AG3083" s="15" t="s">
        <v>55</v>
      </c>
      <c r="AH3083" s="15"/>
      <c r="AI3083" s="15"/>
    </row>
    <row r="3084" spans="1:37" s="6" customFormat="1">
      <c r="A3084" s="6" t="s">
        <v>13639</v>
      </c>
      <c r="B3084" s="6" t="s">
        <v>13640</v>
      </c>
      <c r="C3084" s="6" t="s">
        <v>3276</v>
      </c>
      <c r="D3084" s="6" t="s">
        <v>10937</v>
      </c>
      <c r="E3084" s="6" t="s">
        <v>10938</v>
      </c>
      <c r="F3084" s="6" t="s">
        <v>46</v>
      </c>
      <c r="G3084" s="6" t="s">
        <v>13641</v>
      </c>
      <c r="H3084" s="7"/>
      <c r="I3084" s="5" t="s">
        <v>48</v>
      </c>
      <c r="J3084" s="5" t="s">
        <v>48</v>
      </c>
      <c r="AG3084" s="15" t="s">
        <v>55</v>
      </c>
      <c r="AH3084" s="15"/>
      <c r="AI3084" s="15"/>
    </row>
    <row r="3085" spans="1:37" s="6" customFormat="1">
      <c r="A3085" s="6" t="s">
        <v>13642</v>
      </c>
      <c r="B3085" s="6" t="s">
        <v>13643</v>
      </c>
      <c r="C3085" s="6" t="s">
        <v>43</v>
      </c>
      <c r="D3085" s="6" t="s">
        <v>10937</v>
      </c>
      <c r="E3085" s="6" t="s">
        <v>10938</v>
      </c>
      <c r="F3085" s="6" t="s">
        <v>46</v>
      </c>
      <c r="G3085" s="6" t="s">
        <v>13644</v>
      </c>
      <c r="H3085" s="7"/>
      <c r="I3085" s="6" t="s">
        <v>48</v>
      </c>
      <c r="J3085" s="6" t="s">
        <v>48</v>
      </c>
      <c r="AG3085" s="15" t="s">
        <v>55</v>
      </c>
      <c r="AH3085" s="15"/>
      <c r="AI3085" s="15"/>
    </row>
    <row r="3086" spans="1:37" s="6" customFormat="1">
      <c r="A3086" s="6" t="s">
        <v>13645</v>
      </c>
      <c r="B3086" s="6" t="s">
        <v>13646</v>
      </c>
      <c r="C3086" s="6" t="s">
        <v>43</v>
      </c>
      <c r="D3086" s="6" t="s">
        <v>10937</v>
      </c>
      <c r="E3086" s="6" t="s">
        <v>10938</v>
      </c>
      <c r="F3086" s="6" t="s">
        <v>46</v>
      </c>
      <c r="G3086" s="6" t="s">
        <v>13647</v>
      </c>
      <c r="H3086" s="7"/>
      <c r="I3086" s="16" t="s">
        <v>48</v>
      </c>
      <c r="J3086" s="6" t="s">
        <v>48</v>
      </c>
      <c r="AG3086" s="15" t="s">
        <v>55</v>
      </c>
      <c r="AH3086" s="15"/>
      <c r="AI3086" s="15"/>
    </row>
    <row r="3087" spans="1:37" s="6" customFormat="1">
      <c r="A3087" s="6" t="s">
        <v>13648</v>
      </c>
      <c r="B3087" s="6" t="s">
        <v>13649</v>
      </c>
      <c r="C3087" s="6" t="s">
        <v>10496</v>
      </c>
      <c r="D3087" s="6" t="s">
        <v>10937</v>
      </c>
      <c r="E3087" s="6" t="s">
        <v>10938</v>
      </c>
      <c r="F3087" s="6" t="s">
        <v>46</v>
      </c>
      <c r="G3087" s="6" t="s">
        <v>13650</v>
      </c>
      <c r="H3087" s="7"/>
      <c r="I3087" s="5" t="s">
        <v>48</v>
      </c>
      <c r="J3087" s="5" t="s">
        <v>48</v>
      </c>
      <c r="AG3087" s="15" t="s">
        <v>55</v>
      </c>
      <c r="AH3087" s="15"/>
      <c r="AI3087" s="15"/>
    </row>
    <row r="3088" spans="1:37" s="6" customFormat="1">
      <c r="A3088" s="6" t="s">
        <v>13651</v>
      </c>
      <c r="B3088" s="6" t="s">
        <v>13652</v>
      </c>
      <c r="C3088" s="6" t="s">
        <v>43</v>
      </c>
      <c r="D3088" s="6" t="s">
        <v>10937</v>
      </c>
      <c r="E3088" s="6" t="s">
        <v>10938</v>
      </c>
      <c r="F3088" s="6" t="s">
        <v>46</v>
      </c>
      <c r="G3088" s="6" t="s">
        <v>13653</v>
      </c>
      <c r="H3088" s="7"/>
      <c r="I3088" s="6" t="s">
        <v>48</v>
      </c>
      <c r="J3088" s="6" t="s">
        <v>48</v>
      </c>
      <c r="AG3088" s="15" t="s">
        <v>55</v>
      </c>
      <c r="AH3088" s="15"/>
      <c r="AI3088" s="15"/>
    </row>
    <row r="3089" spans="1:37" s="6" customFormat="1">
      <c r="A3089" s="6" t="s">
        <v>13654</v>
      </c>
      <c r="B3089" s="6" t="s">
        <v>13655</v>
      </c>
      <c r="C3089" s="6" t="s">
        <v>43</v>
      </c>
      <c r="D3089" s="6" t="s">
        <v>10937</v>
      </c>
      <c r="E3089" s="6" t="s">
        <v>10938</v>
      </c>
      <c r="F3089" s="6" t="s">
        <v>46</v>
      </c>
      <c r="G3089" s="6" t="s">
        <v>13656</v>
      </c>
      <c r="H3089" s="7"/>
      <c r="I3089" s="6" t="s">
        <v>48</v>
      </c>
      <c r="J3089" s="6" t="s">
        <v>48</v>
      </c>
      <c r="AG3089" s="15" t="s">
        <v>55</v>
      </c>
      <c r="AH3089" s="15"/>
      <c r="AI3089" s="15"/>
    </row>
    <row r="3090" spans="1:37" s="6" customFormat="1">
      <c r="A3090" s="6" t="s">
        <v>13657</v>
      </c>
      <c r="B3090" s="6" t="s">
        <v>13658</v>
      </c>
      <c r="C3090" s="6" t="s">
        <v>43</v>
      </c>
      <c r="D3090" s="6" t="s">
        <v>10937</v>
      </c>
      <c r="E3090" s="6" t="s">
        <v>10938</v>
      </c>
      <c r="F3090" s="6" t="s">
        <v>46</v>
      </c>
      <c r="G3090" s="6" t="s">
        <v>13659</v>
      </c>
      <c r="H3090" s="7"/>
      <c r="I3090" s="6" t="s">
        <v>48</v>
      </c>
      <c r="J3090" s="6" t="s">
        <v>48</v>
      </c>
      <c r="AG3090" s="15" t="s">
        <v>55</v>
      </c>
      <c r="AH3090" s="15"/>
      <c r="AI3090" s="15"/>
    </row>
    <row r="3091" spans="1:37" s="6" customFormat="1">
      <c r="A3091" s="5" t="s">
        <v>13660</v>
      </c>
      <c r="B3091" s="5" t="s">
        <v>13661</v>
      </c>
      <c r="C3091" s="6" t="s">
        <v>43</v>
      </c>
      <c r="D3091" s="6" t="s">
        <v>10937</v>
      </c>
      <c r="E3091" s="6" t="s">
        <v>10938</v>
      </c>
      <c r="F3091" s="6" t="s">
        <v>46</v>
      </c>
      <c r="G3091" s="6" t="s">
        <v>3013</v>
      </c>
      <c r="H3091" s="18">
        <v>999</v>
      </c>
      <c r="I3091" s="19" t="s">
        <v>13662</v>
      </c>
      <c r="J3091" s="19" t="s">
        <v>13663</v>
      </c>
      <c r="K3091" s="5" t="s">
        <v>13664</v>
      </c>
      <c r="L3091" s="5" t="s">
        <v>13665</v>
      </c>
      <c r="M3091" s="5" t="s">
        <v>13666</v>
      </c>
      <c r="N3091" s="5" t="s">
        <v>13667</v>
      </c>
      <c r="O3091" s="5" t="s">
        <v>13668</v>
      </c>
      <c r="P3091" s="5" t="s">
        <v>13669</v>
      </c>
      <c r="Q3091" s="5" t="s">
        <v>13670</v>
      </c>
      <c r="R3091" s="5" t="s">
        <v>13671</v>
      </c>
      <c r="S3091" s="5" t="s">
        <v>13672</v>
      </c>
      <c r="T3091" s="5" t="s">
        <v>13673</v>
      </c>
      <c r="U3091" s="5" t="s">
        <v>13674</v>
      </c>
      <c r="V3091" s="5" t="s">
        <v>13675</v>
      </c>
      <c r="W3091" s="5" t="s">
        <v>13676</v>
      </c>
      <c r="X3091" s="5" t="s">
        <v>13677</v>
      </c>
      <c r="Y3091" s="5" t="s">
        <v>13678</v>
      </c>
      <c r="Z3091" s="5" t="s">
        <v>13679</v>
      </c>
      <c r="AA3091" s="5" t="s">
        <v>13680</v>
      </c>
      <c r="AB3091" s="5" t="s">
        <v>13681</v>
      </c>
      <c r="AC3091" s="5" t="s">
        <v>13682</v>
      </c>
      <c r="AD3091" s="5" t="s">
        <v>13683</v>
      </c>
      <c r="AE3091" s="5"/>
      <c r="AF3091" s="5"/>
      <c r="AG3091" s="14" t="s">
        <v>49</v>
      </c>
      <c r="AH3091" s="14" t="s">
        <v>1102</v>
      </c>
      <c r="AI3091" s="14" t="s">
        <v>13684</v>
      </c>
      <c r="AJ3091" s="5" t="s">
        <v>13685</v>
      </c>
      <c r="AK3091" s="5"/>
    </row>
    <row r="3092" spans="1:37">
      <c r="A3092" s="5" t="s">
        <v>13686</v>
      </c>
      <c r="B3092" s="5" t="s">
        <v>13687</v>
      </c>
      <c r="C3092" s="6" t="s">
        <v>43</v>
      </c>
      <c r="D3092" s="6" t="s">
        <v>10937</v>
      </c>
      <c r="E3092" s="6" t="s">
        <v>10938</v>
      </c>
      <c r="F3092" s="6" t="s">
        <v>46</v>
      </c>
      <c r="G3092" s="6" t="s">
        <v>13688</v>
      </c>
      <c r="H3092" s="18">
        <v>999</v>
      </c>
      <c r="I3092" s="19" t="s">
        <v>13662</v>
      </c>
      <c r="J3092" s="19" t="s">
        <v>13663</v>
      </c>
      <c r="K3092" s="6" t="s">
        <v>13689</v>
      </c>
      <c r="L3092" s="6" t="s">
        <v>13690</v>
      </c>
      <c r="M3092" s="6" t="s">
        <v>13691</v>
      </c>
      <c r="N3092" s="6" t="s">
        <v>13692</v>
      </c>
      <c r="O3092" s="6" t="s">
        <v>13693</v>
      </c>
      <c r="P3092" s="6" t="s">
        <v>13694</v>
      </c>
      <c r="Q3092" s="6" t="s">
        <v>13695</v>
      </c>
      <c r="R3092" s="6" t="s">
        <v>13696</v>
      </c>
      <c r="S3092" s="6" t="s">
        <v>13672</v>
      </c>
      <c r="T3092" s="6" t="s">
        <v>13697</v>
      </c>
      <c r="U3092" s="6" t="s">
        <v>13674</v>
      </c>
      <c r="V3092" s="6" t="s">
        <v>13675</v>
      </c>
      <c r="W3092" s="6" t="s">
        <v>13676</v>
      </c>
      <c r="X3092" s="6" t="s">
        <v>13677</v>
      </c>
      <c r="Y3092" s="6" t="s">
        <v>13678</v>
      </c>
      <c r="Z3092" s="6" t="s">
        <v>13679</v>
      </c>
      <c r="AA3092" s="6" t="s">
        <v>13680</v>
      </c>
      <c r="AB3092" s="6" t="s">
        <v>13681</v>
      </c>
      <c r="AC3092" s="6" t="s">
        <v>13682</v>
      </c>
      <c r="AD3092" s="6" t="s">
        <v>13683</v>
      </c>
      <c r="AG3092" s="14" t="s">
        <v>49</v>
      </c>
      <c r="AH3092" s="14" t="s">
        <v>1102</v>
      </c>
      <c r="AI3092" s="14" t="s">
        <v>13684</v>
      </c>
      <c r="AJ3092" s="5" t="s">
        <v>13685</v>
      </c>
    </row>
    <row r="3093" spans="1:37">
      <c r="A3093" s="5" t="s">
        <v>13698</v>
      </c>
      <c r="B3093" s="5" t="s">
        <v>13661</v>
      </c>
      <c r="C3093" s="6" t="s">
        <v>43</v>
      </c>
      <c r="D3093" s="6" t="s">
        <v>10937</v>
      </c>
      <c r="E3093" s="6" t="s">
        <v>10938</v>
      </c>
      <c r="F3093" s="6" t="s">
        <v>46</v>
      </c>
      <c r="G3093" s="6" t="s">
        <v>3013</v>
      </c>
      <c r="H3093" s="18">
        <v>999</v>
      </c>
      <c r="I3093" s="19" t="s">
        <v>13662</v>
      </c>
      <c r="J3093" s="19" t="s">
        <v>13663</v>
      </c>
      <c r="K3093" s="6" t="s">
        <v>13664</v>
      </c>
      <c r="L3093" s="6" t="s">
        <v>13699</v>
      </c>
      <c r="M3093" s="6" t="s">
        <v>13666</v>
      </c>
      <c r="N3093" s="6" t="s">
        <v>13667</v>
      </c>
      <c r="O3093" s="6" t="s">
        <v>13668</v>
      </c>
      <c r="P3093" s="6" t="s">
        <v>13669</v>
      </c>
      <c r="Q3093" s="6" t="s">
        <v>13670</v>
      </c>
      <c r="R3093" s="6" t="s">
        <v>13671</v>
      </c>
      <c r="S3093" s="6" t="s">
        <v>13672</v>
      </c>
      <c r="T3093" s="6" t="s">
        <v>13697</v>
      </c>
      <c r="U3093" s="6" t="s">
        <v>13674</v>
      </c>
      <c r="V3093" s="6" t="s">
        <v>13675</v>
      </c>
      <c r="W3093" s="6" t="s">
        <v>13676</v>
      </c>
      <c r="X3093" s="6" t="s">
        <v>13677</v>
      </c>
      <c r="Y3093" s="6" t="s">
        <v>13678</v>
      </c>
      <c r="Z3093" s="6" t="s">
        <v>13679</v>
      </c>
      <c r="AA3093" s="6" t="s">
        <v>13680</v>
      </c>
      <c r="AB3093" s="6" t="s">
        <v>13681</v>
      </c>
      <c r="AC3093" s="6" t="s">
        <v>13682</v>
      </c>
      <c r="AD3093" s="6" t="s">
        <v>13683</v>
      </c>
      <c r="AG3093" s="14" t="s">
        <v>49</v>
      </c>
      <c r="AH3093" s="14" t="s">
        <v>1102</v>
      </c>
      <c r="AI3093" s="14" t="s">
        <v>13684</v>
      </c>
      <c r="AJ3093" s="5" t="s">
        <v>13685</v>
      </c>
    </row>
    <row r="3094" spans="1:37">
      <c r="A3094" s="5" t="s">
        <v>13700</v>
      </c>
      <c r="B3094" s="5" t="s">
        <v>13701</v>
      </c>
      <c r="C3094" s="6" t="s">
        <v>43</v>
      </c>
      <c r="D3094" s="6" t="s">
        <v>10937</v>
      </c>
      <c r="E3094" s="6" t="s">
        <v>10938</v>
      </c>
      <c r="F3094" s="6" t="s">
        <v>46</v>
      </c>
      <c r="G3094" s="6" t="s">
        <v>3013</v>
      </c>
      <c r="H3094" s="18">
        <v>999</v>
      </c>
      <c r="I3094" s="19" t="s">
        <v>13662</v>
      </c>
      <c r="J3094" s="19" t="s">
        <v>13663</v>
      </c>
      <c r="K3094" s="6" t="s">
        <v>13702</v>
      </c>
      <c r="L3094" s="6" t="s">
        <v>13703</v>
      </c>
      <c r="M3094" s="6" t="s">
        <v>13704</v>
      </c>
      <c r="N3094" s="6" t="s">
        <v>13705</v>
      </c>
      <c r="O3094" s="6" t="s">
        <v>13706</v>
      </c>
      <c r="P3094" s="6" t="s">
        <v>13707</v>
      </c>
      <c r="Q3094" s="6" t="s">
        <v>13708</v>
      </c>
      <c r="R3094" s="6" t="s">
        <v>13709</v>
      </c>
      <c r="S3094" s="6" t="s">
        <v>13672</v>
      </c>
      <c r="T3094" s="6" t="s">
        <v>13697</v>
      </c>
      <c r="U3094" s="6" t="s">
        <v>13674</v>
      </c>
      <c r="V3094" s="6" t="s">
        <v>13675</v>
      </c>
      <c r="W3094" s="6" t="s">
        <v>13676</v>
      </c>
      <c r="X3094" s="6" t="s">
        <v>13677</v>
      </c>
      <c r="Y3094" s="6" t="s">
        <v>13678</v>
      </c>
      <c r="Z3094" s="6" t="s">
        <v>13679</v>
      </c>
      <c r="AA3094" s="6" t="s">
        <v>13680</v>
      </c>
      <c r="AB3094" s="6" t="s">
        <v>13681</v>
      </c>
      <c r="AC3094" s="6" t="s">
        <v>13682</v>
      </c>
      <c r="AD3094" s="6" t="s">
        <v>13683</v>
      </c>
      <c r="AG3094" s="14" t="s">
        <v>49</v>
      </c>
      <c r="AH3094" s="14" t="s">
        <v>1102</v>
      </c>
      <c r="AI3094" s="14" t="s">
        <v>13684</v>
      </c>
      <c r="AJ3094" s="5" t="s">
        <v>13685</v>
      </c>
    </row>
    <row r="3095" spans="1:37">
      <c r="A3095" s="6" t="s">
        <v>13710</v>
      </c>
      <c r="B3095" s="6" t="s">
        <v>13711</v>
      </c>
      <c r="C3095" s="6" t="s">
        <v>43</v>
      </c>
      <c r="D3095" s="6" t="s">
        <v>10937</v>
      </c>
      <c r="E3095" s="6" t="s">
        <v>10938</v>
      </c>
      <c r="F3095" s="6" t="s">
        <v>46</v>
      </c>
      <c r="G3095" s="6" t="s">
        <v>13473</v>
      </c>
      <c r="I3095" s="16" t="s">
        <v>48</v>
      </c>
      <c r="J3095" s="6" t="s">
        <v>48</v>
      </c>
      <c r="K3095" s="6"/>
      <c r="L3095" s="6"/>
      <c r="M3095" s="6"/>
      <c r="N3095" s="6"/>
      <c r="O3095" s="6"/>
      <c r="P3095" s="6"/>
      <c r="Q3095" s="6"/>
      <c r="R3095" s="6"/>
      <c r="S3095" s="6"/>
      <c r="T3095" s="6"/>
      <c r="U3095" s="6"/>
      <c r="V3095" s="6"/>
      <c r="W3095" s="6"/>
      <c r="X3095" s="6"/>
      <c r="Y3095" s="6"/>
      <c r="Z3095" s="6"/>
      <c r="AA3095" s="6"/>
      <c r="AB3095" s="6"/>
      <c r="AC3095" s="6"/>
      <c r="AD3095" s="6"/>
      <c r="AE3095" s="6"/>
      <c r="AF3095" s="6"/>
      <c r="AG3095" s="15" t="s">
        <v>55</v>
      </c>
      <c r="AH3095" s="15"/>
      <c r="AI3095" s="15"/>
      <c r="AJ3095" s="6"/>
      <c r="AK3095" s="6"/>
    </row>
    <row r="3096" spans="1:37" s="6" customFormat="1">
      <c r="A3096" s="6" t="s">
        <v>13712</v>
      </c>
      <c r="B3096" s="6" t="s">
        <v>13713</v>
      </c>
      <c r="C3096" s="6" t="s">
        <v>13417</v>
      </c>
      <c r="D3096" s="6" t="s">
        <v>13381</v>
      </c>
      <c r="E3096" s="6" t="s">
        <v>10938</v>
      </c>
      <c r="F3096" s="6" t="s">
        <v>46</v>
      </c>
      <c r="G3096" s="6" t="s">
        <v>13714</v>
      </c>
      <c r="H3096" s="7"/>
      <c r="I3096" s="6" t="s">
        <v>48</v>
      </c>
      <c r="J3096" s="6" t="s">
        <v>48</v>
      </c>
      <c r="AG3096" s="15" t="s">
        <v>55</v>
      </c>
      <c r="AH3096" s="15"/>
      <c r="AI3096" s="15"/>
    </row>
    <row r="3097" spans="1:37" s="6" customFormat="1">
      <c r="A3097" s="6" t="s">
        <v>13715</v>
      </c>
      <c r="B3097" s="6" t="s">
        <v>13716</v>
      </c>
      <c r="C3097" s="6" t="s">
        <v>43</v>
      </c>
      <c r="D3097" s="6" t="s">
        <v>10937</v>
      </c>
      <c r="E3097" s="6" t="s">
        <v>10938</v>
      </c>
      <c r="F3097" s="6" t="s">
        <v>46</v>
      </c>
      <c r="G3097" s="6" t="s">
        <v>13717</v>
      </c>
      <c r="H3097" s="7"/>
      <c r="I3097" s="6" t="s">
        <v>48</v>
      </c>
      <c r="J3097" s="6" t="s">
        <v>48</v>
      </c>
      <c r="AG3097" s="15" t="s">
        <v>55</v>
      </c>
      <c r="AH3097" s="15"/>
      <c r="AI3097" s="15"/>
    </row>
    <row r="3098" spans="1:37" s="6" customFormat="1">
      <c r="A3098" s="6" t="s">
        <v>13718</v>
      </c>
      <c r="B3098" s="6" t="s">
        <v>13719</v>
      </c>
      <c r="C3098" s="6" t="s">
        <v>43</v>
      </c>
      <c r="D3098" s="6" t="s">
        <v>10937</v>
      </c>
      <c r="E3098" s="6" t="s">
        <v>10938</v>
      </c>
      <c r="F3098" s="6" t="s">
        <v>46</v>
      </c>
      <c r="G3098" s="6" t="s">
        <v>13720</v>
      </c>
      <c r="H3098" s="7"/>
      <c r="I3098" s="6" t="s">
        <v>48</v>
      </c>
      <c r="J3098" s="6" t="s">
        <v>48</v>
      </c>
      <c r="AG3098" s="15" t="s">
        <v>55</v>
      </c>
      <c r="AH3098" s="15"/>
      <c r="AI3098" s="15"/>
    </row>
    <row r="3099" spans="1:37" s="6" customFormat="1">
      <c r="A3099" s="6" t="s">
        <v>13721</v>
      </c>
      <c r="B3099" s="6" t="s">
        <v>13722</v>
      </c>
      <c r="C3099" s="6" t="s">
        <v>43</v>
      </c>
      <c r="D3099" s="6" t="s">
        <v>10937</v>
      </c>
      <c r="E3099" s="6" t="s">
        <v>10938</v>
      </c>
      <c r="F3099" s="6" t="s">
        <v>46</v>
      </c>
      <c r="G3099" s="6" t="s">
        <v>13723</v>
      </c>
      <c r="H3099" s="7"/>
      <c r="I3099" s="6" t="s">
        <v>48</v>
      </c>
      <c r="J3099" s="6" t="s">
        <v>48</v>
      </c>
      <c r="AG3099" s="15" t="s">
        <v>55</v>
      </c>
      <c r="AH3099" s="15"/>
      <c r="AI3099" s="15"/>
    </row>
    <row r="3100" spans="1:37" s="6" customFormat="1">
      <c r="A3100" s="6" t="s">
        <v>13724</v>
      </c>
      <c r="B3100" s="6" t="s">
        <v>13725</v>
      </c>
      <c r="C3100" s="6" t="s">
        <v>43</v>
      </c>
      <c r="D3100" s="6" t="s">
        <v>10937</v>
      </c>
      <c r="E3100" s="6" t="s">
        <v>10938</v>
      </c>
      <c r="F3100" s="6" t="s">
        <v>46</v>
      </c>
      <c r="G3100" s="6" t="s">
        <v>13726</v>
      </c>
      <c r="H3100" s="7"/>
      <c r="I3100" s="6" t="s">
        <v>48</v>
      </c>
      <c r="J3100" s="6" t="s">
        <v>48</v>
      </c>
      <c r="AG3100" s="15" t="s">
        <v>55</v>
      </c>
      <c r="AH3100" s="15"/>
      <c r="AI3100" s="15"/>
    </row>
    <row r="3101" spans="1:37" s="6" customFormat="1">
      <c r="A3101" s="6" t="s">
        <v>13727</v>
      </c>
      <c r="B3101" s="6" t="s">
        <v>13728</v>
      </c>
      <c r="C3101" s="6" t="s">
        <v>43</v>
      </c>
      <c r="D3101" s="6" t="s">
        <v>10937</v>
      </c>
      <c r="E3101" s="6" t="s">
        <v>10938</v>
      </c>
      <c r="F3101" s="6" t="s">
        <v>46</v>
      </c>
      <c r="G3101" s="6" t="s">
        <v>13729</v>
      </c>
      <c r="H3101" s="7"/>
      <c r="I3101" s="6" t="s">
        <v>48</v>
      </c>
      <c r="J3101" s="6" t="s">
        <v>48</v>
      </c>
      <c r="AG3101" s="15" t="s">
        <v>55</v>
      </c>
      <c r="AH3101" s="15"/>
      <c r="AI3101" s="15"/>
    </row>
    <row r="3102" spans="1:37" s="6" customFormat="1">
      <c r="A3102" s="6" t="s">
        <v>13730</v>
      </c>
      <c r="B3102" s="6" t="s">
        <v>13731</v>
      </c>
      <c r="C3102" s="6" t="s">
        <v>43</v>
      </c>
      <c r="D3102" s="6" t="s">
        <v>10937</v>
      </c>
      <c r="E3102" s="6" t="s">
        <v>10938</v>
      </c>
      <c r="F3102" s="6" t="s">
        <v>46</v>
      </c>
      <c r="G3102" s="6" t="s">
        <v>13732</v>
      </c>
      <c r="H3102" s="7"/>
      <c r="I3102" s="6" t="s">
        <v>48</v>
      </c>
      <c r="J3102" s="6" t="s">
        <v>48</v>
      </c>
      <c r="AG3102" s="15" t="s">
        <v>55</v>
      </c>
      <c r="AH3102" s="15"/>
      <c r="AI3102" s="15"/>
    </row>
    <row r="3103" spans="1:37" s="6" customFormat="1">
      <c r="A3103" s="6" t="s">
        <v>13733</v>
      </c>
      <c r="B3103" s="6" t="s">
        <v>13734</v>
      </c>
      <c r="C3103" s="6" t="s">
        <v>43</v>
      </c>
      <c r="D3103" s="6" t="s">
        <v>10937</v>
      </c>
      <c r="E3103" s="6" t="s">
        <v>10938</v>
      </c>
      <c r="F3103" s="6" t="s">
        <v>46</v>
      </c>
      <c r="G3103" s="6" t="s">
        <v>13735</v>
      </c>
      <c r="H3103" s="7"/>
      <c r="I3103" s="6" t="s">
        <v>48</v>
      </c>
      <c r="J3103" s="6" t="s">
        <v>48</v>
      </c>
      <c r="AG3103" s="15" t="s">
        <v>55</v>
      </c>
      <c r="AH3103" s="15"/>
      <c r="AI3103" s="15"/>
    </row>
    <row r="3104" spans="1:37" s="6" customFormat="1">
      <c r="A3104" s="6" t="s">
        <v>13736</v>
      </c>
      <c r="B3104" s="6" t="s">
        <v>13737</v>
      </c>
      <c r="C3104" s="6" t="s">
        <v>43</v>
      </c>
      <c r="D3104" s="6" t="s">
        <v>10937</v>
      </c>
      <c r="E3104" s="6" t="s">
        <v>10938</v>
      </c>
      <c r="F3104" s="6" t="s">
        <v>46</v>
      </c>
      <c r="G3104" s="6" t="s">
        <v>13738</v>
      </c>
      <c r="H3104" s="7"/>
      <c r="I3104" s="6" t="s">
        <v>48</v>
      </c>
      <c r="J3104" s="6" t="s">
        <v>48</v>
      </c>
      <c r="AG3104" s="15" t="s">
        <v>55</v>
      </c>
      <c r="AH3104" s="15"/>
      <c r="AI3104" s="15"/>
    </row>
    <row r="3105" spans="1:37" s="6" customFormat="1">
      <c r="A3105" s="6" t="s">
        <v>13739</v>
      </c>
      <c r="B3105" s="6" t="s">
        <v>13740</v>
      </c>
      <c r="C3105" s="6" t="s">
        <v>43</v>
      </c>
      <c r="D3105" s="6" t="s">
        <v>10937</v>
      </c>
      <c r="E3105" s="6" t="s">
        <v>10938</v>
      </c>
      <c r="F3105" s="6" t="s">
        <v>46</v>
      </c>
      <c r="G3105" s="6" t="s">
        <v>13741</v>
      </c>
      <c r="H3105" s="7"/>
      <c r="I3105" s="6" t="s">
        <v>48</v>
      </c>
      <c r="J3105" s="6" t="s">
        <v>48</v>
      </c>
      <c r="AG3105" s="15" t="s">
        <v>55</v>
      </c>
      <c r="AH3105" s="15"/>
      <c r="AI3105" s="15"/>
    </row>
    <row r="3106" spans="1:37" s="6" customFormat="1">
      <c r="A3106" s="6" t="s">
        <v>13742</v>
      </c>
      <c r="B3106" s="6" t="s">
        <v>13743</v>
      </c>
      <c r="C3106" s="6" t="s">
        <v>43</v>
      </c>
      <c r="D3106" s="6" t="s">
        <v>10937</v>
      </c>
      <c r="E3106" s="6" t="s">
        <v>10938</v>
      </c>
      <c r="F3106" s="6" t="s">
        <v>46</v>
      </c>
      <c r="G3106" s="6" t="s">
        <v>13744</v>
      </c>
      <c r="H3106" s="7"/>
      <c r="I3106" s="6" t="s">
        <v>48</v>
      </c>
      <c r="J3106" s="6" t="s">
        <v>48</v>
      </c>
      <c r="AG3106" s="15" t="s">
        <v>55</v>
      </c>
      <c r="AH3106" s="15"/>
      <c r="AI3106" s="15"/>
    </row>
    <row r="3107" spans="1:37" s="6" customFormat="1">
      <c r="A3107" s="6" t="s">
        <v>13745</v>
      </c>
      <c r="B3107" s="6" t="s">
        <v>13746</v>
      </c>
      <c r="C3107" s="6" t="s">
        <v>43</v>
      </c>
      <c r="D3107" s="6" t="s">
        <v>10937</v>
      </c>
      <c r="E3107" s="6" t="s">
        <v>10938</v>
      </c>
      <c r="F3107" s="6" t="s">
        <v>46</v>
      </c>
      <c r="G3107" s="6" t="s">
        <v>6388</v>
      </c>
      <c r="H3107" s="7"/>
      <c r="I3107" s="6" t="s">
        <v>48</v>
      </c>
      <c r="J3107" s="6" t="s">
        <v>48</v>
      </c>
      <c r="AG3107" s="15" t="s">
        <v>55</v>
      </c>
      <c r="AH3107" s="15"/>
      <c r="AI3107" s="15"/>
    </row>
    <row r="3108" spans="1:37" s="6" customFormat="1">
      <c r="A3108" s="6" t="s">
        <v>13747</v>
      </c>
      <c r="B3108" s="6" t="s">
        <v>13748</v>
      </c>
      <c r="C3108" s="6" t="s">
        <v>43</v>
      </c>
      <c r="D3108" s="6" t="s">
        <v>10937</v>
      </c>
      <c r="E3108" s="6" t="s">
        <v>10938</v>
      </c>
      <c r="F3108" s="6" t="s">
        <v>46</v>
      </c>
      <c r="G3108" s="6" t="s">
        <v>13749</v>
      </c>
      <c r="H3108" s="7"/>
      <c r="I3108" s="6" t="s">
        <v>48</v>
      </c>
      <c r="J3108" s="6" t="s">
        <v>48</v>
      </c>
      <c r="AG3108" s="15" t="s">
        <v>55</v>
      </c>
      <c r="AH3108" s="15"/>
      <c r="AI3108" s="15"/>
    </row>
    <row r="3109" spans="1:37" s="6" customFormat="1">
      <c r="A3109" s="6" t="s">
        <v>13750</v>
      </c>
      <c r="B3109" s="6" t="s">
        <v>13751</v>
      </c>
      <c r="C3109" s="6" t="s">
        <v>43</v>
      </c>
      <c r="D3109" s="6" t="s">
        <v>10937</v>
      </c>
      <c r="E3109" s="6" t="s">
        <v>10938</v>
      </c>
      <c r="F3109" s="6" t="s">
        <v>46</v>
      </c>
      <c r="G3109" s="6" t="s">
        <v>13752</v>
      </c>
      <c r="H3109" s="7"/>
      <c r="I3109" s="6" t="s">
        <v>48</v>
      </c>
      <c r="J3109" s="6" t="s">
        <v>48</v>
      </c>
      <c r="AG3109" s="15" t="s">
        <v>55</v>
      </c>
      <c r="AH3109" s="15"/>
      <c r="AI3109" s="15"/>
    </row>
    <row r="3110" spans="1:37" s="6" customFormat="1">
      <c r="A3110" s="6" t="s">
        <v>13753</v>
      </c>
      <c r="B3110" s="6" t="s">
        <v>13754</v>
      </c>
      <c r="C3110" s="6" t="s">
        <v>43</v>
      </c>
      <c r="D3110" s="6" t="s">
        <v>10937</v>
      </c>
      <c r="E3110" s="6" t="s">
        <v>10938</v>
      </c>
      <c r="F3110" s="6" t="s">
        <v>46</v>
      </c>
      <c r="G3110" s="6" t="s">
        <v>13755</v>
      </c>
      <c r="H3110" s="7"/>
      <c r="I3110" s="5" t="s">
        <v>48</v>
      </c>
      <c r="J3110" s="5" t="s">
        <v>48</v>
      </c>
      <c r="AG3110" s="15" t="s">
        <v>55</v>
      </c>
      <c r="AH3110" s="15"/>
      <c r="AI3110" s="15"/>
    </row>
    <row r="3111" spans="1:37" s="6" customFormat="1">
      <c r="A3111" s="6" t="s">
        <v>13756</v>
      </c>
      <c r="B3111" s="6" t="s">
        <v>13757</v>
      </c>
      <c r="C3111" s="6" t="s">
        <v>43</v>
      </c>
      <c r="D3111" s="6" t="s">
        <v>10937</v>
      </c>
      <c r="E3111" s="6" t="s">
        <v>10938</v>
      </c>
      <c r="F3111" s="6" t="s">
        <v>46</v>
      </c>
      <c r="G3111" s="6" t="s">
        <v>13758</v>
      </c>
      <c r="H3111" s="7"/>
      <c r="I3111" s="6" t="s">
        <v>48</v>
      </c>
      <c r="J3111" s="6" t="s">
        <v>48</v>
      </c>
      <c r="AG3111" s="15" t="s">
        <v>55</v>
      </c>
      <c r="AH3111" s="15"/>
      <c r="AI3111" s="15"/>
    </row>
    <row r="3112" spans="1:37" s="6" customFormat="1">
      <c r="A3112" s="6" t="s">
        <v>13759</v>
      </c>
      <c r="B3112" s="6" t="s">
        <v>13760</v>
      </c>
      <c r="C3112" s="6" t="s">
        <v>43</v>
      </c>
      <c r="D3112" s="6" t="s">
        <v>10937</v>
      </c>
      <c r="E3112" s="6" t="s">
        <v>10938</v>
      </c>
      <c r="F3112" s="6" t="s">
        <v>46</v>
      </c>
      <c r="G3112" s="6" t="s">
        <v>8391</v>
      </c>
      <c r="H3112" s="7"/>
      <c r="I3112" s="6" t="s">
        <v>48</v>
      </c>
      <c r="J3112" s="6" t="s">
        <v>48</v>
      </c>
      <c r="AG3112" s="15" t="s">
        <v>55</v>
      </c>
      <c r="AH3112" s="15"/>
      <c r="AI3112" s="15"/>
    </row>
    <row r="3113" spans="1:37" s="6" customFormat="1">
      <c r="A3113" s="6" t="s">
        <v>13761</v>
      </c>
      <c r="B3113" s="6" t="s">
        <v>13762</v>
      </c>
      <c r="C3113" s="6" t="s">
        <v>43</v>
      </c>
      <c r="D3113" s="6" t="s">
        <v>10937</v>
      </c>
      <c r="E3113" s="6" t="s">
        <v>10938</v>
      </c>
      <c r="F3113" s="6" t="s">
        <v>46</v>
      </c>
      <c r="G3113" s="6" t="s">
        <v>7701</v>
      </c>
      <c r="H3113" s="7"/>
      <c r="I3113" s="6" t="s">
        <v>48</v>
      </c>
      <c r="J3113" s="6" t="s">
        <v>48</v>
      </c>
      <c r="AG3113" s="15" t="s">
        <v>55</v>
      </c>
      <c r="AH3113" s="15"/>
      <c r="AI3113" s="15"/>
    </row>
    <row r="3114" spans="1:37" s="6" customFormat="1">
      <c r="A3114" s="6" t="s">
        <v>13763</v>
      </c>
      <c r="B3114" s="6" t="s">
        <v>13764</v>
      </c>
      <c r="C3114" s="6" t="s">
        <v>43</v>
      </c>
      <c r="D3114" s="6" t="s">
        <v>10937</v>
      </c>
      <c r="E3114" s="6" t="s">
        <v>10938</v>
      </c>
      <c r="F3114" s="6" t="s">
        <v>46</v>
      </c>
      <c r="G3114" s="6" t="s">
        <v>7156</v>
      </c>
      <c r="H3114" s="7"/>
      <c r="I3114" s="6" t="s">
        <v>48</v>
      </c>
      <c r="J3114" s="6" t="s">
        <v>48</v>
      </c>
      <c r="AG3114" s="15" t="s">
        <v>55</v>
      </c>
      <c r="AH3114" s="15"/>
      <c r="AI3114" s="15"/>
    </row>
    <row r="3115" spans="1:37" s="6" customFormat="1">
      <c r="A3115" s="6" t="s">
        <v>13765</v>
      </c>
      <c r="B3115" s="6" t="s">
        <v>13766</v>
      </c>
      <c r="C3115" s="6" t="s">
        <v>43</v>
      </c>
      <c r="D3115" s="6" t="s">
        <v>10937</v>
      </c>
      <c r="E3115" s="6" t="s">
        <v>10938</v>
      </c>
      <c r="F3115" s="6" t="s">
        <v>46</v>
      </c>
      <c r="G3115" s="6" t="s">
        <v>13767</v>
      </c>
      <c r="H3115" s="7"/>
      <c r="I3115" s="6" t="s">
        <v>48</v>
      </c>
      <c r="J3115" s="6" t="s">
        <v>48</v>
      </c>
      <c r="AG3115" s="15" t="s">
        <v>55</v>
      </c>
      <c r="AH3115" s="15"/>
      <c r="AI3115" s="15"/>
    </row>
    <row r="3116" spans="1:37" s="6" customFormat="1">
      <c r="A3116" s="5" t="s">
        <v>13768</v>
      </c>
      <c r="B3116" s="5" t="s">
        <v>13769</v>
      </c>
      <c r="C3116" s="6" t="s">
        <v>43</v>
      </c>
      <c r="D3116" s="6" t="s">
        <v>10937</v>
      </c>
      <c r="E3116" s="6" t="s">
        <v>10938</v>
      </c>
      <c r="F3116" s="6" t="s">
        <v>46</v>
      </c>
      <c r="G3116" s="6" t="s">
        <v>13770</v>
      </c>
      <c r="H3116" s="18">
        <v>999</v>
      </c>
      <c r="I3116" s="19" t="s">
        <v>13662</v>
      </c>
      <c r="J3116" s="19" t="s">
        <v>13663</v>
      </c>
      <c r="K3116" s="5" t="s">
        <v>13771</v>
      </c>
      <c r="L3116" s="5" t="s">
        <v>13772</v>
      </c>
      <c r="M3116" s="5" t="s">
        <v>13773</v>
      </c>
      <c r="N3116" s="5" t="s">
        <v>13774</v>
      </c>
      <c r="O3116" s="5" t="s">
        <v>13775</v>
      </c>
      <c r="P3116" s="5" t="s">
        <v>13776</v>
      </c>
      <c r="Q3116" s="5" t="s">
        <v>13777</v>
      </c>
      <c r="R3116" s="5" t="s">
        <v>13778</v>
      </c>
      <c r="S3116" s="6" t="s">
        <v>13672</v>
      </c>
      <c r="T3116" s="6" t="s">
        <v>13697</v>
      </c>
      <c r="U3116" s="6" t="s">
        <v>13674</v>
      </c>
      <c r="V3116" s="6" t="s">
        <v>13675</v>
      </c>
      <c r="W3116" s="6" t="s">
        <v>13676</v>
      </c>
      <c r="X3116" s="6" t="s">
        <v>13677</v>
      </c>
      <c r="Y3116" s="6" t="s">
        <v>13678</v>
      </c>
      <c r="Z3116" s="6" t="s">
        <v>13679</v>
      </c>
      <c r="AA3116" s="6" t="s">
        <v>13680</v>
      </c>
      <c r="AB3116" s="6" t="s">
        <v>13681</v>
      </c>
      <c r="AC3116" s="6" t="s">
        <v>13682</v>
      </c>
      <c r="AD3116" s="6" t="s">
        <v>13683</v>
      </c>
      <c r="AE3116" s="5"/>
      <c r="AF3116" s="5"/>
      <c r="AG3116" s="14" t="s">
        <v>49</v>
      </c>
      <c r="AH3116" s="14" t="s">
        <v>1102</v>
      </c>
      <c r="AI3116" s="14" t="s">
        <v>13684</v>
      </c>
      <c r="AJ3116" s="5" t="s">
        <v>13685</v>
      </c>
      <c r="AK3116" s="5"/>
    </row>
    <row r="3117" spans="1:37">
      <c r="A3117" s="5" t="s">
        <v>13779</v>
      </c>
      <c r="B3117" s="5" t="s">
        <v>13780</v>
      </c>
      <c r="C3117" s="6" t="s">
        <v>43</v>
      </c>
      <c r="D3117" s="6" t="s">
        <v>10937</v>
      </c>
      <c r="E3117" s="6" t="s">
        <v>10938</v>
      </c>
      <c r="F3117" s="6" t="s">
        <v>46</v>
      </c>
      <c r="G3117" s="6" t="s">
        <v>7701</v>
      </c>
      <c r="H3117" s="18">
        <v>999</v>
      </c>
      <c r="I3117" s="19" t="s">
        <v>13662</v>
      </c>
      <c r="J3117" s="19" t="s">
        <v>13663</v>
      </c>
      <c r="K3117" s="6" t="s">
        <v>13781</v>
      </c>
      <c r="L3117" s="6" t="s">
        <v>13782</v>
      </c>
      <c r="M3117" s="6" t="s">
        <v>13783</v>
      </c>
      <c r="N3117" s="6" t="s">
        <v>13784</v>
      </c>
      <c r="O3117" s="6" t="s">
        <v>13785</v>
      </c>
      <c r="P3117" s="6" t="s">
        <v>13786</v>
      </c>
      <c r="Q3117" s="6" t="s">
        <v>13787</v>
      </c>
      <c r="R3117" s="6" t="s">
        <v>13788</v>
      </c>
      <c r="S3117" s="6" t="s">
        <v>13672</v>
      </c>
      <c r="T3117" s="6" t="s">
        <v>13697</v>
      </c>
      <c r="U3117" s="6" t="s">
        <v>13674</v>
      </c>
      <c r="V3117" s="6" t="s">
        <v>13675</v>
      </c>
      <c r="W3117" s="6" t="s">
        <v>13676</v>
      </c>
      <c r="X3117" s="6" t="s">
        <v>13677</v>
      </c>
      <c r="Y3117" s="6" t="s">
        <v>13678</v>
      </c>
      <c r="Z3117" s="6" t="s">
        <v>13679</v>
      </c>
      <c r="AA3117" s="6" t="s">
        <v>13680</v>
      </c>
      <c r="AB3117" s="6" t="s">
        <v>13681</v>
      </c>
      <c r="AC3117" s="6" t="s">
        <v>13682</v>
      </c>
      <c r="AD3117" s="6" t="s">
        <v>13683</v>
      </c>
      <c r="AG3117" s="14" t="s">
        <v>49</v>
      </c>
      <c r="AH3117" s="14" t="s">
        <v>1102</v>
      </c>
      <c r="AI3117" s="14" t="s">
        <v>13684</v>
      </c>
      <c r="AJ3117" s="5" t="s">
        <v>13685</v>
      </c>
    </row>
    <row r="3118" spans="1:37">
      <c r="A3118" s="6" t="s">
        <v>13789</v>
      </c>
      <c r="B3118" s="6" t="s">
        <v>13790</v>
      </c>
      <c r="C3118" s="6" t="s">
        <v>43</v>
      </c>
      <c r="D3118" s="6" t="s">
        <v>10937</v>
      </c>
      <c r="E3118" s="6" t="s">
        <v>10938</v>
      </c>
      <c r="F3118" s="6" t="s">
        <v>46</v>
      </c>
      <c r="G3118" s="6" t="s">
        <v>6391</v>
      </c>
      <c r="I3118" s="6" t="s">
        <v>48</v>
      </c>
      <c r="J3118" s="6" t="s">
        <v>48</v>
      </c>
      <c r="K3118" s="6"/>
      <c r="L3118" s="6"/>
      <c r="M3118" s="6"/>
      <c r="N3118" s="6"/>
      <c r="O3118" s="6"/>
      <c r="P3118" s="6"/>
      <c r="Q3118" s="6"/>
      <c r="R3118" s="6"/>
      <c r="S3118" s="6"/>
      <c r="T3118" s="6"/>
      <c r="U3118" s="6"/>
      <c r="V3118" s="6"/>
      <c r="W3118" s="6"/>
      <c r="X3118" s="6"/>
      <c r="Y3118" s="6"/>
      <c r="Z3118" s="6"/>
      <c r="AA3118" s="6"/>
      <c r="AB3118" s="6"/>
      <c r="AC3118" s="6"/>
      <c r="AD3118" s="6"/>
      <c r="AE3118" s="6"/>
      <c r="AF3118" s="6"/>
      <c r="AG3118" s="15" t="s">
        <v>55</v>
      </c>
      <c r="AH3118" s="15"/>
      <c r="AI3118" s="15"/>
      <c r="AJ3118" s="6"/>
      <c r="AK3118" s="6"/>
    </row>
    <row r="3119" spans="1:37" s="6" customFormat="1">
      <c r="A3119" s="6" t="s">
        <v>13791</v>
      </c>
      <c r="B3119" s="6" t="s">
        <v>13792</v>
      </c>
      <c r="C3119" s="6" t="s">
        <v>43</v>
      </c>
      <c r="D3119" s="6" t="s">
        <v>10937</v>
      </c>
      <c r="E3119" s="6" t="s">
        <v>10938</v>
      </c>
      <c r="F3119" s="6" t="s">
        <v>46</v>
      </c>
      <c r="G3119" s="6" t="s">
        <v>13793</v>
      </c>
      <c r="H3119" s="7"/>
      <c r="I3119" s="6" t="s">
        <v>48</v>
      </c>
      <c r="J3119" s="6" t="s">
        <v>48</v>
      </c>
      <c r="AG3119" s="15" t="s">
        <v>55</v>
      </c>
      <c r="AH3119" s="15"/>
      <c r="AI3119" s="15"/>
    </row>
    <row r="3120" spans="1:37" s="6" customFormat="1">
      <c r="A3120" s="6" t="s">
        <v>13794</v>
      </c>
      <c r="B3120" s="6" t="s">
        <v>13795</v>
      </c>
      <c r="C3120" s="6" t="s">
        <v>13796</v>
      </c>
      <c r="D3120" s="6" t="s">
        <v>10937</v>
      </c>
      <c r="E3120" s="6" t="s">
        <v>10938</v>
      </c>
      <c r="F3120" s="6" t="s">
        <v>46</v>
      </c>
      <c r="G3120" s="6" t="s">
        <v>13797</v>
      </c>
      <c r="H3120" s="7"/>
      <c r="I3120" s="6" t="s">
        <v>48</v>
      </c>
      <c r="J3120" s="6" t="s">
        <v>48</v>
      </c>
      <c r="AG3120" s="15" t="s">
        <v>55</v>
      </c>
      <c r="AH3120" s="15"/>
      <c r="AI3120" s="15"/>
    </row>
    <row r="3121" spans="1:35" s="6" customFormat="1">
      <c r="A3121" s="6" t="s">
        <v>13798</v>
      </c>
      <c r="B3121" s="6" t="s">
        <v>13799</v>
      </c>
      <c r="C3121" s="6" t="s">
        <v>43</v>
      </c>
      <c r="D3121" s="6" t="s">
        <v>13381</v>
      </c>
      <c r="E3121" s="6" t="s">
        <v>10938</v>
      </c>
      <c r="F3121" s="6" t="s">
        <v>46</v>
      </c>
      <c r="G3121" s="6" t="s">
        <v>8402</v>
      </c>
      <c r="H3121" s="7"/>
      <c r="I3121" s="6" t="s">
        <v>48</v>
      </c>
      <c r="J3121" s="6" t="s">
        <v>48</v>
      </c>
      <c r="AG3121" s="15" t="s">
        <v>55</v>
      </c>
      <c r="AH3121" s="15"/>
      <c r="AI3121" s="15"/>
    </row>
    <row r="3122" spans="1:35" s="6" customFormat="1">
      <c r="A3122" s="6" t="s">
        <v>13800</v>
      </c>
      <c r="B3122" s="6" t="s">
        <v>13801</v>
      </c>
      <c r="C3122" s="6" t="s">
        <v>10496</v>
      </c>
      <c r="D3122" s="6" t="s">
        <v>10937</v>
      </c>
      <c r="E3122" s="6" t="s">
        <v>10938</v>
      </c>
      <c r="F3122" s="6" t="s">
        <v>46</v>
      </c>
      <c r="G3122" s="6" t="s">
        <v>8748</v>
      </c>
      <c r="H3122" s="7"/>
      <c r="I3122" s="6" t="s">
        <v>48</v>
      </c>
      <c r="J3122" s="6" t="s">
        <v>48</v>
      </c>
      <c r="AG3122" s="15" t="s">
        <v>55</v>
      </c>
      <c r="AH3122" s="15"/>
      <c r="AI3122" s="15"/>
    </row>
    <row r="3123" spans="1:35" s="6" customFormat="1">
      <c r="A3123" s="6" t="s">
        <v>13802</v>
      </c>
      <c r="B3123" s="6" t="s">
        <v>13803</v>
      </c>
      <c r="C3123" s="6" t="s">
        <v>43</v>
      </c>
      <c r="D3123" s="6" t="s">
        <v>10937</v>
      </c>
      <c r="E3123" s="6" t="s">
        <v>10938</v>
      </c>
      <c r="F3123" s="6" t="s">
        <v>46</v>
      </c>
      <c r="G3123" s="6" t="s">
        <v>13804</v>
      </c>
      <c r="H3123" s="7"/>
      <c r="I3123" s="6" t="s">
        <v>48</v>
      </c>
      <c r="J3123" s="6" t="s">
        <v>48</v>
      </c>
      <c r="AG3123" s="15" t="s">
        <v>55</v>
      </c>
      <c r="AH3123" s="15"/>
      <c r="AI3123" s="15"/>
    </row>
    <row r="3124" spans="1:35" s="6" customFormat="1">
      <c r="A3124" s="6" t="s">
        <v>13805</v>
      </c>
      <c r="B3124" s="6" t="s">
        <v>13806</v>
      </c>
      <c r="C3124" s="6" t="s">
        <v>43</v>
      </c>
      <c r="D3124" s="6" t="s">
        <v>10937</v>
      </c>
      <c r="E3124" s="6" t="s">
        <v>10938</v>
      </c>
      <c r="F3124" s="6" t="s">
        <v>46</v>
      </c>
      <c r="G3124" s="6" t="s">
        <v>13807</v>
      </c>
      <c r="H3124" s="7"/>
      <c r="I3124" s="6" t="s">
        <v>48</v>
      </c>
      <c r="J3124" s="6" t="s">
        <v>48</v>
      </c>
      <c r="AG3124" s="15" t="s">
        <v>55</v>
      </c>
      <c r="AH3124" s="15"/>
      <c r="AI3124" s="15"/>
    </row>
    <row r="3125" spans="1:35" s="6" customFormat="1">
      <c r="A3125" s="6" t="s">
        <v>13808</v>
      </c>
      <c r="B3125" s="6" t="s">
        <v>13809</v>
      </c>
      <c r="C3125" s="6" t="s">
        <v>43</v>
      </c>
      <c r="D3125" s="6" t="s">
        <v>10937</v>
      </c>
      <c r="E3125" s="6" t="s">
        <v>10938</v>
      </c>
      <c r="F3125" s="6" t="s">
        <v>46</v>
      </c>
      <c r="G3125" s="6" t="s">
        <v>13810</v>
      </c>
      <c r="H3125" s="7"/>
      <c r="I3125" s="6" t="s">
        <v>48</v>
      </c>
      <c r="J3125" s="6" t="s">
        <v>48</v>
      </c>
      <c r="AG3125" s="15" t="s">
        <v>55</v>
      </c>
      <c r="AH3125" s="15"/>
      <c r="AI3125" s="15"/>
    </row>
    <row r="3126" spans="1:35" s="6" customFormat="1">
      <c r="A3126" s="6" t="s">
        <v>13811</v>
      </c>
      <c r="B3126" s="6" t="s">
        <v>13812</v>
      </c>
      <c r="C3126" s="6" t="s">
        <v>13813</v>
      </c>
      <c r="D3126" s="6" t="s">
        <v>10937</v>
      </c>
      <c r="E3126" s="6" t="s">
        <v>10938</v>
      </c>
      <c r="F3126" s="6" t="s">
        <v>46</v>
      </c>
      <c r="G3126" s="6" t="s">
        <v>6207</v>
      </c>
      <c r="H3126" s="7"/>
      <c r="I3126" s="6" t="s">
        <v>48</v>
      </c>
      <c r="J3126" s="6" t="s">
        <v>48</v>
      </c>
      <c r="AG3126" s="15" t="s">
        <v>55</v>
      </c>
      <c r="AH3126" s="15"/>
      <c r="AI3126" s="15"/>
    </row>
    <row r="3127" spans="1:35" s="6" customFormat="1">
      <c r="A3127" s="6" t="s">
        <v>13814</v>
      </c>
      <c r="B3127" s="6" t="s">
        <v>13815</v>
      </c>
      <c r="C3127" s="6" t="s">
        <v>13813</v>
      </c>
      <c r="D3127" s="6" t="s">
        <v>10937</v>
      </c>
      <c r="E3127" s="6" t="s">
        <v>10938</v>
      </c>
      <c r="F3127" s="6" t="s">
        <v>46</v>
      </c>
      <c r="G3127" s="6" t="s">
        <v>7625</v>
      </c>
      <c r="H3127" s="7"/>
      <c r="I3127" s="6" t="s">
        <v>48</v>
      </c>
      <c r="J3127" s="6" t="s">
        <v>48</v>
      </c>
      <c r="AG3127" s="15" t="s">
        <v>55</v>
      </c>
      <c r="AH3127" s="15"/>
      <c r="AI3127" s="15"/>
    </row>
    <row r="3128" spans="1:35" s="6" customFormat="1">
      <c r="A3128" s="6" t="s">
        <v>13816</v>
      </c>
      <c r="B3128" s="6" t="s">
        <v>13817</v>
      </c>
      <c r="C3128" s="6" t="s">
        <v>13813</v>
      </c>
      <c r="D3128" s="6" t="s">
        <v>10937</v>
      </c>
      <c r="E3128" s="6" t="s">
        <v>10938</v>
      </c>
      <c r="F3128" s="6" t="s">
        <v>46</v>
      </c>
      <c r="G3128" s="6" t="s">
        <v>13818</v>
      </c>
      <c r="H3128" s="7"/>
      <c r="I3128" s="6" t="s">
        <v>48</v>
      </c>
      <c r="J3128" s="6" t="s">
        <v>48</v>
      </c>
      <c r="AG3128" s="15" t="s">
        <v>55</v>
      </c>
      <c r="AH3128" s="15"/>
      <c r="AI3128" s="15"/>
    </row>
    <row r="3129" spans="1:35" s="6" customFormat="1">
      <c r="A3129" s="6" t="s">
        <v>13819</v>
      </c>
      <c r="B3129" s="6" t="s">
        <v>13820</v>
      </c>
      <c r="C3129" s="6" t="s">
        <v>43</v>
      </c>
      <c r="D3129" s="6" t="s">
        <v>10937</v>
      </c>
      <c r="E3129" s="6" t="s">
        <v>10938</v>
      </c>
      <c r="F3129" s="6" t="s">
        <v>46</v>
      </c>
      <c r="G3129" s="6" t="s">
        <v>7639</v>
      </c>
      <c r="H3129" s="7"/>
      <c r="I3129" s="6" t="s">
        <v>48</v>
      </c>
      <c r="J3129" s="6" t="s">
        <v>48</v>
      </c>
      <c r="AG3129" s="15" t="s">
        <v>55</v>
      </c>
      <c r="AH3129" s="15"/>
      <c r="AI3129" s="15"/>
    </row>
    <row r="3130" spans="1:35" s="6" customFormat="1">
      <c r="A3130" s="6" t="s">
        <v>13821</v>
      </c>
      <c r="B3130" s="6" t="s">
        <v>13822</v>
      </c>
      <c r="C3130" s="6" t="s">
        <v>43</v>
      </c>
      <c r="D3130" s="6" t="s">
        <v>10937</v>
      </c>
      <c r="E3130" s="6" t="s">
        <v>10938</v>
      </c>
      <c r="F3130" s="6" t="s">
        <v>46</v>
      </c>
      <c r="G3130" s="6" t="s">
        <v>13823</v>
      </c>
      <c r="H3130" s="7"/>
      <c r="I3130" s="6" t="s">
        <v>48</v>
      </c>
      <c r="J3130" s="6" t="s">
        <v>48</v>
      </c>
      <c r="AG3130" s="15" t="s">
        <v>55</v>
      </c>
      <c r="AH3130" s="15"/>
      <c r="AI3130" s="15"/>
    </row>
    <row r="3131" spans="1:35" s="6" customFormat="1">
      <c r="A3131" s="6" t="s">
        <v>13824</v>
      </c>
      <c r="B3131" s="6" t="s">
        <v>13825</v>
      </c>
      <c r="C3131" s="6" t="s">
        <v>6736</v>
      </c>
      <c r="D3131" s="6" t="s">
        <v>10937</v>
      </c>
      <c r="E3131" s="6" t="s">
        <v>10938</v>
      </c>
      <c r="F3131" s="6" t="s">
        <v>46</v>
      </c>
      <c r="G3131" s="6" t="s">
        <v>6594</v>
      </c>
      <c r="H3131" s="7"/>
      <c r="I3131" s="6" t="s">
        <v>48</v>
      </c>
      <c r="J3131" s="6" t="s">
        <v>48</v>
      </c>
      <c r="AG3131" s="15" t="s">
        <v>55</v>
      </c>
      <c r="AH3131" s="15"/>
      <c r="AI3131" s="15"/>
    </row>
    <row r="3132" spans="1:35" s="6" customFormat="1">
      <c r="A3132" s="6" t="s">
        <v>13826</v>
      </c>
      <c r="B3132" s="6" t="s">
        <v>13827</v>
      </c>
      <c r="C3132" s="6" t="s">
        <v>6736</v>
      </c>
      <c r="D3132" s="6" t="s">
        <v>10937</v>
      </c>
      <c r="E3132" s="6" t="s">
        <v>10938</v>
      </c>
      <c r="F3132" s="6" t="s">
        <v>46</v>
      </c>
      <c r="G3132" s="6" t="s">
        <v>1153</v>
      </c>
      <c r="H3132" s="7"/>
      <c r="I3132" s="6" t="s">
        <v>48</v>
      </c>
      <c r="J3132" s="6" t="s">
        <v>48</v>
      </c>
      <c r="AG3132" s="15" t="s">
        <v>55</v>
      </c>
      <c r="AH3132" s="15"/>
      <c r="AI3132" s="15"/>
    </row>
    <row r="3133" spans="1:35" s="6" customFormat="1">
      <c r="A3133" s="6" t="s">
        <v>13828</v>
      </c>
      <c r="B3133" s="6" t="s">
        <v>13829</v>
      </c>
      <c r="C3133" s="6" t="s">
        <v>6736</v>
      </c>
      <c r="D3133" s="6" t="s">
        <v>10937</v>
      </c>
      <c r="E3133" s="6" t="s">
        <v>10938</v>
      </c>
      <c r="F3133" s="6" t="s">
        <v>46</v>
      </c>
      <c r="G3133" s="6" t="s">
        <v>13830</v>
      </c>
      <c r="H3133" s="7"/>
      <c r="I3133" s="6" t="s">
        <v>48</v>
      </c>
      <c r="J3133" s="6" t="s">
        <v>48</v>
      </c>
      <c r="AG3133" s="15" t="s">
        <v>55</v>
      </c>
      <c r="AH3133" s="15"/>
      <c r="AI3133" s="15"/>
    </row>
    <row r="3134" spans="1:35" s="6" customFormat="1">
      <c r="A3134" s="6" t="s">
        <v>13831</v>
      </c>
      <c r="B3134" s="6" t="s">
        <v>13832</v>
      </c>
      <c r="C3134" s="6" t="s">
        <v>10496</v>
      </c>
      <c r="D3134" s="6" t="s">
        <v>10937</v>
      </c>
      <c r="E3134" s="6" t="s">
        <v>10938</v>
      </c>
      <c r="F3134" s="6" t="s">
        <v>46</v>
      </c>
      <c r="G3134" s="6" t="s">
        <v>8572</v>
      </c>
      <c r="H3134" s="7"/>
      <c r="I3134" s="6" t="s">
        <v>48</v>
      </c>
      <c r="J3134" s="6" t="s">
        <v>48</v>
      </c>
      <c r="AG3134" s="15" t="s">
        <v>55</v>
      </c>
      <c r="AH3134" s="15"/>
      <c r="AI3134" s="15"/>
    </row>
    <row r="3135" spans="1:35" s="6" customFormat="1">
      <c r="A3135" s="6" t="s">
        <v>13833</v>
      </c>
      <c r="B3135" s="6" t="s">
        <v>13834</v>
      </c>
      <c r="C3135" s="6" t="s">
        <v>43</v>
      </c>
      <c r="D3135" s="6" t="s">
        <v>10937</v>
      </c>
      <c r="E3135" s="6" t="s">
        <v>10938</v>
      </c>
      <c r="F3135" s="6" t="s">
        <v>46</v>
      </c>
      <c r="G3135" s="6" t="s">
        <v>7870</v>
      </c>
      <c r="H3135" s="7"/>
      <c r="I3135" s="6" t="s">
        <v>48</v>
      </c>
      <c r="J3135" s="6" t="s">
        <v>48</v>
      </c>
      <c r="AG3135" s="15" t="s">
        <v>55</v>
      </c>
      <c r="AH3135" s="15"/>
      <c r="AI3135" s="15"/>
    </row>
    <row r="3136" spans="1:35" s="6" customFormat="1">
      <c r="A3136" s="6" t="s">
        <v>13835</v>
      </c>
      <c r="B3136" s="6" t="s">
        <v>13836</v>
      </c>
      <c r="C3136" s="6" t="s">
        <v>13837</v>
      </c>
      <c r="D3136" s="6" t="s">
        <v>10937</v>
      </c>
      <c r="E3136" s="6" t="s">
        <v>10938</v>
      </c>
      <c r="F3136" s="6" t="s">
        <v>46</v>
      </c>
      <c r="G3136" s="6" t="s">
        <v>6763</v>
      </c>
      <c r="H3136" s="7"/>
      <c r="I3136" s="6" t="s">
        <v>48</v>
      </c>
      <c r="J3136" s="6" t="s">
        <v>48</v>
      </c>
      <c r="AG3136" s="15" t="s">
        <v>55</v>
      </c>
      <c r="AH3136" s="15"/>
      <c r="AI3136" s="15"/>
    </row>
    <row r="3137" spans="1:37" s="6" customFormat="1">
      <c r="A3137" s="5" t="s">
        <v>13838</v>
      </c>
      <c r="B3137" s="5" t="s">
        <v>13839</v>
      </c>
      <c r="C3137" s="6" t="s">
        <v>13837</v>
      </c>
      <c r="D3137" s="6" t="s">
        <v>10937</v>
      </c>
      <c r="E3137" s="6" t="s">
        <v>10938</v>
      </c>
      <c r="F3137" s="6" t="s">
        <v>46</v>
      </c>
      <c r="G3137" s="6" t="s">
        <v>13840</v>
      </c>
      <c r="H3137" s="18">
        <v>999</v>
      </c>
      <c r="I3137" s="19" t="s">
        <v>13662</v>
      </c>
      <c r="J3137" s="19" t="s">
        <v>13663</v>
      </c>
      <c r="K3137" s="6" t="s">
        <v>13841</v>
      </c>
      <c r="L3137" s="6" t="s">
        <v>13842</v>
      </c>
      <c r="M3137" s="6" t="s">
        <v>13843</v>
      </c>
      <c r="N3137" s="6" t="s">
        <v>13844</v>
      </c>
      <c r="O3137" s="6" t="s">
        <v>13845</v>
      </c>
      <c r="P3137" s="6" t="s">
        <v>13846</v>
      </c>
      <c r="Q3137" s="6" t="s">
        <v>13847</v>
      </c>
      <c r="R3137" s="6" t="s">
        <v>13848</v>
      </c>
      <c r="S3137" s="6" t="s">
        <v>13672</v>
      </c>
      <c r="T3137" s="6" t="s">
        <v>13697</v>
      </c>
      <c r="U3137" s="6" t="s">
        <v>13674</v>
      </c>
      <c r="V3137" s="6" t="s">
        <v>13675</v>
      </c>
      <c r="W3137" s="6" t="s">
        <v>13676</v>
      </c>
      <c r="X3137" s="6" t="s">
        <v>13677</v>
      </c>
      <c r="Y3137" s="6" t="s">
        <v>13678</v>
      </c>
      <c r="Z3137" s="6" t="s">
        <v>13679</v>
      </c>
      <c r="AA3137" s="6" t="s">
        <v>13680</v>
      </c>
      <c r="AB3137" s="6" t="s">
        <v>13681</v>
      </c>
      <c r="AC3137" s="6" t="s">
        <v>13682</v>
      </c>
      <c r="AD3137" s="6" t="s">
        <v>13683</v>
      </c>
      <c r="AE3137" s="5"/>
      <c r="AF3137" s="5"/>
      <c r="AG3137" s="14" t="s">
        <v>49</v>
      </c>
      <c r="AH3137" s="14" t="s">
        <v>1102</v>
      </c>
      <c r="AI3137" s="14" t="s">
        <v>13684</v>
      </c>
      <c r="AJ3137" s="5" t="s">
        <v>13685</v>
      </c>
      <c r="AK3137" s="5"/>
    </row>
    <row r="3138" spans="1:37">
      <c r="A3138" s="5" t="s">
        <v>13849</v>
      </c>
      <c r="B3138" s="5" t="s">
        <v>13850</v>
      </c>
      <c r="C3138" s="6" t="s">
        <v>13837</v>
      </c>
      <c r="D3138" s="6" t="s">
        <v>10937</v>
      </c>
      <c r="E3138" s="6" t="s">
        <v>10938</v>
      </c>
      <c r="F3138" s="6" t="s">
        <v>46</v>
      </c>
      <c r="G3138" s="6" t="s">
        <v>12610</v>
      </c>
      <c r="H3138" s="18">
        <v>999</v>
      </c>
      <c r="I3138" s="19" t="s">
        <v>13662</v>
      </c>
      <c r="J3138" s="19" t="s">
        <v>13663</v>
      </c>
      <c r="K3138" s="6" t="s">
        <v>13851</v>
      </c>
      <c r="L3138" s="6" t="s">
        <v>13852</v>
      </c>
      <c r="M3138" s="6" t="s">
        <v>13853</v>
      </c>
      <c r="N3138" s="6" t="s">
        <v>13854</v>
      </c>
      <c r="O3138" s="6" t="s">
        <v>13855</v>
      </c>
      <c r="P3138" s="6" t="s">
        <v>13856</v>
      </c>
      <c r="Q3138" s="6" t="s">
        <v>13857</v>
      </c>
      <c r="R3138" s="6" t="s">
        <v>13858</v>
      </c>
      <c r="S3138" s="6" t="s">
        <v>13672</v>
      </c>
      <c r="T3138" s="6" t="s">
        <v>13697</v>
      </c>
      <c r="U3138" s="6" t="s">
        <v>13674</v>
      </c>
      <c r="V3138" s="6" t="s">
        <v>13675</v>
      </c>
      <c r="W3138" s="6" t="s">
        <v>13676</v>
      </c>
      <c r="X3138" s="6" t="s">
        <v>13677</v>
      </c>
      <c r="Y3138" s="6" t="s">
        <v>13678</v>
      </c>
      <c r="Z3138" s="6" t="s">
        <v>13679</v>
      </c>
      <c r="AA3138" s="6" t="s">
        <v>13680</v>
      </c>
      <c r="AB3138" s="6" t="s">
        <v>13681</v>
      </c>
      <c r="AC3138" s="6" t="s">
        <v>13682</v>
      </c>
      <c r="AD3138" s="6" t="s">
        <v>13683</v>
      </c>
      <c r="AG3138" s="14" t="s">
        <v>49</v>
      </c>
      <c r="AH3138" s="14" t="s">
        <v>1102</v>
      </c>
      <c r="AI3138" s="14" t="s">
        <v>13684</v>
      </c>
      <c r="AJ3138" s="5" t="s">
        <v>13685</v>
      </c>
    </row>
    <row r="3139" spans="1:37">
      <c r="A3139" s="6" t="s">
        <v>13859</v>
      </c>
      <c r="B3139" s="6" t="s">
        <v>13860</v>
      </c>
      <c r="C3139" s="6" t="s">
        <v>3276</v>
      </c>
      <c r="D3139" s="6" t="s">
        <v>10937</v>
      </c>
      <c r="E3139" s="6" t="s">
        <v>10938</v>
      </c>
      <c r="F3139" s="6" t="s">
        <v>46</v>
      </c>
      <c r="G3139" s="6" t="s">
        <v>6763</v>
      </c>
      <c r="I3139" s="5" t="s">
        <v>48</v>
      </c>
      <c r="J3139" s="5" t="s">
        <v>48</v>
      </c>
      <c r="K3139" s="6"/>
      <c r="L3139" s="6"/>
      <c r="M3139" s="6"/>
      <c r="N3139" s="6"/>
      <c r="O3139" s="6"/>
      <c r="P3139" s="6"/>
      <c r="Q3139" s="6"/>
      <c r="R3139" s="6"/>
      <c r="S3139" s="6"/>
      <c r="T3139" s="6"/>
      <c r="U3139" s="6"/>
      <c r="V3139" s="6"/>
      <c r="W3139" s="6"/>
      <c r="X3139" s="6"/>
      <c r="Y3139" s="6"/>
      <c r="Z3139" s="6"/>
      <c r="AA3139" s="6"/>
      <c r="AB3139" s="6"/>
      <c r="AC3139" s="6"/>
      <c r="AD3139" s="6"/>
      <c r="AE3139" s="6"/>
      <c r="AF3139" s="6"/>
      <c r="AG3139" s="15" t="s">
        <v>55</v>
      </c>
      <c r="AH3139" s="15"/>
      <c r="AI3139" s="15"/>
      <c r="AJ3139" s="6"/>
      <c r="AK3139" s="6"/>
    </row>
    <row r="3140" spans="1:37" s="6" customFormat="1">
      <c r="A3140" s="5" t="s">
        <v>13861</v>
      </c>
      <c r="B3140" s="5" t="s">
        <v>13862</v>
      </c>
      <c r="C3140" s="6" t="s">
        <v>13837</v>
      </c>
      <c r="D3140" s="6" t="s">
        <v>10937</v>
      </c>
      <c r="E3140" s="6" t="s">
        <v>10938</v>
      </c>
      <c r="F3140" s="6" t="s">
        <v>46</v>
      </c>
      <c r="G3140" s="6" t="s">
        <v>13863</v>
      </c>
      <c r="H3140" s="18">
        <v>999</v>
      </c>
      <c r="I3140" s="19" t="s">
        <v>13662</v>
      </c>
      <c r="J3140" s="19" t="s">
        <v>13663</v>
      </c>
      <c r="K3140" s="23" t="s">
        <v>13864</v>
      </c>
      <c r="L3140" s="23" t="s">
        <v>13865</v>
      </c>
      <c r="M3140" s="23" t="s">
        <v>13866</v>
      </c>
      <c r="N3140" s="23" t="s">
        <v>13867</v>
      </c>
      <c r="O3140" s="23" t="s">
        <v>13868</v>
      </c>
      <c r="P3140" s="23" t="s">
        <v>13869</v>
      </c>
      <c r="Q3140" s="23" t="s">
        <v>13870</v>
      </c>
      <c r="R3140" s="23" t="s">
        <v>13871</v>
      </c>
      <c r="S3140" s="6" t="s">
        <v>13672</v>
      </c>
      <c r="T3140" s="6" t="s">
        <v>13697</v>
      </c>
      <c r="U3140" s="6" t="s">
        <v>13674</v>
      </c>
      <c r="V3140" s="6" t="s">
        <v>13675</v>
      </c>
      <c r="W3140" s="6" t="s">
        <v>13676</v>
      </c>
      <c r="X3140" s="6" t="s">
        <v>13677</v>
      </c>
      <c r="Y3140" s="6" t="s">
        <v>13678</v>
      </c>
      <c r="Z3140" s="6" t="s">
        <v>13679</v>
      </c>
      <c r="AA3140" s="6" t="s">
        <v>13680</v>
      </c>
      <c r="AB3140" s="6" t="s">
        <v>13681</v>
      </c>
      <c r="AC3140" s="6" t="s">
        <v>13682</v>
      </c>
      <c r="AD3140" s="6" t="s">
        <v>13683</v>
      </c>
      <c r="AE3140" s="5"/>
      <c r="AF3140" s="5"/>
      <c r="AG3140" s="14" t="s">
        <v>49</v>
      </c>
      <c r="AH3140" s="14" t="s">
        <v>1102</v>
      </c>
      <c r="AI3140" s="14" t="s">
        <v>13684</v>
      </c>
      <c r="AJ3140" s="5" t="s">
        <v>13685</v>
      </c>
      <c r="AK3140" s="5"/>
    </row>
    <row r="3141" spans="1:37">
      <c r="A3141" s="6" t="s">
        <v>13872</v>
      </c>
      <c r="B3141" s="6" t="s">
        <v>13873</v>
      </c>
      <c r="C3141" s="6" t="s">
        <v>3276</v>
      </c>
      <c r="D3141" s="6" t="s">
        <v>10937</v>
      </c>
      <c r="E3141" s="6" t="s">
        <v>10938</v>
      </c>
      <c r="F3141" s="6" t="s">
        <v>46</v>
      </c>
      <c r="G3141" s="6" t="s">
        <v>13874</v>
      </c>
      <c r="I3141" s="5" t="s">
        <v>48</v>
      </c>
      <c r="J3141" s="5" t="s">
        <v>48</v>
      </c>
      <c r="K3141" s="6"/>
      <c r="L3141" s="6"/>
      <c r="M3141" s="6"/>
      <c r="N3141" s="6"/>
      <c r="O3141" s="6"/>
      <c r="P3141" s="6"/>
      <c r="Q3141" s="6"/>
      <c r="R3141" s="6"/>
      <c r="S3141" s="6"/>
      <c r="T3141" s="6"/>
      <c r="U3141" s="6"/>
      <c r="V3141" s="6"/>
      <c r="W3141" s="6"/>
      <c r="X3141" s="6"/>
      <c r="Y3141" s="6"/>
      <c r="Z3141" s="6"/>
      <c r="AA3141" s="6"/>
      <c r="AB3141" s="6"/>
      <c r="AC3141" s="6"/>
      <c r="AD3141" s="6"/>
      <c r="AE3141" s="6"/>
      <c r="AF3141" s="6"/>
      <c r="AG3141" s="15" t="s">
        <v>55</v>
      </c>
      <c r="AH3141" s="15"/>
      <c r="AI3141" s="15"/>
      <c r="AJ3141" s="6"/>
      <c r="AK3141" s="6"/>
    </row>
    <row r="3142" spans="1:37" s="6" customFormat="1">
      <c r="A3142" s="6" t="s">
        <v>13875</v>
      </c>
      <c r="B3142" s="6" t="s">
        <v>13876</v>
      </c>
      <c r="C3142" s="6" t="s">
        <v>13837</v>
      </c>
      <c r="D3142" s="6" t="s">
        <v>10937</v>
      </c>
      <c r="E3142" s="6" t="s">
        <v>10938</v>
      </c>
      <c r="F3142" s="6" t="s">
        <v>46</v>
      </c>
      <c r="G3142" s="6" t="s">
        <v>13877</v>
      </c>
      <c r="H3142" s="7"/>
      <c r="I3142" s="6" t="s">
        <v>48</v>
      </c>
      <c r="J3142" s="6" t="s">
        <v>48</v>
      </c>
      <c r="AG3142" s="15" t="s">
        <v>55</v>
      </c>
      <c r="AH3142" s="15"/>
      <c r="AI3142" s="15"/>
    </row>
    <row r="3143" spans="1:37" s="6" customFormat="1">
      <c r="A3143" s="6" t="s">
        <v>13878</v>
      </c>
      <c r="B3143" s="6" t="s">
        <v>13879</v>
      </c>
      <c r="C3143" s="6" t="s">
        <v>10496</v>
      </c>
      <c r="D3143" s="6" t="s">
        <v>10937</v>
      </c>
      <c r="E3143" s="6" t="s">
        <v>10938</v>
      </c>
      <c r="F3143" s="6" t="s">
        <v>46</v>
      </c>
      <c r="G3143" s="6" t="s">
        <v>13880</v>
      </c>
      <c r="H3143" s="7"/>
      <c r="I3143" s="6" t="s">
        <v>48</v>
      </c>
      <c r="J3143" s="6" t="s">
        <v>48</v>
      </c>
      <c r="AG3143" s="15" t="s">
        <v>55</v>
      </c>
      <c r="AH3143" s="15"/>
      <c r="AI3143" s="15"/>
    </row>
    <row r="3144" spans="1:37" s="6" customFormat="1">
      <c r="A3144" s="6" t="s">
        <v>13881</v>
      </c>
      <c r="B3144" s="6" t="s">
        <v>13882</v>
      </c>
      <c r="C3144" s="6" t="s">
        <v>43</v>
      </c>
      <c r="D3144" s="6" t="s">
        <v>10937</v>
      </c>
      <c r="E3144" s="6" t="s">
        <v>10938</v>
      </c>
      <c r="F3144" s="6" t="s">
        <v>46</v>
      </c>
      <c r="G3144" s="6" t="s">
        <v>8601</v>
      </c>
      <c r="H3144" s="7"/>
      <c r="I3144" s="6" t="s">
        <v>48</v>
      </c>
      <c r="J3144" s="6" t="s">
        <v>48</v>
      </c>
      <c r="AG3144" s="15" t="s">
        <v>55</v>
      </c>
      <c r="AH3144" s="15"/>
      <c r="AI3144" s="15"/>
    </row>
    <row r="3145" spans="1:37" s="6" customFormat="1">
      <c r="A3145" s="6" t="s">
        <v>13883</v>
      </c>
      <c r="B3145" s="6" t="s">
        <v>13884</v>
      </c>
      <c r="C3145" s="6" t="s">
        <v>13813</v>
      </c>
      <c r="D3145" s="6" t="s">
        <v>10937</v>
      </c>
      <c r="E3145" s="6" t="s">
        <v>10938</v>
      </c>
      <c r="F3145" s="6" t="s">
        <v>46</v>
      </c>
      <c r="G3145" s="6" t="s">
        <v>7384</v>
      </c>
      <c r="H3145" s="7"/>
      <c r="I3145" s="5" t="s">
        <v>48</v>
      </c>
      <c r="J3145" s="5" t="s">
        <v>48</v>
      </c>
      <c r="AG3145" s="15" t="s">
        <v>55</v>
      </c>
      <c r="AH3145" s="15"/>
      <c r="AI3145" s="15"/>
    </row>
    <row r="3146" spans="1:37" s="6" customFormat="1">
      <c r="A3146" s="6" t="s">
        <v>13885</v>
      </c>
      <c r="B3146" s="6" t="s">
        <v>13886</v>
      </c>
      <c r="C3146" s="6" t="s">
        <v>13813</v>
      </c>
      <c r="D3146" s="6" t="s">
        <v>10937</v>
      </c>
      <c r="E3146" s="6" t="s">
        <v>10938</v>
      </c>
      <c r="F3146" s="6" t="s">
        <v>46</v>
      </c>
      <c r="G3146" s="6" t="s">
        <v>13887</v>
      </c>
      <c r="H3146" s="7"/>
      <c r="I3146" s="6" t="s">
        <v>48</v>
      </c>
      <c r="J3146" s="6" t="s">
        <v>48</v>
      </c>
      <c r="AG3146" s="15" t="s">
        <v>55</v>
      </c>
      <c r="AH3146" s="15"/>
      <c r="AI3146" s="15"/>
    </row>
    <row r="3147" spans="1:37" s="6" customFormat="1">
      <c r="A3147" s="6" t="s">
        <v>13888</v>
      </c>
      <c r="B3147" s="6" t="s">
        <v>13889</v>
      </c>
      <c r="C3147" s="6" t="s">
        <v>13813</v>
      </c>
      <c r="D3147" s="6" t="s">
        <v>10937</v>
      </c>
      <c r="E3147" s="6" t="s">
        <v>10938</v>
      </c>
      <c r="F3147" s="6" t="s">
        <v>46</v>
      </c>
      <c r="G3147" s="6" t="s">
        <v>6524</v>
      </c>
      <c r="H3147" s="7"/>
      <c r="I3147" s="6" t="s">
        <v>48</v>
      </c>
      <c r="J3147" s="6" t="s">
        <v>48</v>
      </c>
      <c r="AG3147" s="15" t="s">
        <v>55</v>
      </c>
      <c r="AH3147" s="15"/>
      <c r="AI3147" s="15"/>
    </row>
    <row r="3148" spans="1:37" s="6" customFormat="1">
      <c r="A3148" s="6" t="s">
        <v>13890</v>
      </c>
      <c r="B3148" s="6" t="s">
        <v>13891</v>
      </c>
      <c r="C3148" s="6" t="s">
        <v>13892</v>
      </c>
      <c r="D3148" s="6" t="s">
        <v>10937</v>
      </c>
      <c r="E3148" s="6" t="s">
        <v>10938</v>
      </c>
      <c r="F3148" s="6" t="s">
        <v>46</v>
      </c>
      <c r="G3148" s="6" t="s">
        <v>13893</v>
      </c>
      <c r="H3148" s="7"/>
      <c r="I3148" s="6" t="s">
        <v>48</v>
      </c>
      <c r="J3148" s="6" t="s">
        <v>48</v>
      </c>
      <c r="AG3148" s="15" t="s">
        <v>55</v>
      </c>
      <c r="AH3148" s="15"/>
      <c r="AI3148" s="15"/>
    </row>
    <row r="3149" spans="1:37" s="6" customFormat="1">
      <c r="A3149" s="6" t="s">
        <v>13894</v>
      </c>
      <c r="B3149" s="6" t="s">
        <v>13895</v>
      </c>
      <c r="C3149" s="6" t="s">
        <v>43</v>
      </c>
      <c r="D3149" s="6" t="s">
        <v>10937</v>
      </c>
      <c r="E3149" s="6" t="s">
        <v>10938</v>
      </c>
      <c r="F3149" s="6" t="s">
        <v>46</v>
      </c>
      <c r="G3149" s="6" t="s">
        <v>13896</v>
      </c>
      <c r="H3149" s="7"/>
      <c r="I3149" s="6" t="s">
        <v>48</v>
      </c>
      <c r="J3149" s="6" t="s">
        <v>48</v>
      </c>
      <c r="AG3149" s="15" t="s">
        <v>55</v>
      </c>
      <c r="AH3149" s="15"/>
      <c r="AI3149" s="15"/>
    </row>
    <row r="3150" spans="1:37" s="6" customFormat="1">
      <c r="A3150" s="6" t="s">
        <v>13897</v>
      </c>
      <c r="B3150" s="6" t="s">
        <v>13898</v>
      </c>
      <c r="C3150" s="6" t="s">
        <v>43</v>
      </c>
      <c r="D3150" s="6" t="s">
        <v>10937</v>
      </c>
      <c r="E3150" s="6" t="s">
        <v>10938</v>
      </c>
      <c r="F3150" s="6" t="s">
        <v>46</v>
      </c>
      <c r="G3150" s="6" t="s">
        <v>13899</v>
      </c>
      <c r="H3150" s="7"/>
      <c r="I3150" s="6" t="s">
        <v>48</v>
      </c>
      <c r="J3150" s="6" t="s">
        <v>48</v>
      </c>
      <c r="AG3150" s="15" t="s">
        <v>55</v>
      </c>
      <c r="AH3150" s="15"/>
      <c r="AI3150" s="15"/>
    </row>
    <row r="3151" spans="1:37" s="6" customFormat="1">
      <c r="A3151" s="6" t="s">
        <v>13900</v>
      </c>
      <c r="B3151" s="6" t="s">
        <v>13901</v>
      </c>
      <c r="C3151" s="6" t="s">
        <v>10496</v>
      </c>
      <c r="D3151" s="6" t="s">
        <v>10937</v>
      </c>
      <c r="E3151" s="6" t="s">
        <v>10938</v>
      </c>
      <c r="F3151" s="6" t="s">
        <v>46</v>
      </c>
      <c r="G3151" s="6" t="s">
        <v>13902</v>
      </c>
      <c r="H3151" s="7"/>
      <c r="I3151" s="6" t="s">
        <v>48</v>
      </c>
      <c r="J3151" s="6" t="s">
        <v>48</v>
      </c>
      <c r="AG3151" s="15" t="s">
        <v>55</v>
      </c>
      <c r="AH3151" s="15"/>
      <c r="AI3151" s="15"/>
    </row>
    <row r="3152" spans="1:37" s="6" customFormat="1">
      <c r="A3152" s="5" t="s">
        <v>13903</v>
      </c>
      <c r="B3152" s="5" t="s">
        <v>13904</v>
      </c>
      <c r="C3152" s="6" t="s">
        <v>13892</v>
      </c>
      <c r="D3152" s="6" t="s">
        <v>10937</v>
      </c>
      <c r="E3152" s="6" t="s">
        <v>10938</v>
      </c>
      <c r="F3152" s="6" t="s">
        <v>46</v>
      </c>
      <c r="G3152" s="6" t="s">
        <v>13905</v>
      </c>
      <c r="H3152" s="18">
        <v>999</v>
      </c>
      <c r="I3152" s="19" t="s">
        <v>13662</v>
      </c>
      <c r="J3152" s="19" t="s">
        <v>13663</v>
      </c>
      <c r="K3152" s="25" t="s">
        <v>13906</v>
      </c>
      <c r="L3152" s="25" t="s">
        <v>13907</v>
      </c>
      <c r="M3152" s="25" t="s">
        <v>13908</v>
      </c>
      <c r="N3152" s="25" t="s">
        <v>13909</v>
      </c>
      <c r="O3152" s="25" t="s">
        <v>13910</v>
      </c>
      <c r="P3152" s="25" t="s">
        <v>13911</v>
      </c>
      <c r="Q3152" s="25" t="s">
        <v>13912</v>
      </c>
      <c r="R3152" s="25" t="s">
        <v>13913</v>
      </c>
      <c r="S3152" s="6" t="s">
        <v>13672</v>
      </c>
      <c r="T3152" s="6" t="s">
        <v>13697</v>
      </c>
      <c r="U3152" s="6" t="s">
        <v>13674</v>
      </c>
      <c r="V3152" s="6" t="s">
        <v>13675</v>
      </c>
      <c r="W3152" s="6" t="s">
        <v>13676</v>
      </c>
      <c r="X3152" s="6" t="s">
        <v>13677</v>
      </c>
      <c r="Y3152" s="6" t="s">
        <v>13678</v>
      </c>
      <c r="Z3152" s="6" t="s">
        <v>13679</v>
      </c>
      <c r="AA3152" s="6" t="s">
        <v>13680</v>
      </c>
      <c r="AB3152" s="6" t="s">
        <v>13681</v>
      </c>
      <c r="AC3152" s="6" t="s">
        <v>13682</v>
      </c>
      <c r="AD3152" s="6" t="s">
        <v>13683</v>
      </c>
      <c r="AE3152" s="5"/>
      <c r="AF3152" s="5"/>
      <c r="AG3152" s="14" t="s">
        <v>49</v>
      </c>
      <c r="AH3152" s="14" t="s">
        <v>1102</v>
      </c>
      <c r="AI3152" s="14" t="s">
        <v>13684</v>
      </c>
      <c r="AJ3152" s="5" t="s">
        <v>13685</v>
      </c>
      <c r="AK3152" s="5"/>
    </row>
    <row r="3153" spans="1:37">
      <c r="A3153" s="6" t="s">
        <v>13914</v>
      </c>
      <c r="B3153" s="6" t="s">
        <v>13915</v>
      </c>
      <c r="C3153" s="6" t="s">
        <v>13892</v>
      </c>
      <c r="D3153" s="6" t="s">
        <v>10937</v>
      </c>
      <c r="E3153" s="6" t="s">
        <v>10938</v>
      </c>
      <c r="F3153" s="6" t="s">
        <v>46</v>
      </c>
      <c r="G3153" s="6" t="s">
        <v>13899</v>
      </c>
      <c r="I3153" s="5" t="s">
        <v>48</v>
      </c>
      <c r="J3153" s="5" t="s">
        <v>48</v>
      </c>
      <c r="K3153" s="6"/>
      <c r="L3153" s="6"/>
      <c r="M3153" s="6"/>
      <c r="N3153" s="6"/>
      <c r="O3153" s="6"/>
      <c r="P3153" s="6"/>
      <c r="Q3153" s="6"/>
      <c r="R3153" s="6"/>
      <c r="S3153" s="6"/>
      <c r="T3153" s="6"/>
      <c r="U3153" s="6"/>
      <c r="V3153" s="6"/>
      <c r="W3153" s="6"/>
      <c r="X3153" s="6"/>
      <c r="Y3153" s="6"/>
      <c r="Z3153" s="6"/>
      <c r="AA3153" s="6"/>
      <c r="AB3153" s="6"/>
      <c r="AC3153" s="6"/>
      <c r="AD3153" s="6"/>
      <c r="AE3153" s="6"/>
      <c r="AF3153" s="6"/>
      <c r="AG3153" s="15" t="s">
        <v>55</v>
      </c>
      <c r="AH3153" s="15"/>
      <c r="AI3153" s="15"/>
      <c r="AJ3153" s="6"/>
      <c r="AK3153" s="6"/>
    </row>
    <row r="3154" spans="1:37" s="6" customFormat="1">
      <c r="A3154" s="5" t="s">
        <v>13916</v>
      </c>
      <c r="B3154" s="5" t="s">
        <v>13917</v>
      </c>
      <c r="C3154" s="6" t="s">
        <v>13892</v>
      </c>
      <c r="D3154" s="6" t="s">
        <v>10937</v>
      </c>
      <c r="E3154" s="6" t="s">
        <v>10938</v>
      </c>
      <c r="F3154" s="6" t="s">
        <v>46</v>
      </c>
      <c r="G3154" s="6" t="s">
        <v>13899</v>
      </c>
      <c r="H3154" s="18">
        <v>999</v>
      </c>
      <c r="I3154" s="19" t="s">
        <v>13662</v>
      </c>
      <c r="J3154" s="19" t="s">
        <v>13663</v>
      </c>
      <c r="K3154" s="25" t="s">
        <v>13918</v>
      </c>
      <c r="L3154" s="25" t="s">
        <v>13919</v>
      </c>
      <c r="M3154" s="25" t="s">
        <v>13920</v>
      </c>
      <c r="N3154" s="25" t="s">
        <v>13921</v>
      </c>
      <c r="O3154" s="25" t="s">
        <v>13922</v>
      </c>
      <c r="P3154" s="25" t="s">
        <v>13923</v>
      </c>
      <c r="Q3154" s="25" t="s">
        <v>13924</v>
      </c>
      <c r="R3154" s="25" t="s">
        <v>13925</v>
      </c>
      <c r="S3154" s="6" t="s">
        <v>13672</v>
      </c>
      <c r="T3154" s="6" t="s">
        <v>13697</v>
      </c>
      <c r="U3154" s="6" t="s">
        <v>13674</v>
      </c>
      <c r="V3154" s="6" t="s">
        <v>13675</v>
      </c>
      <c r="W3154" s="6" t="s">
        <v>13676</v>
      </c>
      <c r="X3154" s="6" t="s">
        <v>13677</v>
      </c>
      <c r="Y3154" s="6" t="s">
        <v>13678</v>
      </c>
      <c r="Z3154" s="6" t="s">
        <v>13679</v>
      </c>
      <c r="AA3154" s="6" t="s">
        <v>13680</v>
      </c>
      <c r="AB3154" s="6" t="s">
        <v>13681</v>
      </c>
      <c r="AC3154" s="6" t="s">
        <v>13682</v>
      </c>
      <c r="AD3154" s="6" t="s">
        <v>13683</v>
      </c>
      <c r="AE3154" s="5"/>
      <c r="AF3154" s="5"/>
      <c r="AG3154" s="14" t="s">
        <v>49</v>
      </c>
      <c r="AH3154" s="14" t="s">
        <v>1102</v>
      </c>
      <c r="AI3154" s="14" t="s">
        <v>13684</v>
      </c>
      <c r="AJ3154" s="5" t="s">
        <v>13685</v>
      </c>
      <c r="AK3154" s="5"/>
    </row>
    <row r="3155" spans="1:37">
      <c r="A3155" s="6" t="s">
        <v>13926</v>
      </c>
      <c r="B3155" s="6" t="s">
        <v>13927</v>
      </c>
      <c r="C3155" s="6" t="s">
        <v>13892</v>
      </c>
      <c r="D3155" s="6" t="s">
        <v>10937</v>
      </c>
      <c r="E3155" s="6" t="s">
        <v>10938</v>
      </c>
      <c r="F3155" s="6" t="s">
        <v>46</v>
      </c>
      <c r="G3155" s="6" t="s">
        <v>13928</v>
      </c>
      <c r="I3155" s="6" t="s">
        <v>48</v>
      </c>
      <c r="J3155" s="6" t="s">
        <v>48</v>
      </c>
      <c r="K3155" s="6"/>
      <c r="L3155" s="6"/>
      <c r="M3155" s="6"/>
      <c r="N3155" s="6"/>
      <c r="O3155" s="6"/>
      <c r="P3155" s="6"/>
      <c r="Q3155" s="6"/>
      <c r="R3155" s="6"/>
      <c r="S3155" s="6"/>
      <c r="T3155" s="6"/>
      <c r="U3155" s="6"/>
      <c r="V3155" s="6"/>
      <c r="W3155" s="6"/>
      <c r="X3155" s="6"/>
      <c r="Y3155" s="6"/>
      <c r="Z3155" s="6"/>
      <c r="AA3155" s="6"/>
      <c r="AB3155" s="6"/>
      <c r="AC3155" s="6"/>
      <c r="AD3155" s="6"/>
      <c r="AE3155" s="6"/>
      <c r="AF3155" s="6"/>
      <c r="AG3155" s="15" t="s">
        <v>55</v>
      </c>
      <c r="AH3155" s="15"/>
      <c r="AI3155" s="15"/>
      <c r="AJ3155" s="6"/>
      <c r="AK3155" s="6"/>
    </row>
    <row r="3156" spans="1:37" s="6" customFormat="1">
      <c r="A3156" s="6" t="s">
        <v>13929</v>
      </c>
      <c r="B3156" s="6" t="s">
        <v>13930</v>
      </c>
      <c r="C3156" s="6" t="s">
        <v>13892</v>
      </c>
      <c r="D3156" s="6" t="s">
        <v>10937</v>
      </c>
      <c r="E3156" s="6" t="s">
        <v>10938</v>
      </c>
      <c r="F3156" s="6" t="s">
        <v>46</v>
      </c>
      <c r="G3156" s="6" t="s">
        <v>9239</v>
      </c>
      <c r="H3156" s="7"/>
      <c r="I3156" s="6" t="s">
        <v>48</v>
      </c>
      <c r="J3156" s="6" t="s">
        <v>48</v>
      </c>
      <c r="AG3156" s="15" t="s">
        <v>55</v>
      </c>
      <c r="AH3156" s="15"/>
      <c r="AI3156" s="15"/>
    </row>
    <row r="3157" spans="1:37" s="6" customFormat="1">
      <c r="A3157" s="6" t="s">
        <v>13931</v>
      </c>
      <c r="B3157" s="6" t="s">
        <v>13932</v>
      </c>
      <c r="C3157" s="6" t="s">
        <v>13933</v>
      </c>
      <c r="D3157" s="6" t="s">
        <v>10937</v>
      </c>
      <c r="E3157" s="6" t="s">
        <v>10938</v>
      </c>
      <c r="F3157" s="6" t="s">
        <v>46</v>
      </c>
      <c r="G3157" s="6" t="s">
        <v>6865</v>
      </c>
      <c r="H3157" s="7"/>
      <c r="I3157" s="6" t="s">
        <v>48</v>
      </c>
      <c r="J3157" s="6" t="s">
        <v>48</v>
      </c>
      <c r="AG3157" s="15" t="s">
        <v>55</v>
      </c>
      <c r="AH3157" s="15"/>
      <c r="AI3157" s="15"/>
    </row>
    <row r="3158" spans="1:37" s="6" customFormat="1">
      <c r="A3158" s="6" t="s">
        <v>13934</v>
      </c>
      <c r="B3158" s="6" t="s">
        <v>13935</v>
      </c>
      <c r="C3158" s="6" t="s">
        <v>13933</v>
      </c>
      <c r="D3158" s="6" t="s">
        <v>10937</v>
      </c>
      <c r="E3158" s="6" t="s">
        <v>10938</v>
      </c>
      <c r="F3158" s="6" t="s">
        <v>46</v>
      </c>
      <c r="G3158" s="6" t="s">
        <v>8391</v>
      </c>
      <c r="H3158" s="7"/>
      <c r="I3158" s="6" t="s">
        <v>48</v>
      </c>
      <c r="J3158" s="6" t="s">
        <v>48</v>
      </c>
      <c r="AG3158" s="15" t="s">
        <v>55</v>
      </c>
      <c r="AH3158" s="15"/>
      <c r="AI3158" s="15"/>
    </row>
    <row r="3159" spans="1:37" s="6" customFormat="1">
      <c r="A3159" s="6" t="s">
        <v>13936</v>
      </c>
      <c r="B3159" s="6" t="s">
        <v>13937</v>
      </c>
      <c r="C3159" s="6" t="s">
        <v>13933</v>
      </c>
      <c r="D3159" s="6" t="s">
        <v>10937</v>
      </c>
      <c r="E3159" s="6" t="s">
        <v>10938</v>
      </c>
      <c r="F3159" s="6" t="s">
        <v>46</v>
      </c>
      <c r="G3159" s="6" t="s">
        <v>13938</v>
      </c>
      <c r="H3159" s="7"/>
      <c r="I3159" s="6" t="s">
        <v>48</v>
      </c>
      <c r="J3159" s="6" t="s">
        <v>48</v>
      </c>
      <c r="AG3159" s="15" t="s">
        <v>55</v>
      </c>
      <c r="AH3159" s="15"/>
      <c r="AI3159" s="15"/>
    </row>
    <row r="3160" spans="1:37" s="6" customFormat="1">
      <c r="A3160" s="6" t="s">
        <v>13939</v>
      </c>
      <c r="B3160" s="6" t="s">
        <v>13940</v>
      </c>
      <c r="C3160" s="6" t="s">
        <v>13933</v>
      </c>
      <c r="D3160" s="6" t="s">
        <v>10937</v>
      </c>
      <c r="E3160" s="6" t="s">
        <v>10938</v>
      </c>
      <c r="F3160" s="6" t="s">
        <v>46</v>
      </c>
      <c r="G3160" s="6" t="s">
        <v>13941</v>
      </c>
      <c r="H3160" s="7"/>
      <c r="I3160" s="6" t="s">
        <v>48</v>
      </c>
      <c r="J3160" s="6" t="s">
        <v>48</v>
      </c>
      <c r="AG3160" s="15" t="s">
        <v>55</v>
      </c>
      <c r="AH3160" s="15"/>
      <c r="AI3160" s="15"/>
    </row>
    <row r="3161" spans="1:37" s="6" customFormat="1">
      <c r="A3161" s="6" t="s">
        <v>13942</v>
      </c>
      <c r="B3161" s="6" t="s">
        <v>13943</v>
      </c>
      <c r="C3161" s="6" t="s">
        <v>10496</v>
      </c>
      <c r="D3161" s="6" t="s">
        <v>10937</v>
      </c>
      <c r="E3161" s="6" t="s">
        <v>10938</v>
      </c>
      <c r="F3161" s="6" t="s">
        <v>46</v>
      </c>
      <c r="G3161" s="6" t="s">
        <v>13944</v>
      </c>
      <c r="H3161" s="7"/>
      <c r="I3161" s="6" t="s">
        <v>48</v>
      </c>
      <c r="J3161" s="6" t="s">
        <v>48</v>
      </c>
      <c r="AG3161" s="15" t="s">
        <v>55</v>
      </c>
      <c r="AH3161" s="15"/>
      <c r="AI3161" s="15"/>
    </row>
    <row r="3162" spans="1:37" s="6" customFormat="1">
      <c r="A3162" s="6" t="s">
        <v>13945</v>
      </c>
      <c r="B3162" s="6" t="s">
        <v>13946</v>
      </c>
      <c r="C3162" s="6" t="s">
        <v>10496</v>
      </c>
      <c r="D3162" s="6" t="s">
        <v>10937</v>
      </c>
      <c r="E3162" s="6" t="s">
        <v>10938</v>
      </c>
      <c r="F3162" s="6" t="s">
        <v>46</v>
      </c>
      <c r="G3162" s="6" t="s">
        <v>10654</v>
      </c>
      <c r="H3162" s="7"/>
      <c r="I3162" s="6" t="s">
        <v>48</v>
      </c>
      <c r="J3162" s="6" t="s">
        <v>48</v>
      </c>
      <c r="AG3162" s="15" t="s">
        <v>55</v>
      </c>
      <c r="AH3162" s="15"/>
      <c r="AI3162" s="15"/>
    </row>
    <row r="3163" spans="1:37" s="6" customFormat="1">
      <c r="A3163" s="6" t="s">
        <v>13947</v>
      </c>
      <c r="B3163" s="6" t="s">
        <v>13948</v>
      </c>
      <c r="C3163" s="6" t="s">
        <v>13933</v>
      </c>
      <c r="D3163" s="6" t="s">
        <v>10937</v>
      </c>
      <c r="E3163" s="6" t="s">
        <v>10938</v>
      </c>
      <c r="F3163" s="6" t="s">
        <v>46</v>
      </c>
      <c r="G3163" s="6" t="s">
        <v>8119</v>
      </c>
      <c r="H3163" s="7"/>
      <c r="I3163" s="6" t="s">
        <v>48</v>
      </c>
      <c r="J3163" s="6" t="s">
        <v>48</v>
      </c>
      <c r="AG3163" s="15" t="s">
        <v>55</v>
      </c>
      <c r="AH3163" s="15"/>
      <c r="AI3163" s="15"/>
    </row>
    <row r="3164" spans="1:37" s="6" customFormat="1">
      <c r="A3164" s="6" t="s">
        <v>13949</v>
      </c>
      <c r="B3164" s="6" t="s">
        <v>13950</v>
      </c>
      <c r="C3164" s="6" t="s">
        <v>13933</v>
      </c>
      <c r="D3164" s="6" t="s">
        <v>10937</v>
      </c>
      <c r="E3164" s="6" t="s">
        <v>10938</v>
      </c>
      <c r="F3164" s="6" t="s">
        <v>46</v>
      </c>
      <c r="G3164" s="6" t="s">
        <v>13938</v>
      </c>
      <c r="H3164" s="7"/>
      <c r="I3164" s="6" t="s">
        <v>48</v>
      </c>
      <c r="J3164" s="6" t="s">
        <v>48</v>
      </c>
      <c r="AG3164" s="15" t="s">
        <v>55</v>
      </c>
      <c r="AH3164" s="15"/>
      <c r="AI3164" s="15"/>
    </row>
    <row r="3165" spans="1:37" s="6" customFormat="1">
      <c r="A3165" s="6" t="s">
        <v>13951</v>
      </c>
      <c r="B3165" s="6" t="s">
        <v>13952</v>
      </c>
      <c r="C3165" s="6" t="s">
        <v>10496</v>
      </c>
      <c r="D3165" s="6" t="s">
        <v>10937</v>
      </c>
      <c r="E3165" s="6" t="s">
        <v>10938</v>
      </c>
      <c r="F3165" s="6" t="s">
        <v>46</v>
      </c>
      <c r="G3165" s="6" t="s">
        <v>9111</v>
      </c>
      <c r="H3165" s="7"/>
      <c r="I3165" s="6" t="s">
        <v>48</v>
      </c>
      <c r="J3165" s="6" t="s">
        <v>48</v>
      </c>
      <c r="AG3165" s="15" t="s">
        <v>55</v>
      </c>
      <c r="AH3165" s="15"/>
      <c r="AI3165" s="15"/>
    </row>
    <row r="3166" spans="1:37" s="6" customFormat="1">
      <c r="A3166" s="6" t="s">
        <v>13953</v>
      </c>
      <c r="B3166" s="6" t="s">
        <v>13954</v>
      </c>
      <c r="C3166" s="6" t="s">
        <v>43</v>
      </c>
      <c r="D3166" s="6" t="s">
        <v>10937</v>
      </c>
      <c r="E3166" s="6" t="s">
        <v>10938</v>
      </c>
      <c r="F3166" s="6" t="s">
        <v>46</v>
      </c>
      <c r="G3166" s="6" t="s">
        <v>13955</v>
      </c>
      <c r="H3166" s="7"/>
      <c r="I3166" s="6" t="s">
        <v>48</v>
      </c>
      <c r="J3166" s="6" t="s">
        <v>48</v>
      </c>
      <c r="AG3166" s="15" t="s">
        <v>55</v>
      </c>
      <c r="AH3166" s="15"/>
      <c r="AI3166" s="15"/>
    </row>
    <row r="3167" spans="1:37" s="6" customFormat="1">
      <c r="A3167" s="6" t="s">
        <v>13956</v>
      </c>
      <c r="B3167" s="6" t="s">
        <v>13957</v>
      </c>
      <c r="C3167" s="6" t="s">
        <v>43</v>
      </c>
      <c r="D3167" s="6" t="s">
        <v>10937</v>
      </c>
      <c r="E3167" s="6" t="s">
        <v>10938</v>
      </c>
      <c r="F3167" s="6" t="s">
        <v>46</v>
      </c>
      <c r="G3167" s="6" t="s">
        <v>13958</v>
      </c>
      <c r="H3167" s="7"/>
      <c r="I3167" s="6" t="s">
        <v>48</v>
      </c>
      <c r="J3167" s="6" t="s">
        <v>48</v>
      </c>
      <c r="AG3167" s="15" t="s">
        <v>55</v>
      </c>
      <c r="AH3167" s="15"/>
      <c r="AI3167" s="15"/>
    </row>
    <row r="3168" spans="1:37" s="6" customFormat="1">
      <c r="A3168" s="6" t="s">
        <v>13959</v>
      </c>
      <c r="B3168" s="6" t="s">
        <v>13960</v>
      </c>
      <c r="C3168" s="6" t="s">
        <v>43</v>
      </c>
      <c r="D3168" s="6" t="s">
        <v>10937</v>
      </c>
      <c r="E3168" s="6" t="s">
        <v>10938</v>
      </c>
      <c r="F3168" s="6" t="s">
        <v>46</v>
      </c>
      <c r="G3168" s="6" t="s">
        <v>2789</v>
      </c>
      <c r="H3168" s="7"/>
      <c r="I3168" s="6" t="s">
        <v>48</v>
      </c>
      <c r="J3168" s="6" t="s">
        <v>48</v>
      </c>
      <c r="AG3168" s="15" t="s">
        <v>55</v>
      </c>
      <c r="AH3168" s="15"/>
      <c r="AI3168" s="15"/>
    </row>
    <row r="3169" spans="1:37" s="6" customFormat="1">
      <c r="A3169" s="6" t="s">
        <v>13961</v>
      </c>
      <c r="B3169" s="6" t="s">
        <v>13962</v>
      </c>
      <c r="C3169" s="6" t="s">
        <v>43</v>
      </c>
      <c r="D3169" s="6" t="s">
        <v>10937</v>
      </c>
      <c r="E3169" s="6" t="s">
        <v>10938</v>
      </c>
      <c r="F3169" s="6" t="s">
        <v>46</v>
      </c>
      <c r="G3169" s="6" t="s">
        <v>2649</v>
      </c>
      <c r="H3169" s="7"/>
      <c r="I3169" s="6" t="s">
        <v>48</v>
      </c>
      <c r="J3169" s="6" t="s">
        <v>48</v>
      </c>
      <c r="AG3169" s="15" t="s">
        <v>55</v>
      </c>
      <c r="AH3169" s="15"/>
      <c r="AI3169" s="15"/>
    </row>
    <row r="3170" spans="1:37" s="6" customFormat="1">
      <c r="A3170" s="6" t="s">
        <v>13963</v>
      </c>
      <c r="B3170" s="6" t="s">
        <v>13964</v>
      </c>
      <c r="C3170" s="6" t="s">
        <v>43</v>
      </c>
      <c r="D3170" s="6" t="s">
        <v>10937</v>
      </c>
      <c r="E3170" s="6" t="s">
        <v>10938</v>
      </c>
      <c r="F3170" s="6" t="s">
        <v>46</v>
      </c>
      <c r="G3170" s="6" t="s">
        <v>13965</v>
      </c>
      <c r="H3170" s="7"/>
      <c r="I3170" s="6" t="s">
        <v>48</v>
      </c>
      <c r="J3170" s="6" t="s">
        <v>48</v>
      </c>
      <c r="AG3170" s="15" t="s">
        <v>55</v>
      </c>
      <c r="AH3170" s="15"/>
      <c r="AI3170" s="15"/>
    </row>
    <row r="3171" spans="1:37" s="6" customFormat="1">
      <c r="A3171" s="6" t="s">
        <v>13966</v>
      </c>
      <c r="B3171" s="6" t="s">
        <v>13967</v>
      </c>
      <c r="C3171" s="6" t="s">
        <v>43</v>
      </c>
      <c r="D3171" s="6" t="s">
        <v>10937</v>
      </c>
      <c r="E3171" s="6" t="s">
        <v>10938</v>
      </c>
      <c r="F3171" s="6" t="s">
        <v>46</v>
      </c>
      <c r="G3171" s="6" t="s">
        <v>7317</v>
      </c>
      <c r="H3171" s="7"/>
      <c r="I3171" s="6" t="s">
        <v>48</v>
      </c>
      <c r="J3171" s="6" t="s">
        <v>48</v>
      </c>
      <c r="AG3171" s="15" t="s">
        <v>55</v>
      </c>
      <c r="AH3171" s="15"/>
      <c r="AI3171" s="15"/>
    </row>
    <row r="3172" spans="1:37" s="6" customFormat="1">
      <c r="A3172" s="6" t="s">
        <v>13968</v>
      </c>
      <c r="B3172" s="6" t="s">
        <v>13969</v>
      </c>
      <c r="C3172" s="6" t="s">
        <v>43</v>
      </c>
      <c r="D3172" s="6" t="s">
        <v>10937</v>
      </c>
      <c r="E3172" s="6" t="s">
        <v>10938</v>
      </c>
      <c r="F3172" s="6" t="s">
        <v>46</v>
      </c>
      <c r="G3172" s="6" t="s">
        <v>7265</v>
      </c>
      <c r="H3172" s="7"/>
      <c r="I3172" s="6" t="s">
        <v>48</v>
      </c>
      <c r="J3172" s="6" t="s">
        <v>48</v>
      </c>
      <c r="AG3172" s="15" t="s">
        <v>55</v>
      </c>
      <c r="AH3172" s="15"/>
      <c r="AI3172" s="15"/>
    </row>
    <row r="3173" spans="1:37" s="6" customFormat="1">
      <c r="A3173" s="6" t="s">
        <v>13970</v>
      </c>
      <c r="B3173" s="6" t="s">
        <v>13971</v>
      </c>
      <c r="C3173" s="6" t="s">
        <v>43</v>
      </c>
      <c r="D3173" s="6" t="s">
        <v>10937</v>
      </c>
      <c r="E3173" s="6" t="s">
        <v>10938</v>
      </c>
      <c r="F3173" s="6" t="s">
        <v>46</v>
      </c>
      <c r="G3173" s="6" t="s">
        <v>438</v>
      </c>
      <c r="H3173" s="7"/>
      <c r="I3173" s="6" t="s">
        <v>48</v>
      </c>
      <c r="J3173" s="6" t="s">
        <v>48</v>
      </c>
      <c r="AG3173" s="15" t="s">
        <v>55</v>
      </c>
      <c r="AH3173" s="15"/>
      <c r="AI3173" s="15"/>
    </row>
    <row r="3174" spans="1:37" s="6" customFormat="1">
      <c r="A3174" s="6" t="s">
        <v>13972</v>
      </c>
      <c r="B3174" s="6" t="s">
        <v>13973</v>
      </c>
      <c r="C3174" s="6" t="s">
        <v>43</v>
      </c>
      <c r="D3174" s="6" t="s">
        <v>10937</v>
      </c>
      <c r="E3174" s="6" t="s">
        <v>10938</v>
      </c>
      <c r="F3174" s="6" t="s">
        <v>46</v>
      </c>
      <c r="G3174" s="6" t="s">
        <v>13974</v>
      </c>
      <c r="H3174" s="7"/>
      <c r="I3174" s="6" t="s">
        <v>48</v>
      </c>
      <c r="J3174" s="6" t="s">
        <v>48</v>
      </c>
      <c r="AG3174" s="15" t="s">
        <v>55</v>
      </c>
      <c r="AH3174" s="15"/>
      <c r="AI3174" s="15"/>
    </row>
    <row r="3175" spans="1:37" s="6" customFormat="1">
      <c r="A3175" s="6" t="s">
        <v>13975</v>
      </c>
      <c r="B3175" s="6" t="s">
        <v>13976</v>
      </c>
      <c r="C3175" s="6" t="s">
        <v>43</v>
      </c>
      <c r="D3175" s="6" t="s">
        <v>10937</v>
      </c>
      <c r="E3175" s="6" t="s">
        <v>10938</v>
      </c>
      <c r="F3175" s="6" t="s">
        <v>46</v>
      </c>
      <c r="G3175" s="6" t="s">
        <v>7972</v>
      </c>
      <c r="H3175" s="7"/>
      <c r="I3175" s="6" t="s">
        <v>48</v>
      </c>
      <c r="J3175" s="6" t="s">
        <v>48</v>
      </c>
      <c r="AG3175" s="15" t="s">
        <v>55</v>
      </c>
      <c r="AH3175" s="15"/>
      <c r="AI3175" s="15"/>
    </row>
    <row r="3176" spans="1:37" s="6" customFormat="1">
      <c r="A3176" s="6" t="s">
        <v>13977</v>
      </c>
      <c r="B3176" s="6" t="s">
        <v>13978</v>
      </c>
      <c r="C3176" s="6" t="s">
        <v>43</v>
      </c>
      <c r="D3176" s="6" t="s">
        <v>10937</v>
      </c>
      <c r="E3176" s="6" t="s">
        <v>10938</v>
      </c>
      <c r="F3176" s="6" t="s">
        <v>46</v>
      </c>
      <c r="G3176" s="6" t="s">
        <v>7919</v>
      </c>
      <c r="H3176" s="7"/>
      <c r="I3176" s="6" t="s">
        <v>48</v>
      </c>
      <c r="J3176" s="6" t="s">
        <v>48</v>
      </c>
      <c r="AG3176" s="15" t="s">
        <v>55</v>
      </c>
      <c r="AH3176" s="15"/>
      <c r="AI3176" s="15"/>
    </row>
    <row r="3177" spans="1:37" s="6" customFormat="1">
      <c r="A3177" s="6" t="s">
        <v>13979</v>
      </c>
      <c r="B3177" s="6" t="s">
        <v>13980</v>
      </c>
      <c r="C3177" s="6" t="s">
        <v>43</v>
      </c>
      <c r="D3177" s="6" t="s">
        <v>10937</v>
      </c>
      <c r="E3177" s="6" t="s">
        <v>10938</v>
      </c>
      <c r="F3177" s="6" t="s">
        <v>46</v>
      </c>
      <c r="G3177" s="6" t="s">
        <v>13981</v>
      </c>
      <c r="H3177" s="7"/>
      <c r="I3177" s="6" t="s">
        <v>48</v>
      </c>
      <c r="J3177" s="6" t="s">
        <v>48</v>
      </c>
      <c r="AG3177" s="15" t="s">
        <v>55</v>
      </c>
      <c r="AH3177" s="15"/>
      <c r="AI3177" s="15"/>
    </row>
    <row r="3178" spans="1:37" s="6" customFormat="1">
      <c r="A3178" s="6" t="s">
        <v>13982</v>
      </c>
      <c r="B3178" s="6" t="s">
        <v>13983</v>
      </c>
      <c r="C3178" s="6" t="s">
        <v>43</v>
      </c>
      <c r="D3178" s="6" t="s">
        <v>10937</v>
      </c>
      <c r="E3178" s="6" t="s">
        <v>10938</v>
      </c>
      <c r="F3178" s="6" t="s">
        <v>46</v>
      </c>
      <c r="G3178" s="6" t="s">
        <v>13984</v>
      </c>
      <c r="H3178" s="7"/>
      <c r="I3178" s="6" t="s">
        <v>48</v>
      </c>
      <c r="J3178" s="6" t="s">
        <v>48</v>
      </c>
      <c r="AG3178" s="15" t="s">
        <v>55</v>
      </c>
      <c r="AH3178" s="15"/>
      <c r="AI3178" s="15"/>
    </row>
    <row r="3179" spans="1:37" s="6" customFormat="1">
      <c r="A3179" s="6" t="s">
        <v>13985</v>
      </c>
      <c r="B3179" s="6" t="s">
        <v>13986</v>
      </c>
      <c r="C3179" s="6" t="s">
        <v>43</v>
      </c>
      <c r="D3179" s="6" t="s">
        <v>10937</v>
      </c>
      <c r="E3179" s="6" t="s">
        <v>10938</v>
      </c>
      <c r="F3179" s="6" t="s">
        <v>46</v>
      </c>
      <c r="G3179" s="6" t="s">
        <v>8171</v>
      </c>
      <c r="H3179" s="7"/>
      <c r="I3179" s="6" t="s">
        <v>48</v>
      </c>
      <c r="J3179" s="6" t="s">
        <v>48</v>
      </c>
      <c r="AG3179" s="15" t="s">
        <v>55</v>
      </c>
      <c r="AH3179" s="15"/>
      <c r="AI3179" s="15"/>
    </row>
    <row r="3180" spans="1:37" s="6" customFormat="1">
      <c r="A3180" s="6" t="s">
        <v>13987</v>
      </c>
      <c r="B3180" s="6" t="s">
        <v>13988</v>
      </c>
      <c r="C3180" s="6" t="s">
        <v>43</v>
      </c>
      <c r="D3180" s="6" t="s">
        <v>10937</v>
      </c>
      <c r="E3180" s="6" t="s">
        <v>10938</v>
      </c>
      <c r="F3180" s="6" t="s">
        <v>46</v>
      </c>
      <c r="G3180" s="6" t="s">
        <v>13989</v>
      </c>
      <c r="H3180" s="7"/>
      <c r="I3180" s="6" t="s">
        <v>48</v>
      </c>
      <c r="J3180" s="6" t="s">
        <v>48</v>
      </c>
      <c r="AG3180" s="15" t="s">
        <v>55</v>
      </c>
      <c r="AH3180" s="15"/>
      <c r="AI3180" s="15"/>
    </row>
    <row r="3181" spans="1:37" s="6" customFormat="1">
      <c r="A3181" s="6" t="s">
        <v>13990</v>
      </c>
      <c r="B3181" s="6" t="s">
        <v>13991</v>
      </c>
      <c r="C3181" s="6" t="s">
        <v>43</v>
      </c>
      <c r="D3181" s="6" t="s">
        <v>10937</v>
      </c>
      <c r="E3181" s="6" t="s">
        <v>10938</v>
      </c>
      <c r="F3181" s="6" t="s">
        <v>46</v>
      </c>
      <c r="G3181" s="6" t="s">
        <v>8635</v>
      </c>
      <c r="H3181" s="7"/>
      <c r="I3181" s="6" t="s">
        <v>48</v>
      </c>
      <c r="J3181" s="6" t="s">
        <v>48</v>
      </c>
      <c r="AG3181" s="15" t="s">
        <v>55</v>
      </c>
      <c r="AH3181" s="15"/>
      <c r="AI3181" s="15"/>
    </row>
    <row r="3182" spans="1:37" s="6" customFormat="1">
      <c r="A3182" s="5" t="s">
        <v>13992</v>
      </c>
      <c r="B3182" s="5" t="s">
        <v>13993</v>
      </c>
      <c r="C3182" s="6" t="s">
        <v>13994</v>
      </c>
      <c r="D3182" s="6" t="s">
        <v>10937</v>
      </c>
      <c r="E3182" s="6" t="s">
        <v>10938</v>
      </c>
      <c r="F3182" s="6" t="s">
        <v>46</v>
      </c>
      <c r="G3182" s="6" t="s">
        <v>13995</v>
      </c>
      <c r="H3182" s="18">
        <v>999</v>
      </c>
      <c r="I3182" s="19" t="s">
        <v>13662</v>
      </c>
      <c r="J3182" s="19" t="s">
        <v>13663</v>
      </c>
      <c r="K3182" s="25" t="s">
        <v>13996</v>
      </c>
      <c r="L3182" s="25" t="s">
        <v>13997</v>
      </c>
      <c r="M3182" s="25" t="s">
        <v>13998</v>
      </c>
      <c r="N3182" s="25" t="s">
        <v>13999</v>
      </c>
      <c r="O3182" s="25" t="s">
        <v>14000</v>
      </c>
      <c r="P3182" s="25" t="s">
        <v>14001</v>
      </c>
      <c r="Q3182" s="25" t="s">
        <v>14002</v>
      </c>
      <c r="R3182" s="25" t="s">
        <v>14003</v>
      </c>
      <c r="S3182" s="6" t="s">
        <v>13672</v>
      </c>
      <c r="T3182" s="6" t="s">
        <v>13697</v>
      </c>
      <c r="U3182" s="6" t="s">
        <v>13674</v>
      </c>
      <c r="V3182" s="6" t="s">
        <v>13675</v>
      </c>
      <c r="W3182" s="6" t="s">
        <v>13676</v>
      </c>
      <c r="X3182" s="6" t="s">
        <v>13677</v>
      </c>
      <c r="Y3182" s="6" t="s">
        <v>13678</v>
      </c>
      <c r="Z3182" s="6" t="s">
        <v>13679</v>
      </c>
      <c r="AA3182" s="6" t="s">
        <v>13680</v>
      </c>
      <c r="AB3182" s="6" t="s">
        <v>13681</v>
      </c>
      <c r="AC3182" s="6" t="s">
        <v>13682</v>
      </c>
      <c r="AD3182" s="6" t="s">
        <v>13683</v>
      </c>
      <c r="AE3182" s="5"/>
      <c r="AF3182" s="5"/>
      <c r="AG3182" s="14" t="s">
        <v>49</v>
      </c>
      <c r="AH3182" s="14" t="s">
        <v>1102</v>
      </c>
      <c r="AI3182" s="14" t="s">
        <v>13684</v>
      </c>
      <c r="AJ3182" s="5" t="s">
        <v>13685</v>
      </c>
      <c r="AK3182" s="5"/>
    </row>
    <row r="3183" spans="1:37">
      <c r="A3183" s="6" t="s">
        <v>14004</v>
      </c>
      <c r="B3183" s="6" t="s">
        <v>14005</v>
      </c>
      <c r="C3183" s="6" t="s">
        <v>13994</v>
      </c>
      <c r="D3183" s="6" t="s">
        <v>10937</v>
      </c>
      <c r="E3183" s="6" t="s">
        <v>10938</v>
      </c>
      <c r="F3183" s="6" t="s">
        <v>46</v>
      </c>
      <c r="G3183" s="6" t="s">
        <v>14006</v>
      </c>
      <c r="I3183" s="5" t="s">
        <v>48</v>
      </c>
      <c r="J3183" s="5" t="s">
        <v>48</v>
      </c>
      <c r="K3183" s="6"/>
      <c r="L3183" s="6"/>
      <c r="M3183" s="6"/>
      <c r="N3183" s="6"/>
      <c r="O3183" s="6"/>
      <c r="P3183" s="6"/>
      <c r="Q3183" s="6"/>
      <c r="R3183" s="6"/>
      <c r="S3183" s="6"/>
      <c r="T3183" s="6"/>
      <c r="U3183" s="6"/>
      <c r="V3183" s="6"/>
      <c r="W3183" s="6"/>
      <c r="X3183" s="6"/>
      <c r="Y3183" s="6"/>
      <c r="Z3183" s="6"/>
      <c r="AA3183" s="6"/>
      <c r="AB3183" s="6"/>
      <c r="AC3183" s="6"/>
      <c r="AD3183" s="6"/>
      <c r="AE3183" s="6"/>
      <c r="AF3183" s="6"/>
      <c r="AG3183" s="15" t="s">
        <v>55</v>
      </c>
      <c r="AH3183" s="15"/>
      <c r="AI3183" s="15"/>
      <c r="AJ3183" s="6"/>
      <c r="AK3183" s="6"/>
    </row>
    <row r="3184" spans="1:37" s="6" customFormat="1">
      <c r="A3184" s="6" t="s">
        <v>14007</v>
      </c>
      <c r="B3184" s="6" t="s">
        <v>14008</v>
      </c>
      <c r="C3184" s="6" t="s">
        <v>13994</v>
      </c>
      <c r="D3184" s="6" t="s">
        <v>10937</v>
      </c>
      <c r="E3184" s="6" t="s">
        <v>10938</v>
      </c>
      <c r="F3184" s="6" t="s">
        <v>46</v>
      </c>
      <c r="G3184" s="6" t="s">
        <v>8730</v>
      </c>
      <c r="H3184" s="7"/>
      <c r="I3184" s="6" t="s">
        <v>48</v>
      </c>
      <c r="J3184" s="6" t="s">
        <v>48</v>
      </c>
      <c r="AG3184" s="15" t="s">
        <v>55</v>
      </c>
      <c r="AH3184" s="15"/>
      <c r="AI3184" s="15"/>
    </row>
    <row r="3185" spans="1:35" s="6" customFormat="1">
      <c r="A3185" s="6" t="s">
        <v>14009</v>
      </c>
      <c r="B3185" s="6" t="s">
        <v>14010</v>
      </c>
      <c r="C3185" s="6" t="s">
        <v>13994</v>
      </c>
      <c r="D3185" s="6" t="s">
        <v>10937</v>
      </c>
      <c r="E3185" s="6" t="s">
        <v>10938</v>
      </c>
      <c r="F3185" s="6" t="s">
        <v>46</v>
      </c>
      <c r="G3185" s="6" t="s">
        <v>8061</v>
      </c>
      <c r="H3185" s="7"/>
      <c r="I3185" s="6" t="s">
        <v>48</v>
      </c>
      <c r="J3185" s="6" t="s">
        <v>48</v>
      </c>
      <c r="AG3185" s="15" t="s">
        <v>55</v>
      </c>
      <c r="AH3185" s="15"/>
      <c r="AI3185" s="15"/>
    </row>
    <row r="3186" spans="1:35" s="6" customFormat="1">
      <c r="A3186" s="6" t="s">
        <v>14011</v>
      </c>
      <c r="B3186" s="6" t="s">
        <v>14012</v>
      </c>
      <c r="C3186" s="6" t="s">
        <v>43</v>
      </c>
      <c r="D3186" s="6" t="s">
        <v>10937</v>
      </c>
      <c r="E3186" s="6" t="s">
        <v>10938</v>
      </c>
      <c r="F3186" s="6" t="s">
        <v>46</v>
      </c>
      <c r="G3186" s="6" t="s">
        <v>14013</v>
      </c>
      <c r="H3186" s="7"/>
      <c r="I3186" s="6" t="s">
        <v>48</v>
      </c>
      <c r="J3186" s="6" t="s">
        <v>48</v>
      </c>
      <c r="AG3186" s="15" t="s">
        <v>55</v>
      </c>
      <c r="AH3186" s="15"/>
      <c r="AI3186" s="15"/>
    </row>
    <row r="3187" spans="1:35" s="6" customFormat="1">
      <c r="A3187" s="6" t="s">
        <v>14014</v>
      </c>
      <c r="B3187" s="6" t="s">
        <v>14015</v>
      </c>
      <c r="C3187" s="6" t="s">
        <v>43</v>
      </c>
      <c r="D3187" s="6" t="s">
        <v>10937</v>
      </c>
      <c r="E3187" s="6" t="s">
        <v>10938</v>
      </c>
      <c r="F3187" s="6" t="s">
        <v>46</v>
      </c>
      <c r="G3187" s="6" t="s">
        <v>8133</v>
      </c>
      <c r="H3187" s="7"/>
      <c r="I3187" s="6" t="s">
        <v>48</v>
      </c>
      <c r="J3187" s="6" t="s">
        <v>48</v>
      </c>
      <c r="AG3187" s="15" t="s">
        <v>55</v>
      </c>
      <c r="AH3187" s="15"/>
      <c r="AI3187" s="15"/>
    </row>
    <row r="3188" spans="1:35" s="6" customFormat="1">
      <c r="A3188" s="6" t="s">
        <v>14016</v>
      </c>
      <c r="B3188" s="6" t="s">
        <v>14017</v>
      </c>
      <c r="C3188" s="6" t="s">
        <v>43</v>
      </c>
      <c r="D3188" s="6" t="s">
        <v>10937</v>
      </c>
      <c r="E3188" s="6" t="s">
        <v>10938</v>
      </c>
      <c r="F3188" s="6" t="s">
        <v>46</v>
      </c>
      <c r="G3188" s="6" t="s">
        <v>14018</v>
      </c>
      <c r="H3188" s="7"/>
      <c r="I3188" s="6" t="s">
        <v>48</v>
      </c>
      <c r="J3188" s="6" t="s">
        <v>48</v>
      </c>
      <c r="AG3188" s="15" t="s">
        <v>55</v>
      </c>
      <c r="AH3188" s="15"/>
      <c r="AI3188" s="15"/>
    </row>
    <row r="3189" spans="1:35" s="6" customFormat="1">
      <c r="A3189" s="6" t="s">
        <v>14019</v>
      </c>
      <c r="B3189" s="6" t="s">
        <v>14020</v>
      </c>
      <c r="C3189" s="6" t="s">
        <v>43</v>
      </c>
      <c r="D3189" s="6" t="s">
        <v>10937</v>
      </c>
      <c r="E3189" s="6" t="s">
        <v>10938</v>
      </c>
      <c r="F3189" s="6" t="s">
        <v>46</v>
      </c>
      <c r="G3189" s="6" t="s">
        <v>3742</v>
      </c>
      <c r="H3189" s="7"/>
      <c r="I3189" s="6" t="s">
        <v>48</v>
      </c>
      <c r="J3189" s="6" t="s">
        <v>48</v>
      </c>
      <c r="AG3189" s="15" t="s">
        <v>55</v>
      </c>
      <c r="AH3189" s="15"/>
      <c r="AI3189" s="15"/>
    </row>
    <row r="3190" spans="1:35" s="6" customFormat="1">
      <c r="A3190" s="6" t="s">
        <v>14021</v>
      </c>
      <c r="B3190" s="6" t="s">
        <v>14022</v>
      </c>
      <c r="C3190" s="6" t="s">
        <v>43</v>
      </c>
      <c r="D3190" s="6" t="s">
        <v>10937</v>
      </c>
      <c r="E3190" s="6" t="s">
        <v>10938</v>
      </c>
      <c r="F3190" s="6" t="s">
        <v>46</v>
      </c>
      <c r="G3190" s="6" t="s">
        <v>14023</v>
      </c>
      <c r="H3190" s="7"/>
      <c r="I3190" s="6" t="s">
        <v>48</v>
      </c>
      <c r="J3190" s="6" t="s">
        <v>48</v>
      </c>
      <c r="AG3190" s="15" t="s">
        <v>55</v>
      </c>
      <c r="AH3190" s="15"/>
      <c r="AI3190" s="15"/>
    </row>
    <row r="3191" spans="1:35" s="6" customFormat="1">
      <c r="A3191" s="6" t="s">
        <v>14024</v>
      </c>
      <c r="B3191" s="6" t="s">
        <v>14025</v>
      </c>
      <c r="C3191" s="6" t="s">
        <v>43</v>
      </c>
      <c r="D3191" s="6" t="s">
        <v>10937</v>
      </c>
      <c r="E3191" s="6" t="s">
        <v>10938</v>
      </c>
      <c r="F3191" s="6" t="s">
        <v>46</v>
      </c>
      <c r="G3191" s="6" t="s">
        <v>14026</v>
      </c>
      <c r="H3191" s="7"/>
      <c r="I3191" s="6" t="s">
        <v>48</v>
      </c>
      <c r="J3191" s="6" t="s">
        <v>48</v>
      </c>
      <c r="AG3191" s="15" t="s">
        <v>55</v>
      </c>
      <c r="AH3191" s="15"/>
      <c r="AI3191" s="15"/>
    </row>
    <row r="3192" spans="1:35" s="6" customFormat="1">
      <c r="A3192" s="6" t="s">
        <v>14027</v>
      </c>
      <c r="B3192" s="6" t="s">
        <v>14028</v>
      </c>
      <c r="C3192" s="6" t="s">
        <v>43</v>
      </c>
      <c r="D3192" s="6" t="s">
        <v>10937</v>
      </c>
      <c r="E3192" s="6" t="s">
        <v>10938</v>
      </c>
      <c r="F3192" s="6" t="s">
        <v>46</v>
      </c>
      <c r="G3192" s="6" t="s">
        <v>14029</v>
      </c>
      <c r="H3192" s="7"/>
      <c r="I3192" s="6" t="s">
        <v>48</v>
      </c>
      <c r="J3192" s="6" t="s">
        <v>48</v>
      </c>
      <c r="AG3192" s="15" t="s">
        <v>55</v>
      </c>
      <c r="AH3192" s="15"/>
      <c r="AI3192" s="15"/>
    </row>
    <row r="3193" spans="1:35" s="6" customFormat="1">
      <c r="A3193" s="6" t="s">
        <v>14030</v>
      </c>
      <c r="B3193" s="6" t="s">
        <v>14031</v>
      </c>
      <c r="C3193" s="6" t="s">
        <v>43</v>
      </c>
      <c r="D3193" s="6" t="s">
        <v>10937</v>
      </c>
      <c r="E3193" s="6" t="s">
        <v>10938</v>
      </c>
      <c r="F3193" s="6" t="s">
        <v>46</v>
      </c>
      <c r="G3193" s="6" t="s">
        <v>14032</v>
      </c>
      <c r="H3193" s="7"/>
      <c r="I3193" s="6" t="s">
        <v>48</v>
      </c>
      <c r="J3193" s="6" t="s">
        <v>48</v>
      </c>
      <c r="AG3193" s="15" t="s">
        <v>55</v>
      </c>
      <c r="AH3193" s="15"/>
      <c r="AI3193" s="15"/>
    </row>
    <row r="3194" spans="1:35" s="6" customFormat="1">
      <c r="A3194" s="6" t="s">
        <v>14033</v>
      </c>
      <c r="B3194" s="6" t="s">
        <v>14034</v>
      </c>
      <c r="C3194" s="6" t="s">
        <v>10496</v>
      </c>
      <c r="D3194" s="6" t="s">
        <v>10937</v>
      </c>
      <c r="E3194" s="6" t="s">
        <v>10938</v>
      </c>
      <c r="F3194" s="6" t="s">
        <v>46</v>
      </c>
      <c r="G3194" s="6" t="s">
        <v>14035</v>
      </c>
      <c r="H3194" s="7"/>
      <c r="I3194" s="5" t="s">
        <v>48</v>
      </c>
      <c r="J3194" s="5" t="s">
        <v>48</v>
      </c>
      <c r="AG3194" s="15" t="s">
        <v>55</v>
      </c>
      <c r="AH3194" s="15"/>
      <c r="AI3194" s="15"/>
    </row>
    <row r="3195" spans="1:35" s="6" customFormat="1">
      <c r="A3195" s="6" t="s">
        <v>14036</v>
      </c>
      <c r="B3195" s="6" t="s">
        <v>14037</v>
      </c>
      <c r="C3195" s="6" t="s">
        <v>14038</v>
      </c>
      <c r="D3195" s="6" t="s">
        <v>10937</v>
      </c>
      <c r="E3195" s="6" t="s">
        <v>10938</v>
      </c>
      <c r="F3195" s="6" t="s">
        <v>46</v>
      </c>
      <c r="G3195" s="6" t="s">
        <v>8732</v>
      </c>
      <c r="H3195" s="7"/>
      <c r="I3195" s="5" t="s">
        <v>48</v>
      </c>
      <c r="J3195" s="5" t="s">
        <v>48</v>
      </c>
      <c r="AG3195" s="15" t="s">
        <v>55</v>
      </c>
      <c r="AH3195" s="15"/>
      <c r="AI3195" s="15"/>
    </row>
    <row r="3196" spans="1:35" s="6" customFormat="1">
      <c r="A3196" s="6" t="s">
        <v>14039</v>
      </c>
      <c r="B3196" s="6" t="s">
        <v>14040</v>
      </c>
      <c r="C3196" s="6" t="s">
        <v>10496</v>
      </c>
      <c r="D3196" s="6" t="s">
        <v>10937</v>
      </c>
      <c r="E3196" s="6" t="s">
        <v>10938</v>
      </c>
      <c r="F3196" s="6" t="s">
        <v>46</v>
      </c>
      <c r="G3196" s="6" t="s">
        <v>14041</v>
      </c>
      <c r="H3196" s="7"/>
      <c r="I3196" s="6" t="s">
        <v>48</v>
      </c>
      <c r="J3196" s="6" t="s">
        <v>48</v>
      </c>
      <c r="AG3196" s="15" t="s">
        <v>55</v>
      </c>
      <c r="AH3196" s="15"/>
      <c r="AI3196" s="15"/>
    </row>
    <row r="3197" spans="1:35" s="6" customFormat="1">
      <c r="A3197" s="6" t="s">
        <v>14042</v>
      </c>
      <c r="B3197" s="6" t="s">
        <v>14043</v>
      </c>
      <c r="C3197" s="6" t="s">
        <v>10496</v>
      </c>
      <c r="D3197" s="6" t="s">
        <v>10937</v>
      </c>
      <c r="E3197" s="6" t="s">
        <v>10938</v>
      </c>
      <c r="F3197" s="6" t="s">
        <v>46</v>
      </c>
      <c r="G3197" s="6" t="s">
        <v>14044</v>
      </c>
      <c r="H3197" s="7"/>
      <c r="I3197" s="6" t="s">
        <v>48</v>
      </c>
      <c r="J3197" s="6" t="s">
        <v>48</v>
      </c>
      <c r="AG3197" s="15" t="s">
        <v>55</v>
      </c>
      <c r="AH3197" s="15"/>
      <c r="AI3197" s="15"/>
    </row>
    <row r="3198" spans="1:35" s="6" customFormat="1">
      <c r="A3198" s="6" t="s">
        <v>14045</v>
      </c>
      <c r="B3198" s="6" t="s">
        <v>14046</v>
      </c>
      <c r="C3198" s="6" t="s">
        <v>10496</v>
      </c>
      <c r="D3198" s="6" t="s">
        <v>10937</v>
      </c>
      <c r="E3198" s="6" t="s">
        <v>10938</v>
      </c>
      <c r="F3198" s="6" t="s">
        <v>46</v>
      </c>
      <c r="G3198" s="6" t="s">
        <v>5375</v>
      </c>
      <c r="H3198" s="7"/>
      <c r="I3198" s="6" t="s">
        <v>48</v>
      </c>
      <c r="J3198" s="6" t="s">
        <v>48</v>
      </c>
      <c r="AG3198" s="15" t="s">
        <v>55</v>
      </c>
      <c r="AH3198" s="15"/>
      <c r="AI3198" s="15"/>
    </row>
    <row r="3199" spans="1:35" s="6" customFormat="1">
      <c r="A3199" s="6" t="s">
        <v>14047</v>
      </c>
      <c r="B3199" s="6" t="s">
        <v>14048</v>
      </c>
      <c r="C3199" s="6" t="s">
        <v>10496</v>
      </c>
      <c r="D3199" s="6" t="s">
        <v>10937</v>
      </c>
      <c r="E3199" s="6" t="s">
        <v>10938</v>
      </c>
      <c r="F3199" s="6" t="s">
        <v>46</v>
      </c>
      <c r="G3199" s="6" t="s">
        <v>14049</v>
      </c>
      <c r="H3199" s="7"/>
      <c r="I3199" s="6" t="s">
        <v>48</v>
      </c>
      <c r="J3199" s="6" t="s">
        <v>48</v>
      </c>
      <c r="AG3199" s="15" t="s">
        <v>55</v>
      </c>
      <c r="AH3199" s="15"/>
      <c r="AI3199" s="15"/>
    </row>
    <row r="3200" spans="1:35" s="6" customFormat="1">
      <c r="A3200" s="6" t="s">
        <v>14050</v>
      </c>
      <c r="B3200" s="6" t="s">
        <v>14051</v>
      </c>
      <c r="C3200" s="6" t="s">
        <v>10496</v>
      </c>
      <c r="D3200" s="6" t="s">
        <v>10937</v>
      </c>
      <c r="E3200" s="6" t="s">
        <v>10938</v>
      </c>
      <c r="F3200" s="6" t="s">
        <v>46</v>
      </c>
      <c r="G3200" s="6" t="s">
        <v>14052</v>
      </c>
      <c r="H3200" s="7"/>
      <c r="I3200" s="6" t="s">
        <v>48</v>
      </c>
      <c r="J3200" s="6" t="s">
        <v>48</v>
      </c>
      <c r="AG3200" s="15" t="s">
        <v>55</v>
      </c>
      <c r="AH3200" s="15"/>
      <c r="AI3200" s="15"/>
    </row>
    <row r="3201" spans="1:37" s="6" customFormat="1">
      <c r="A3201" s="5" t="s">
        <v>14053</v>
      </c>
      <c r="B3201" s="5" t="s">
        <v>14054</v>
      </c>
      <c r="C3201" s="6" t="s">
        <v>13892</v>
      </c>
      <c r="D3201" s="6" t="s">
        <v>10937</v>
      </c>
      <c r="E3201" s="6" t="s">
        <v>10938</v>
      </c>
      <c r="F3201" s="6" t="s">
        <v>46</v>
      </c>
      <c r="G3201" s="6" t="s">
        <v>14055</v>
      </c>
      <c r="H3201" s="18">
        <v>999</v>
      </c>
      <c r="I3201" s="19" t="s">
        <v>13662</v>
      </c>
      <c r="J3201" s="19" t="s">
        <v>13663</v>
      </c>
      <c r="K3201" s="25" t="s">
        <v>14056</v>
      </c>
      <c r="L3201" s="25" t="s">
        <v>14057</v>
      </c>
      <c r="M3201" s="25" t="s">
        <v>14058</v>
      </c>
      <c r="N3201" s="25" t="s">
        <v>14059</v>
      </c>
      <c r="O3201" s="25" t="s">
        <v>14060</v>
      </c>
      <c r="P3201" s="25" t="s">
        <v>14061</v>
      </c>
      <c r="Q3201" s="25" t="s">
        <v>14062</v>
      </c>
      <c r="R3201" s="25" t="s">
        <v>14063</v>
      </c>
      <c r="S3201" s="6" t="s">
        <v>13672</v>
      </c>
      <c r="T3201" s="6" t="s">
        <v>13697</v>
      </c>
      <c r="U3201" s="6" t="s">
        <v>13674</v>
      </c>
      <c r="V3201" s="6" t="s">
        <v>13675</v>
      </c>
      <c r="W3201" s="6" t="s">
        <v>13676</v>
      </c>
      <c r="X3201" s="6" t="s">
        <v>13677</v>
      </c>
      <c r="Y3201" s="6" t="s">
        <v>13678</v>
      </c>
      <c r="Z3201" s="6" t="s">
        <v>13679</v>
      </c>
      <c r="AA3201" s="6" t="s">
        <v>13680</v>
      </c>
      <c r="AB3201" s="6" t="s">
        <v>13681</v>
      </c>
      <c r="AC3201" s="6" t="s">
        <v>13682</v>
      </c>
      <c r="AD3201" s="6" t="s">
        <v>13683</v>
      </c>
      <c r="AE3201" s="5"/>
      <c r="AF3201" s="5"/>
      <c r="AG3201" s="14" t="s">
        <v>49</v>
      </c>
      <c r="AH3201" s="14" t="s">
        <v>1102</v>
      </c>
      <c r="AI3201" s="14" t="s">
        <v>13684</v>
      </c>
      <c r="AJ3201" s="5" t="s">
        <v>13685</v>
      </c>
      <c r="AK3201" s="5"/>
    </row>
    <row r="3202" spans="1:37">
      <c r="A3202" s="6" t="s">
        <v>14064</v>
      </c>
      <c r="B3202" s="6" t="s">
        <v>14065</v>
      </c>
      <c r="C3202" s="6" t="s">
        <v>43</v>
      </c>
      <c r="D3202" s="6" t="s">
        <v>10937</v>
      </c>
      <c r="E3202" s="6" t="s">
        <v>10938</v>
      </c>
      <c r="F3202" s="6" t="s">
        <v>46</v>
      </c>
      <c r="G3202" s="6" t="s">
        <v>14041</v>
      </c>
      <c r="I3202" s="6" t="s">
        <v>48</v>
      </c>
      <c r="J3202" s="6" t="s">
        <v>48</v>
      </c>
      <c r="K3202" s="6"/>
      <c r="L3202" s="6"/>
      <c r="M3202" s="6"/>
      <c r="N3202" s="6"/>
      <c r="O3202" s="6"/>
      <c r="P3202" s="6"/>
      <c r="Q3202" s="6"/>
      <c r="R3202" s="6"/>
      <c r="S3202" s="6"/>
      <c r="T3202" s="6"/>
      <c r="U3202" s="6"/>
      <c r="V3202" s="6"/>
      <c r="W3202" s="6"/>
      <c r="X3202" s="6"/>
      <c r="Y3202" s="6"/>
      <c r="Z3202" s="6"/>
      <c r="AA3202" s="6"/>
      <c r="AB3202" s="6"/>
      <c r="AC3202" s="6"/>
      <c r="AD3202" s="6"/>
      <c r="AE3202" s="6"/>
      <c r="AF3202" s="6"/>
      <c r="AG3202" s="15" t="s">
        <v>55</v>
      </c>
      <c r="AH3202" s="15"/>
      <c r="AI3202" s="15"/>
      <c r="AJ3202" s="6"/>
      <c r="AK3202" s="6"/>
    </row>
    <row r="3203" spans="1:37" s="6" customFormat="1">
      <c r="A3203" s="5" t="s">
        <v>14066</v>
      </c>
      <c r="B3203" s="5" t="s">
        <v>14067</v>
      </c>
      <c r="C3203" s="6" t="s">
        <v>13892</v>
      </c>
      <c r="D3203" s="6" t="s">
        <v>10937</v>
      </c>
      <c r="E3203" s="6" t="s">
        <v>10938</v>
      </c>
      <c r="F3203" s="6" t="s">
        <v>46</v>
      </c>
      <c r="G3203" s="6" t="s">
        <v>14041</v>
      </c>
      <c r="H3203" s="18">
        <v>999</v>
      </c>
      <c r="I3203" s="19" t="s">
        <v>13662</v>
      </c>
      <c r="J3203" s="19" t="s">
        <v>13663</v>
      </c>
      <c r="K3203" s="25" t="s">
        <v>14068</v>
      </c>
      <c r="L3203" s="25" t="s">
        <v>14069</v>
      </c>
      <c r="M3203" s="25" t="s">
        <v>14070</v>
      </c>
      <c r="N3203" s="25" t="s">
        <v>14071</v>
      </c>
      <c r="O3203" s="25" t="s">
        <v>14072</v>
      </c>
      <c r="P3203" s="25" t="s">
        <v>14073</v>
      </c>
      <c r="Q3203" s="25" t="s">
        <v>14074</v>
      </c>
      <c r="R3203" s="25" t="s">
        <v>14075</v>
      </c>
      <c r="S3203" s="6" t="s">
        <v>13672</v>
      </c>
      <c r="T3203" s="6" t="s">
        <v>13697</v>
      </c>
      <c r="U3203" s="6" t="s">
        <v>13674</v>
      </c>
      <c r="V3203" s="6" t="s">
        <v>13675</v>
      </c>
      <c r="W3203" s="6" t="s">
        <v>13676</v>
      </c>
      <c r="X3203" s="6" t="s">
        <v>13677</v>
      </c>
      <c r="Y3203" s="6" t="s">
        <v>13678</v>
      </c>
      <c r="Z3203" s="6" t="s">
        <v>13679</v>
      </c>
      <c r="AA3203" s="6" t="s">
        <v>13680</v>
      </c>
      <c r="AB3203" s="6" t="s">
        <v>13681</v>
      </c>
      <c r="AC3203" s="6" t="s">
        <v>13682</v>
      </c>
      <c r="AD3203" s="6" t="s">
        <v>13683</v>
      </c>
      <c r="AE3203" s="5"/>
      <c r="AF3203" s="5"/>
      <c r="AG3203" s="14" t="s">
        <v>49</v>
      </c>
      <c r="AH3203" s="14" t="s">
        <v>1102</v>
      </c>
      <c r="AI3203" s="14" t="s">
        <v>13684</v>
      </c>
      <c r="AJ3203" s="5" t="s">
        <v>13685</v>
      </c>
      <c r="AK3203" s="5"/>
    </row>
    <row r="3204" spans="1:37">
      <c r="A3204" s="5" t="s">
        <v>14076</v>
      </c>
      <c r="B3204" s="5" t="s">
        <v>14077</v>
      </c>
      <c r="C3204" s="6" t="s">
        <v>43</v>
      </c>
      <c r="D3204" s="6" t="s">
        <v>10937</v>
      </c>
      <c r="E3204" s="6" t="s">
        <v>10938</v>
      </c>
      <c r="F3204" s="6" t="s">
        <v>46</v>
      </c>
      <c r="G3204" s="6" t="s">
        <v>14055</v>
      </c>
      <c r="H3204" s="18">
        <v>999</v>
      </c>
      <c r="I3204" s="19" t="s">
        <v>13662</v>
      </c>
      <c r="J3204" s="19" t="s">
        <v>13663</v>
      </c>
      <c r="K3204" s="25" t="s">
        <v>14078</v>
      </c>
      <c r="L3204" s="25" t="s">
        <v>14079</v>
      </c>
      <c r="M3204" s="25" t="s">
        <v>14080</v>
      </c>
      <c r="N3204" s="25" t="s">
        <v>14081</v>
      </c>
      <c r="O3204" s="25" t="s">
        <v>14072</v>
      </c>
      <c r="P3204" s="25" t="s">
        <v>14073</v>
      </c>
      <c r="Q3204" s="25" t="s">
        <v>14074</v>
      </c>
      <c r="R3204" s="25" t="s">
        <v>14075</v>
      </c>
      <c r="S3204" s="6" t="s">
        <v>13672</v>
      </c>
      <c r="T3204" s="6" t="s">
        <v>13697</v>
      </c>
      <c r="U3204" s="6" t="s">
        <v>13674</v>
      </c>
      <c r="V3204" s="6" t="s">
        <v>13675</v>
      </c>
      <c r="W3204" s="6" t="s">
        <v>13676</v>
      </c>
      <c r="X3204" s="6" t="s">
        <v>13677</v>
      </c>
      <c r="Y3204" s="6" t="s">
        <v>13678</v>
      </c>
      <c r="Z3204" s="6" t="s">
        <v>13679</v>
      </c>
      <c r="AA3204" s="6" t="s">
        <v>13680</v>
      </c>
      <c r="AB3204" s="6" t="s">
        <v>13681</v>
      </c>
      <c r="AC3204" s="6" t="s">
        <v>13682</v>
      </c>
      <c r="AD3204" s="6" t="s">
        <v>13683</v>
      </c>
      <c r="AG3204" s="14" t="s">
        <v>49</v>
      </c>
      <c r="AH3204" s="14" t="s">
        <v>1102</v>
      </c>
      <c r="AI3204" s="14" t="s">
        <v>13684</v>
      </c>
      <c r="AJ3204" s="5" t="s">
        <v>13685</v>
      </c>
    </row>
    <row r="3205" spans="1:37">
      <c r="A3205" s="6" t="s">
        <v>14082</v>
      </c>
      <c r="B3205" s="6" t="s">
        <v>14083</v>
      </c>
      <c r="C3205" s="6" t="s">
        <v>43</v>
      </c>
      <c r="D3205" s="6" t="s">
        <v>10937</v>
      </c>
      <c r="E3205" s="6" t="s">
        <v>10938</v>
      </c>
      <c r="F3205" s="6" t="s">
        <v>46</v>
      </c>
      <c r="G3205" s="6" t="s">
        <v>14041</v>
      </c>
      <c r="I3205" s="6" t="s">
        <v>48</v>
      </c>
      <c r="J3205" s="6" t="s">
        <v>48</v>
      </c>
      <c r="K3205" s="6"/>
      <c r="L3205" s="6"/>
      <c r="M3205" s="6"/>
      <c r="N3205" s="6"/>
      <c r="O3205" s="6"/>
      <c r="P3205" s="6"/>
      <c r="Q3205" s="6"/>
      <c r="R3205" s="6"/>
      <c r="S3205" s="6"/>
      <c r="T3205" s="6"/>
      <c r="U3205" s="6"/>
      <c r="V3205" s="6"/>
      <c r="W3205" s="6"/>
      <c r="X3205" s="6"/>
      <c r="Y3205" s="6"/>
      <c r="Z3205" s="6"/>
      <c r="AA3205" s="6"/>
      <c r="AB3205" s="6"/>
      <c r="AC3205" s="6"/>
      <c r="AD3205" s="6"/>
      <c r="AE3205" s="6"/>
      <c r="AF3205" s="6"/>
      <c r="AG3205" s="15" t="s">
        <v>55</v>
      </c>
      <c r="AH3205" s="15"/>
      <c r="AI3205" s="15"/>
      <c r="AJ3205" s="6"/>
      <c r="AK3205" s="6"/>
    </row>
    <row r="3206" spans="1:37" s="6" customFormat="1">
      <c r="A3206" s="6" t="s">
        <v>14084</v>
      </c>
      <c r="B3206" s="6" t="s">
        <v>14085</v>
      </c>
      <c r="C3206" s="6" t="s">
        <v>10496</v>
      </c>
      <c r="D3206" s="6" t="s">
        <v>10937</v>
      </c>
      <c r="E3206" s="6" t="s">
        <v>10938</v>
      </c>
      <c r="F3206" s="6" t="s">
        <v>46</v>
      </c>
      <c r="G3206" s="6" t="s">
        <v>5335</v>
      </c>
      <c r="H3206" s="7"/>
      <c r="I3206" s="6" t="s">
        <v>48</v>
      </c>
      <c r="J3206" s="6" t="s">
        <v>48</v>
      </c>
      <c r="AG3206" s="15" t="s">
        <v>55</v>
      </c>
      <c r="AH3206" s="15"/>
      <c r="AI3206" s="15"/>
    </row>
    <row r="3207" spans="1:37" s="6" customFormat="1">
      <c r="A3207" s="6" t="s">
        <v>14086</v>
      </c>
      <c r="B3207" s="6" t="s">
        <v>14087</v>
      </c>
      <c r="C3207" s="6" t="s">
        <v>43</v>
      </c>
      <c r="D3207" s="6" t="s">
        <v>10937</v>
      </c>
      <c r="E3207" s="6" t="s">
        <v>10938</v>
      </c>
      <c r="F3207" s="6" t="s">
        <v>46</v>
      </c>
      <c r="G3207" s="6" t="s">
        <v>14088</v>
      </c>
      <c r="H3207" s="7"/>
      <c r="I3207" s="6" t="s">
        <v>48</v>
      </c>
      <c r="J3207" s="6" t="s">
        <v>48</v>
      </c>
      <c r="AG3207" s="15" t="s">
        <v>55</v>
      </c>
      <c r="AH3207" s="15"/>
      <c r="AI3207" s="15"/>
    </row>
    <row r="3208" spans="1:37" s="6" customFormat="1">
      <c r="A3208" s="6" t="s">
        <v>14089</v>
      </c>
      <c r="B3208" s="6" t="s">
        <v>14090</v>
      </c>
      <c r="C3208" s="6" t="s">
        <v>1552</v>
      </c>
      <c r="D3208" s="6" t="s">
        <v>10937</v>
      </c>
      <c r="E3208" s="6" t="s">
        <v>10938</v>
      </c>
      <c r="F3208" s="6" t="s">
        <v>46</v>
      </c>
      <c r="G3208" s="6" t="s">
        <v>14091</v>
      </c>
      <c r="H3208" s="7"/>
      <c r="I3208" s="6" t="s">
        <v>48</v>
      </c>
      <c r="J3208" s="6" t="s">
        <v>48</v>
      </c>
      <c r="AG3208" s="15" t="s">
        <v>55</v>
      </c>
      <c r="AH3208" s="15"/>
      <c r="AI3208" s="15"/>
    </row>
    <row r="3209" spans="1:37" s="6" customFormat="1">
      <c r="A3209" s="6" t="s">
        <v>14092</v>
      </c>
      <c r="B3209" s="6" t="s">
        <v>14093</v>
      </c>
      <c r="C3209" s="6" t="s">
        <v>14094</v>
      </c>
      <c r="D3209" s="6" t="s">
        <v>10937</v>
      </c>
      <c r="E3209" s="6" t="s">
        <v>10938</v>
      </c>
      <c r="F3209" s="6" t="s">
        <v>46</v>
      </c>
      <c r="G3209" s="6" t="s">
        <v>5386</v>
      </c>
      <c r="H3209" s="7"/>
      <c r="I3209" s="6" t="s">
        <v>48</v>
      </c>
      <c r="J3209" s="6" t="s">
        <v>48</v>
      </c>
      <c r="AG3209" s="15" t="s">
        <v>55</v>
      </c>
      <c r="AH3209" s="15"/>
      <c r="AI3209" s="15"/>
    </row>
    <row r="3210" spans="1:37" s="6" customFormat="1">
      <c r="A3210" s="6" t="s">
        <v>14095</v>
      </c>
      <c r="B3210" s="6" t="s">
        <v>14096</v>
      </c>
      <c r="C3210" s="6" t="s">
        <v>1552</v>
      </c>
      <c r="D3210" s="6" t="s">
        <v>10937</v>
      </c>
      <c r="E3210" s="6" t="s">
        <v>10938</v>
      </c>
      <c r="F3210" s="6" t="s">
        <v>46</v>
      </c>
      <c r="G3210" s="6" t="s">
        <v>14097</v>
      </c>
      <c r="H3210" s="7"/>
      <c r="I3210" s="6" t="s">
        <v>48</v>
      </c>
      <c r="J3210" s="6" t="s">
        <v>48</v>
      </c>
      <c r="AG3210" s="15" t="s">
        <v>55</v>
      </c>
      <c r="AH3210" s="15"/>
      <c r="AI3210" s="15"/>
    </row>
    <row r="3211" spans="1:37" s="6" customFormat="1">
      <c r="A3211" s="6" t="s">
        <v>14098</v>
      </c>
      <c r="B3211" s="6" t="s">
        <v>14099</v>
      </c>
      <c r="C3211" s="6" t="s">
        <v>1552</v>
      </c>
      <c r="D3211" s="6" t="s">
        <v>10937</v>
      </c>
      <c r="E3211" s="6" t="s">
        <v>10938</v>
      </c>
      <c r="F3211" s="6" t="s">
        <v>46</v>
      </c>
      <c r="G3211" s="6" t="s">
        <v>14100</v>
      </c>
      <c r="H3211" s="7"/>
      <c r="I3211" s="5" t="s">
        <v>48</v>
      </c>
      <c r="J3211" s="5" t="s">
        <v>48</v>
      </c>
      <c r="AG3211" s="15" t="s">
        <v>55</v>
      </c>
      <c r="AH3211" s="15"/>
      <c r="AI3211" s="15"/>
    </row>
    <row r="3212" spans="1:37" s="6" customFormat="1">
      <c r="A3212" s="6" t="s">
        <v>14101</v>
      </c>
      <c r="B3212" s="6" t="s">
        <v>14102</v>
      </c>
      <c r="C3212" s="6" t="s">
        <v>1552</v>
      </c>
      <c r="D3212" s="6" t="s">
        <v>10937</v>
      </c>
      <c r="E3212" s="6" t="s">
        <v>10938</v>
      </c>
      <c r="F3212" s="6" t="s">
        <v>46</v>
      </c>
      <c r="G3212" s="6" t="s">
        <v>14103</v>
      </c>
      <c r="H3212" s="7"/>
      <c r="I3212" s="6" t="s">
        <v>48</v>
      </c>
      <c r="J3212" s="6" t="s">
        <v>48</v>
      </c>
      <c r="AG3212" s="15" t="s">
        <v>55</v>
      </c>
      <c r="AH3212" s="15"/>
      <c r="AI3212" s="15"/>
    </row>
    <row r="3213" spans="1:37" s="6" customFormat="1">
      <c r="A3213" s="6" t="s">
        <v>14104</v>
      </c>
      <c r="B3213" s="6" t="s">
        <v>14105</v>
      </c>
      <c r="C3213" s="6" t="s">
        <v>43</v>
      </c>
      <c r="D3213" s="6" t="s">
        <v>10937</v>
      </c>
      <c r="E3213" s="6" t="s">
        <v>10938</v>
      </c>
      <c r="F3213" s="6" t="s">
        <v>46</v>
      </c>
      <c r="G3213" s="6" t="s">
        <v>10527</v>
      </c>
      <c r="H3213" s="7"/>
      <c r="I3213" s="6" t="s">
        <v>48</v>
      </c>
      <c r="J3213" s="6" t="s">
        <v>48</v>
      </c>
      <c r="AG3213" s="15" t="s">
        <v>55</v>
      </c>
      <c r="AH3213" s="15"/>
      <c r="AI3213" s="15"/>
    </row>
    <row r="3214" spans="1:37" s="6" customFormat="1">
      <c r="A3214" s="6" t="s">
        <v>14106</v>
      </c>
      <c r="B3214" s="6" t="s">
        <v>14107</v>
      </c>
      <c r="C3214" s="6" t="s">
        <v>43</v>
      </c>
      <c r="D3214" s="6" t="s">
        <v>10937</v>
      </c>
      <c r="E3214" s="6" t="s">
        <v>10938</v>
      </c>
      <c r="F3214" s="6" t="s">
        <v>46</v>
      </c>
      <c r="G3214" s="6" t="s">
        <v>14108</v>
      </c>
      <c r="H3214" s="7"/>
      <c r="I3214" s="6" t="s">
        <v>48</v>
      </c>
      <c r="J3214" s="6" t="s">
        <v>48</v>
      </c>
      <c r="AG3214" s="15" t="s">
        <v>55</v>
      </c>
      <c r="AH3214" s="15"/>
      <c r="AI3214" s="15"/>
    </row>
    <row r="3215" spans="1:37" s="6" customFormat="1">
      <c r="A3215" s="6" t="s">
        <v>14109</v>
      </c>
      <c r="B3215" s="6" t="s">
        <v>14110</v>
      </c>
      <c r="C3215" s="6" t="s">
        <v>43</v>
      </c>
      <c r="D3215" s="6" t="s">
        <v>10937</v>
      </c>
      <c r="E3215" s="6" t="s">
        <v>10938</v>
      </c>
      <c r="F3215" s="6" t="s">
        <v>46</v>
      </c>
      <c r="G3215" s="6" t="s">
        <v>14111</v>
      </c>
      <c r="H3215" s="7"/>
      <c r="I3215" s="6" t="s">
        <v>48</v>
      </c>
      <c r="J3215" s="6" t="s">
        <v>48</v>
      </c>
      <c r="AG3215" s="15" t="s">
        <v>55</v>
      </c>
      <c r="AH3215" s="15"/>
      <c r="AI3215" s="15"/>
    </row>
    <row r="3216" spans="1:37" s="6" customFormat="1">
      <c r="A3216" s="6" t="s">
        <v>14112</v>
      </c>
      <c r="B3216" s="6" t="s">
        <v>14113</v>
      </c>
      <c r="C3216" s="6" t="s">
        <v>13417</v>
      </c>
      <c r="D3216" s="6" t="s">
        <v>13381</v>
      </c>
      <c r="E3216" s="6" t="s">
        <v>10938</v>
      </c>
      <c r="F3216" s="6" t="s">
        <v>46</v>
      </c>
      <c r="G3216" s="6" t="s">
        <v>14114</v>
      </c>
      <c r="H3216" s="7"/>
      <c r="I3216" s="6" t="s">
        <v>48</v>
      </c>
      <c r="J3216" s="6" t="s">
        <v>48</v>
      </c>
      <c r="AG3216" s="15" t="s">
        <v>55</v>
      </c>
      <c r="AH3216" s="15"/>
      <c r="AI3216" s="15"/>
    </row>
    <row r="3217" spans="1:37" s="6" customFormat="1">
      <c r="A3217" s="6" t="s">
        <v>14115</v>
      </c>
      <c r="B3217" s="6" t="s">
        <v>14116</v>
      </c>
      <c r="C3217" s="6" t="s">
        <v>43</v>
      </c>
      <c r="D3217" s="6" t="s">
        <v>10937</v>
      </c>
      <c r="E3217" s="6" t="s">
        <v>10938</v>
      </c>
      <c r="F3217" s="6" t="s">
        <v>46</v>
      </c>
      <c r="G3217" s="6" t="s">
        <v>9674</v>
      </c>
      <c r="H3217" s="7"/>
      <c r="I3217" s="6" t="s">
        <v>48</v>
      </c>
      <c r="J3217" s="6" t="s">
        <v>48</v>
      </c>
      <c r="AG3217" s="15" t="s">
        <v>55</v>
      </c>
      <c r="AH3217" s="15"/>
      <c r="AI3217" s="15"/>
    </row>
    <row r="3218" spans="1:37" s="6" customFormat="1">
      <c r="A3218" s="6" t="s">
        <v>14117</v>
      </c>
      <c r="B3218" s="6" t="s">
        <v>14118</v>
      </c>
      <c r="C3218" s="6" t="s">
        <v>14119</v>
      </c>
      <c r="D3218" s="6" t="s">
        <v>10937</v>
      </c>
      <c r="E3218" s="6" t="s">
        <v>10938</v>
      </c>
      <c r="F3218" s="6" t="s">
        <v>46</v>
      </c>
      <c r="G3218" s="6" t="s">
        <v>14120</v>
      </c>
      <c r="H3218" s="7"/>
      <c r="I3218" s="6" t="s">
        <v>48</v>
      </c>
      <c r="J3218" s="6" t="s">
        <v>48</v>
      </c>
      <c r="AG3218" s="15" t="s">
        <v>55</v>
      </c>
      <c r="AH3218" s="15"/>
      <c r="AI3218" s="15"/>
    </row>
    <row r="3219" spans="1:37" s="6" customFormat="1">
      <c r="A3219" s="6" t="s">
        <v>14121</v>
      </c>
      <c r="B3219" s="6" t="s">
        <v>14122</v>
      </c>
      <c r="C3219" s="6" t="s">
        <v>43</v>
      </c>
      <c r="D3219" s="6" t="s">
        <v>10937</v>
      </c>
      <c r="E3219" s="6" t="s">
        <v>10938</v>
      </c>
      <c r="F3219" s="6" t="s">
        <v>46</v>
      </c>
      <c r="G3219" s="6" t="s">
        <v>14123</v>
      </c>
      <c r="H3219" s="7"/>
      <c r="I3219" s="6" t="s">
        <v>48</v>
      </c>
      <c r="J3219" s="6" t="s">
        <v>48</v>
      </c>
      <c r="AG3219" s="15" t="s">
        <v>55</v>
      </c>
      <c r="AH3219" s="15"/>
      <c r="AI3219" s="15"/>
    </row>
    <row r="3220" spans="1:37" s="6" customFormat="1">
      <c r="A3220" s="6" t="s">
        <v>14124</v>
      </c>
      <c r="B3220" s="6" t="s">
        <v>14125</v>
      </c>
      <c r="C3220" s="6" t="s">
        <v>14119</v>
      </c>
      <c r="D3220" s="6" t="s">
        <v>10937</v>
      </c>
      <c r="E3220" s="6" t="s">
        <v>10938</v>
      </c>
      <c r="F3220" s="6" t="s">
        <v>46</v>
      </c>
      <c r="G3220" s="6" t="s">
        <v>14126</v>
      </c>
      <c r="H3220" s="7"/>
      <c r="I3220" s="6" t="s">
        <v>48</v>
      </c>
      <c r="J3220" s="6" t="s">
        <v>48</v>
      </c>
      <c r="AG3220" s="15" t="s">
        <v>55</v>
      </c>
      <c r="AH3220" s="15"/>
      <c r="AI3220" s="15"/>
    </row>
    <row r="3221" spans="1:37" s="6" customFormat="1">
      <c r="A3221" s="6" t="s">
        <v>14127</v>
      </c>
      <c r="B3221" s="6" t="s">
        <v>14128</v>
      </c>
      <c r="C3221" s="6" t="s">
        <v>3276</v>
      </c>
      <c r="D3221" s="6" t="s">
        <v>10937</v>
      </c>
      <c r="E3221" s="6" t="s">
        <v>10938</v>
      </c>
      <c r="F3221" s="6" t="s">
        <v>46</v>
      </c>
      <c r="G3221" s="6" t="s">
        <v>14129</v>
      </c>
      <c r="H3221" s="7"/>
      <c r="I3221" s="5" t="s">
        <v>48</v>
      </c>
      <c r="J3221" s="5" t="s">
        <v>48</v>
      </c>
      <c r="AG3221" s="15" t="s">
        <v>55</v>
      </c>
      <c r="AH3221" s="15"/>
      <c r="AI3221" s="15"/>
    </row>
    <row r="3222" spans="1:37" s="6" customFormat="1">
      <c r="A3222" s="6" t="s">
        <v>14130</v>
      </c>
      <c r="B3222" s="6" t="s">
        <v>14131</v>
      </c>
      <c r="C3222" s="6" t="s">
        <v>14119</v>
      </c>
      <c r="D3222" s="6" t="s">
        <v>10937</v>
      </c>
      <c r="E3222" s="6" t="s">
        <v>10938</v>
      </c>
      <c r="F3222" s="6" t="s">
        <v>46</v>
      </c>
      <c r="G3222" s="6" t="s">
        <v>2228</v>
      </c>
      <c r="H3222" s="7"/>
      <c r="I3222" s="6" t="s">
        <v>48</v>
      </c>
      <c r="J3222" s="6" t="s">
        <v>48</v>
      </c>
      <c r="AG3222" s="15" t="s">
        <v>55</v>
      </c>
      <c r="AH3222" s="15"/>
      <c r="AI3222" s="15"/>
    </row>
    <row r="3223" spans="1:37" s="6" customFormat="1">
      <c r="A3223" s="6" t="s">
        <v>14132</v>
      </c>
      <c r="B3223" s="6" t="s">
        <v>14133</v>
      </c>
      <c r="C3223" s="6" t="s">
        <v>14119</v>
      </c>
      <c r="D3223" s="6" t="s">
        <v>10937</v>
      </c>
      <c r="E3223" s="6" t="s">
        <v>10938</v>
      </c>
      <c r="F3223" s="6" t="s">
        <v>46</v>
      </c>
      <c r="G3223" s="6" t="s">
        <v>4990</v>
      </c>
      <c r="H3223" s="7"/>
      <c r="I3223" s="6" t="s">
        <v>48</v>
      </c>
      <c r="J3223" s="6" t="s">
        <v>48</v>
      </c>
      <c r="AG3223" s="15" t="s">
        <v>55</v>
      </c>
      <c r="AH3223" s="15"/>
      <c r="AI3223" s="15"/>
    </row>
    <row r="3224" spans="1:37" s="6" customFormat="1">
      <c r="A3224" s="5" t="s">
        <v>14134</v>
      </c>
      <c r="B3224" s="5" t="s">
        <v>14135</v>
      </c>
      <c r="C3224" s="6" t="s">
        <v>14119</v>
      </c>
      <c r="D3224" s="6" t="s">
        <v>10937</v>
      </c>
      <c r="E3224" s="6" t="s">
        <v>10938</v>
      </c>
      <c r="F3224" s="6" t="s">
        <v>46</v>
      </c>
      <c r="G3224" s="6" t="s">
        <v>14136</v>
      </c>
      <c r="H3224" s="18">
        <v>999</v>
      </c>
      <c r="I3224" s="19" t="s">
        <v>13662</v>
      </c>
      <c r="J3224" s="19" t="s">
        <v>13663</v>
      </c>
      <c r="K3224" s="25" t="s">
        <v>14137</v>
      </c>
      <c r="L3224" s="25" t="s">
        <v>14138</v>
      </c>
      <c r="M3224" s="25" t="s">
        <v>14139</v>
      </c>
      <c r="N3224" s="25" t="s">
        <v>14140</v>
      </c>
      <c r="O3224" s="25" t="s">
        <v>14141</v>
      </c>
      <c r="P3224" s="25" t="s">
        <v>14142</v>
      </c>
      <c r="Q3224" s="25" t="s">
        <v>14143</v>
      </c>
      <c r="R3224" s="25" t="s">
        <v>14144</v>
      </c>
      <c r="S3224" s="6" t="s">
        <v>13672</v>
      </c>
      <c r="T3224" s="6" t="s">
        <v>13697</v>
      </c>
      <c r="U3224" s="6" t="s">
        <v>13674</v>
      </c>
      <c r="V3224" s="6" t="s">
        <v>13675</v>
      </c>
      <c r="W3224" s="6" t="s">
        <v>13676</v>
      </c>
      <c r="X3224" s="6" t="s">
        <v>13677</v>
      </c>
      <c r="Y3224" s="6" t="s">
        <v>13678</v>
      </c>
      <c r="Z3224" s="6" t="s">
        <v>13679</v>
      </c>
      <c r="AA3224" s="6" t="s">
        <v>13680</v>
      </c>
      <c r="AB3224" s="6" t="s">
        <v>13681</v>
      </c>
      <c r="AC3224" s="6" t="s">
        <v>13682</v>
      </c>
      <c r="AD3224" s="6" t="s">
        <v>13683</v>
      </c>
      <c r="AE3224" s="5"/>
      <c r="AF3224" s="5"/>
      <c r="AG3224" s="14" t="s">
        <v>49</v>
      </c>
      <c r="AH3224" s="14" t="s">
        <v>1102</v>
      </c>
      <c r="AI3224" s="14" t="s">
        <v>13684</v>
      </c>
      <c r="AJ3224" s="5" t="s">
        <v>13685</v>
      </c>
      <c r="AK3224" s="5"/>
    </row>
    <row r="3225" spans="1:37">
      <c r="A3225" s="5" t="s">
        <v>14145</v>
      </c>
      <c r="B3225" s="5" t="s">
        <v>14146</v>
      </c>
      <c r="C3225" s="6" t="s">
        <v>14119</v>
      </c>
      <c r="D3225" s="6" t="s">
        <v>10937</v>
      </c>
      <c r="E3225" s="6" t="s">
        <v>10938</v>
      </c>
      <c r="F3225" s="6" t="s">
        <v>46</v>
      </c>
      <c r="G3225" s="6" t="s">
        <v>2872</v>
      </c>
      <c r="H3225" s="18">
        <v>999</v>
      </c>
      <c r="I3225" s="19" t="s">
        <v>13662</v>
      </c>
      <c r="J3225" s="19" t="s">
        <v>13663</v>
      </c>
      <c r="K3225" s="25" t="s">
        <v>14147</v>
      </c>
      <c r="L3225" s="25" t="s">
        <v>14148</v>
      </c>
      <c r="M3225" s="25" t="s">
        <v>14149</v>
      </c>
      <c r="N3225" s="25" t="s">
        <v>14150</v>
      </c>
      <c r="O3225" s="25" t="s">
        <v>14151</v>
      </c>
      <c r="P3225" s="25" t="s">
        <v>14152</v>
      </c>
      <c r="Q3225" s="25" t="s">
        <v>14153</v>
      </c>
      <c r="R3225" s="25" t="s">
        <v>14154</v>
      </c>
      <c r="S3225" s="6" t="s">
        <v>13672</v>
      </c>
      <c r="T3225" s="6" t="s">
        <v>13697</v>
      </c>
      <c r="U3225" s="6" t="s">
        <v>13674</v>
      </c>
      <c r="V3225" s="6" t="s">
        <v>13675</v>
      </c>
      <c r="W3225" s="6" t="s">
        <v>13676</v>
      </c>
      <c r="X3225" s="6" t="s">
        <v>13677</v>
      </c>
      <c r="Y3225" s="6" t="s">
        <v>13678</v>
      </c>
      <c r="Z3225" s="6" t="s">
        <v>13679</v>
      </c>
      <c r="AA3225" s="6" t="s">
        <v>13680</v>
      </c>
      <c r="AB3225" s="6" t="s">
        <v>13681</v>
      </c>
      <c r="AC3225" s="6" t="s">
        <v>13682</v>
      </c>
      <c r="AD3225" s="6" t="s">
        <v>13683</v>
      </c>
      <c r="AG3225" s="14" t="s">
        <v>49</v>
      </c>
      <c r="AH3225" s="14" t="s">
        <v>1102</v>
      </c>
      <c r="AI3225" s="14" t="s">
        <v>13684</v>
      </c>
      <c r="AJ3225" s="5" t="s">
        <v>13685</v>
      </c>
    </row>
    <row r="3226" spans="1:37">
      <c r="A3226" s="6" t="s">
        <v>14155</v>
      </c>
      <c r="B3226" s="6" t="s">
        <v>14156</v>
      </c>
      <c r="C3226" s="6" t="s">
        <v>3276</v>
      </c>
      <c r="D3226" s="6" t="s">
        <v>10937</v>
      </c>
      <c r="E3226" s="6" t="s">
        <v>10938</v>
      </c>
      <c r="F3226" s="6" t="s">
        <v>46</v>
      </c>
      <c r="G3226" s="6" t="s">
        <v>14157</v>
      </c>
      <c r="I3226" s="5" t="s">
        <v>48</v>
      </c>
      <c r="J3226" s="5" t="s">
        <v>48</v>
      </c>
      <c r="K3226" s="6"/>
      <c r="L3226" s="6"/>
      <c r="M3226" s="6"/>
      <c r="N3226" s="6"/>
      <c r="O3226" s="6"/>
      <c r="P3226" s="6"/>
      <c r="Q3226" s="6"/>
      <c r="R3226" s="6"/>
      <c r="S3226" s="6"/>
      <c r="T3226" s="6"/>
      <c r="U3226" s="6"/>
      <c r="V3226" s="6"/>
      <c r="W3226" s="6"/>
      <c r="X3226" s="6"/>
      <c r="Y3226" s="6"/>
      <c r="Z3226" s="6"/>
      <c r="AA3226" s="6"/>
      <c r="AB3226" s="6"/>
      <c r="AC3226" s="6"/>
      <c r="AD3226" s="6"/>
      <c r="AE3226" s="6"/>
      <c r="AF3226" s="6"/>
      <c r="AG3226" s="15" t="s">
        <v>55</v>
      </c>
      <c r="AH3226" s="15"/>
      <c r="AI3226" s="15"/>
      <c r="AJ3226" s="6"/>
      <c r="AK3226" s="6"/>
    </row>
    <row r="3227" spans="1:37" s="6" customFormat="1">
      <c r="A3227" s="5" t="s">
        <v>14158</v>
      </c>
      <c r="B3227" s="5" t="s">
        <v>14159</v>
      </c>
      <c r="C3227" s="6" t="s">
        <v>14119</v>
      </c>
      <c r="D3227" s="6" t="s">
        <v>10937</v>
      </c>
      <c r="E3227" s="6" t="s">
        <v>10938</v>
      </c>
      <c r="F3227" s="6" t="s">
        <v>46</v>
      </c>
      <c r="G3227" s="6" t="s">
        <v>14136</v>
      </c>
      <c r="H3227" s="18">
        <v>999</v>
      </c>
      <c r="I3227" s="19" t="s">
        <v>13662</v>
      </c>
      <c r="J3227" s="19" t="s">
        <v>13663</v>
      </c>
      <c r="K3227" s="25" t="s">
        <v>14160</v>
      </c>
      <c r="L3227" s="25" t="s">
        <v>14161</v>
      </c>
      <c r="M3227" s="25" t="s">
        <v>14162</v>
      </c>
      <c r="N3227" s="25" t="s">
        <v>14163</v>
      </c>
      <c r="O3227" s="25" t="s">
        <v>14164</v>
      </c>
      <c r="P3227" s="25" t="s">
        <v>14165</v>
      </c>
      <c r="Q3227" s="25" t="s">
        <v>14166</v>
      </c>
      <c r="R3227" s="25" t="s">
        <v>14167</v>
      </c>
      <c r="S3227" s="6" t="s">
        <v>13672</v>
      </c>
      <c r="T3227" s="6" t="s">
        <v>13697</v>
      </c>
      <c r="U3227" s="6" t="s">
        <v>13674</v>
      </c>
      <c r="V3227" s="6" t="s">
        <v>13675</v>
      </c>
      <c r="W3227" s="6" t="s">
        <v>13676</v>
      </c>
      <c r="X3227" s="6" t="s">
        <v>13677</v>
      </c>
      <c r="Y3227" s="6" t="s">
        <v>13678</v>
      </c>
      <c r="Z3227" s="6" t="s">
        <v>13679</v>
      </c>
      <c r="AA3227" s="6" t="s">
        <v>13680</v>
      </c>
      <c r="AB3227" s="6" t="s">
        <v>13681</v>
      </c>
      <c r="AC3227" s="6" t="s">
        <v>13682</v>
      </c>
      <c r="AD3227" s="6" t="s">
        <v>13683</v>
      </c>
      <c r="AE3227" s="5"/>
      <c r="AF3227" s="5"/>
      <c r="AG3227" s="14" t="s">
        <v>49</v>
      </c>
      <c r="AH3227" s="14" t="s">
        <v>1102</v>
      </c>
      <c r="AI3227" s="14" t="s">
        <v>13684</v>
      </c>
      <c r="AJ3227" s="5" t="s">
        <v>13685</v>
      </c>
      <c r="AK3227" s="5"/>
    </row>
    <row r="3228" spans="1:37">
      <c r="A3228" s="6" t="s">
        <v>14168</v>
      </c>
      <c r="B3228" s="6" t="s">
        <v>14169</v>
      </c>
      <c r="C3228" s="6" t="s">
        <v>3276</v>
      </c>
      <c r="D3228" s="6" t="s">
        <v>10937</v>
      </c>
      <c r="E3228" s="6" t="s">
        <v>10938</v>
      </c>
      <c r="F3228" s="6" t="s">
        <v>46</v>
      </c>
      <c r="G3228" s="6" t="s">
        <v>14136</v>
      </c>
      <c r="I3228" s="5" t="s">
        <v>48</v>
      </c>
      <c r="J3228" s="5" t="s">
        <v>48</v>
      </c>
      <c r="K3228" s="6"/>
      <c r="L3228" s="6"/>
      <c r="M3228" s="6"/>
      <c r="N3228" s="6"/>
      <c r="O3228" s="6"/>
      <c r="P3228" s="6"/>
      <c r="Q3228" s="6"/>
      <c r="R3228" s="6"/>
      <c r="S3228" s="6"/>
      <c r="T3228" s="6"/>
      <c r="U3228" s="6"/>
      <c r="V3228" s="6"/>
      <c r="W3228" s="6"/>
      <c r="X3228" s="6"/>
      <c r="Y3228" s="6"/>
      <c r="Z3228" s="6"/>
      <c r="AA3228" s="6"/>
      <c r="AB3228" s="6"/>
      <c r="AC3228" s="6"/>
      <c r="AD3228" s="6"/>
      <c r="AE3228" s="6"/>
      <c r="AF3228" s="6"/>
      <c r="AG3228" s="15" t="s">
        <v>55</v>
      </c>
      <c r="AH3228" s="15"/>
      <c r="AI3228" s="15"/>
      <c r="AJ3228" s="6"/>
      <c r="AK3228" s="6"/>
    </row>
    <row r="3229" spans="1:37" s="6" customFormat="1">
      <c r="A3229" s="6" t="s">
        <v>14170</v>
      </c>
      <c r="B3229" s="6" t="s">
        <v>14171</v>
      </c>
      <c r="C3229" s="6" t="s">
        <v>43</v>
      </c>
      <c r="D3229" s="6" t="s">
        <v>10937</v>
      </c>
      <c r="E3229" s="6" t="s">
        <v>10938</v>
      </c>
      <c r="F3229" s="6" t="s">
        <v>46</v>
      </c>
      <c r="G3229" s="6" t="s">
        <v>14172</v>
      </c>
      <c r="H3229" s="7"/>
      <c r="I3229" s="6" t="s">
        <v>48</v>
      </c>
      <c r="J3229" s="6" t="s">
        <v>48</v>
      </c>
      <c r="AG3229" s="15" t="s">
        <v>55</v>
      </c>
      <c r="AH3229" s="15"/>
      <c r="AI3229" s="15"/>
    </row>
    <row r="3230" spans="1:37" s="6" customFormat="1">
      <c r="A3230" s="6" t="s">
        <v>14173</v>
      </c>
      <c r="B3230" s="6" t="s">
        <v>14174</v>
      </c>
      <c r="C3230" s="6" t="s">
        <v>43</v>
      </c>
      <c r="D3230" s="6" t="s">
        <v>10937</v>
      </c>
      <c r="E3230" s="6" t="s">
        <v>10938</v>
      </c>
      <c r="F3230" s="6" t="s">
        <v>46</v>
      </c>
      <c r="G3230" s="6" t="s">
        <v>14175</v>
      </c>
      <c r="H3230" s="7"/>
      <c r="I3230" s="6" t="s">
        <v>48</v>
      </c>
      <c r="J3230" s="6" t="s">
        <v>48</v>
      </c>
      <c r="AG3230" s="15" t="s">
        <v>55</v>
      </c>
      <c r="AH3230" s="15"/>
      <c r="AI3230" s="15"/>
    </row>
    <row r="3231" spans="1:37" s="6" customFormat="1">
      <c r="A3231" s="6" t="s">
        <v>14176</v>
      </c>
      <c r="B3231" s="6" t="s">
        <v>14177</v>
      </c>
      <c r="C3231" s="6" t="s">
        <v>43</v>
      </c>
      <c r="D3231" s="6" t="s">
        <v>10937</v>
      </c>
      <c r="E3231" s="6" t="s">
        <v>10938</v>
      </c>
      <c r="F3231" s="6" t="s">
        <v>46</v>
      </c>
      <c r="G3231" s="6" t="s">
        <v>14178</v>
      </c>
      <c r="H3231" s="7"/>
      <c r="I3231" s="6" t="s">
        <v>48</v>
      </c>
      <c r="J3231" s="6" t="s">
        <v>48</v>
      </c>
      <c r="AG3231" s="15" t="s">
        <v>55</v>
      </c>
      <c r="AH3231" s="15"/>
      <c r="AI3231" s="15"/>
    </row>
    <row r="3232" spans="1:37" s="6" customFormat="1">
      <c r="A3232" s="6" t="s">
        <v>14179</v>
      </c>
      <c r="B3232" s="6" t="s">
        <v>14180</v>
      </c>
      <c r="C3232" s="6" t="s">
        <v>3276</v>
      </c>
      <c r="D3232" s="6" t="s">
        <v>10937</v>
      </c>
      <c r="E3232" s="6" t="s">
        <v>10938</v>
      </c>
      <c r="F3232" s="6" t="s">
        <v>46</v>
      </c>
      <c r="G3232" s="6" t="s">
        <v>14181</v>
      </c>
      <c r="H3232" s="7"/>
      <c r="I3232" s="5" t="s">
        <v>48</v>
      </c>
      <c r="J3232" s="5" t="s">
        <v>48</v>
      </c>
      <c r="AG3232" s="15" t="s">
        <v>55</v>
      </c>
      <c r="AH3232" s="15"/>
      <c r="AI3232" s="15"/>
    </row>
    <row r="3233" spans="1:37" s="6" customFormat="1">
      <c r="A3233" s="6" t="s">
        <v>14182</v>
      </c>
      <c r="B3233" s="6" t="s">
        <v>14183</v>
      </c>
      <c r="C3233" s="6" t="s">
        <v>43</v>
      </c>
      <c r="D3233" s="6" t="s">
        <v>10937</v>
      </c>
      <c r="E3233" s="6" t="s">
        <v>10938</v>
      </c>
      <c r="F3233" s="6" t="s">
        <v>46</v>
      </c>
      <c r="G3233" s="6" t="s">
        <v>14184</v>
      </c>
      <c r="H3233" s="7"/>
      <c r="I3233" s="5" t="s">
        <v>48</v>
      </c>
      <c r="J3233" s="5" t="s">
        <v>48</v>
      </c>
      <c r="AG3233" s="15" t="s">
        <v>55</v>
      </c>
      <c r="AH3233" s="15"/>
      <c r="AI3233" s="15"/>
    </row>
    <row r="3234" spans="1:37" s="6" customFormat="1">
      <c r="A3234" s="6" t="s">
        <v>14185</v>
      </c>
      <c r="B3234" s="6" t="s">
        <v>14186</v>
      </c>
      <c r="C3234" s="6" t="s">
        <v>43</v>
      </c>
      <c r="D3234" s="6" t="s">
        <v>10937</v>
      </c>
      <c r="E3234" s="6" t="s">
        <v>10938</v>
      </c>
      <c r="F3234" s="6" t="s">
        <v>46</v>
      </c>
      <c r="G3234" s="6" t="s">
        <v>14187</v>
      </c>
      <c r="H3234" s="7"/>
      <c r="I3234" s="5" t="s">
        <v>48</v>
      </c>
      <c r="J3234" s="5" t="s">
        <v>48</v>
      </c>
      <c r="AG3234" s="15" t="s">
        <v>55</v>
      </c>
      <c r="AH3234" s="15"/>
      <c r="AI3234" s="15"/>
    </row>
    <row r="3235" spans="1:37" s="6" customFormat="1">
      <c r="A3235" s="6" t="s">
        <v>14188</v>
      </c>
      <c r="B3235" s="6" t="s">
        <v>14189</v>
      </c>
      <c r="C3235" s="6" t="s">
        <v>43</v>
      </c>
      <c r="D3235" s="6" t="s">
        <v>10937</v>
      </c>
      <c r="E3235" s="6" t="s">
        <v>10938</v>
      </c>
      <c r="F3235" s="6" t="s">
        <v>46</v>
      </c>
      <c r="G3235" s="6" t="s">
        <v>14190</v>
      </c>
      <c r="H3235" s="7"/>
      <c r="I3235" s="6" t="s">
        <v>48</v>
      </c>
      <c r="J3235" s="6" t="s">
        <v>48</v>
      </c>
      <c r="AG3235" s="15" t="s">
        <v>55</v>
      </c>
      <c r="AH3235" s="15"/>
      <c r="AI3235" s="15"/>
    </row>
    <row r="3236" spans="1:37" s="6" customFormat="1">
      <c r="A3236" s="6" t="s">
        <v>14191</v>
      </c>
      <c r="B3236" s="6" t="s">
        <v>14192</v>
      </c>
      <c r="C3236" s="6" t="s">
        <v>14193</v>
      </c>
      <c r="D3236" s="6" t="s">
        <v>10937</v>
      </c>
      <c r="E3236" s="6" t="s">
        <v>10938</v>
      </c>
      <c r="F3236" s="6" t="s">
        <v>46</v>
      </c>
      <c r="G3236" s="6" t="s">
        <v>14194</v>
      </c>
      <c r="H3236" s="7"/>
      <c r="I3236" s="5" t="s">
        <v>48</v>
      </c>
      <c r="J3236" s="5" t="s">
        <v>48</v>
      </c>
      <c r="AG3236" s="15" t="s">
        <v>55</v>
      </c>
      <c r="AH3236" s="15"/>
      <c r="AI3236" s="15"/>
    </row>
    <row r="3237" spans="1:37" s="6" customFormat="1">
      <c r="A3237" s="6" t="s">
        <v>14195</v>
      </c>
      <c r="B3237" s="6" t="s">
        <v>14196</v>
      </c>
      <c r="C3237" s="6" t="s">
        <v>43</v>
      </c>
      <c r="D3237" s="6" t="s">
        <v>10937</v>
      </c>
      <c r="E3237" s="6" t="s">
        <v>10938</v>
      </c>
      <c r="F3237" s="6" t="s">
        <v>46</v>
      </c>
      <c r="G3237" s="6" t="s">
        <v>14197</v>
      </c>
      <c r="H3237" s="7"/>
      <c r="I3237" s="6" t="s">
        <v>48</v>
      </c>
      <c r="J3237" s="6" t="s">
        <v>48</v>
      </c>
      <c r="AG3237" s="15" t="s">
        <v>55</v>
      </c>
      <c r="AH3237" s="15"/>
      <c r="AI3237" s="15"/>
    </row>
    <row r="3238" spans="1:37" s="6" customFormat="1">
      <c r="A3238" s="6" t="s">
        <v>14198</v>
      </c>
      <c r="B3238" s="6" t="s">
        <v>14199</v>
      </c>
      <c r="C3238" s="6" t="s">
        <v>43</v>
      </c>
      <c r="D3238" s="6" t="s">
        <v>10937</v>
      </c>
      <c r="E3238" s="6" t="s">
        <v>10938</v>
      </c>
      <c r="F3238" s="6" t="s">
        <v>46</v>
      </c>
      <c r="G3238" s="6" t="s">
        <v>14200</v>
      </c>
      <c r="H3238" s="7"/>
      <c r="I3238" s="6" t="s">
        <v>48</v>
      </c>
      <c r="J3238" s="6" t="s">
        <v>48</v>
      </c>
      <c r="AG3238" s="15" t="s">
        <v>55</v>
      </c>
      <c r="AH3238" s="15"/>
      <c r="AI3238" s="15"/>
    </row>
    <row r="3239" spans="1:37" s="6" customFormat="1">
      <c r="A3239" s="6" t="s">
        <v>14201</v>
      </c>
      <c r="B3239" s="6" t="s">
        <v>14202</v>
      </c>
      <c r="C3239" s="6" t="s">
        <v>43</v>
      </c>
      <c r="D3239" s="6" t="s">
        <v>10937</v>
      </c>
      <c r="E3239" s="6" t="s">
        <v>10938</v>
      </c>
      <c r="F3239" s="6" t="s">
        <v>46</v>
      </c>
      <c r="G3239" s="6" t="s">
        <v>14203</v>
      </c>
      <c r="H3239" s="7"/>
      <c r="I3239" s="6" t="s">
        <v>48</v>
      </c>
      <c r="J3239" s="6" t="s">
        <v>48</v>
      </c>
      <c r="AG3239" s="15" t="s">
        <v>55</v>
      </c>
      <c r="AH3239" s="15"/>
      <c r="AI3239" s="15"/>
    </row>
    <row r="3240" spans="1:37" s="6" customFormat="1">
      <c r="A3240" s="6" t="s">
        <v>14204</v>
      </c>
      <c r="B3240" s="6" t="s">
        <v>14205</v>
      </c>
      <c r="C3240" s="6" t="s">
        <v>43</v>
      </c>
      <c r="D3240" s="6" t="s">
        <v>10937</v>
      </c>
      <c r="E3240" s="6" t="s">
        <v>10938</v>
      </c>
      <c r="F3240" s="6" t="s">
        <v>46</v>
      </c>
      <c r="G3240" s="6" t="s">
        <v>14206</v>
      </c>
      <c r="H3240" s="7"/>
      <c r="I3240" s="6" t="s">
        <v>48</v>
      </c>
      <c r="J3240" s="6" t="s">
        <v>48</v>
      </c>
      <c r="AG3240" s="15" t="s">
        <v>55</v>
      </c>
      <c r="AH3240" s="15"/>
      <c r="AI3240" s="15"/>
    </row>
    <row r="3241" spans="1:37" s="6" customFormat="1">
      <c r="A3241" s="6" t="s">
        <v>14207</v>
      </c>
      <c r="B3241" s="6" t="s">
        <v>14208</v>
      </c>
      <c r="C3241" s="6" t="s">
        <v>43</v>
      </c>
      <c r="D3241" s="6" t="s">
        <v>10937</v>
      </c>
      <c r="E3241" s="6" t="s">
        <v>10938</v>
      </c>
      <c r="F3241" s="6" t="s">
        <v>46</v>
      </c>
      <c r="G3241" s="6" t="s">
        <v>12140</v>
      </c>
      <c r="H3241" s="7"/>
      <c r="I3241" s="6" t="s">
        <v>48</v>
      </c>
      <c r="J3241" s="6" t="s">
        <v>48</v>
      </c>
      <c r="AG3241" s="15" t="s">
        <v>55</v>
      </c>
      <c r="AH3241" s="15"/>
      <c r="AI3241" s="15"/>
    </row>
    <row r="3242" spans="1:37" s="6" customFormat="1">
      <c r="A3242" s="6" t="s">
        <v>14209</v>
      </c>
      <c r="B3242" s="6" t="s">
        <v>14210</v>
      </c>
      <c r="C3242" s="6" t="s">
        <v>43</v>
      </c>
      <c r="D3242" s="6" t="s">
        <v>10937</v>
      </c>
      <c r="E3242" s="6" t="s">
        <v>10938</v>
      </c>
      <c r="F3242" s="6" t="s">
        <v>46</v>
      </c>
      <c r="G3242" s="6" t="s">
        <v>14211</v>
      </c>
      <c r="H3242" s="7"/>
      <c r="I3242" s="5" t="s">
        <v>48</v>
      </c>
      <c r="J3242" s="5" t="s">
        <v>48</v>
      </c>
      <c r="AG3242" s="15" t="s">
        <v>55</v>
      </c>
      <c r="AH3242" s="15"/>
      <c r="AI3242" s="15"/>
    </row>
    <row r="3243" spans="1:37" s="6" customFormat="1">
      <c r="A3243" s="6" t="s">
        <v>14212</v>
      </c>
      <c r="B3243" s="6" t="s">
        <v>14213</v>
      </c>
      <c r="C3243" s="6" t="s">
        <v>43</v>
      </c>
      <c r="D3243" s="6" t="s">
        <v>10937</v>
      </c>
      <c r="E3243" s="6" t="s">
        <v>10938</v>
      </c>
      <c r="F3243" s="6" t="s">
        <v>46</v>
      </c>
      <c r="G3243" s="6" t="s">
        <v>14211</v>
      </c>
      <c r="H3243" s="7"/>
      <c r="I3243" s="5" t="s">
        <v>48</v>
      </c>
      <c r="J3243" s="5" t="s">
        <v>48</v>
      </c>
      <c r="AG3243" s="15" t="s">
        <v>55</v>
      </c>
      <c r="AH3243" s="15"/>
      <c r="AI3243" s="15"/>
    </row>
    <row r="3244" spans="1:37" s="6" customFormat="1">
      <c r="A3244" s="5" t="s">
        <v>14214</v>
      </c>
      <c r="B3244" s="5" t="s">
        <v>14215</v>
      </c>
      <c r="C3244" s="6" t="s">
        <v>43</v>
      </c>
      <c r="D3244" s="6" t="s">
        <v>10937</v>
      </c>
      <c r="E3244" s="6" t="s">
        <v>10938</v>
      </c>
      <c r="F3244" s="6" t="s">
        <v>46</v>
      </c>
      <c r="G3244" s="6" t="s">
        <v>14211</v>
      </c>
      <c r="H3244" s="18">
        <v>999</v>
      </c>
      <c r="I3244" s="19" t="s">
        <v>13662</v>
      </c>
      <c r="J3244" s="19" t="s">
        <v>14216</v>
      </c>
      <c r="K3244" s="6" t="s">
        <v>14217</v>
      </c>
      <c r="L3244" s="6" t="s">
        <v>14218</v>
      </c>
      <c r="M3244" s="6" t="s">
        <v>14219</v>
      </c>
      <c r="N3244" s="6" t="s">
        <v>14220</v>
      </c>
      <c r="O3244" s="6" t="s">
        <v>14221</v>
      </c>
      <c r="P3244" s="6" t="s">
        <v>14222</v>
      </c>
      <c r="Q3244" s="6" t="s">
        <v>14223</v>
      </c>
      <c r="R3244" s="6" t="s">
        <v>14224</v>
      </c>
      <c r="S3244" s="6" t="s">
        <v>13672</v>
      </c>
      <c r="T3244" s="6" t="s">
        <v>13697</v>
      </c>
      <c r="U3244" s="6" t="s">
        <v>13674</v>
      </c>
      <c r="V3244" s="6" t="s">
        <v>13675</v>
      </c>
      <c r="W3244" s="6" t="s">
        <v>13676</v>
      </c>
      <c r="X3244" s="6" t="s">
        <v>13677</v>
      </c>
      <c r="Y3244" s="6" t="s">
        <v>13678</v>
      </c>
      <c r="Z3244" s="6" t="s">
        <v>13679</v>
      </c>
      <c r="AA3244" s="6" t="s">
        <v>13680</v>
      </c>
      <c r="AB3244" s="6" t="s">
        <v>13681</v>
      </c>
      <c r="AC3244" s="6" t="s">
        <v>13682</v>
      </c>
      <c r="AD3244" s="6" t="s">
        <v>13683</v>
      </c>
      <c r="AE3244" s="5"/>
      <c r="AF3244" s="5"/>
      <c r="AG3244" s="14" t="s">
        <v>49</v>
      </c>
      <c r="AH3244" s="14" t="s">
        <v>1102</v>
      </c>
      <c r="AI3244" s="14" t="s">
        <v>13684</v>
      </c>
      <c r="AJ3244" s="5" t="s">
        <v>13685</v>
      </c>
      <c r="AK3244" s="5"/>
    </row>
    <row r="3245" spans="1:37">
      <c r="A3245" s="5" t="s">
        <v>14225</v>
      </c>
      <c r="B3245" s="5" t="s">
        <v>14226</v>
      </c>
      <c r="C3245" s="6" t="s">
        <v>43</v>
      </c>
      <c r="D3245" s="6" t="s">
        <v>10937</v>
      </c>
      <c r="E3245" s="6" t="s">
        <v>10938</v>
      </c>
      <c r="F3245" s="6" t="s">
        <v>46</v>
      </c>
      <c r="G3245" s="6" t="s">
        <v>14211</v>
      </c>
      <c r="H3245" s="18">
        <v>999</v>
      </c>
      <c r="I3245" s="19" t="s">
        <v>13662</v>
      </c>
      <c r="J3245" s="19" t="s">
        <v>14216</v>
      </c>
      <c r="K3245" s="6" t="s">
        <v>14227</v>
      </c>
      <c r="L3245" s="6" t="s">
        <v>14228</v>
      </c>
      <c r="M3245" s="6" t="s">
        <v>14229</v>
      </c>
      <c r="N3245" s="6" t="s">
        <v>14230</v>
      </c>
      <c r="O3245" s="6" t="s">
        <v>14231</v>
      </c>
      <c r="P3245" s="6" t="s">
        <v>14232</v>
      </c>
      <c r="Q3245" s="6" t="s">
        <v>14233</v>
      </c>
      <c r="R3245" s="6" t="s">
        <v>14234</v>
      </c>
      <c r="S3245" s="6" t="s">
        <v>13672</v>
      </c>
      <c r="T3245" s="6" t="s">
        <v>13697</v>
      </c>
      <c r="U3245" s="6" t="s">
        <v>13674</v>
      </c>
      <c r="V3245" s="6" t="s">
        <v>13675</v>
      </c>
      <c r="W3245" s="6" t="s">
        <v>13676</v>
      </c>
      <c r="X3245" s="6" t="s">
        <v>13677</v>
      </c>
      <c r="Y3245" s="6" t="s">
        <v>13678</v>
      </c>
      <c r="Z3245" s="6" t="s">
        <v>13679</v>
      </c>
      <c r="AA3245" s="6" t="s">
        <v>13680</v>
      </c>
      <c r="AB3245" s="6" t="s">
        <v>13681</v>
      </c>
      <c r="AC3245" s="6" t="s">
        <v>13682</v>
      </c>
      <c r="AD3245" s="6" t="s">
        <v>13683</v>
      </c>
      <c r="AG3245" s="14" t="s">
        <v>49</v>
      </c>
      <c r="AH3245" s="14" t="s">
        <v>1102</v>
      </c>
      <c r="AI3245" s="14" t="s">
        <v>13684</v>
      </c>
      <c r="AJ3245" s="5" t="s">
        <v>13685</v>
      </c>
    </row>
    <row r="3246" spans="1:37">
      <c r="A3246" s="6" t="s">
        <v>14235</v>
      </c>
      <c r="B3246" s="6" t="s">
        <v>14236</v>
      </c>
      <c r="C3246" s="6" t="s">
        <v>1544</v>
      </c>
      <c r="D3246" s="6" t="s">
        <v>10937</v>
      </c>
      <c r="E3246" s="6" t="s">
        <v>10938</v>
      </c>
      <c r="F3246" s="6" t="s">
        <v>46</v>
      </c>
      <c r="G3246" s="6" t="s">
        <v>14237</v>
      </c>
      <c r="I3246" s="6" t="s">
        <v>48</v>
      </c>
      <c r="J3246" s="6" t="s">
        <v>48</v>
      </c>
      <c r="K3246" s="6"/>
      <c r="L3246" s="6"/>
      <c r="M3246" s="6"/>
      <c r="N3246" s="6"/>
      <c r="O3246" s="6"/>
      <c r="P3246" s="6"/>
      <c r="Q3246" s="6"/>
      <c r="R3246" s="6"/>
      <c r="S3246" s="6"/>
      <c r="T3246" s="6"/>
      <c r="U3246" s="6"/>
      <c r="V3246" s="6"/>
      <c r="W3246" s="6"/>
      <c r="X3246" s="6"/>
      <c r="Y3246" s="6"/>
      <c r="Z3246" s="6"/>
      <c r="AA3246" s="6"/>
      <c r="AB3246" s="6"/>
      <c r="AC3246" s="6"/>
      <c r="AD3246" s="6"/>
      <c r="AE3246" s="6"/>
      <c r="AF3246" s="6"/>
      <c r="AG3246" s="15" t="s">
        <v>55</v>
      </c>
      <c r="AH3246" s="15"/>
      <c r="AI3246" s="15"/>
      <c r="AJ3246" s="6"/>
      <c r="AK3246" s="6"/>
    </row>
    <row r="3247" spans="1:37" s="6" customFormat="1">
      <c r="A3247" s="6" t="s">
        <v>14238</v>
      </c>
      <c r="B3247" s="6" t="s">
        <v>14239</v>
      </c>
      <c r="C3247" s="6" t="s">
        <v>1544</v>
      </c>
      <c r="D3247" s="6" t="s">
        <v>10937</v>
      </c>
      <c r="E3247" s="6" t="s">
        <v>10938</v>
      </c>
      <c r="F3247" s="6" t="s">
        <v>46</v>
      </c>
      <c r="G3247" s="6" t="s">
        <v>9913</v>
      </c>
      <c r="H3247" s="7"/>
      <c r="I3247" s="6" t="s">
        <v>48</v>
      </c>
      <c r="J3247" s="6" t="s">
        <v>48</v>
      </c>
      <c r="AG3247" s="15" t="s">
        <v>55</v>
      </c>
      <c r="AH3247" s="15"/>
      <c r="AI3247" s="15"/>
    </row>
    <row r="3248" spans="1:37" s="6" customFormat="1">
      <c r="A3248" s="6" t="s">
        <v>14240</v>
      </c>
      <c r="B3248" s="6" t="s">
        <v>14241</v>
      </c>
      <c r="C3248" s="6" t="s">
        <v>43</v>
      </c>
      <c r="D3248" s="6" t="s">
        <v>10937</v>
      </c>
      <c r="E3248" s="6" t="s">
        <v>10938</v>
      </c>
      <c r="F3248" s="6" t="s">
        <v>46</v>
      </c>
      <c r="G3248" s="6" t="s">
        <v>14242</v>
      </c>
      <c r="H3248" s="7"/>
      <c r="I3248" s="6" t="s">
        <v>48</v>
      </c>
      <c r="J3248" s="6" t="s">
        <v>48</v>
      </c>
      <c r="AG3248" s="15" t="s">
        <v>55</v>
      </c>
      <c r="AH3248" s="15"/>
      <c r="AI3248" s="15"/>
    </row>
    <row r="3249" spans="1:35" s="6" customFormat="1">
      <c r="A3249" s="6" t="s">
        <v>14243</v>
      </c>
      <c r="B3249" s="6" t="s">
        <v>14244</v>
      </c>
      <c r="C3249" s="6" t="s">
        <v>43</v>
      </c>
      <c r="D3249" s="6" t="s">
        <v>10937</v>
      </c>
      <c r="E3249" s="6" t="s">
        <v>10938</v>
      </c>
      <c r="F3249" s="6" t="s">
        <v>46</v>
      </c>
      <c r="G3249" s="6" t="s">
        <v>14245</v>
      </c>
      <c r="H3249" s="7"/>
      <c r="I3249" s="6" t="s">
        <v>48</v>
      </c>
      <c r="J3249" s="6" t="s">
        <v>48</v>
      </c>
      <c r="AG3249" s="15" t="s">
        <v>55</v>
      </c>
      <c r="AH3249" s="15"/>
      <c r="AI3249" s="15"/>
    </row>
    <row r="3250" spans="1:35" s="6" customFormat="1">
      <c r="A3250" s="6" t="s">
        <v>14246</v>
      </c>
      <c r="B3250" s="6" t="s">
        <v>14247</v>
      </c>
      <c r="C3250" s="6" t="s">
        <v>43</v>
      </c>
      <c r="D3250" s="6" t="s">
        <v>10937</v>
      </c>
      <c r="E3250" s="6" t="s">
        <v>10938</v>
      </c>
      <c r="F3250" s="6" t="s">
        <v>46</v>
      </c>
      <c r="G3250" s="6" t="s">
        <v>14248</v>
      </c>
      <c r="H3250" s="7"/>
      <c r="I3250" s="6" t="s">
        <v>48</v>
      </c>
      <c r="J3250" s="6" t="s">
        <v>48</v>
      </c>
      <c r="AG3250" s="15" t="s">
        <v>55</v>
      </c>
      <c r="AH3250" s="15"/>
      <c r="AI3250" s="15"/>
    </row>
    <row r="3251" spans="1:35" s="6" customFormat="1">
      <c r="A3251" s="6" t="s">
        <v>14249</v>
      </c>
      <c r="B3251" s="6" t="s">
        <v>14250</v>
      </c>
      <c r="C3251" s="6" t="s">
        <v>43</v>
      </c>
      <c r="D3251" s="6" t="s">
        <v>10937</v>
      </c>
      <c r="E3251" s="6" t="s">
        <v>10938</v>
      </c>
      <c r="F3251" s="6" t="s">
        <v>46</v>
      </c>
      <c r="G3251" s="6" t="s">
        <v>14251</v>
      </c>
      <c r="H3251" s="7"/>
      <c r="I3251" s="6" t="s">
        <v>48</v>
      </c>
      <c r="J3251" s="6" t="s">
        <v>48</v>
      </c>
      <c r="AG3251" s="15" t="s">
        <v>55</v>
      </c>
      <c r="AH3251" s="15"/>
      <c r="AI3251" s="15"/>
    </row>
    <row r="3252" spans="1:35" s="6" customFormat="1">
      <c r="A3252" s="6" t="s">
        <v>14252</v>
      </c>
      <c r="B3252" s="6" t="s">
        <v>14253</v>
      </c>
      <c r="C3252" s="6" t="s">
        <v>7084</v>
      </c>
      <c r="D3252" s="6" t="s">
        <v>10937</v>
      </c>
      <c r="E3252" s="6" t="s">
        <v>10938</v>
      </c>
      <c r="F3252" s="6" t="s">
        <v>46</v>
      </c>
      <c r="G3252" s="6" t="s">
        <v>14254</v>
      </c>
      <c r="H3252" s="7"/>
      <c r="I3252" s="6" t="s">
        <v>48</v>
      </c>
      <c r="J3252" s="6" t="s">
        <v>48</v>
      </c>
      <c r="AG3252" s="15" t="s">
        <v>55</v>
      </c>
      <c r="AH3252" s="15"/>
      <c r="AI3252" s="15"/>
    </row>
    <row r="3253" spans="1:35" s="6" customFormat="1">
      <c r="A3253" s="6" t="s">
        <v>14255</v>
      </c>
      <c r="B3253" s="6" t="s">
        <v>14256</v>
      </c>
      <c r="C3253" s="6" t="s">
        <v>43</v>
      </c>
      <c r="D3253" s="6" t="s">
        <v>10937</v>
      </c>
      <c r="E3253" s="6" t="s">
        <v>10938</v>
      </c>
      <c r="F3253" s="6" t="s">
        <v>46</v>
      </c>
      <c r="G3253" s="6" t="s">
        <v>14257</v>
      </c>
      <c r="H3253" s="7"/>
      <c r="I3253" s="6" t="s">
        <v>48</v>
      </c>
      <c r="J3253" s="6" t="s">
        <v>48</v>
      </c>
      <c r="AG3253" s="15" t="s">
        <v>55</v>
      </c>
      <c r="AH3253" s="15"/>
      <c r="AI3253" s="15"/>
    </row>
    <row r="3254" spans="1:35" s="6" customFormat="1">
      <c r="A3254" s="6" t="s">
        <v>14258</v>
      </c>
      <c r="B3254" s="6" t="s">
        <v>14259</v>
      </c>
      <c r="C3254" s="6" t="s">
        <v>1544</v>
      </c>
      <c r="D3254" s="6" t="s">
        <v>10937</v>
      </c>
      <c r="E3254" s="6" t="s">
        <v>10938</v>
      </c>
      <c r="F3254" s="6" t="s">
        <v>46</v>
      </c>
      <c r="G3254" s="6" t="s">
        <v>14260</v>
      </c>
      <c r="H3254" s="7"/>
      <c r="I3254" s="6" t="s">
        <v>48</v>
      </c>
      <c r="J3254" s="6" t="s">
        <v>48</v>
      </c>
      <c r="AG3254" s="15" t="s">
        <v>55</v>
      </c>
      <c r="AH3254" s="15"/>
      <c r="AI3254" s="15"/>
    </row>
    <row r="3255" spans="1:35" s="6" customFormat="1">
      <c r="A3255" s="6" t="s">
        <v>14261</v>
      </c>
      <c r="B3255" s="6" t="s">
        <v>14262</v>
      </c>
      <c r="C3255" s="6" t="s">
        <v>1544</v>
      </c>
      <c r="D3255" s="6" t="s">
        <v>10937</v>
      </c>
      <c r="E3255" s="6" t="s">
        <v>10938</v>
      </c>
      <c r="F3255" s="6" t="s">
        <v>46</v>
      </c>
      <c r="G3255" s="6" t="s">
        <v>14263</v>
      </c>
      <c r="H3255" s="7"/>
      <c r="I3255" s="6" t="s">
        <v>48</v>
      </c>
      <c r="J3255" s="6" t="s">
        <v>48</v>
      </c>
      <c r="AG3255" s="15" t="s">
        <v>55</v>
      </c>
      <c r="AH3255" s="15"/>
      <c r="AI3255" s="15"/>
    </row>
    <row r="3256" spans="1:35" s="6" customFormat="1">
      <c r="A3256" s="6" t="s">
        <v>14264</v>
      </c>
      <c r="B3256" s="6" t="s">
        <v>14265</v>
      </c>
      <c r="C3256" s="6" t="s">
        <v>7084</v>
      </c>
      <c r="D3256" s="6" t="s">
        <v>10937</v>
      </c>
      <c r="E3256" s="6" t="s">
        <v>10938</v>
      </c>
      <c r="F3256" s="6" t="s">
        <v>46</v>
      </c>
      <c r="G3256" s="6" t="s">
        <v>14266</v>
      </c>
      <c r="H3256" s="7"/>
      <c r="I3256" s="6" t="s">
        <v>48</v>
      </c>
      <c r="J3256" s="6" t="s">
        <v>48</v>
      </c>
      <c r="AG3256" s="15" t="s">
        <v>55</v>
      </c>
      <c r="AH3256" s="15"/>
      <c r="AI3256" s="15"/>
    </row>
    <row r="3257" spans="1:35" s="6" customFormat="1">
      <c r="A3257" s="6" t="s">
        <v>14267</v>
      </c>
      <c r="B3257" s="6" t="s">
        <v>14268</v>
      </c>
      <c r="C3257" s="6" t="s">
        <v>1544</v>
      </c>
      <c r="D3257" s="6" t="s">
        <v>10937</v>
      </c>
      <c r="E3257" s="6" t="s">
        <v>10938</v>
      </c>
      <c r="F3257" s="6" t="s">
        <v>46</v>
      </c>
      <c r="G3257" s="6" t="s">
        <v>14266</v>
      </c>
      <c r="H3257" s="7"/>
      <c r="I3257" s="5" t="s">
        <v>48</v>
      </c>
      <c r="J3257" s="5" t="s">
        <v>48</v>
      </c>
      <c r="AG3257" s="15" t="s">
        <v>55</v>
      </c>
      <c r="AH3257" s="15"/>
      <c r="AI3257" s="15"/>
    </row>
    <row r="3258" spans="1:35" s="6" customFormat="1">
      <c r="A3258" s="6" t="s">
        <v>14269</v>
      </c>
      <c r="B3258" s="6" t="s">
        <v>14270</v>
      </c>
      <c r="C3258" s="6" t="s">
        <v>1544</v>
      </c>
      <c r="D3258" s="6" t="s">
        <v>10937</v>
      </c>
      <c r="E3258" s="6" t="s">
        <v>10938</v>
      </c>
      <c r="F3258" s="6" t="s">
        <v>46</v>
      </c>
      <c r="G3258" s="6" t="s">
        <v>14271</v>
      </c>
      <c r="H3258" s="7"/>
      <c r="I3258" s="6" t="s">
        <v>48</v>
      </c>
      <c r="J3258" s="6" t="s">
        <v>48</v>
      </c>
      <c r="AG3258" s="15" t="s">
        <v>55</v>
      </c>
      <c r="AH3258" s="15"/>
      <c r="AI3258" s="15"/>
    </row>
    <row r="3259" spans="1:35" s="6" customFormat="1">
      <c r="A3259" s="6" t="s">
        <v>14272</v>
      </c>
      <c r="B3259" s="6" t="s">
        <v>14273</v>
      </c>
      <c r="C3259" s="6" t="s">
        <v>1544</v>
      </c>
      <c r="D3259" s="6" t="s">
        <v>10937</v>
      </c>
      <c r="E3259" s="6" t="s">
        <v>10938</v>
      </c>
      <c r="F3259" s="6" t="s">
        <v>46</v>
      </c>
      <c r="G3259" s="6" t="s">
        <v>14274</v>
      </c>
      <c r="H3259" s="7"/>
      <c r="I3259" s="5" t="s">
        <v>48</v>
      </c>
      <c r="J3259" s="5" t="s">
        <v>48</v>
      </c>
      <c r="AG3259" s="15" t="s">
        <v>55</v>
      </c>
      <c r="AH3259" s="15"/>
      <c r="AI3259" s="15"/>
    </row>
    <row r="3260" spans="1:35" s="6" customFormat="1">
      <c r="A3260" s="6" t="s">
        <v>14275</v>
      </c>
      <c r="B3260" s="6" t="s">
        <v>14276</v>
      </c>
      <c r="C3260" s="6" t="s">
        <v>1544</v>
      </c>
      <c r="D3260" s="6" t="s">
        <v>10937</v>
      </c>
      <c r="E3260" s="6" t="s">
        <v>10938</v>
      </c>
      <c r="F3260" s="6" t="s">
        <v>46</v>
      </c>
      <c r="G3260" s="6" t="s">
        <v>14277</v>
      </c>
      <c r="H3260" s="7"/>
      <c r="I3260" s="6" t="s">
        <v>48</v>
      </c>
      <c r="J3260" s="6" t="s">
        <v>48</v>
      </c>
      <c r="AG3260" s="15" t="s">
        <v>55</v>
      </c>
      <c r="AH3260" s="15"/>
      <c r="AI3260" s="15"/>
    </row>
    <row r="3261" spans="1:35" s="6" customFormat="1">
      <c r="A3261" s="6" t="s">
        <v>14278</v>
      </c>
      <c r="B3261" s="6" t="s">
        <v>14279</v>
      </c>
      <c r="C3261" s="6" t="s">
        <v>43</v>
      </c>
      <c r="D3261" s="6" t="s">
        <v>10937</v>
      </c>
      <c r="E3261" s="6" t="s">
        <v>10938</v>
      </c>
      <c r="F3261" s="6" t="s">
        <v>46</v>
      </c>
      <c r="G3261" s="6" t="s">
        <v>14280</v>
      </c>
      <c r="H3261" s="7"/>
      <c r="I3261" s="6" t="s">
        <v>48</v>
      </c>
      <c r="J3261" s="6" t="s">
        <v>48</v>
      </c>
      <c r="AG3261" s="15" t="s">
        <v>55</v>
      </c>
      <c r="AH3261" s="15"/>
      <c r="AI3261" s="15"/>
    </row>
    <row r="3262" spans="1:35" s="6" customFormat="1">
      <c r="A3262" s="6" t="s">
        <v>14281</v>
      </c>
      <c r="B3262" s="6" t="s">
        <v>14282</v>
      </c>
      <c r="C3262" s="6" t="s">
        <v>1544</v>
      </c>
      <c r="D3262" s="6" t="s">
        <v>10937</v>
      </c>
      <c r="E3262" s="6" t="s">
        <v>10938</v>
      </c>
      <c r="F3262" s="6" t="s">
        <v>46</v>
      </c>
      <c r="G3262" s="6" t="s">
        <v>13484</v>
      </c>
      <c r="H3262" s="7"/>
      <c r="I3262" s="6" t="s">
        <v>48</v>
      </c>
      <c r="J3262" s="6" t="s">
        <v>48</v>
      </c>
      <c r="AG3262" s="15" t="s">
        <v>55</v>
      </c>
      <c r="AH3262" s="15"/>
      <c r="AI3262" s="15"/>
    </row>
    <row r="3263" spans="1:35" s="6" customFormat="1">
      <c r="A3263" s="6" t="s">
        <v>14283</v>
      </c>
      <c r="B3263" s="6" t="s">
        <v>14284</v>
      </c>
      <c r="C3263" s="6" t="s">
        <v>43</v>
      </c>
      <c r="D3263" s="6" t="s">
        <v>10937</v>
      </c>
      <c r="E3263" s="6" t="s">
        <v>10938</v>
      </c>
      <c r="F3263" s="6" t="s">
        <v>46</v>
      </c>
      <c r="G3263" s="6" t="s">
        <v>7978</v>
      </c>
      <c r="H3263" s="7"/>
      <c r="I3263" s="6" t="s">
        <v>48</v>
      </c>
      <c r="J3263" s="6" t="s">
        <v>48</v>
      </c>
      <c r="AG3263" s="15" t="s">
        <v>55</v>
      </c>
      <c r="AH3263" s="15"/>
      <c r="AI3263" s="15"/>
    </row>
    <row r="3264" spans="1:35" s="6" customFormat="1">
      <c r="A3264" s="6" t="s">
        <v>14285</v>
      </c>
      <c r="B3264" s="6" t="s">
        <v>14286</v>
      </c>
      <c r="C3264" s="6" t="s">
        <v>43</v>
      </c>
      <c r="D3264" s="6" t="s">
        <v>10937</v>
      </c>
      <c r="E3264" s="6" t="s">
        <v>10938</v>
      </c>
      <c r="F3264" s="6" t="s">
        <v>46</v>
      </c>
      <c r="G3264" s="6" t="s">
        <v>14287</v>
      </c>
      <c r="H3264" s="7"/>
      <c r="I3264" s="6" t="s">
        <v>48</v>
      </c>
      <c r="J3264" s="6" t="s">
        <v>48</v>
      </c>
      <c r="AG3264" s="15" t="s">
        <v>55</v>
      </c>
      <c r="AH3264" s="15"/>
      <c r="AI3264" s="15"/>
    </row>
    <row r="3265" spans="1:37" s="6" customFormat="1">
      <c r="A3265" s="5" t="s">
        <v>14288</v>
      </c>
      <c r="B3265" s="5" t="s">
        <v>14289</v>
      </c>
      <c r="C3265" s="6" t="s">
        <v>43</v>
      </c>
      <c r="D3265" s="6" t="s">
        <v>10937</v>
      </c>
      <c r="E3265" s="6" t="s">
        <v>10938</v>
      </c>
      <c r="F3265" s="6" t="s">
        <v>46</v>
      </c>
      <c r="G3265" s="6" t="s">
        <v>8425</v>
      </c>
      <c r="H3265" s="18">
        <v>999</v>
      </c>
      <c r="I3265" s="19" t="s">
        <v>13662</v>
      </c>
      <c r="J3265" s="19" t="s">
        <v>14216</v>
      </c>
      <c r="K3265" s="6" t="s">
        <v>14290</v>
      </c>
      <c r="L3265" s="6" t="s">
        <v>14291</v>
      </c>
      <c r="M3265" s="6" t="s">
        <v>14292</v>
      </c>
      <c r="N3265" s="6" t="s">
        <v>14293</v>
      </c>
      <c r="O3265" s="6" t="s">
        <v>14294</v>
      </c>
      <c r="P3265" s="6" t="s">
        <v>14295</v>
      </c>
      <c r="Q3265" s="6" t="s">
        <v>14296</v>
      </c>
      <c r="R3265" s="6" t="s">
        <v>14297</v>
      </c>
      <c r="S3265" s="6" t="s">
        <v>13672</v>
      </c>
      <c r="T3265" s="6" t="s">
        <v>13697</v>
      </c>
      <c r="U3265" s="6" t="s">
        <v>13674</v>
      </c>
      <c r="V3265" s="6" t="s">
        <v>13675</v>
      </c>
      <c r="W3265" s="6" t="s">
        <v>13676</v>
      </c>
      <c r="X3265" s="6" t="s">
        <v>13677</v>
      </c>
      <c r="Y3265" s="6" t="s">
        <v>13678</v>
      </c>
      <c r="Z3265" s="6" t="s">
        <v>13679</v>
      </c>
      <c r="AA3265" s="6" t="s">
        <v>13680</v>
      </c>
      <c r="AB3265" s="6" t="s">
        <v>13681</v>
      </c>
      <c r="AC3265" s="6" t="s">
        <v>13682</v>
      </c>
      <c r="AD3265" s="6" t="s">
        <v>13683</v>
      </c>
      <c r="AE3265" s="5"/>
      <c r="AF3265" s="5"/>
      <c r="AG3265" s="14" t="s">
        <v>49</v>
      </c>
      <c r="AH3265" s="14" t="s">
        <v>1102</v>
      </c>
      <c r="AI3265" s="14" t="s">
        <v>13684</v>
      </c>
      <c r="AJ3265" s="5" t="s">
        <v>13685</v>
      </c>
      <c r="AK3265" s="5"/>
    </row>
    <row r="3266" spans="1:37">
      <c r="A3266" s="6" t="s">
        <v>14298</v>
      </c>
      <c r="B3266" s="6" t="s">
        <v>14299</v>
      </c>
      <c r="C3266" s="6" t="s">
        <v>10301</v>
      </c>
      <c r="D3266" s="6" t="s">
        <v>10937</v>
      </c>
      <c r="E3266" s="6" t="s">
        <v>10938</v>
      </c>
      <c r="F3266" s="6" t="s">
        <v>46</v>
      </c>
      <c r="G3266" s="6" t="s">
        <v>8425</v>
      </c>
      <c r="I3266" s="6" t="s">
        <v>48</v>
      </c>
      <c r="J3266" s="6" t="s">
        <v>48</v>
      </c>
      <c r="K3266" s="6"/>
      <c r="L3266" s="6"/>
      <c r="M3266" s="6"/>
      <c r="N3266" s="6"/>
      <c r="O3266" s="6"/>
      <c r="P3266" s="6"/>
      <c r="Q3266" s="6"/>
      <c r="R3266" s="6"/>
      <c r="S3266" s="6"/>
      <c r="T3266" s="6"/>
      <c r="U3266" s="6"/>
      <c r="V3266" s="6"/>
      <c r="W3266" s="6"/>
      <c r="X3266" s="6"/>
      <c r="Y3266" s="6"/>
      <c r="Z3266" s="6"/>
      <c r="AA3266" s="6"/>
      <c r="AB3266" s="6"/>
      <c r="AC3266" s="6"/>
      <c r="AD3266" s="6"/>
      <c r="AE3266" s="6"/>
      <c r="AF3266" s="6"/>
      <c r="AG3266" s="15" t="s">
        <v>55</v>
      </c>
      <c r="AH3266" s="15"/>
      <c r="AI3266" s="15"/>
      <c r="AJ3266" s="6"/>
      <c r="AK3266" s="6"/>
    </row>
    <row r="3267" spans="1:37" s="6" customFormat="1">
      <c r="A3267" s="6" t="s">
        <v>14300</v>
      </c>
      <c r="B3267" s="6" t="s">
        <v>14301</v>
      </c>
      <c r="C3267" s="6" t="s">
        <v>8002</v>
      </c>
      <c r="D3267" s="6" t="s">
        <v>10937</v>
      </c>
      <c r="E3267" s="6" t="s">
        <v>10938</v>
      </c>
      <c r="F3267" s="6" t="s">
        <v>46</v>
      </c>
      <c r="G3267" s="6" t="s">
        <v>14302</v>
      </c>
      <c r="H3267" s="7"/>
      <c r="I3267" s="6" t="s">
        <v>48</v>
      </c>
      <c r="J3267" s="6" t="s">
        <v>48</v>
      </c>
      <c r="AG3267" s="15" t="s">
        <v>55</v>
      </c>
      <c r="AH3267" s="15"/>
      <c r="AI3267" s="15"/>
    </row>
    <row r="3268" spans="1:37" s="6" customFormat="1">
      <c r="A3268" s="6" t="s">
        <v>14303</v>
      </c>
      <c r="B3268" s="6" t="s">
        <v>14304</v>
      </c>
      <c r="C3268" s="6" t="s">
        <v>10301</v>
      </c>
      <c r="D3268" s="6" t="s">
        <v>10937</v>
      </c>
      <c r="E3268" s="6" t="s">
        <v>10938</v>
      </c>
      <c r="F3268" s="6" t="s">
        <v>46</v>
      </c>
      <c r="G3268" s="6" t="s">
        <v>14305</v>
      </c>
      <c r="H3268" s="7"/>
      <c r="I3268" s="6" t="s">
        <v>48</v>
      </c>
      <c r="J3268" s="6" t="s">
        <v>48</v>
      </c>
      <c r="AG3268" s="15" t="s">
        <v>55</v>
      </c>
      <c r="AH3268" s="15"/>
      <c r="AI3268" s="15"/>
    </row>
    <row r="3269" spans="1:37" s="6" customFormat="1">
      <c r="A3269" s="6" t="s">
        <v>14306</v>
      </c>
      <c r="B3269" s="6" t="s">
        <v>14307</v>
      </c>
      <c r="C3269" s="6" t="s">
        <v>10301</v>
      </c>
      <c r="D3269" s="6" t="s">
        <v>10937</v>
      </c>
      <c r="E3269" s="6" t="s">
        <v>10938</v>
      </c>
      <c r="F3269" s="6" t="s">
        <v>46</v>
      </c>
      <c r="G3269" s="6" t="s">
        <v>14305</v>
      </c>
      <c r="H3269" s="7"/>
      <c r="I3269" s="5" t="s">
        <v>48</v>
      </c>
      <c r="J3269" s="5" t="s">
        <v>48</v>
      </c>
      <c r="AG3269" s="15" t="s">
        <v>55</v>
      </c>
      <c r="AH3269" s="15"/>
      <c r="AI3269" s="15"/>
    </row>
    <row r="3270" spans="1:37" s="6" customFormat="1">
      <c r="A3270" s="6" t="s">
        <v>14308</v>
      </c>
      <c r="B3270" s="6" t="s">
        <v>14309</v>
      </c>
      <c r="C3270" s="6" t="s">
        <v>43</v>
      </c>
      <c r="D3270" s="6" t="s">
        <v>10937</v>
      </c>
      <c r="E3270" s="6" t="s">
        <v>10938</v>
      </c>
      <c r="F3270" s="6" t="s">
        <v>46</v>
      </c>
      <c r="G3270" s="6" t="s">
        <v>14310</v>
      </c>
      <c r="H3270" s="7"/>
      <c r="I3270" s="5" t="s">
        <v>48</v>
      </c>
      <c r="J3270" s="5" t="s">
        <v>48</v>
      </c>
      <c r="AG3270" s="15" t="s">
        <v>55</v>
      </c>
      <c r="AH3270" s="15"/>
      <c r="AI3270" s="15"/>
    </row>
    <row r="3271" spans="1:37" s="6" customFormat="1">
      <c r="A3271" s="6" t="s">
        <v>14311</v>
      </c>
      <c r="B3271" s="6" t="s">
        <v>14312</v>
      </c>
      <c r="C3271" s="6" t="s">
        <v>43</v>
      </c>
      <c r="D3271" s="6" t="s">
        <v>10937</v>
      </c>
      <c r="E3271" s="6" t="s">
        <v>10938</v>
      </c>
      <c r="F3271" s="6" t="s">
        <v>46</v>
      </c>
      <c r="G3271" s="6" t="s">
        <v>14313</v>
      </c>
      <c r="H3271" s="7"/>
      <c r="I3271" s="6" t="s">
        <v>48</v>
      </c>
      <c r="J3271" s="6" t="s">
        <v>48</v>
      </c>
      <c r="AG3271" s="15" t="s">
        <v>55</v>
      </c>
      <c r="AH3271" s="15"/>
      <c r="AI3271" s="15"/>
    </row>
    <row r="3272" spans="1:37" s="6" customFormat="1">
      <c r="A3272" s="6" t="s">
        <v>14314</v>
      </c>
      <c r="B3272" s="6" t="s">
        <v>14315</v>
      </c>
      <c r="C3272" s="6" t="s">
        <v>43</v>
      </c>
      <c r="D3272" s="6" t="s">
        <v>10937</v>
      </c>
      <c r="E3272" s="6" t="s">
        <v>10938</v>
      </c>
      <c r="F3272" s="6" t="s">
        <v>46</v>
      </c>
      <c r="G3272" s="6" t="s">
        <v>14316</v>
      </c>
      <c r="H3272" s="7"/>
      <c r="I3272" s="6" t="s">
        <v>48</v>
      </c>
      <c r="J3272" s="6" t="s">
        <v>48</v>
      </c>
      <c r="AG3272" s="15" t="s">
        <v>55</v>
      </c>
      <c r="AH3272" s="15"/>
      <c r="AI3272" s="15"/>
    </row>
    <row r="3273" spans="1:37" s="6" customFormat="1">
      <c r="A3273" s="6" t="s">
        <v>14317</v>
      </c>
      <c r="B3273" s="6" t="s">
        <v>14318</v>
      </c>
      <c r="C3273" s="6" t="s">
        <v>43</v>
      </c>
      <c r="D3273" s="6" t="s">
        <v>10937</v>
      </c>
      <c r="E3273" s="6" t="s">
        <v>10938</v>
      </c>
      <c r="F3273" s="6" t="s">
        <v>46</v>
      </c>
      <c r="G3273" s="6" t="s">
        <v>14319</v>
      </c>
      <c r="H3273" s="7"/>
      <c r="I3273" s="6" t="s">
        <v>48</v>
      </c>
      <c r="J3273" s="6" t="s">
        <v>48</v>
      </c>
      <c r="AG3273" s="15" t="s">
        <v>55</v>
      </c>
      <c r="AH3273" s="15"/>
      <c r="AI3273" s="15"/>
    </row>
    <row r="3274" spans="1:37" s="6" customFormat="1">
      <c r="A3274" s="6" t="s">
        <v>14320</v>
      </c>
      <c r="B3274" s="6" t="s">
        <v>14321</v>
      </c>
      <c r="C3274" s="6" t="s">
        <v>43</v>
      </c>
      <c r="D3274" s="6" t="s">
        <v>10937</v>
      </c>
      <c r="E3274" s="6" t="s">
        <v>10938</v>
      </c>
      <c r="F3274" s="6" t="s">
        <v>46</v>
      </c>
      <c r="G3274" s="6" t="s">
        <v>12502</v>
      </c>
      <c r="H3274" s="7"/>
      <c r="I3274" s="6" t="s">
        <v>48</v>
      </c>
      <c r="J3274" s="6" t="s">
        <v>48</v>
      </c>
      <c r="AG3274" s="15" t="s">
        <v>55</v>
      </c>
      <c r="AH3274" s="15"/>
      <c r="AI3274" s="15"/>
    </row>
    <row r="3275" spans="1:37" s="6" customFormat="1">
      <c r="A3275" s="6" t="s">
        <v>14322</v>
      </c>
      <c r="B3275" s="6" t="s">
        <v>14323</v>
      </c>
      <c r="C3275" s="6" t="s">
        <v>43</v>
      </c>
      <c r="D3275" s="6" t="s">
        <v>10937</v>
      </c>
      <c r="E3275" s="6" t="s">
        <v>10938</v>
      </c>
      <c r="F3275" s="6" t="s">
        <v>46</v>
      </c>
      <c r="G3275" s="6" t="s">
        <v>7613</v>
      </c>
      <c r="H3275" s="7"/>
      <c r="I3275" s="6" t="s">
        <v>48</v>
      </c>
      <c r="J3275" s="6" t="s">
        <v>48</v>
      </c>
      <c r="AG3275" s="15" t="s">
        <v>55</v>
      </c>
      <c r="AH3275" s="15"/>
      <c r="AI3275" s="15"/>
    </row>
    <row r="3276" spans="1:37" s="6" customFormat="1">
      <c r="A3276" s="6" t="s">
        <v>14324</v>
      </c>
      <c r="B3276" s="6" t="s">
        <v>14325</v>
      </c>
      <c r="C3276" s="6" t="s">
        <v>43</v>
      </c>
      <c r="D3276" s="6" t="s">
        <v>10937</v>
      </c>
      <c r="E3276" s="6" t="s">
        <v>10938</v>
      </c>
      <c r="F3276" s="6" t="s">
        <v>46</v>
      </c>
      <c r="G3276" s="6" t="s">
        <v>14326</v>
      </c>
      <c r="H3276" s="7"/>
      <c r="I3276" s="6" t="s">
        <v>48</v>
      </c>
      <c r="J3276" s="6" t="s">
        <v>48</v>
      </c>
      <c r="AG3276" s="15" t="s">
        <v>55</v>
      </c>
      <c r="AH3276" s="15"/>
      <c r="AI3276" s="15"/>
    </row>
    <row r="3277" spans="1:37" s="6" customFormat="1">
      <c r="A3277" s="6" t="s">
        <v>14327</v>
      </c>
      <c r="B3277" s="6" t="s">
        <v>14328</v>
      </c>
      <c r="C3277" s="6" t="s">
        <v>43</v>
      </c>
      <c r="D3277" s="6" t="s">
        <v>10937</v>
      </c>
      <c r="E3277" s="6" t="s">
        <v>10938</v>
      </c>
      <c r="F3277" s="6" t="s">
        <v>46</v>
      </c>
      <c r="G3277" s="6" t="s">
        <v>14329</v>
      </c>
      <c r="H3277" s="7"/>
      <c r="I3277" s="6" t="s">
        <v>48</v>
      </c>
      <c r="J3277" s="6" t="s">
        <v>48</v>
      </c>
      <c r="AG3277" s="15" t="s">
        <v>55</v>
      </c>
      <c r="AH3277" s="15"/>
      <c r="AI3277" s="15"/>
    </row>
    <row r="3278" spans="1:37" s="6" customFormat="1">
      <c r="A3278" s="6" t="s">
        <v>14330</v>
      </c>
      <c r="B3278" s="6" t="s">
        <v>14331</v>
      </c>
      <c r="C3278" s="6" t="s">
        <v>43</v>
      </c>
      <c r="D3278" s="6" t="s">
        <v>10937</v>
      </c>
      <c r="E3278" s="6" t="s">
        <v>10938</v>
      </c>
      <c r="F3278" s="6" t="s">
        <v>46</v>
      </c>
      <c r="G3278" s="6" t="s">
        <v>2237</v>
      </c>
      <c r="H3278" s="7"/>
      <c r="I3278" s="6" t="s">
        <v>48</v>
      </c>
      <c r="J3278" s="6" t="s">
        <v>48</v>
      </c>
      <c r="AG3278" s="15" t="s">
        <v>55</v>
      </c>
      <c r="AH3278" s="15"/>
      <c r="AI3278" s="15"/>
    </row>
    <row r="3279" spans="1:37" s="6" customFormat="1">
      <c r="A3279" s="6" t="s">
        <v>14332</v>
      </c>
      <c r="B3279" s="6" t="s">
        <v>14333</v>
      </c>
      <c r="C3279" s="6" t="s">
        <v>8002</v>
      </c>
      <c r="D3279" s="6" t="s">
        <v>10937</v>
      </c>
      <c r="E3279" s="6" t="s">
        <v>10938</v>
      </c>
      <c r="F3279" s="6" t="s">
        <v>46</v>
      </c>
      <c r="G3279" s="6" t="s">
        <v>2912</v>
      </c>
      <c r="H3279" s="7"/>
      <c r="I3279" s="6" t="s">
        <v>48</v>
      </c>
      <c r="J3279" s="6" t="s">
        <v>48</v>
      </c>
      <c r="AG3279" s="15" t="s">
        <v>55</v>
      </c>
      <c r="AH3279" s="15"/>
      <c r="AI3279" s="15"/>
    </row>
    <row r="3280" spans="1:37" s="6" customFormat="1">
      <c r="A3280" s="6" t="s">
        <v>14334</v>
      </c>
      <c r="B3280" s="6" t="s">
        <v>14289</v>
      </c>
      <c r="C3280" s="6" t="s">
        <v>43</v>
      </c>
      <c r="D3280" s="6" t="s">
        <v>10937</v>
      </c>
      <c r="E3280" s="6" t="s">
        <v>10938</v>
      </c>
      <c r="F3280" s="6" t="s">
        <v>46</v>
      </c>
      <c r="G3280" s="6" t="s">
        <v>3360</v>
      </c>
      <c r="H3280" s="7"/>
      <c r="I3280" s="6" t="s">
        <v>48</v>
      </c>
      <c r="J3280" s="6" t="s">
        <v>48</v>
      </c>
      <c r="AG3280" s="15" t="s">
        <v>55</v>
      </c>
      <c r="AH3280" s="15"/>
      <c r="AI3280" s="15"/>
    </row>
    <row r="3281" spans="1:37" s="6" customFormat="1">
      <c r="A3281" s="5" t="s">
        <v>14335</v>
      </c>
      <c r="B3281" s="5" t="s">
        <v>14336</v>
      </c>
      <c r="C3281" s="6" t="s">
        <v>43</v>
      </c>
      <c r="D3281" s="6" t="s">
        <v>10937</v>
      </c>
      <c r="E3281" s="6" t="s">
        <v>10938</v>
      </c>
      <c r="F3281" s="6" t="s">
        <v>46</v>
      </c>
      <c r="G3281" s="6" t="s">
        <v>7883</v>
      </c>
      <c r="H3281" s="18">
        <v>999</v>
      </c>
      <c r="I3281" s="19" t="s">
        <v>13662</v>
      </c>
      <c r="J3281" s="19" t="s">
        <v>14216</v>
      </c>
      <c r="K3281" s="6" t="s">
        <v>14337</v>
      </c>
      <c r="L3281" s="6" t="s">
        <v>14338</v>
      </c>
      <c r="M3281" s="6" t="s">
        <v>14339</v>
      </c>
      <c r="N3281" s="6" t="s">
        <v>14340</v>
      </c>
      <c r="O3281" s="6" t="s">
        <v>14341</v>
      </c>
      <c r="P3281" s="6" t="s">
        <v>14342</v>
      </c>
      <c r="Q3281" s="6" t="s">
        <v>14343</v>
      </c>
      <c r="R3281" s="6" t="s">
        <v>14344</v>
      </c>
      <c r="S3281" s="6" t="s">
        <v>13672</v>
      </c>
      <c r="T3281" s="6" t="s">
        <v>13697</v>
      </c>
      <c r="U3281" s="6" t="s">
        <v>13674</v>
      </c>
      <c r="V3281" s="6" t="s">
        <v>13675</v>
      </c>
      <c r="W3281" s="6" t="s">
        <v>13676</v>
      </c>
      <c r="X3281" s="6" t="s">
        <v>13677</v>
      </c>
      <c r="Y3281" s="6" t="s">
        <v>13678</v>
      </c>
      <c r="Z3281" s="6" t="s">
        <v>13679</v>
      </c>
      <c r="AA3281" s="6" t="s">
        <v>13680</v>
      </c>
      <c r="AB3281" s="6" t="s">
        <v>13681</v>
      </c>
      <c r="AC3281" s="6" t="s">
        <v>13682</v>
      </c>
      <c r="AD3281" s="6" t="s">
        <v>13683</v>
      </c>
      <c r="AE3281" s="5"/>
      <c r="AF3281" s="5"/>
      <c r="AG3281" s="14" t="s">
        <v>49</v>
      </c>
      <c r="AH3281" s="14" t="s">
        <v>1102</v>
      </c>
      <c r="AI3281" s="14" t="s">
        <v>13684</v>
      </c>
      <c r="AJ3281" s="5" t="s">
        <v>13685</v>
      </c>
      <c r="AK3281" s="5"/>
    </row>
    <row r="3282" spans="1:37">
      <c r="A3282" s="6" t="s">
        <v>14345</v>
      </c>
      <c r="B3282" s="6" t="s">
        <v>14346</v>
      </c>
      <c r="C3282" s="6" t="s">
        <v>43</v>
      </c>
      <c r="D3282" s="6" t="s">
        <v>10937</v>
      </c>
      <c r="E3282" s="6" t="s">
        <v>10938</v>
      </c>
      <c r="F3282" s="6" t="s">
        <v>46</v>
      </c>
      <c r="G3282" s="6" t="s">
        <v>14347</v>
      </c>
      <c r="I3282" s="5" t="s">
        <v>48</v>
      </c>
      <c r="J3282" s="5" t="s">
        <v>48</v>
      </c>
      <c r="K3282" s="6"/>
      <c r="L3282" s="6"/>
      <c r="M3282" s="6"/>
      <c r="N3282" s="6"/>
      <c r="O3282" s="6"/>
      <c r="P3282" s="6"/>
      <c r="Q3282" s="6"/>
      <c r="R3282" s="6"/>
      <c r="S3282" s="6"/>
      <c r="T3282" s="6"/>
      <c r="U3282" s="6"/>
      <c r="V3282" s="6"/>
      <c r="W3282" s="6"/>
      <c r="X3282" s="6"/>
      <c r="Y3282" s="6"/>
      <c r="Z3282" s="6"/>
      <c r="AA3282" s="6"/>
      <c r="AB3282" s="6"/>
      <c r="AC3282" s="6"/>
      <c r="AD3282" s="6"/>
      <c r="AE3282" s="6"/>
      <c r="AF3282" s="6"/>
      <c r="AG3282" s="15" t="s">
        <v>55</v>
      </c>
      <c r="AH3282" s="15"/>
      <c r="AI3282" s="15"/>
      <c r="AJ3282" s="6"/>
      <c r="AK3282" s="6"/>
    </row>
    <row r="3283" spans="1:37" s="6" customFormat="1">
      <c r="A3283" s="5" t="s">
        <v>14348</v>
      </c>
      <c r="B3283" s="5" t="s">
        <v>14349</v>
      </c>
      <c r="C3283" s="6" t="s">
        <v>43</v>
      </c>
      <c r="D3283" s="6" t="s">
        <v>10937</v>
      </c>
      <c r="E3283" s="6" t="s">
        <v>10938</v>
      </c>
      <c r="F3283" s="6" t="s">
        <v>46</v>
      </c>
      <c r="G3283" s="6" t="s">
        <v>3360</v>
      </c>
      <c r="H3283" s="18">
        <v>999</v>
      </c>
      <c r="I3283" s="19" t="s">
        <v>13662</v>
      </c>
      <c r="J3283" s="19" t="s">
        <v>14216</v>
      </c>
      <c r="K3283" s="6" t="s">
        <v>14350</v>
      </c>
      <c r="L3283" s="6" t="s">
        <v>14351</v>
      </c>
      <c r="M3283" s="6" t="s">
        <v>14352</v>
      </c>
      <c r="N3283" s="6" t="s">
        <v>14353</v>
      </c>
      <c r="O3283" s="6" t="s">
        <v>14354</v>
      </c>
      <c r="P3283" s="6" t="s">
        <v>14355</v>
      </c>
      <c r="Q3283" s="6" t="s">
        <v>14356</v>
      </c>
      <c r="R3283" s="6" t="s">
        <v>14357</v>
      </c>
      <c r="S3283" s="6" t="s">
        <v>13672</v>
      </c>
      <c r="T3283" s="6" t="s">
        <v>13697</v>
      </c>
      <c r="U3283" s="6" t="s">
        <v>13674</v>
      </c>
      <c r="V3283" s="6" t="s">
        <v>13675</v>
      </c>
      <c r="W3283" s="6" t="s">
        <v>13676</v>
      </c>
      <c r="X3283" s="6" t="s">
        <v>13677</v>
      </c>
      <c r="Y3283" s="6" t="s">
        <v>13678</v>
      </c>
      <c r="Z3283" s="6" t="s">
        <v>13679</v>
      </c>
      <c r="AA3283" s="6" t="s">
        <v>13680</v>
      </c>
      <c r="AB3283" s="6" t="s">
        <v>13681</v>
      </c>
      <c r="AC3283" s="6" t="s">
        <v>13682</v>
      </c>
      <c r="AD3283" s="6" t="s">
        <v>13683</v>
      </c>
      <c r="AE3283" s="5"/>
      <c r="AF3283" s="5"/>
      <c r="AG3283" s="14" t="s">
        <v>49</v>
      </c>
      <c r="AH3283" s="14" t="s">
        <v>1102</v>
      </c>
      <c r="AI3283" s="14" t="s">
        <v>13684</v>
      </c>
      <c r="AJ3283" s="5" t="s">
        <v>13685</v>
      </c>
      <c r="AK3283" s="5"/>
    </row>
    <row r="3284" spans="1:37">
      <c r="A3284" s="5" t="s">
        <v>14358</v>
      </c>
      <c r="B3284" s="5" t="s">
        <v>14359</v>
      </c>
      <c r="C3284" s="6" t="s">
        <v>43</v>
      </c>
      <c r="D3284" s="6" t="s">
        <v>10937</v>
      </c>
      <c r="E3284" s="6" t="s">
        <v>10938</v>
      </c>
      <c r="F3284" s="6" t="s">
        <v>46</v>
      </c>
      <c r="G3284" s="6" t="s">
        <v>3360</v>
      </c>
      <c r="H3284" s="18">
        <v>999</v>
      </c>
      <c r="I3284" s="19" t="s">
        <v>13662</v>
      </c>
      <c r="J3284" s="19" t="s">
        <v>14216</v>
      </c>
      <c r="K3284" s="6" t="s">
        <v>14360</v>
      </c>
      <c r="L3284" s="6" t="s">
        <v>14361</v>
      </c>
      <c r="M3284" s="6" t="s">
        <v>14362</v>
      </c>
      <c r="N3284" s="6" t="s">
        <v>14363</v>
      </c>
      <c r="O3284" s="6" t="s">
        <v>14364</v>
      </c>
      <c r="P3284" s="6" t="s">
        <v>14365</v>
      </c>
      <c r="Q3284" s="6" t="s">
        <v>14366</v>
      </c>
      <c r="R3284" s="6" t="s">
        <v>14367</v>
      </c>
      <c r="S3284" s="6" t="s">
        <v>13672</v>
      </c>
      <c r="T3284" s="6" t="s">
        <v>13697</v>
      </c>
      <c r="U3284" s="6" t="s">
        <v>13674</v>
      </c>
      <c r="V3284" s="6" t="s">
        <v>13675</v>
      </c>
      <c r="W3284" s="6" t="s">
        <v>13676</v>
      </c>
      <c r="X3284" s="6" t="s">
        <v>13677</v>
      </c>
      <c r="Y3284" s="6" t="s">
        <v>13678</v>
      </c>
      <c r="Z3284" s="6" t="s">
        <v>13679</v>
      </c>
      <c r="AA3284" s="6" t="s">
        <v>13680</v>
      </c>
      <c r="AB3284" s="6" t="s">
        <v>13681</v>
      </c>
      <c r="AC3284" s="6" t="s">
        <v>13682</v>
      </c>
      <c r="AD3284" s="6" t="s">
        <v>13683</v>
      </c>
      <c r="AG3284" s="14" t="s">
        <v>49</v>
      </c>
      <c r="AH3284" s="14" t="s">
        <v>1102</v>
      </c>
      <c r="AI3284" s="14" t="s">
        <v>13684</v>
      </c>
      <c r="AJ3284" s="5" t="s">
        <v>13685</v>
      </c>
    </row>
    <row r="3285" spans="1:37">
      <c r="A3285" s="6" t="s">
        <v>14368</v>
      </c>
      <c r="B3285" s="6" t="s">
        <v>14369</v>
      </c>
      <c r="C3285" s="6" t="s">
        <v>43</v>
      </c>
      <c r="D3285" s="6" t="s">
        <v>10937</v>
      </c>
      <c r="E3285" s="6" t="s">
        <v>10938</v>
      </c>
      <c r="F3285" s="6" t="s">
        <v>46</v>
      </c>
      <c r="G3285" s="6" t="s">
        <v>14370</v>
      </c>
      <c r="I3285" s="5" t="s">
        <v>48</v>
      </c>
      <c r="J3285" s="5" t="s">
        <v>48</v>
      </c>
      <c r="K3285" s="6"/>
      <c r="L3285" s="6"/>
      <c r="M3285" s="6"/>
      <c r="N3285" s="6"/>
      <c r="O3285" s="6"/>
      <c r="P3285" s="6"/>
      <c r="Q3285" s="6"/>
      <c r="R3285" s="6"/>
      <c r="S3285" s="6"/>
      <c r="T3285" s="6"/>
      <c r="U3285" s="6"/>
      <c r="V3285" s="6"/>
      <c r="W3285" s="6"/>
      <c r="X3285" s="6"/>
      <c r="Y3285" s="6"/>
      <c r="Z3285" s="6"/>
      <c r="AA3285" s="6"/>
      <c r="AB3285" s="6"/>
      <c r="AC3285" s="6"/>
      <c r="AD3285" s="6"/>
      <c r="AE3285" s="6"/>
      <c r="AF3285" s="6"/>
      <c r="AG3285" s="15" t="s">
        <v>55</v>
      </c>
      <c r="AH3285" s="15"/>
      <c r="AI3285" s="15"/>
      <c r="AJ3285" s="6"/>
      <c r="AK3285" s="6"/>
    </row>
    <row r="3286" spans="1:37" s="6" customFormat="1">
      <c r="A3286" s="5" t="s">
        <v>14371</v>
      </c>
      <c r="B3286" s="5" t="s">
        <v>14372</v>
      </c>
      <c r="C3286" s="6" t="s">
        <v>43</v>
      </c>
      <c r="D3286" s="6" t="s">
        <v>10937</v>
      </c>
      <c r="E3286" s="6" t="s">
        <v>10938</v>
      </c>
      <c r="F3286" s="6" t="s">
        <v>46</v>
      </c>
      <c r="G3286" s="6" t="s">
        <v>7613</v>
      </c>
      <c r="H3286" s="18">
        <v>999</v>
      </c>
      <c r="I3286" s="19" t="s">
        <v>13662</v>
      </c>
      <c r="J3286" s="19" t="s">
        <v>14216</v>
      </c>
      <c r="K3286" s="6" t="s">
        <v>14373</v>
      </c>
      <c r="L3286" s="6" t="s">
        <v>14374</v>
      </c>
      <c r="M3286" s="6" t="s">
        <v>14375</v>
      </c>
      <c r="N3286" s="6" t="s">
        <v>14376</v>
      </c>
      <c r="O3286" s="6" t="s">
        <v>14377</v>
      </c>
      <c r="P3286" s="6" t="s">
        <v>14378</v>
      </c>
      <c r="Q3286" s="6" t="s">
        <v>14379</v>
      </c>
      <c r="R3286" s="6" t="s">
        <v>14380</v>
      </c>
      <c r="S3286" s="6" t="s">
        <v>13672</v>
      </c>
      <c r="T3286" s="6" t="s">
        <v>13697</v>
      </c>
      <c r="U3286" s="6" t="s">
        <v>13674</v>
      </c>
      <c r="V3286" s="6" t="s">
        <v>13675</v>
      </c>
      <c r="W3286" s="6" t="s">
        <v>13676</v>
      </c>
      <c r="X3286" s="6" t="s">
        <v>13677</v>
      </c>
      <c r="Y3286" s="6" t="s">
        <v>13678</v>
      </c>
      <c r="Z3286" s="6" t="s">
        <v>13679</v>
      </c>
      <c r="AA3286" s="6" t="s">
        <v>13680</v>
      </c>
      <c r="AB3286" s="6" t="s">
        <v>13681</v>
      </c>
      <c r="AC3286" s="6" t="s">
        <v>13682</v>
      </c>
      <c r="AD3286" s="6" t="s">
        <v>13683</v>
      </c>
      <c r="AE3286" s="5"/>
      <c r="AF3286" s="5"/>
      <c r="AG3286" s="14" t="s">
        <v>49</v>
      </c>
      <c r="AH3286" s="14" t="s">
        <v>1102</v>
      </c>
      <c r="AI3286" s="14" t="s">
        <v>13684</v>
      </c>
      <c r="AJ3286" s="5" t="s">
        <v>13685</v>
      </c>
      <c r="AK3286" s="5"/>
    </row>
    <row r="3287" spans="1:37">
      <c r="A3287" s="6" t="s">
        <v>14381</v>
      </c>
      <c r="B3287" s="6" t="s">
        <v>14382</v>
      </c>
      <c r="C3287" s="6" t="s">
        <v>43</v>
      </c>
      <c r="D3287" s="6" t="s">
        <v>10937</v>
      </c>
      <c r="E3287" s="6" t="s">
        <v>10938</v>
      </c>
      <c r="F3287" s="6" t="s">
        <v>46</v>
      </c>
      <c r="G3287" s="6" t="s">
        <v>14383</v>
      </c>
      <c r="I3287" s="6" t="s">
        <v>48</v>
      </c>
      <c r="J3287" s="6" t="s">
        <v>48</v>
      </c>
      <c r="K3287" s="6"/>
      <c r="L3287" s="6"/>
      <c r="M3287" s="6"/>
      <c r="N3287" s="6"/>
      <c r="O3287" s="6"/>
      <c r="P3287" s="6"/>
      <c r="Q3287" s="6"/>
      <c r="R3287" s="6"/>
      <c r="S3287" s="6"/>
      <c r="T3287" s="6"/>
      <c r="U3287" s="6"/>
      <c r="V3287" s="6"/>
      <c r="W3287" s="6"/>
      <c r="X3287" s="6"/>
      <c r="Y3287" s="6"/>
      <c r="Z3287" s="6"/>
      <c r="AA3287" s="6"/>
      <c r="AB3287" s="6"/>
      <c r="AC3287" s="6"/>
      <c r="AD3287" s="6"/>
      <c r="AE3287" s="6"/>
      <c r="AF3287" s="6"/>
      <c r="AG3287" s="15" t="s">
        <v>55</v>
      </c>
      <c r="AH3287" s="15"/>
      <c r="AI3287" s="15"/>
      <c r="AJ3287" s="6"/>
      <c r="AK3287" s="6"/>
    </row>
    <row r="3288" spans="1:37" s="6" customFormat="1">
      <c r="A3288" s="6" t="s">
        <v>14384</v>
      </c>
      <c r="B3288" s="6" t="s">
        <v>14385</v>
      </c>
      <c r="C3288" s="6" t="s">
        <v>1544</v>
      </c>
      <c r="D3288" s="6" t="s">
        <v>10937</v>
      </c>
      <c r="E3288" s="6" t="s">
        <v>10938</v>
      </c>
      <c r="F3288" s="6" t="s">
        <v>46</v>
      </c>
      <c r="G3288" s="6" t="s">
        <v>14386</v>
      </c>
      <c r="H3288" s="7"/>
      <c r="I3288" s="6" t="s">
        <v>48</v>
      </c>
      <c r="J3288" s="6" t="s">
        <v>48</v>
      </c>
      <c r="AG3288" s="15" t="s">
        <v>55</v>
      </c>
      <c r="AH3288" s="15"/>
      <c r="AI3288" s="15"/>
    </row>
    <row r="3289" spans="1:37" s="6" customFormat="1">
      <c r="A3289" s="6" t="s">
        <v>14387</v>
      </c>
      <c r="B3289" s="6" t="s">
        <v>14388</v>
      </c>
      <c r="C3289" s="6" t="s">
        <v>43</v>
      </c>
      <c r="D3289" s="6" t="s">
        <v>10937</v>
      </c>
      <c r="E3289" s="6" t="s">
        <v>10938</v>
      </c>
      <c r="F3289" s="6" t="s">
        <v>46</v>
      </c>
      <c r="G3289" s="6" t="s">
        <v>14389</v>
      </c>
      <c r="H3289" s="7"/>
      <c r="I3289" s="5" t="s">
        <v>48</v>
      </c>
      <c r="J3289" s="5" t="s">
        <v>48</v>
      </c>
      <c r="AG3289" s="15" t="s">
        <v>55</v>
      </c>
      <c r="AH3289" s="15"/>
      <c r="AI3289" s="15"/>
    </row>
    <row r="3290" spans="1:37" s="6" customFormat="1">
      <c r="A3290" s="6" t="s">
        <v>14390</v>
      </c>
      <c r="B3290" s="6" t="s">
        <v>14391</v>
      </c>
      <c r="C3290" s="6" t="s">
        <v>43</v>
      </c>
      <c r="D3290" s="6" t="s">
        <v>10937</v>
      </c>
      <c r="E3290" s="6" t="s">
        <v>10938</v>
      </c>
      <c r="F3290" s="6" t="s">
        <v>46</v>
      </c>
      <c r="G3290" s="6" t="s">
        <v>9619</v>
      </c>
      <c r="H3290" s="7"/>
      <c r="I3290" s="6" t="s">
        <v>48</v>
      </c>
      <c r="J3290" s="6" t="s">
        <v>48</v>
      </c>
      <c r="AG3290" s="15" t="s">
        <v>55</v>
      </c>
      <c r="AH3290" s="15"/>
      <c r="AI3290" s="15"/>
    </row>
    <row r="3291" spans="1:37" s="6" customFormat="1">
      <c r="A3291" s="6" t="s">
        <v>14392</v>
      </c>
      <c r="B3291" s="6" t="s">
        <v>14393</v>
      </c>
      <c r="C3291" s="6" t="s">
        <v>1544</v>
      </c>
      <c r="D3291" s="6" t="s">
        <v>10937</v>
      </c>
      <c r="E3291" s="6" t="s">
        <v>10938</v>
      </c>
      <c r="F3291" s="6" t="s">
        <v>46</v>
      </c>
      <c r="G3291" s="6" t="s">
        <v>8253</v>
      </c>
      <c r="H3291" s="7"/>
      <c r="I3291" s="6" t="s">
        <v>48</v>
      </c>
      <c r="J3291" s="6" t="s">
        <v>48</v>
      </c>
      <c r="AG3291" s="15" t="s">
        <v>55</v>
      </c>
      <c r="AH3291" s="15"/>
      <c r="AI3291" s="15"/>
    </row>
    <row r="3292" spans="1:37" s="6" customFormat="1">
      <c r="A3292" s="6" t="s">
        <v>14394</v>
      </c>
      <c r="B3292" s="6" t="s">
        <v>14395</v>
      </c>
      <c r="C3292" s="6" t="s">
        <v>1544</v>
      </c>
      <c r="D3292" s="6" t="s">
        <v>10937</v>
      </c>
      <c r="E3292" s="6" t="s">
        <v>10938</v>
      </c>
      <c r="F3292" s="6" t="s">
        <v>46</v>
      </c>
      <c r="G3292" s="6" t="s">
        <v>14396</v>
      </c>
      <c r="H3292" s="7"/>
      <c r="I3292" s="6" t="s">
        <v>48</v>
      </c>
      <c r="J3292" s="6" t="s">
        <v>48</v>
      </c>
      <c r="AG3292" s="15" t="s">
        <v>55</v>
      </c>
      <c r="AH3292" s="15"/>
      <c r="AI3292" s="15"/>
    </row>
    <row r="3293" spans="1:37" s="6" customFormat="1">
      <c r="A3293" s="6" t="s">
        <v>14397</v>
      </c>
      <c r="B3293" s="6" t="s">
        <v>14398</v>
      </c>
      <c r="C3293" s="6" t="s">
        <v>14399</v>
      </c>
      <c r="D3293" s="6" t="s">
        <v>10937</v>
      </c>
      <c r="E3293" s="6" t="s">
        <v>10938</v>
      </c>
      <c r="F3293" s="6" t="s">
        <v>46</v>
      </c>
      <c r="G3293" s="6" t="s">
        <v>2527</v>
      </c>
      <c r="H3293" s="7"/>
      <c r="I3293" s="5" t="s">
        <v>48</v>
      </c>
      <c r="J3293" s="5" t="s">
        <v>48</v>
      </c>
      <c r="AG3293" s="15" t="s">
        <v>55</v>
      </c>
      <c r="AH3293" s="15"/>
      <c r="AI3293" s="15"/>
    </row>
    <row r="3294" spans="1:37" s="6" customFormat="1">
      <c r="A3294" s="6" t="s">
        <v>14400</v>
      </c>
      <c r="B3294" s="6" t="s">
        <v>14401</v>
      </c>
      <c r="C3294" s="6" t="s">
        <v>1544</v>
      </c>
      <c r="D3294" s="6" t="s">
        <v>10937</v>
      </c>
      <c r="E3294" s="6" t="s">
        <v>10938</v>
      </c>
      <c r="F3294" s="6" t="s">
        <v>46</v>
      </c>
      <c r="G3294" s="6" t="s">
        <v>14402</v>
      </c>
      <c r="H3294" s="7"/>
      <c r="I3294" s="6" t="s">
        <v>48</v>
      </c>
      <c r="J3294" s="6" t="s">
        <v>48</v>
      </c>
      <c r="AG3294" s="15" t="s">
        <v>55</v>
      </c>
      <c r="AH3294" s="15"/>
      <c r="AI3294" s="15"/>
    </row>
    <row r="3295" spans="1:37" s="6" customFormat="1">
      <c r="A3295" s="6" t="s">
        <v>14403</v>
      </c>
      <c r="B3295" s="6" t="s">
        <v>14404</v>
      </c>
      <c r="C3295" s="6" t="s">
        <v>43</v>
      </c>
      <c r="D3295" s="6" t="s">
        <v>10937</v>
      </c>
      <c r="E3295" s="6" t="s">
        <v>10938</v>
      </c>
      <c r="F3295" s="6" t="s">
        <v>46</v>
      </c>
      <c r="G3295" s="6" t="s">
        <v>14396</v>
      </c>
      <c r="H3295" s="7"/>
      <c r="I3295" s="5" t="s">
        <v>48</v>
      </c>
      <c r="J3295" s="5" t="s">
        <v>48</v>
      </c>
      <c r="AG3295" s="15" t="s">
        <v>55</v>
      </c>
      <c r="AH3295" s="15"/>
      <c r="AI3295" s="15"/>
    </row>
    <row r="3296" spans="1:37" s="6" customFormat="1">
      <c r="A3296" s="6" t="s">
        <v>14405</v>
      </c>
      <c r="B3296" s="6" t="s">
        <v>14406</v>
      </c>
      <c r="C3296" s="6" t="s">
        <v>1544</v>
      </c>
      <c r="D3296" s="6" t="s">
        <v>10937</v>
      </c>
      <c r="E3296" s="6" t="s">
        <v>10938</v>
      </c>
      <c r="F3296" s="6" t="s">
        <v>46</v>
      </c>
      <c r="G3296" s="6" t="s">
        <v>2946</v>
      </c>
      <c r="H3296" s="7"/>
      <c r="I3296" s="6" t="s">
        <v>48</v>
      </c>
      <c r="J3296" s="6" t="s">
        <v>48</v>
      </c>
      <c r="AG3296" s="15" t="s">
        <v>55</v>
      </c>
      <c r="AH3296" s="15"/>
      <c r="AI3296" s="15"/>
    </row>
    <row r="3297" spans="1:37" s="6" customFormat="1">
      <c r="A3297" s="5" t="s">
        <v>14407</v>
      </c>
      <c r="B3297" s="5" t="s">
        <v>14408</v>
      </c>
      <c r="C3297" s="6" t="s">
        <v>14409</v>
      </c>
      <c r="D3297" s="6" t="s">
        <v>10937</v>
      </c>
      <c r="E3297" s="6" t="s">
        <v>10938</v>
      </c>
      <c r="F3297" s="6" t="s">
        <v>46</v>
      </c>
      <c r="G3297" s="6" t="s">
        <v>14396</v>
      </c>
      <c r="H3297" s="18">
        <v>999</v>
      </c>
      <c r="I3297" s="19" t="s">
        <v>13662</v>
      </c>
      <c r="J3297" s="19" t="s">
        <v>14216</v>
      </c>
      <c r="K3297" s="6" t="s">
        <v>14410</v>
      </c>
      <c r="L3297" s="6" t="s">
        <v>14411</v>
      </c>
      <c r="M3297" s="6" t="s">
        <v>14412</v>
      </c>
      <c r="N3297" s="6" t="s">
        <v>14413</v>
      </c>
      <c r="O3297" s="6" t="s">
        <v>14414</v>
      </c>
      <c r="P3297" s="6" t="s">
        <v>14415</v>
      </c>
      <c r="Q3297" s="6" t="s">
        <v>14416</v>
      </c>
      <c r="R3297" s="6" t="s">
        <v>14417</v>
      </c>
      <c r="S3297" s="6" t="s">
        <v>13672</v>
      </c>
      <c r="T3297" s="6" t="s">
        <v>13697</v>
      </c>
      <c r="U3297" s="6" t="s">
        <v>13674</v>
      </c>
      <c r="V3297" s="6" t="s">
        <v>13675</v>
      </c>
      <c r="W3297" s="6" t="s">
        <v>13676</v>
      </c>
      <c r="X3297" s="6" t="s">
        <v>13677</v>
      </c>
      <c r="Y3297" s="6" t="s">
        <v>13678</v>
      </c>
      <c r="Z3297" s="6" t="s">
        <v>13679</v>
      </c>
      <c r="AA3297" s="6" t="s">
        <v>13680</v>
      </c>
      <c r="AB3297" s="6" t="s">
        <v>13681</v>
      </c>
      <c r="AC3297" s="6" t="s">
        <v>13682</v>
      </c>
      <c r="AD3297" s="6" t="s">
        <v>13683</v>
      </c>
      <c r="AE3297" s="5"/>
      <c r="AF3297" s="5"/>
      <c r="AG3297" s="14" t="s">
        <v>49</v>
      </c>
      <c r="AH3297" s="14" t="s">
        <v>1102</v>
      </c>
      <c r="AI3297" s="14" t="s">
        <v>13684</v>
      </c>
      <c r="AJ3297" s="5" t="s">
        <v>13685</v>
      </c>
      <c r="AK3297" s="5"/>
    </row>
    <row r="3298" spans="1:37">
      <c r="A3298" s="5" t="s">
        <v>14418</v>
      </c>
      <c r="B3298" s="5" t="s">
        <v>14419</v>
      </c>
      <c r="C3298" s="6" t="s">
        <v>1544</v>
      </c>
      <c r="D3298" s="6" t="s">
        <v>10937</v>
      </c>
      <c r="E3298" s="6" t="s">
        <v>10938</v>
      </c>
      <c r="F3298" s="6" t="s">
        <v>46</v>
      </c>
      <c r="G3298" s="6" t="s">
        <v>14420</v>
      </c>
      <c r="H3298" s="18">
        <v>999</v>
      </c>
      <c r="I3298" s="19" t="s">
        <v>13662</v>
      </c>
      <c r="J3298" s="19" t="s">
        <v>14216</v>
      </c>
      <c r="K3298" s="6" t="s">
        <v>14421</v>
      </c>
      <c r="L3298" s="6" t="s">
        <v>14422</v>
      </c>
      <c r="M3298" s="6" t="s">
        <v>14423</v>
      </c>
      <c r="N3298" s="6" t="s">
        <v>14424</v>
      </c>
      <c r="O3298" s="6" t="s">
        <v>14425</v>
      </c>
      <c r="P3298" s="6" t="s">
        <v>14426</v>
      </c>
      <c r="Q3298" s="6" t="s">
        <v>14427</v>
      </c>
      <c r="R3298" s="6" t="s">
        <v>14428</v>
      </c>
      <c r="S3298" s="6" t="s">
        <v>13672</v>
      </c>
      <c r="T3298" s="6" t="s">
        <v>13697</v>
      </c>
      <c r="U3298" s="6" t="s">
        <v>13674</v>
      </c>
      <c r="V3298" s="6" t="s">
        <v>13675</v>
      </c>
      <c r="W3298" s="6" t="s">
        <v>13676</v>
      </c>
      <c r="X3298" s="6" t="s">
        <v>13677</v>
      </c>
      <c r="Y3298" s="6" t="s">
        <v>13678</v>
      </c>
      <c r="Z3298" s="6" t="s">
        <v>13679</v>
      </c>
      <c r="AA3298" s="6" t="s">
        <v>13680</v>
      </c>
      <c r="AB3298" s="6" t="s">
        <v>13681</v>
      </c>
      <c r="AC3298" s="6" t="s">
        <v>13682</v>
      </c>
      <c r="AD3298" s="6" t="s">
        <v>13683</v>
      </c>
      <c r="AG3298" s="14" t="s">
        <v>49</v>
      </c>
      <c r="AH3298" s="14" t="s">
        <v>1102</v>
      </c>
      <c r="AI3298" s="14" t="s">
        <v>13684</v>
      </c>
      <c r="AJ3298" s="5" t="s">
        <v>13685</v>
      </c>
    </row>
    <row r="3299" spans="1:37">
      <c r="A3299" s="6" t="s">
        <v>14429</v>
      </c>
      <c r="B3299" s="6" t="s">
        <v>14430</v>
      </c>
      <c r="C3299" s="6" t="s">
        <v>43</v>
      </c>
      <c r="D3299" s="6" t="s">
        <v>10937</v>
      </c>
      <c r="E3299" s="6" t="s">
        <v>10938</v>
      </c>
      <c r="F3299" s="6" t="s">
        <v>46</v>
      </c>
      <c r="G3299" s="6" t="s">
        <v>14396</v>
      </c>
      <c r="I3299" s="5" t="s">
        <v>48</v>
      </c>
      <c r="J3299" s="5" t="s">
        <v>48</v>
      </c>
      <c r="K3299" s="6"/>
      <c r="L3299" s="6"/>
      <c r="M3299" s="6"/>
      <c r="N3299" s="6"/>
      <c r="O3299" s="6"/>
      <c r="P3299" s="6"/>
      <c r="Q3299" s="6"/>
      <c r="R3299" s="6"/>
      <c r="S3299" s="6"/>
      <c r="T3299" s="6"/>
      <c r="U3299" s="6"/>
      <c r="V3299" s="6"/>
      <c r="W3299" s="6"/>
      <c r="X3299" s="6"/>
      <c r="Y3299" s="6"/>
      <c r="Z3299" s="6"/>
      <c r="AA3299" s="6"/>
      <c r="AB3299" s="6"/>
      <c r="AC3299" s="6"/>
      <c r="AD3299" s="6"/>
      <c r="AE3299" s="6"/>
      <c r="AF3299" s="6"/>
      <c r="AG3299" s="15" t="s">
        <v>55</v>
      </c>
      <c r="AH3299" s="15"/>
      <c r="AI3299" s="15"/>
      <c r="AJ3299" s="6"/>
      <c r="AK3299" s="6"/>
    </row>
    <row r="3300" spans="1:37" s="6" customFormat="1">
      <c r="A3300" s="5" t="s">
        <v>14431</v>
      </c>
      <c r="B3300" s="5" t="s">
        <v>14432</v>
      </c>
      <c r="C3300" s="6" t="s">
        <v>1544</v>
      </c>
      <c r="D3300" s="6" t="s">
        <v>10937</v>
      </c>
      <c r="E3300" s="6" t="s">
        <v>10938</v>
      </c>
      <c r="F3300" s="6" t="s">
        <v>46</v>
      </c>
      <c r="G3300" s="6" t="s">
        <v>14433</v>
      </c>
      <c r="H3300" s="18">
        <v>999</v>
      </c>
      <c r="I3300" s="19" t="s">
        <v>13662</v>
      </c>
      <c r="J3300" s="19" t="s">
        <v>14216</v>
      </c>
      <c r="K3300" s="6" t="s">
        <v>14434</v>
      </c>
      <c r="L3300" s="6" t="s">
        <v>14435</v>
      </c>
      <c r="M3300" s="6" t="s">
        <v>14436</v>
      </c>
      <c r="N3300" s="6" t="s">
        <v>14437</v>
      </c>
      <c r="O3300" s="6" t="s">
        <v>14438</v>
      </c>
      <c r="P3300" s="6" t="s">
        <v>14439</v>
      </c>
      <c r="Q3300" s="6" t="s">
        <v>14440</v>
      </c>
      <c r="R3300" s="6" t="s">
        <v>14441</v>
      </c>
      <c r="S3300" s="6" t="s">
        <v>13672</v>
      </c>
      <c r="T3300" s="6" t="s">
        <v>13697</v>
      </c>
      <c r="U3300" s="6" t="s">
        <v>13674</v>
      </c>
      <c r="V3300" s="6" t="s">
        <v>13675</v>
      </c>
      <c r="W3300" s="6" t="s">
        <v>13676</v>
      </c>
      <c r="X3300" s="6" t="s">
        <v>13677</v>
      </c>
      <c r="Y3300" s="6" t="s">
        <v>13678</v>
      </c>
      <c r="Z3300" s="6" t="s">
        <v>13679</v>
      </c>
      <c r="AA3300" s="6" t="s">
        <v>13680</v>
      </c>
      <c r="AB3300" s="6" t="s">
        <v>13681</v>
      </c>
      <c r="AC3300" s="6" t="s">
        <v>13682</v>
      </c>
      <c r="AD3300" s="6" t="s">
        <v>13683</v>
      </c>
      <c r="AE3300" s="5"/>
      <c r="AF3300" s="5"/>
      <c r="AG3300" s="14" t="s">
        <v>49</v>
      </c>
      <c r="AH3300" s="14" t="s">
        <v>1102</v>
      </c>
      <c r="AI3300" s="14" t="s">
        <v>13684</v>
      </c>
      <c r="AJ3300" s="5" t="s">
        <v>13685</v>
      </c>
      <c r="AK3300" s="5"/>
    </row>
    <row r="3301" spans="1:37">
      <c r="A3301" s="5" t="s">
        <v>14442</v>
      </c>
      <c r="B3301" s="5" t="s">
        <v>14443</v>
      </c>
      <c r="C3301" s="6" t="s">
        <v>1544</v>
      </c>
      <c r="D3301" s="6" t="s">
        <v>10937</v>
      </c>
      <c r="E3301" s="6" t="s">
        <v>10938</v>
      </c>
      <c r="F3301" s="6" t="s">
        <v>46</v>
      </c>
      <c r="G3301" s="6" t="s">
        <v>14444</v>
      </c>
      <c r="H3301" s="18">
        <v>999</v>
      </c>
      <c r="I3301" s="19" t="s">
        <v>13662</v>
      </c>
      <c r="J3301" s="19" t="s">
        <v>14216</v>
      </c>
      <c r="K3301" s="6" t="s">
        <v>14445</v>
      </c>
      <c r="L3301" s="6" t="s">
        <v>14446</v>
      </c>
      <c r="M3301" s="6" t="s">
        <v>14447</v>
      </c>
      <c r="N3301" s="6" t="s">
        <v>14448</v>
      </c>
      <c r="O3301" s="6" t="s">
        <v>14449</v>
      </c>
      <c r="P3301" s="6" t="s">
        <v>14450</v>
      </c>
      <c r="Q3301" s="6" t="s">
        <v>14451</v>
      </c>
      <c r="R3301" s="6" t="s">
        <v>14441</v>
      </c>
      <c r="S3301" s="6" t="s">
        <v>13672</v>
      </c>
      <c r="T3301" s="6" t="s">
        <v>13697</v>
      </c>
      <c r="U3301" s="6" t="s">
        <v>13674</v>
      </c>
      <c r="V3301" s="6" t="s">
        <v>13675</v>
      </c>
      <c r="W3301" s="6" t="s">
        <v>13676</v>
      </c>
      <c r="X3301" s="6" t="s">
        <v>13677</v>
      </c>
      <c r="Y3301" s="6" t="s">
        <v>13678</v>
      </c>
      <c r="Z3301" s="6" t="s">
        <v>13679</v>
      </c>
      <c r="AA3301" s="6" t="s">
        <v>13680</v>
      </c>
      <c r="AB3301" s="6" t="s">
        <v>13681</v>
      </c>
      <c r="AC3301" s="6" t="s">
        <v>13682</v>
      </c>
      <c r="AD3301" s="6" t="s">
        <v>13683</v>
      </c>
      <c r="AG3301" s="14" t="s">
        <v>49</v>
      </c>
      <c r="AH3301" s="14" t="s">
        <v>1102</v>
      </c>
      <c r="AI3301" s="14" t="s">
        <v>13684</v>
      </c>
      <c r="AJ3301" s="5" t="s">
        <v>13685</v>
      </c>
    </row>
    <row r="3302" spans="1:37">
      <c r="A3302" s="5" t="s">
        <v>14452</v>
      </c>
      <c r="B3302" s="5" t="s">
        <v>14453</v>
      </c>
      <c r="C3302" s="6" t="s">
        <v>1544</v>
      </c>
      <c r="D3302" s="6" t="s">
        <v>10937</v>
      </c>
      <c r="E3302" s="6" t="s">
        <v>10938</v>
      </c>
      <c r="F3302" s="6" t="s">
        <v>46</v>
      </c>
      <c r="G3302" s="6" t="s">
        <v>14454</v>
      </c>
      <c r="H3302" s="18">
        <v>999</v>
      </c>
      <c r="I3302" s="19" t="s">
        <v>13662</v>
      </c>
      <c r="J3302" s="19" t="s">
        <v>14216</v>
      </c>
      <c r="K3302" s="6" t="s">
        <v>14455</v>
      </c>
      <c r="L3302" s="6" t="s">
        <v>14456</v>
      </c>
      <c r="M3302" s="6" t="s">
        <v>14457</v>
      </c>
      <c r="N3302" s="6" t="s">
        <v>14458</v>
      </c>
      <c r="O3302" s="6" t="s">
        <v>14459</v>
      </c>
      <c r="P3302" s="6" t="s">
        <v>14460</v>
      </c>
      <c r="Q3302" s="6" t="s">
        <v>14461</v>
      </c>
      <c r="R3302" s="6" t="s">
        <v>14462</v>
      </c>
      <c r="S3302" s="6" t="s">
        <v>13672</v>
      </c>
      <c r="T3302" s="6" t="s">
        <v>13697</v>
      </c>
      <c r="U3302" s="6" t="s">
        <v>13674</v>
      </c>
      <c r="V3302" s="6" t="s">
        <v>13675</v>
      </c>
      <c r="W3302" s="6" t="s">
        <v>13676</v>
      </c>
      <c r="X3302" s="6" t="s">
        <v>13677</v>
      </c>
      <c r="Y3302" s="6" t="s">
        <v>13678</v>
      </c>
      <c r="Z3302" s="6" t="s">
        <v>13679</v>
      </c>
      <c r="AA3302" s="6" t="s">
        <v>13680</v>
      </c>
      <c r="AB3302" s="6" t="s">
        <v>13681</v>
      </c>
      <c r="AC3302" s="6" t="s">
        <v>13682</v>
      </c>
      <c r="AD3302" s="6" t="s">
        <v>13683</v>
      </c>
      <c r="AG3302" s="14" t="s">
        <v>49</v>
      </c>
      <c r="AH3302" s="14" t="s">
        <v>1102</v>
      </c>
      <c r="AI3302" s="14" t="s">
        <v>13684</v>
      </c>
      <c r="AJ3302" s="5" t="s">
        <v>13685</v>
      </c>
    </row>
    <row r="3303" spans="1:37">
      <c r="A3303" s="6" t="s">
        <v>14463</v>
      </c>
      <c r="B3303" s="6" t="s">
        <v>14464</v>
      </c>
      <c r="C3303" s="6" t="s">
        <v>1544</v>
      </c>
      <c r="D3303" s="6" t="s">
        <v>10937</v>
      </c>
      <c r="E3303" s="6" t="s">
        <v>10938</v>
      </c>
      <c r="F3303" s="6" t="s">
        <v>46</v>
      </c>
      <c r="G3303" s="6" t="s">
        <v>14465</v>
      </c>
      <c r="I3303" s="6" t="s">
        <v>48</v>
      </c>
      <c r="J3303" s="6" t="s">
        <v>48</v>
      </c>
      <c r="K3303" s="6"/>
      <c r="L3303" s="6"/>
      <c r="M3303" s="6"/>
      <c r="N3303" s="6"/>
      <c r="O3303" s="6"/>
      <c r="P3303" s="6"/>
      <c r="Q3303" s="6"/>
      <c r="R3303" s="6"/>
      <c r="S3303" s="6"/>
      <c r="T3303" s="6"/>
      <c r="U3303" s="6"/>
      <c r="V3303" s="6"/>
      <c r="W3303" s="6"/>
      <c r="X3303" s="6"/>
      <c r="Y3303" s="6"/>
      <c r="Z3303" s="6"/>
      <c r="AA3303" s="6"/>
      <c r="AB3303" s="6"/>
      <c r="AC3303" s="6"/>
      <c r="AD3303" s="6"/>
      <c r="AE3303" s="6"/>
      <c r="AF3303" s="6"/>
      <c r="AG3303" s="15" t="s">
        <v>55</v>
      </c>
      <c r="AH3303" s="15"/>
      <c r="AI3303" s="15"/>
      <c r="AJ3303" s="6"/>
      <c r="AK3303" s="6"/>
    </row>
    <row r="3304" spans="1:37" s="6" customFormat="1">
      <c r="A3304" s="6" t="s">
        <v>14466</v>
      </c>
      <c r="B3304" s="6" t="s">
        <v>14467</v>
      </c>
      <c r="C3304" s="6" t="s">
        <v>1544</v>
      </c>
      <c r="D3304" s="6" t="s">
        <v>10937</v>
      </c>
      <c r="E3304" s="6" t="s">
        <v>10938</v>
      </c>
      <c r="F3304" s="6" t="s">
        <v>46</v>
      </c>
      <c r="G3304" s="6" t="s">
        <v>14468</v>
      </c>
      <c r="H3304" s="7"/>
      <c r="I3304" s="6" t="s">
        <v>48</v>
      </c>
      <c r="J3304" s="6" t="s">
        <v>48</v>
      </c>
      <c r="AG3304" s="15" t="s">
        <v>55</v>
      </c>
      <c r="AH3304" s="15"/>
      <c r="AI3304" s="15"/>
    </row>
    <row r="3305" spans="1:37" s="6" customFormat="1">
      <c r="A3305" s="6" t="s">
        <v>14469</v>
      </c>
      <c r="B3305" s="6" t="s">
        <v>14470</v>
      </c>
      <c r="C3305" s="6" t="s">
        <v>10301</v>
      </c>
      <c r="D3305" s="6" t="s">
        <v>10937</v>
      </c>
      <c r="E3305" s="6" t="s">
        <v>10938</v>
      </c>
      <c r="F3305" s="6" t="s">
        <v>46</v>
      </c>
      <c r="G3305" s="6" t="s">
        <v>8970</v>
      </c>
      <c r="H3305" s="7"/>
      <c r="I3305" s="6" t="s">
        <v>48</v>
      </c>
      <c r="J3305" s="6" t="s">
        <v>48</v>
      </c>
      <c r="AG3305" s="15" t="s">
        <v>55</v>
      </c>
      <c r="AH3305" s="15"/>
      <c r="AI3305" s="15"/>
    </row>
    <row r="3306" spans="1:37" s="6" customFormat="1">
      <c r="A3306" s="6" t="s">
        <v>14471</v>
      </c>
      <c r="B3306" s="6" t="s">
        <v>14472</v>
      </c>
      <c r="C3306" s="6" t="s">
        <v>10301</v>
      </c>
      <c r="D3306" s="6" t="s">
        <v>10937</v>
      </c>
      <c r="E3306" s="6" t="s">
        <v>10938</v>
      </c>
      <c r="F3306" s="6" t="s">
        <v>46</v>
      </c>
      <c r="G3306" s="6" t="s">
        <v>11041</v>
      </c>
      <c r="H3306" s="7"/>
      <c r="I3306" s="6" t="s">
        <v>48</v>
      </c>
      <c r="J3306" s="6" t="s">
        <v>48</v>
      </c>
      <c r="AG3306" s="15" t="s">
        <v>55</v>
      </c>
      <c r="AH3306" s="15"/>
      <c r="AI3306" s="15"/>
    </row>
    <row r="3307" spans="1:37" s="6" customFormat="1">
      <c r="A3307" s="6" t="s">
        <v>14473</v>
      </c>
      <c r="B3307" s="6" t="s">
        <v>14474</v>
      </c>
      <c r="C3307" s="6" t="s">
        <v>10301</v>
      </c>
      <c r="D3307" s="6" t="s">
        <v>10937</v>
      </c>
      <c r="E3307" s="6" t="s">
        <v>10938</v>
      </c>
      <c r="F3307" s="6" t="s">
        <v>46</v>
      </c>
      <c r="G3307" s="6" t="s">
        <v>14475</v>
      </c>
      <c r="H3307" s="7"/>
      <c r="I3307" s="6" t="s">
        <v>48</v>
      </c>
      <c r="J3307" s="6" t="s">
        <v>48</v>
      </c>
      <c r="AG3307" s="15" t="s">
        <v>55</v>
      </c>
      <c r="AH3307" s="15"/>
      <c r="AI3307" s="15"/>
    </row>
    <row r="3308" spans="1:37" s="6" customFormat="1">
      <c r="A3308" s="6" t="s">
        <v>14476</v>
      </c>
      <c r="B3308" s="6" t="s">
        <v>14477</v>
      </c>
      <c r="C3308" s="6" t="s">
        <v>43</v>
      </c>
      <c r="D3308" s="6" t="s">
        <v>10937</v>
      </c>
      <c r="E3308" s="6" t="s">
        <v>10938</v>
      </c>
      <c r="F3308" s="6" t="s">
        <v>46</v>
      </c>
      <c r="G3308" s="6" t="s">
        <v>14478</v>
      </c>
      <c r="H3308" s="7"/>
      <c r="I3308" s="5" t="s">
        <v>48</v>
      </c>
      <c r="J3308" s="5" t="s">
        <v>48</v>
      </c>
      <c r="AG3308" s="15" t="s">
        <v>55</v>
      </c>
      <c r="AH3308" s="15"/>
      <c r="AI3308" s="15"/>
    </row>
    <row r="3309" spans="1:37" s="6" customFormat="1">
      <c r="A3309" s="6" t="s">
        <v>14479</v>
      </c>
      <c r="B3309" s="6" t="s">
        <v>14480</v>
      </c>
      <c r="C3309" s="6" t="s">
        <v>43</v>
      </c>
      <c r="D3309" s="6" t="s">
        <v>10937</v>
      </c>
      <c r="E3309" s="6" t="s">
        <v>10938</v>
      </c>
      <c r="F3309" s="6" t="s">
        <v>46</v>
      </c>
      <c r="G3309" s="6" t="s">
        <v>14481</v>
      </c>
      <c r="H3309" s="7"/>
      <c r="I3309" s="5" t="s">
        <v>48</v>
      </c>
      <c r="J3309" s="5" t="s">
        <v>48</v>
      </c>
      <c r="AG3309" s="15" t="s">
        <v>55</v>
      </c>
      <c r="AH3309" s="15"/>
      <c r="AI3309" s="15"/>
    </row>
    <row r="3310" spans="1:37" s="6" customFormat="1">
      <c r="A3310" s="6" t="s">
        <v>14482</v>
      </c>
      <c r="B3310" s="6" t="s">
        <v>14483</v>
      </c>
      <c r="C3310" s="6" t="s">
        <v>10301</v>
      </c>
      <c r="D3310" s="6" t="s">
        <v>10937</v>
      </c>
      <c r="E3310" s="6" t="s">
        <v>10938</v>
      </c>
      <c r="F3310" s="6" t="s">
        <v>46</v>
      </c>
      <c r="G3310" s="6" t="s">
        <v>9936</v>
      </c>
      <c r="H3310" s="7"/>
      <c r="I3310" s="6" t="s">
        <v>48</v>
      </c>
      <c r="J3310" s="6" t="s">
        <v>48</v>
      </c>
      <c r="AG3310" s="15" t="s">
        <v>55</v>
      </c>
      <c r="AH3310" s="15"/>
      <c r="AI3310" s="15"/>
    </row>
    <row r="3311" spans="1:37" s="6" customFormat="1">
      <c r="A3311" s="6" t="s">
        <v>14484</v>
      </c>
      <c r="B3311" s="6" t="s">
        <v>14485</v>
      </c>
      <c r="C3311" s="6" t="s">
        <v>43</v>
      </c>
      <c r="D3311" s="6" t="s">
        <v>10937</v>
      </c>
      <c r="E3311" s="6" t="s">
        <v>10938</v>
      </c>
      <c r="F3311" s="6" t="s">
        <v>46</v>
      </c>
      <c r="G3311" s="6" t="s">
        <v>2161</v>
      </c>
      <c r="H3311" s="7"/>
      <c r="I3311" s="5" t="s">
        <v>48</v>
      </c>
      <c r="J3311" s="5" t="s">
        <v>48</v>
      </c>
      <c r="AG3311" s="15" t="s">
        <v>55</v>
      </c>
      <c r="AH3311" s="15"/>
      <c r="AI3311" s="15"/>
    </row>
    <row r="3312" spans="1:37" s="6" customFormat="1">
      <c r="A3312" s="6" t="s">
        <v>14486</v>
      </c>
      <c r="B3312" s="6" t="s">
        <v>14487</v>
      </c>
      <c r="C3312" s="6" t="s">
        <v>10301</v>
      </c>
      <c r="D3312" s="6" t="s">
        <v>10937</v>
      </c>
      <c r="E3312" s="6" t="s">
        <v>10938</v>
      </c>
      <c r="F3312" s="6" t="s">
        <v>46</v>
      </c>
      <c r="G3312" s="6" t="s">
        <v>14488</v>
      </c>
      <c r="H3312" s="7"/>
      <c r="I3312" s="6" t="s">
        <v>48</v>
      </c>
      <c r="J3312" s="6" t="s">
        <v>48</v>
      </c>
      <c r="AG3312" s="15" t="s">
        <v>55</v>
      </c>
      <c r="AH3312" s="15"/>
      <c r="AI3312" s="15"/>
    </row>
    <row r="3313" spans="1:37" s="6" customFormat="1">
      <c r="A3313" s="6" t="s">
        <v>14489</v>
      </c>
      <c r="B3313" s="6" t="s">
        <v>14490</v>
      </c>
      <c r="C3313" s="6" t="s">
        <v>10301</v>
      </c>
      <c r="D3313" s="6" t="s">
        <v>10937</v>
      </c>
      <c r="E3313" s="6" t="s">
        <v>10938</v>
      </c>
      <c r="F3313" s="6" t="s">
        <v>46</v>
      </c>
      <c r="G3313" s="6" t="s">
        <v>8907</v>
      </c>
      <c r="H3313" s="7"/>
      <c r="I3313" s="6" t="s">
        <v>48</v>
      </c>
      <c r="J3313" s="6" t="s">
        <v>48</v>
      </c>
      <c r="AG3313" s="15" t="s">
        <v>55</v>
      </c>
      <c r="AH3313" s="15"/>
      <c r="AI3313" s="15"/>
    </row>
    <row r="3314" spans="1:37" s="6" customFormat="1">
      <c r="A3314" s="6" t="s">
        <v>14491</v>
      </c>
      <c r="B3314" s="6" t="s">
        <v>14492</v>
      </c>
      <c r="C3314" s="6" t="s">
        <v>10301</v>
      </c>
      <c r="D3314" s="6" t="s">
        <v>10937</v>
      </c>
      <c r="E3314" s="6" t="s">
        <v>10938</v>
      </c>
      <c r="F3314" s="6" t="s">
        <v>46</v>
      </c>
      <c r="G3314" s="6" t="s">
        <v>14493</v>
      </c>
      <c r="H3314" s="7"/>
      <c r="I3314" s="6" t="s">
        <v>48</v>
      </c>
      <c r="J3314" s="6" t="s">
        <v>48</v>
      </c>
      <c r="AG3314" s="15" t="s">
        <v>55</v>
      </c>
      <c r="AH3314" s="15"/>
      <c r="AI3314" s="15"/>
    </row>
    <row r="3315" spans="1:37" s="6" customFormat="1">
      <c r="A3315" s="6" t="s">
        <v>14494</v>
      </c>
      <c r="B3315" s="6" t="s">
        <v>14495</v>
      </c>
      <c r="C3315" s="6" t="s">
        <v>10301</v>
      </c>
      <c r="D3315" s="6" t="s">
        <v>10937</v>
      </c>
      <c r="E3315" s="6" t="s">
        <v>10938</v>
      </c>
      <c r="F3315" s="6" t="s">
        <v>46</v>
      </c>
      <c r="G3315" s="6" t="s">
        <v>14496</v>
      </c>
      <c r="H3315" s="7"/>
      <c r="I3315" s="6" t="s">
        <v>48</v>
      </c>
      <c r="J3315" s="6" t="s">
        <v>48</v>
      </c>
      <c r="AG3315" s="15" t="s">
        <v>55</v>
      </c>
      <c r="AH3315" s="15"/>
      <c r="AI3315" s="15"/>
    </row>
    <row r="3316" spans="1:37" s="6" customFormat="1">
      <c r="A3316" s="6" t="s">
        <v>14497</v>
      </c>
      <c r="B3316" s="6" t="s">
        <v>14498</v>
      </c>
      <c r="C3316" s="6" t="s">
        <v>10301</v>
      </c>
      <c r="D3316" s="6" t="s">
        <v>10937</v>
      </c>
      <c r="E3316" s="6" t="s">
        <v>10938</v>
      </c>
      <c r="F3316" s="6" t="s">
        <v>46</v>
      </c>
      <c r="G3316" s="6" t="s">
        <v>3595</v>
      </c>
      <c r="H3316" s="7"/>
      <c r="I3316" s="6" t="s">
        <v>48</v>
      </c>
      <c r="J3316" s="6" t="s">
        <v>48</v>
      </c>
      <c r="AG3316" s="15" t="s">
        <v>55</v>
      </c>
      <c r="AH3316" s="15"/>
      <c r="AI3316" s="15"/>
    </row>
    <row r="3317" spans="1:37" s="6" customFormat="1">
      <c r="A3317" s="6" t="s">
        <v>14499</v>
      </c>
      <c r="B3317" s="6" t="s">
        <v>14500</v>
      </c>
      <c r="C3317" s="6" t="s">
        <v>10301</v>
      </c>
      <c r="D3317" s="6" t="s">
        <v>10937</v>
      </c>
      <c r="E3317" s="6" t="s">
        <v>10938</v>
      </c>
      <c r="F3317" s="6" t="s">
        <v>46</v>
      </c>
      <c r="G3317" s="6" t="s">
        <v>14501</v>
      </c>
      <c r="H3317" s="7"/>
      <c r="I3317" s="6" t="s">
        <v>48</v>
      </c>
      <c r="J3317" s="6" t="s">
        <v>48</v>
      </c>
      <c r="AG3317" s="15" t="s">
        <v>55</v>
      </c>
      <c r="AH3317" s="15"/>
      <c r="AI3317" s="15"/>
    </row>
    <row r="3318" spans="1:37" s="6" customFormat="1">
      <c r="A3318" s="6" t="s">
        <v>14502</v>
      </c>
      <c r="B3318" s="6" t="s">
        <v>14503</v>
      </c>
      <c r="C3318" s="6" t="s">
        <v>10301</v>
      </c>
      <c r="D3318" s="6" t="s">
        <v>10937</v>
      </c>
      <c r="E3318" s="6" t="s">
        <v>10938</v>
      </c>
      <c r="F3318" s="6" t="s">
        <v>46</v>
      </c>
      <c r="G3318" s="6" t="s">
        <v>14504</v>
      </c>
      <c r="H3318" s="7"/>
      <c r="I3318" s="6" t="s">
        <v>48</v>
      </c>
      <c r="J3318" s="6" t="s">
        <v>48</v>
      </c>
      <c r="AG3318" s="15" t="s">
        <v>55</v>
      </c>
      <c r="AH3318" s="15"/>
      <c r="AI3318" s="15"/>
    </row>
    <row r="3319" spans="1:37" s="6" customFormat="1">
      <c r="A3319" s="6" t="s">
        <v>14505</v>
      </c>
      <c r="B3319" s="6" t="s">
        <v>14506</v>
      </c>
      <c r="C3319" s="6" t="s">
        <v>10301</v>
      </c>
      <c r="D3319" s="6" t="s">
        <v>10937</v>
      </c>
      <c r="E3319" s="6" t="s">
        <v>10938</v>
      </c>
      <c r="F3319" s="6" t="s">
        <v>46</v>
      </c>
      <c r="G3319" s="6" t="s">
        <v>4560</v>
      </c>
      <c r="H3319" s="7"/>
      <c r="I3319" s="6" t="s">
        <v>48</v>
      </c>
      <c r="J3319" s="6" t="s">
        <v>48</v>
      </c>
      <c r="AG3319" s="15" t="s">
        <v>55</v>
      </c>
      <c r="AH3319" s="15"/>
      <c r="AI3319" s="15"/>
    </row>
    <row r="3320" spans="1:37" s="6" customFormat="1">
      <c r="A3320" s="6" t="s">
        <v>14507</v>
      </c>
      <c r="B3320" s="6" t="s">
        <v>14508</v>
      </c>
      <c r="C3320" s="6" t="s">
        <v>10301</v>
      </c>
      <c r="D3320" s="6" t="s">
        <v>10937</v>
      </c>
      <c r="E3320" s="6" t="s">
        <v>10938</v>
      </c>
      <c r="F3320" s="6" t="s">
        <v>46</v>
      </c>
      <c r="G3320" s="6" t="s">
        <v>14509</v>
      </c>
      <c r="H3320" s="7"/>
      <c r="I3320" s="6" t="s">
        <v>48</v>
      </c>
      <c r="J3320" s="6" t="s">
        <v>48</v>
      </c>
      <c r="AG3320" s="15" t="s">
        <v>55</v>
      </c>
      <c r="AH3320" s="15"/>
      <c r="AI3320" s="15"/>
    </row>
    <row r="3321" spans="1:37" s="6" customFormat="1">
      <c r="A3321" s="6" t="s">
        <v>14510</v>
      </c>
      <c r="B3321" s="6" t="s">
        <v>14511</v>
      </c>
      <c r="C3321" s="6" t="s">
        <v>1544</v>
      </c>
      <c r="D3321" s="6" t="s">
        <v>10937</v>
      </c>
      <c r="E3321" s="6" t="s">
        <v>10938</v>
      </c>
      <c r="F3321" s="6" t="s">
        <v>46</v>
      </c>
      <c r="G3321" s="6" t="s">
        <v>14512</v>
      </c>
      <c r="H3321" s="7"/>
      <c r="I3321" s="6" t="s">
        <v>48</v>
      </c>
      <c r="J3321" s="6" t="s">
        <v>48</v>
      </c>
      <c r="AG3321" s="15" t="s">
        <v>55</v>
      </c>
      <c r="AH3321" s="15"/>
      <c r="AI3321" s="15"/>
    </row>
    <row r="3322" spans="1:37" s="6" customFormat="1">
      <c r="A3322" s="6" t="s">
        <v>14513</v>
      </c>
      <c r="B3322" s="6" t="s">
        <v>14514</v>
      </c>
      <c r="C3322" s="6" t="s">
        <v>1544</v>
      </c>
      <c r="D3322" s="6" t="s">
        <v>10937</v>
      </c>
      <c r="E3322" s="6" t="s">
        <v>10938</v>
      </c>
      <c r="F3322" s="6" t="s">
        <v>46</v>
      </c>
      <c r="G3322" s="6" t="s">
        <v>10257</v>
      </c>
      <c r="H3322" s="7"/>
      <c r="I3322" s="6" t="s">
        <v>48</v>
      </c>
      <c r="J3322" s="6" t="s">
        <v>48</v>
      </c>
      <c r="AG3322" s="15" t="s">
        <v>55</v>
      </c>
      <c r="AH3322" s="15"/>
      <c r="AI3322" s="15"/>
    </row>
    <row r="3323" spans="1:37" s="6" customFormat="1">
      <c r="A3323" s="6" t="s">
        <v>14515</v>
      </c>
      <c r="B3323" s="6" t="s">
        <v>14516</v>
      </c>
      <c r="C3323" s="6" t="s">
        <v>43</v>
      </c>
      <c r="D3323" s="6" t="s">
        <v>10937</v>
      </c>
      <c r="E3323" s="6" t="s">
        <v>10938</v>
      </c>
      <c r="F3323" s="6" t="s">
        <v>46</v>
      </c>
      <c r="G3323" s="6" t="s">
        <v>14517</v>
      </c>
      <c r="H3323" s="7"/>
      <c r="I3323" s="6" t="s">
        <v>48</v>
      </c>
      <c r="J3323" s="6" t="s">
        <v>48</v>
      </c>
      <c r="AG3323" s="15" t="s">
        <v>55</v>
      </c>
      <c r="AH3323" s="15"/>
      <c r="AI3323" s="15"/>
    </row>
    <row r="3324" spans="1:37" s="6" customFormat="1">
      <c r="A3324" s="6" t="s">
        <v>14518</v>
      </c>
      <c r="B3324" s="6" t="s">
        <v>14519</v>
      </c>
      <c r="C3324" s="6" t="s">
        <v>1544</v>
      </c>
      <c r="D3324" s="6" t="s">
        <v>10937</v>
      </c>
      <c r="E3324" s="6" t="s">
        <v>10938</v>
      </c>
      <c r="F3324" s="6" t="s">
        <v>46</v>
      </c>
      <c r="G3324" s="6" t="s">
        <v>14520</v>
      </c>
      <c r="H3324" s="7"/>
      <c r="I3324" s="6" t="s">
        <v>48</v>
      </c>
      <c r="J3324" s="6" t="s">
        <v>48</v>
      </c>
      <c r="AG3324" s="15" t="s">
        <v>55</v>
      </c>
      <c r="AH3324" s="15"/>
      <c r="AI3324" s="15"/>
    </row>
    <row r="3325" spans="1:37" s="6" customFormat="1">
      <c r="A3325" s="5" t="s">
        <v>14521</v>
      </c>
      <c r="B3325" s="5" t="s">
        <v>14522</v>
      </c>
      <c r="C3325" s="6" t="s">
        <v>1544</v>
      </c>
      <c r="D3325" s="6" t="s">
        <v>10937</v>
      </c>
      <c r="E3325" s="6" t="s">
        <v>10938</v>
      </c>
      <c r="F3325" s="6" t="s">
        <v>46</v>
      </c>
      <c r="G3325" s="6" t="s">
        <v>3900</v>
      </c>
      <c r="H3325" s="18">
        <v>999</v>
      </c>
      <c r="I3325" s="19" t="s">
        <v>13662</v>
      </c>
      <c r="J3325" s="19" t="s">
        <v>14216</v>
      </c>
      <c r="K3325" s="6" t="s">
        <v>14523</v>
      </c>
      <c r="L3325" s="6" t="s">
        <v>14524</v>
      </c>
      <c r="M3325" s="6" t="s">
        <v>14525</v>
      </c>
      <c r="N3325" s="6" t="s">
        <v>14526</v>
      </c>
      <c r="O3325" s="6" t="s">
        <v>14527</v>
      </c>
      <c r="P3325" s="6" t="s">
        <v>14528</v>
      </c>
      <c r="Q3325" s="6" t="s">
        <v>14529</v>
      </c>
      <c r="R3325" s="6" t="s">
        <v>14530</v>
      </c>
      <c r="S3325" s="6" t="s">
        <v>13672</v>
      </c>
      <c r="T3325" s="6" t="s">
        <v>13697</v>
      </c>
      <c r="U3325" s="6" t="s">
        <v>13674</v>
      </c>
      <c r="V3325" s="6" t="s">
        <v>13675</v>
      </c>
      <c r="W3325" s="6" t="s">
        <v>13676</v>
      </c>
      <c r="X3325" s="6" t="s">
        <v>13677</v>
      </c>
      <c r="Y3325" s="6" t="s">
        <v>13678</v>
      </c>
      <c r="Z3325" s="6" t="s">
        <v>13679</v>
      </c>
      <c r="AA3325" s="6" t="s">
        <v>13680</v>
      </c>
      <c r="AB3325" s="6" t="s">
        <v>13681</v>
      </c>
      <c r="AC3325" s="6" t="s">
        <v>13682</v>
      </c>
      <c r="AD3325" s="6" t="s">
        <v>13683</v>
      </c>
      <c r="AE3325" s="5"/>
      <c r="AF3325" s="5"/>
      <c r="AG3325" s="14" t="s">
        <v>49</v>
      </c>
      <c r="AH3325" s="14" t="s">
        <v>1102</v>
      </c>
      <c r="AI3325" s="14" t="s">
        <v>13684</v>
      </c>
      <c r="AJ3325" s="5" t="s">
        <v>13685</v>
      </c>
      <c r="AK3325" s="5"/>
    </row>
    <row r="3326" spans="1:37">
      <c r="A3326" s="6" t="s">
        <v>14531</v>
      </c>
      <c r="B3326" s="6" t="s">
        <v>14532</v>
      </c>
      <c r="C3326" s="6" t="s">
        <v>43</v>
      </c>
      <c r="D3326" s="6" t="s">
        <v>10937</v>
      </c>
      <c r="E3326" s="6" t="s">
        <v>10938</v>
      </c>
      <c r="F3326" s="6" t="s">
        <v>46</v>
      </c>
      <c r="G3326" s="6" t="s">
        <v>14533</v>
      </c>
      <c r="I3326" s="6" t="s">
        <v>48</v>
      </c>
      <c r="J3326" s="6" t="s">
        <v>48</v>
      </c>
      <c r="K3326" s="6"/>
      <c r="L3326" s="6"/>
      <c r="M3326" s="6"/>
      <c r="N3326" s="6"/>
      <c r="O3326" s="6"/>
      <c r="P3326" s="6"/>
      <c r="Q3326" s="6"/>
      <c r="R3326" s="6"/>
      <c r="S3326" s="6"/>
      <c r="T3326" s="6"/>
      <c r="U3326" s="6"/>
      <c r="V3326" s="6"/>
      <c r="W3326" s="6"/>
      <c r="X3326" s="6"/>
      <c r="Y3326" s="6"/>
      <c r="Z3326" s="6"/>
      <c r="AA3326" s="6"/>
      <c r="AB3326" s="6"/>
      <c r="AC3326" s="6"/>
      <c r="AD3326" s="6"/>
      <c r="AE3326" s="6"/>
      <c r="AF3326" s="6"/>
      <c r="AG3326" s="15" t="s">
        <v>55</v>
      </c>
      <c r="AH3326" s="15"/>
      <c r="AI3326" s="15"/>
      <c r="AJ3326" s="6"/>
      <c r="AK3326" s="6"/>
    </row>
    <row r="3327" spans="1:37" s="6" customFormat="1">
      <c r="A3327" s="6" t="s">
        <v>14534</v>
      </c>
      <c r="B3327" s="6" t="s">
        <v>14535</v>
      </c>
      <c r="C3327" s="6" t="s">
        <v>43</v>
      </c>
      <c r="D3327" s="6" t="s">
        <v>10937</v>
      </c>
      <c r="E3327" s="6" t="s">
        <v>10938</v>
      </c>
      <c r="F3327" s="6" t="s">
        <v>46</v>
      </c>
      <c r="G3327" s="6" t="s">
        <v>14536</v>
      </c>
      <c r="H3327" s="7"/>
      <c r="I3327" s="5" t="s">
        <v>48</v>
      </c>
      <c r="J3327" s="5" t="s">
        <v>48</v>
      </c>
      <c r="AG3327" s="15" t="s">
        <v>55</v>
      </c>
      <c r="AH3327" s="15"/>
      <c r="AI3327" s="15"/>
    </row>
    <row r="3328" spans="1:37" s="6" customFormat="1">
      <c r="A3328" s="6" t="s">
        <v>14537</v>
      </c>
      <c r="B3328" s="6" t="s">
        <v>14538</v>
      </c>
      <c r="C3328" s="6" t="s">
        <v>1544</v>
      </c>
      <c r="D3328" s="6" t="s">
        <v>10937</v>
      </c>
      <c r="E3328" s="6" t="s">
        <v>10938</v>
      </c>
      <c r="F3328" s="6" t="s">
        <v>46</v>
      </c>
      <c r="G3328" s="6" t="s">
        <v>14539</v>
      </c>
      <c r="H3328" s="7"/>
      <c r="I3328" s="6" t="s">
        <v>48</v>
      </c>
      <c r="J3328" s="6" t="s">
        <v>48</v>
      </c>
      <c r="AG3328" s="15" t="s">
        <v>55</v>
      </c>
      <c r="AH3328" s="15"/>
      <c r="AI3328" s="15"/>
    </row>
    <row r="3329" spans="1:35" s="6" customFormat="1">
      <c r="A3329" s="6" t="s">
        <v>14540</v>
      </c>
      <c r="B3329" s="6" t="s">
        <v>14541</v>
      </c>
      <c r="C3329" s="6" t="s">
        <v>1544</v>
      </c>
      <c r="D3329" s="6" t="s">
        <v>10937</v>
      </c>
      <c r="E3329" s="6" t="s">
        <v>10938</v>
      </c>
      <c r="F3329" s="6" t="s">
        <v>46</v>
      </c>
      <c r="G3329" s="6" t="s">
        <v>8948</v>
      </c>
      <c r="H3329" s="7"/>
      <c r="I3329" s="6" t="s">
        <v>48</v>
      </c>
      <c r="J3329" s="6" t="s">
        <v>48</v>
      </c>
      <c r="AG3329" s="15" t="s">
        <v>55</v>
      </c>
      <c r="AH3329" s="15"/>
      <c r="AI3329" s="15"/>
    </row>
    <row r="3330" spans="1:35" s="6" customFormat="1">
      <c r="A3330" s="6" t="s">
        <v>14542</v>
      </c>
      <c r="B3330" s="6" t="s">
        <v>14543</v>
      </c>
      <c r="C3330" s="6" t="s">
        <v>1544</v>
      </c>
      <c r="D3330" s="6" t="s">
        <v>10937</v>
      </c>
      <c r="E3330" s="6" t="s">
        <v>10938</v>
      </c>
      <c r="F3330" s="6" t="s">
        <v>46</v>
      </c>
      <c r="G3330" s="6" t="s">
        <v>3671</v>
      </c>
      <c r="H3330" s="7"/>
      <c r="I3330" s="6" t="s">
        <v>48</v>
      </c>
      <c r="J3330" s="6" t="s">
        <v>48</v>
      </c>
      <c r="AG3330" s="15" t="s">
        <v>55</v>
      </c>
      <c r="AH3330" s="15"/>
      <c r="AI3330" s="15"/>
    </row>
    <row r="3331" spans="1:35" s="6" customFormat="1">
      <c r="A3331" s="6" t="s">
        <v>14544</v>
      </c>
      <c r="B3331" s="6" t="s">
        <v>14545</v>
      </c>
      <c r="C3331" s="6" t="s">
        <v>8002</v>
      </c>
      <c r="D3331" s="6" t="s">
        <v>10937</v>
      </c>
      <c r="E3331" s="6" t="s">
        <v>10938</v>
      </c>
      <c r="F3331" s="6" t="s">
        <v>46</v>
      </c>
      <c r="G3331" s="6" t="s">
        <v>10724</v>
      </c>
      <c r="H3331" s="7"/>
      <c r="I3331" s="6" t="s">
        <v>48</v>
      </c>
      <c r="J3331" s="6" t="s">
        <v>48</v>
      </c>
      <c r="AG3331" s="15" t="s">
        <v>55</v>
      </c>
      <c r="AH3331" s="15"/>
      <c r="AI3331" s="15"/>
    </row>
    <row r="3332" spans="1:35" s="6" customFormat="1">
      <c r="A3332" s="6" t="s">
        <v>14546</v>
      </c>
      <c r="B3332" s="6" t="s">
        <v>14547</v>
      </c>
      <c r="C3332" s="6" t="s">
        <v>43</v>
      </c>
      <c r="D3332" s="6" t="s">
        <v>10937</v>
      </c>
      <c r="E3332" s="6" t="s">
        <v>10938</v>
      </c>
      <c r="F3332" s="6" t="s">
        <v>46</v>
      </c>
      <c r="G3332" s="6" t="s">
        <v>14548</v>
      </c>
      <c r="H3332" s="7"/>
      <c r="I3332" s="5" t="s">
        <v>48</v>
      </c>
      <c r="J3332" s="5" t="s">
        <v>48</v>
      </c>
      <c r="AG3332" s="15" t="s">
        <v>55</v>
      </c>
      <c r="AH3332" s="15"/>
      <c r="AI3332" s="15"/>
    </row>
    <row r="3333" spans="1:35" s="6" customFormat="1">
      <c r="A3333" s="6" t="s">
        <v>14549</v>
      </c>
      <c r="B3333" s="6" t="s">
        <v>14550</v>
      </c>
      <c r="C3333" s="6" t="s">
        <v>1544</v>
      </c>
      <c r="D3333" s="6" t="s">
        <v>10937</v>
      </c>
      <c r="E3333" s="6" t="s">
        <v>10938</v>
      </c>
      <c r="F3333" s="6" t="s">
        <v>46</v>
      </c>
      <c r="G3333" s="6" t="s">
        <v>14551</v>
      </c>
      <c r="H3333" s="7"/>
      <c r="I3333" s="6" t="s">
        <v>48</v>
      </c>
      <c r="J3333" s="6" t="s">
        <v>48</v>
      </c>
      <c r="AG3333" s="15" t="s">
        <v>55</v>
      </c>
      <c r="AH3333" s="15"/>
      <c r="AI3333" s="15"/>
    </row>
    <row r="3334" spans="1:35" s="6" customFormat="1">
      <c r="A3334" s="6" t="s">
        <v>14552</v>
      </c>
      <c r="B3334" s="6" t="s">
        <v>14553</v>
      </c>
      <c r="C3334" s="6" t="s">
        <v>43</v>
      </c>
      <c r="D3334" s="6" t="s">
        <v>10937</v>
      </c>
      <c r="E3334" s="6" t="s">
        <v>10938</v>
      </c>
      <c r="F3334" s="6" t="s">
        <v>46</v>
      </c>
      <c r="G3334" s="6" t="s">
        <v>14554</v>
      </c>
      <c r="H3334" s="7"/>
      <c r="I3334" s="6" t="s">
        <v>48</v>
      </c>
      <c r="J3334" s="6" t="s">
        <v>48</v>
      </c>
      <c r="AG3334" s="15" t="s">
        <v>55</v>
      </c>
      <c r="AH3334" s="15"/>
      <c r="AI3334" s="15"/>
    </row>
    <row r="3335" spans="1:35" s="6" customFormat="1">
      <c r="A3335" s="6" t="s">
        <v>14555</v>
      </c>
      <c r="B3335" s="6" t="s">
        <v>14556</v>
      </c>
      <c r="C3335" s="6" t="s">
        <v>43</v>
      </c>
      <c r="D3335" s="6" t="s">
        <v>10937</v>
      </c>
      <c r="E3335" s="6" t="s">
        <v>10938</v>
      </c>
      <c r="F3335" s="6" t="s">
        <v>46</v>
      </c>
      <c r="G3335" s="6" t="s">
        <v>14557</v>
      </c>
      <c r="H3335" s="7"/>
      <c r="I3335" s="6" t="s">
        <v>48</v>
      </c>
      <c r="J3335" s="6" t="s">
        <v>48</v>
      </c>
      <c r="AG3335" s="15" t="s">
        <v>55</v>
      </c>
      <c r="AH3335" s="15"/>
      <c r="AI3335" s="15"/>
    </row>
    <row r="3336" spans="1:35" s="6" customFormat="1">
      <c r="A3336" s="6" t="s">
        <v>14558</v>
      </c>
      <c r="B3336" s="6" t="s">
        <v>14559</v>
      </c>
      <c r="C3336" s="6" t="s">
        <v>43</v>
      </c>
      <c r="D3336" s="6" t="s">
        <v>10937</v>
      </c>
      <c r="E3336" s="6" t="s">
        <v>10938</v>
      </c>
      <c r="F3336" s="6" t="s">
        <v>46</v>
      </c>
      <c r="G3336" s="6" t="s">
        <v>14560</v>
      </c>
      <c r="H3336" s="7"/>
      <c r="I3336" s="6" t="s">
        <v>48</v>
      </c>
      <c r="J3336" s="6" t="s">
        <v>48</v>
      </c>
      <c r="AG3336" s="15" t="s">
        <v>55</v>
      </c>
      <c r="AH3336" s="15"/>
      <c r="AI3336" s="15"/>
    </row>
    <row r="3337" spans="1:35" s="6" customFormat="1">
      <c r="A3337" s="6" t="s">
        <v>14561</v>
      </c>
      <c r="B3337" s="6" t="s">
        <v>14562</v>
      </c>
      <c r="C3337" s="6" t="s">
        <v>43</v>
      </c>
      <c r="D3337" s="6" t="s">
        <v>10937</v>
      </c>
      <c r="E3337" s="6" t="s">
        <v>10938</v>
      </c>
      <c r="F3337" s="6" t="s">
        <v>46</v>
      </c>
      <c r="G3337" s="6" t="s">
        <v>5022</v>
      </c>
      <c r="H3337" s="7"/>
      <c r="I3337" s="6" t="s">
        <v>48</v>
      </c>
      <c r="J3337" s="6" t="s">
        <v>48</v>
      </c>
      <c r="AG3337" s="15" t="s">
        <v>55</v>
      </c>
      <c r="AH3337" s="15"/>
      <c r="AI3337" s="15"/>
    </row>
    <row r="3338" spans="1:35" s="6" customFormat="1">
      <c r="A3338" s="6" t="s">
        <v>14563</v>
      </c>
      <c r="B3338" s="6" t="s">
        <v>14564</v>
      </c>
      <c r="C3338" s="6" t="s">
        <v>43</v>
      </c>
      <c r="D3338" s="6" t="s">
        <v>10937</v>
      </c>
      <c r="E3338" s="6" t="s">
        <v>10938</v>
      </c>
      <c r="F3338" s="6" t="s">
        <v>46</v>
      </c>
      <c r="G3338" s="6" t="s">
        <v>2161</v>
      </c>
      <c r="H3338" s="7"/>
      <c r="I3338" s="6" t="s">
        <v>48</v>
      </c>
      <c r="J3338" s="6" t="s">
        <v>48</v>
      </c>
      <c r="AG3338" s="15" t="s">
        <v>55</v>
      </c>
      <c r="AH3338" s="15"/>
      <c r="AI3338" s="15"/>
    </row>
    <row r="3339" spans="1:35" s="6" customFormat="1">
      <c r="A3339" s="6" t="s">
        <v>14565</v>
      </c>
      <c r="B3339" s="6" t="s">
        <v>14566</v>
      </c>
      <c r="C3339" s="6" t="s">
        <v>43</v>
      </c>
      <c r="D3339" s="6" t="s">
        <v>10937</v>
      </c>
      <c r="E3339" s="6" t="s">
        <v>10938</v>
      </c>
      <c r="F3339" s="6" t="s">
        <v>46</v>
      </c>
      <c r="G3339" s="6" t="s">
        <v>2161</v>
      </c>
      <c r="H3339" s="7"/>
      <c r="I3339" s="6" t="s">
        <v>48</v>
      </c>
      <c r="J3339" s="6" t="s">
        <v>48</v>
      </c>
      <c r="AG3339" s="15" t="s">
        <v>55</v>
      </c>
      <c r="AH3339" s="15"/>
      <c r="AI3339" s="15"/>
    </row>
    <row r="3340" spans="1:35" s="6" customFormat="1">
      <c r="A3340" s="6" t="s">
        <v>14567</v>
      </c>
      <c r="B3340" s="6" t="s">
        <v>14568</v>
      </c>
      <c r="C3340" s="6" t="s">
        <v>43</v>
      </c>
      <c r="D3340" s="6" t="s">
        <v>10937</v>
      </c>
      <c r="E3340" s="6" t="s">
        <v>10938</v>
      </c>
      <c r="F3340" s="6" t="s">
        <v>46</v>
      </c>
      <c r="G3340" s="6" t="s">
        <v>14569</v>
      </c>
      <c r="H3340" s="7"/>
      <c r="I3340" s="16" t="s">
        <v>48</v>
      </c>
      <c r="J3340" s="16" t="s">
        <v>48</v>
      </c>
      <c r="AG3340" s="15" t="s">
        <v>55</v>
      </c>
      <c r="AH3340" s="15"/>
      <c r="AI3340" s="15"/>
    </row>
    <row r="3341" spans="1:35" s="6" customFormat="1">
      <c r="A3341" s="6" t="s">
        <v>14570</v>
      </c>
      <c r="B3341" s="6" t="s">
        <v>14571</v>
      </c>
      <c r="C3341" s="6" t="s">
        <v>43</v>
      </c>
      <c r="D3341" s="6" t="s">
        <v>10937</v>
      </c>
      <c r="E3341" s="6" t="s">
        <v>10938</v>
      </c>
      <c r="F3341" s="6" t="s">
        <v>46</v>
      </c>
      <c r="G3341" s="6" t="s">
        <v>14572</v>
      </c>
      <c r="H3341" s="7"/>
      <c r="I3341" s="16" t="s">
        <v>48</v>
      </c>
      <c r="J3341" s="16" t="s">
        <v>48</v>
      </c>
      <c r="AG3341" s="15" t="s">
        <v>55</v>
      </c>
      <c r="AH3341" s="15"/>
      <c r="AI3341" s="15"/>
    </row>
    <row r="3342" spans="1:35" s="6" customFormat="1">
      <c r="A3342" s="6" t="s">
        <v>14573</v>
      </c>
      <c r="B3342" s="6" t="s">
        <v>14574</v>
      </c>
      <c r="C3342" s="6" t="s">
        <v>43</v>
      </c>
      <c r="D3342" s="6" t="s">
        <v>10937</v>
      </c>
      <c r="E3342" s="6" t="s">
        <v>10938</v>
      </c>
      <c r="F3342" s="6" t="s">
        <v>46</v>
      </c>
      <c r="G3342" s="6" t="s">
        <v>14575</v>
      </c>
      <c r="H3342" s="7"/>
      <c r="I3342" s="6" t="s">
        <v>48</v>
      </c>
      <c r="J3342" s="6" t="s">
        <v>48</v>
      </c>
      <c r="AG3342" s="15" t="s">
        <v>55</v>
      </c>
      <c r="AH3342" s="15"/>
      <c r="AI3342" s="15"/>
    </row>
    <row r="3343" spans="1:35" s="6" customFormat="1">
      <c r="A3343" s="6" t="s">
        <v>14576</v>
      </c>
      <c r="B3343" s="6" t="s">
        <v>14577</v>
      </c>
      <c r="C3343" s="6" t="s">
        <v>43</v>
      </c>
      <c r="D3343" s="6" t="s">
        <v>10937</v>
      </c>
      <c r="E3343" s="6" t="s">
        <v>10938</v>
      </c>
      <c r="F3343" s="6" t="s">
        <v>46</v>
      </c>
      <c r="G3343" s="6" t="s">
        <v>14578</v>
      </c>
      <c r="H3343" s="7"/>
      <c r="I3343" s="6" t="s">
        <v>48</v>
      </c>
      <c r="J3343" s="6" t="s">
        <v>48</v>
      </c>
      <c r="AG3343" s="15" t="s">
        <v>55</v>
      </c>
      <c r="AH3343" s="15"/>
      <c r="AI3343" s="15"/>
    </row>
    <row r="3344" spans="1:35" s="6" customFormat="1">
      <c r="A3344" s="6" t="s">
        <v>14579</v>
      </c>
      <c r="B3344" s="6" t="s">
        <v>14580</v>
      </c>
      <c r="C3344" s="6" t="s">
        <v>43</v>
      </c>
      <c r="D3344" s="6" t="s">
        <v>10937</v>
      </c>
      <c r="E3344" s="6" t="s">
        <v>10938</v>
      </c>
      <c r="F3344" s="6" t="s">
        <v>46</v>
      </c>
      <c r="G3344" s="6" t="s">
        <v>14581</v>
      </c>
      <c r="H3344" s="7"/>
      <c r="I3344" s="6" t="s">
        <v>48</v>
      </c>
      <c r="J3344" s="6" t="s">
        <v>48</v>
      </c>
      <c r="AG3344" s="15" t="s">
        <v>55</v>
      </c>
      <c r="AH3344" s="15"/>
      <c r="AI3344" s="15"/>
    </row>
    <row r="3345" spans="1:35" s="6" customFormat="1">
      <c r="A3345" s="6" t="s">
        <v>14582</v>
      </c>
      <c r="B3345" s="6" t="s">
        <v>14583</v>
      </c>
      <c r="C3345" s="6" t="s">
        <v>43</v>
      </c>
      <c r="D3345" s="6" t="s">
        <v>10937</v>
      </c>
      <c r="E3345" s="6" t="s">
        <v>10938</v>
      </c>
      <c r="F3345" s="6" t="s">
        <v>46</v>
      </c>
      <c r="G3345" s="6" t="s">
        <v>14584</v>
      </c>
      <c r="H3345" s="7"/>
      <c r="I3345" s="6" t="s">
        <v>48</v>
      </c>
      <c r="J3345" s="6" t="s">
        <v>48</v>
      </c>
      <c r="AG3345" s="15" t="s">
        <v>55</v>
      </c>
      <c r="AH3345" s="15"/>
      <c r="AI3345" s="15"/>
    </row>
    <row r="3346" spans="1:35" s="6" customFormat="1">
      <c r="A3346" s="6" t="s">
        <v>14585</v>
      </c>
      <c r="B3346" s="6" t="s">
        <v>14586</v>
      </c>
      <c r="C3346" s="6" t="s">
        <v>43</v>
      </c>
      <c r="D3346" s="6" t="s">
        <v>10937</v>
      </c>
      <c r="E3346" s="6" t="s">
        <v>10938</v>
      </c>
      <c r="F3346" s="6" t="s">
        <v>46</v>
      </c>
      <c r="G3346" s="6" t="s">
        <v>14587</v>
      </c>
      <c r="H3346" s="7"/>
      <c r="I3346" s="6" t="s">
        <v>48</v>
      </c>
      <c r="J3346" s="6" t="s">
        <v>48</v>
      </c>
      <c r="AG3346" s="15" t="s">
        <v>55</v>
      </c>
      <c r="AH3346" s="15"/>
      <c r="AI3346" s="15"/>
    </row>
    <row r="3347" spans="1:35" s="6" customFormat="1">
      <c r="A3347" s="6" t="s">
        <v>14588</v>
      </c>
      <c r="B3347" s="6" t="s">
        <v>14589</v>
      </c>
      <c r="C3347" s="6" t="s">
        <v>43</v>
      </c>
      <c r="D3347" s="6" t="s">
        <v>10937</v>
      </c>
      <c r="E3347" s="6" t="s">
        <v>10938</v>
      </c>
      <c r="F3347" s="6" t="s">
        <v>46</v>
      </c>
      <c r="G3347" s="6" t="s">
        <v>14590</v>
      </c>
      <c r="H3347" s="7"/>
      <c r="I3347" s="6" t="s">
        <v>48</v>
      </c>
      <c r="J3347" s="6" t="s">
        <v>48</v>
      </c>
      <c r="AG3347" s="15" t="s">
        <v>55</v>
      </c>
      <c r="AH3347" s="15"/>
      <c r="AI3347" s="15"/>
    </row>
    <row r="3348" spans="1:35" s="6" customFormat="1">
      <c r="A3348" s="6" t="s">
        <v>14591</v>
      </c>
      <c r="B3348" s="6" t="s">
        <v>14592</v>
      </c>
      <c r="C3348" s="6" t="s">
        <v>43</v>
      </c>
      <c r="D3348" s="6" t="s">
        <v>10937</v>
      </c>
      <c r="E3348" s="6" t="s">
        <v>10938</v>
      </c>
      <c r="F3348" s="6" t="s">
        <v>46</v>
      </c>
      <c r="G3348" s="6" t="s">
        <v>3679</v>
      </c>
      <c r="H3348" s="7"/>
      <c r="I3348" s="6" t="s">
        <v>48</v>
      </c>
      <c r="J3348" s="6" t="s">
        <v>48</v>
      </c>
      <c r="AG3348" s="15" t="s">
        <v>55</v>
      </c>
      <c r="AH3348" s="15"/>
      <c r="AI3348" s="15"/>
    </row>
    <row r="3349" spans="1:35" s="6" customFormat="1">
      <c r="A3349" s="6" t="s">
        <v>14593</v>
      </c>
      <c r="B3349" s="6" t="s">
        <v>14594</v>
      </c>
      <c r="C3349" s="6" t="s">
        <v>43</v>
      </c>
      <c r="D3349" s="6" t="s">
        <v>10937</v>
      </c>
      <c r="E3349" s="6" t="s">
        <v>10938</v>
      </c>
      <c r="F3349" s="6" t="s">
        <v>46</v>
      </c>
      <c r="G3349" s="6" t="s">
        <v>1630</v>
      </c>
      <c r="H3349" s="7"/>
      <c r="I3349" s="6" t="s">
        <v>48</v>
      </c>
      <c r="J3349" s="6" t="s">
        <v>48</v>
      </c>
      <c r="AG3349" s="15" t="s">
        <v>55</v>
      </c>
      <c r="AH3349" s="15"/>
      <c r="AI3349" s="15"/>
    </row>
    <row r="3350" spans="1:35" s="6" customFormat="1">
      <c r="A3350" s="6" t="s">
        <v>14595</v>
      </c>
      <c r="B3350" s="6" t="s">
        <v>14596</v>
      </c>
      <c r="C3350" s="6" t="s">
        <v>43</v>
      </c>
      <c r="D3350" s="6" t="s">
        <v>10937</v>
      </c>
      <c r="E3350" s="6" t="s">
        <v>10938</v>
      </c>
      <c r="F3350" s="6" t="s">
        <v>46</v>
      </c>
      <c r="G3350" s="6" t="s">
        <v>13729</v>
      </c>
      <c r="H3350" s="7"/>
      <c r="I3350" s="6" t="s">
        <v>48</v>
      </c>
      <c r="J3350" s="6" t="s">
        <v>48</v>
      </c>
      <c r="AG3350" s="15" t="s">
        <v>55</v>
      </c>
      <c r="AH3350" s="15"/>
      <c r="AI3350" s="15"/>
    </row>
    <row r="3351" spans="1:35" s="6" customFormat="1">
      <c r="A3351" s="6" t="s">
        <v>14597</v>
      </c>
      <c r="B3351" s="6" t="s">
        <v>14598</v>
      </c>
      <c r="C3351" s="6" t="s">
        <v>43</v>
      </c>
      <c r="D3351" s="6" t="s">
        <v>10937</v>
      </c>
      <c r="E3351" s="6" t="s">
        <v>10938</v>
      </c>
      <c r="F3351" s="6" t="s">
        <v>46</v>
      </c>
      <c r="G3351" s="6" t="s">
        <v>14599</v>
      </c>
      <c r="H3351" s="7"/>
      <c r="I3351" s="6" t="s">
        <v>48</v>
      </c>
      <c r="J3351" s="6" t="s">
        <v>48</v>
      </c>
      <c r="AG3351" s="15" t="s">
        <v>55</v>
      </c>
      <c r="AH3351" s="15"/>
      <c r="AI3351" s="15"/>
    </row>
    <row r="3352" spans="1:35" s="6" customFormat="1">
      <c r="A3352" s="6" t="s">
        <v>14600</v>
      </c>
      <c r="B3352" s="6" t="s">
        <v>14601</v>
      </c>
      <c r="C3352" s="6" t="s">
        <v>43</v>
      </c>
      <c r="D3352" s="6" t="s">
        <v>10937</v>
      </c>
      <c r="E3352" s="6" t="s">
        <v>10938</v>
      </c>
      <c r="F3352" s="6" t="s">
        <v>46</v>
      </c>
      <c r="G3352" s="6" t="s">
        <v>43</v>
      </c>
      <c r="H3352" s="7"/>
      <c r="I3352" s="6" t="s">
        <v>48</v>
      </c>
      <c r="J3352" s="6" t="s">
        <v>48</v>
      </c>
      <c r="AG3352" s="15" t="s">
        <v>49</v>
      </c>
      <c r="AH3352" s="15"/>
      <c r="AI3352" s="15"/>
    </row>
    <row r="3353" spans="1:35" s="6" customFormat="1">
      <c r="A3353" s="6" t="s">
        <v>14602</v>
      </c>
      <c r="B3353" s="6" t="s">
        <v>14603</v>
      </c>
      <c r="C3353" s="6" t="s">
        <v>43</v>
      </c>
      <c r="D3353" s="6" t="s">
        <v>10937</v>
      </c>
      <c r="E3353" s="6" t="s">
        <v>10938</v>
      </c>
      <c r="F3353" s="6" t="s">
        <v>46</v>
      </c>
      <c r="G3353" s="6" t="s">
        <v>14604</v>
      </c>
      <c r="H3353" s="7"/>
      <c r="I3353" s="6" t="s">
        <v>48</v>
      </c>
      <c r="J3353" s="6" t="s">
        <v>48</v>
      </c>
      <c r="AG3353" s="15" t="s">
        <v>55</v>
      </c>
      <c r="AH3353" s="15"/>
      <c r="AI3353" s="15"/>
    </row>
    <row r="3354" spans="1:35" s="6" customFormat="1">
      <c r="A3354" s="6" t="s">
        <v>14605</v>
      </c>
      <c r="B3354" s="6" t="s">
        <v>14606</v>
      </c>
      <c r="C3354" s="6" t="s">
        <v>43</v>
      </c>
      <c r="D3354" s="6" t="s">
        <v>10937</v>
      </c>
      <c r="E3354" s="6" t="s">
        <v>10938</v>
      </c>
      <c r="F3354" s="6" t="s">
        <v>46</v>
      </c>
      <c r="G3354" s="6" t="s">
        <v>14607</v>
      </c>
      <c r="H3354" s="7"/>
      <c r="I3354" s="6" t="s">
        <v>48</v>
      </c>
      <c r="J3354" s="6" t="s">
        <v>48</v>
      </c>
      <c r="AG3354" s="15" t="s">
        <v>55</v>
      </c>
      <c r="AH3354" s="15"/>
      <c r="AI3354" s="15"/>
    </row>
    <row r="3355" spans="1:35" s="6" customFormat="1">
      <c r="A3355" s="6" t="s">
        <v>14608</v>
      </c>
      <c r="B3355" s="6" t="s">
        <v>14609</v>
      </c>
      <c r="C3355" s="6" t="s">
        <v>14610</v>
      </c>
      <c r="D3355" s="6" t="s">
        <v>10937</v>
      </c>
      <c r="E3355" s="6" t="s">
        <v>10938</v>
      </c>
      <c r="F3355" s="6" t="s">
        <v>46</v>
      </c>
      <c r="G3355" s="6" t="s">
        <v>14611</v>
      </c>
      <c r="H3355" s="7"/>
      <c r="I3355" s="6" t="s">
        <v>48</v>
      </c>
      <c r="J3355" s="6" t="s">
        <v>48</v>
      </c>
      <c r="AG3355" s="15" t="s">
        <v>55</v>
      </c>
      <c r="AH3355" s="15"/>
      <c r="AI3355" s="15"/>
    </row>
    <row r="3356" spans="1:35" s="6" customFormat="1">
      <c r="A3356" s="6" t="s">
        <v>14612</v>
      </c>
      <c r="B3356" s="6" t="s">
        <v>14613</v>
      </c>
      <c r="C3356" s="6" t="s">
        <v>43</v>
      </c>
      <c r="D3356" s="6" t="s">
        <v>10937</v>
      </c>
      <c r="E3356" s="6" t="s">
        <v>10938</v>
      </c>
      <c r="F3356" s="6" t="s">
        <v>46</v>
      </c>
      <c r="G3356" s="6" t="s">
        <v>14614</v>
      </c>
      <c r="H3356" s="7"/>
      <c r="I3356" s="6" t="s">
        <v>48</v>
      </c>
      <c r="J3356" s="6" t="s">
        <v>48</v>
      </c>
      <c r="AG3356" s="15" t="s">
        <v>55</v>
      </c>
      <c r="AH3356" s="15"/>
      <c r="AI3356" s="15"/>
    </row>
    <row r="3357" spans="1:35" s="6" customFormat="1">
      <c r="A3357" s="6" t="s">
        <v>14615</v>
      </c>
      <c r="B3357" s="6" t="s">
        <v>14616</v>
      </c>
      <c r="C3357" s="6" t="s">
        <v>43</v>
      </c>
      <c r="D3357" s="6" t="s">
        <v>10937</v>
      </c>
      <c r="E3357" s="6" t="s">
        <v>10938</v>
      </c>
      <c r="F3357" s="6" t="s">
        <v>46</v>
      </c>
      <c r="G3357" s="6" t="s">
        <v>14617</v>
      </c>
      <c r="H3357" s="7"/>
      <c r="I3357" s="6" t="s">
        <v>48</v>
      </c>
      <c r="J3357" s="6" t="s">
        <v>48</v>
      </c>
      <c r="AG3357" s="15" t="s">
        <v>55</v>
      </c>
      <c r="AH3357" s="15"/>
      <c r="AI3357" s="15"/>
    </row>
    <row r="3358" spans="1:35" s="6" customFormat="1">
      <c r="A3358" s="6" t="s">
        <v>14618</v>
      </c>
      <c r="B3358" s="6" t="s">
        <v>14619</v>
      </c>
      <c r="C3358" s="6" t="s">
        <v>43</v>
      </c>
      <c r="D3358" s="6" t="s">
        <v>10937</v>
      </c>
      <c r="E3358" s="6" t="s">
        <v>10938</v>
      </c>
      <c r="F3358" s="6" t="s">
        <v>46</v>
      </c>
      <c r="G3358" s="6" t="s">
        <v>14620</v>
      </c>
      <c r="H3358" s="7"/>
      <c r="I3358" s="6" t="s">
        <v>48</v>
      </c>
      <c r="J3358" s="6" t="s">
        <v>48</v>
      </c>
      <c r="AG3358" s="15" t="s">
        <v>55</v>
      </c>
      <c r="AH3358" s="15"/>
      <c r="AI3358" s="15"/>
    </row>
    <row r="3359" spans="1:35" s="6" customFormat="1">
      <c r="A3359" s="6" t="s">
        <v>14621</v>
      </c>
      <c r="B3359" s="6" t="s">
        <v>14622</v>
      </c>
      <c r="C3359" s="6" t="s">
        <v>43</v>
      </c>
      <c r="D3359" s="6" t="s">
        <v>10937</v>
      </c>
      <c r="E3359" s="6" t="s">
        <v>10938</v>
      </c>
      <c r="F3359" s="6" t="s">
        <v>46</v>
      </c>
      <c r="G3359" s="6" t="s">
        <v>10770</v>
      </c>
      <c r="H3359" s="7"/>
      <c r="I3359" s="6" t="s">
        <v>48</v>
      </c>
      <c r="J3359" s="6" t="s">
        <v>48</v>
      </c>
      <c r="AG3359" s="15" t="s">
        <v>55</v>
      </c>
      <c r="AH3359" s="15"/>
      <c r="AI3359" s="15"/>
    </row>
    <row r="3360" spans="1:35" s="6" customFormat="1">
      <c r="A3360" s="6" t="s">
        <v>14623</v>
      </c>
      <c r="B3360" s="6" t="s">
        <v>14624</v>
      </c>
      <c r="C3360" s="6" t="s">
        <v>43</v>
      </c>
      <c r="D3360" s="6" t="s">
        <v>10937</v>
      </c>
      <c r="E3360" s="6" t="s">
        <v>10938</v>
      </c>
      <c r="F3360" s="6" t="s">
        <v>46</v>
      </c>
      <c r="G3360" s="6" t="s">
        <v>2856</v>
      </c>
      <c r="H3360" s="7"/>
      <c r="I3360" s="6" t="s">
        <v>48</v>
      </c>
      <c r="J3360" s="6" t="s">
        <v>48</v>
      </c>
      <c r="AG3360" s="15" t="s">
        <v>55</v>
      </c>
      <c r="AH3360" s="15"/>
      <c r="AI3360" s="15"/>
    </row>
    <row r="3361" spans="1:37" s="6" customFormat="1">
      <c r="A3361" s="6" t="s">
        <v>14625</v>
      </c>
      <c r="B3361" s="6" t="s">
        <v>14626</v>
      </c>
      <c r="C3361" s="6" t="s">
        <v>43</v>
      </c>
      <c r="D3361" s="6" t="s">
        <v>10937</v>
      </c>
      <c r="E3361" s="6" t="s">
        <v>10938</v>
      </c>
      <c r="F3361" s="6" t="s">
        <v>46</v>
      </c>
      <c r="G3361" s="6" t="s">
        <v>6827</v>
      </c>
      <c r="H3361" s="7"/>
      <c r="I3361" s="6" t="s">
        <v>48</v>
      </c>
      <c r="J3361" s="6" t="s">
        <v>48</v>
      </c>
      <c r="AG3361" s="15" t="s">
        <v>55</v>
      </c>
      <c r="AH3361" s="15"/>
      <c r="AI3361" s="15"/>
    </row>
    <row r="3362" spans="1:37" s="6" customFormat="1">
      <c r="A3362" s="6" t="s">
        <v>14627</v>
      </c>
      <c r="B3362" s="6" t="s">
        <v>14628</v>
      </c>
      <c r="C3362" s="6" t="s">
        <v>43</v>
      </c>
      <c r="D3362" s="6" t="s">
        <v>10937</v>
      </c>
      <c r="E3362" s="6" t="s">
        <v>10938</v>
      </c>
      <c r="F3362" s="6" t="s">
        <v>46</v>
      </c>
      <c r="G3362" s="6" t="s">
        <v>14629</v>
      </c>
      <c r="H3362" s="7"/>
      <c r="I3362" s="6" t="s">
        <v>48</v>
      </c>
      <c r="J3362" s="6" t="s">
        <v>48</v>
      </c>
      <c r="AG3362" s="15" t="s">
        <v>55</v>
      </c>
      <c r="AH3362" s="15"/>
      <c r="AI3362" s="15"/>
    </row>
    <row r="3363" spans="1:37" s="6" customFormat="1">
      <c r="A3363" s="6" t="s">
        <v>14630</v>
      </c>
      <c r="B3363" s="6" t="s">
        <v>14631</v>
      </c>
      <c r="C3363" s="6" t="s">
        <v>43</v>
      </c>
      <c r="D3363" s="6" t="s">
        <v>10937</v>
      </c>
      <c r="E3363" s="6" t="s">
        <v>10938</v>
      </c>
      <c r="F3363" s="6" t="s">
        <v>46</v>
      </c>
      <c r="G3363" s="6" t="s">
        <v>14632</v>
      </c>
      <c r="H3363" s="7"/>
      <c r="I3363" s="6" t="s">
        <v>48</v>
      </c>
      <c r="J3363" s="6" t="s">
        <v>48</v>
      </c>
      <c r="AG3363" s="15" t="s">
        <v>55</v>
      </c>
      <c r="AH3363" s="15"/>
      <c r="AI3363" s="15"/>
    </row>
    <row r="3364" spans="1:37" s="6" customFormat="1">
      <c r="A3364" s="6" t="s">
        <v>14633</v>
      </c>
      <c r="B3364" s="6" t="s">
        <v>14634</v>
      </c>
      <c r="C3364" s="6" t="s">
        <v>43</v>
      </c>
      <c r="D3364" s="6" t="s">
        <v>10937</v>
      </c>
      <c r="E3364" s="6" t="s">
        <v>10938</v>
      </c>
      <c r="F3364" s="6" t="s">
        <v>46</v>
      </c>
      <c r="G3364" s="6" t="s">
        <v>14635</v>
      </c>
      <c r="H3364" s="7"/>
      <c r="I3364" s="6" t="s">
        <v>48</v>
      </c>
      <c r="J3364" s="6" t="s">
        <v>48</v>
      </c>
      <c r="AG3364" s="15" t="s">
        <v>55</v>
      </c>
      <c r="AH3364" s="15"/>
      <c r="AI3364" s="15"/>
    </row>
    <row r="3365" spans="1:37" s="6" customFormat="1">
      <c r="A3365" s="6" t="s">
        <v>14636</v>
      </c>
      <c r="B3365" s="6" t="s">
        <v>14637</v>
      </c>
      <c r="C3365" s="6" t="s">
        <v>7084</v>
      </c>
      <c r="D3365" s="6" t="s">
        <v>10937</v>
      </c>
      <c r="E3365" s="6" t="s">
        <v>10938</v>
      </c>
      <c r="F3365" s="6" t="s">
        <v>46</v>
      </c>
      <c r="G3365" s="6" t="s">
        <v>6018</v>
      </c>
      <c r="H3365" s="7"/>
      <c r="I3365" s="5" t="s">
        <v>48</v>
      </c>
      <c r="J3365" s="5" t="s">
        <v>48</v>
      </c>
      <c r="AG3365" s="15" t="s">
        <v>55</v>
      </c>
      <c r="AH3365" s="15"/>
      <c r="AI3365" s="15"/>
    </row>
    <row r="3366" spans="1:37" s="6" customFormat="1">
      <c r="A3366" s="6" t="s">
        <v>14638</v>
      </c>
      <c r="B3366" s="6" t="s">
        <v>14639</v>
      </c>
      <c r="C3366" s="6" t="s">
        <v>43</v>
      </c>
      <c r="D3366" s="6" t="s">
        <v>10937</v>
      </c>
      <c r="E3366" s="6" t="s">
        <v>10938</v>
      </c>
      <c r="F3366" s="6" t="s">
        <v>46</v>
      </c>
      <c r="G3366" s="6" t="s">
        <v>2093</v>
      </c>
      <c r="H3366" s="7"/>
      <c r="I3366" s="6" t="s">
        <v>48</v>
      </c>
      <c r="J3366" s="6" t="s">
        <v>48</v>
      </c>
      <c r="AG3366" s="15" t="s">
        <v>55</v>
      </c>
      <c r="AH3366" s="15"/>
      <c r="AI3366" s="15"/>
    </row>
    <row r="3367" spans="1:37" s="6" customFormat="1">
      <c r="A3367" s="6" t="s">
        <v>14640</v>
      </c>
      <c r="B3367" s="6" t="s">
        <v>14641</v>
      </c>
      <c r="C3367" s="6" t="s">
        <v>43</v>
      </c>
      <c r="D3367" s="6" t="s">
        <v>10937</v>
      </c>
      <c r="E3367" s="6" t="s">
        <v>10938</v>
      </c>
      <c r="F3367" s="6" t="s">
        <v>46</v>
      </c>
      <c r="G3367" s="6" t="s">
        <v>14642</v>
      </c>
      <c r="H3367" s="7"/>
      <c r="I3367" s="6" t="s">
        <v>48</v>
      </c>
      <c r="J3367" s="6" t="s">
        <v>48</v>
      </c>
      <c r="AG3367" s="15" t="s">
        <v>55</v>
      </c>
      <c r="AH3367" s="15"/>
      <c r="AI3367" s="15"/>
    </row>
    <row r="3368" spans="1:37" s="6" customFormat="1">
      <c r="A3368" s="6" t="s">
        <v>14643</v>
      </c>
      <c r="B3368" s="6" t="s">
        <v>14644</v>
      </c>
      <c r="C3368" s="6" t="s">
        <v>43</v>
      </c>
      <c r="D3368" s="6" t="s">
        <v>10937</v>
      </c>
      <c r="E3368" s="6" t="s">
        <v>10938</v>
      </c>
      <c r="F3368" s="6" t="s">
        <v>46</v>
      </c>
      <c r="G3368" s="6" t="s">
        <v>14645</v>
      </c>
      <c r="H3368" s="7"/>
      <c r="I3368" s="6" t="s">
        <v>48</v>
      </c>
      <c r="J3368" s="6" t="s">
        <v>48</v>
      </c>
      <c r="AG3368" s="15" t="s">
        <v>55</v>
      </c>
      <c r="AH3368" s="15"/>
      <c r="AI3368" s="15"/>
    </row>
    <row r="3369" spans="1:37" s="6" customFormat="1">
      <c r="A3369" s="6" t="s">
        <v>14646</v>
      </c>
      <c r="B3369" s="6" t="s">
        <v>14647</v>
      </c>
      <c r="C3369" s="6" t="s">
        <v>14193</v>
      </c>
      <c r="D3369" s="6" t="s">
        <v>10937</v>
      </c>
      <c r="E3369" s="6" t="s">
        <v>10938</v>
      </c>
      <c r="F3369" s="6" t="s">
        <v>46</v>
      </c>
      <c r="G3369" s="6" t="s">
        <v>14648</v>
      </c>
      <c r="H3369" s="7"/>
      <c r="I3369" s="5" t="s">
        <v>48</v>
      </c>
      <c r="J3369" s="5" t="s">
        <v>48</v>
      </c>
      <c r="AG3369" s="15" t="s">
        <v>55</v>
      </c>
      <c r="AH3369" s="15"/>
      <c r="AI3369" s="15"/>
    </row>
    <row r="3370" spans="1:37" s="6" customFormat="1">
      <c r="A3370" s="5" t="s">
        <v>14649</v>
      </c>
      <c r="B3370" s="5" t="s">
        <v>14650</v>
      </c>
      <c r="C3370" s="6" t="s">
        <v>43</v>
      </c>
      <c r="D3370" s="6" t="s">
        <v>10937</v>
      </c>
      <c r="E3370" s="6" t="s">
        <v>10938</v>
      </c>
      <c r="F3370" s="6" t="s">
        <v>46</v>
      </c>
      <c r="G3370" s="6" t="s">
        <v>2842</v>
      </c>
      <c r="H3370" s="18">
        <v>999</v>
      </c>
      <c r="I3370" s="19" t="s">
        <v>13662</v>
      </c>
      <c r="J3370" s="19" t="s">
        <v>14651</v>
      </c>
      <c r="K3370" s="6" t="s">
        <v>14652</v>
      </c>
      <c r="L3370" s="6" t="s">
        <v>14653</v>
      </c>
      <c r="M3370" s="6" t="s">
        <v>14654</v>
      </c>
      <c r="N3370" s="6" t="s">
        <v>14655</v>
      </c>
      <c r="O3370" s="6" t="s">
        <v>14656</v>
      </c>
      <c r="P3370" s="6" t="s">
        <v>14657</v>
      </c>
      <c r="Q3370" s="6" t="s">
        <v>14658</v>
      </c>
      <c r="R3370" s="6" t="s">
        <v>14659</v>
      </c>
      <c r="S3370" s="6" t="s">
        <v>13672</v>
      </c>
      <c r="T3370" s="6" t="s">
        <v>13697</v>
      </c>
      <c r="U3370" s="6" t="s">
        <v>13674</v>
      </c>
      <c r="V3370" s="6" t="s">
        <v>13675</v>
      </c>
      <c r="W3370" s="6" t="s">
        <v>13676</v>
      </c>
      <c r="X3370" s="6" t="s">
        <v>13677</v>
      </c>
      <c r="Y3370" s="6" t="s">
        <v>13678</v>
      </c>
      <c r="Z3370" s="6" t="s">
        <v>13679</v>
      </c>
      <c r="AA3370" s="6" t="s">
        <v>13680</v>
      </c>
      <c r="AB3370" s="6" t="s">
        <v>13681</v>
      </c>
      <c r="AC3370" s="6" t="s">
        <v>13682</v>
      </c>
      <c r="AD3370" s="6" t="s">
        <v>13683</v>
      </c>
      <c r="AE3370" s="5"/>
      <c r="AF3370" s="5"/>
      <c r="AG3370" s="14" t="s">
        <v>49</v>
      </c>
      <c r="AH3370" s="14" t="s">
        <v>1102</v>
      </c>
      <c r="AI3370" s="14" t="s">
        <v>13684</v>
      </c>
      <c r="AJ3370" s="5" t="s">
        <v>13685</v>
      </c>
      <c r="AK3370" s="5"/>
    </row>
    <row r="3371" spans="1:37">
      <c r="A3371" s="5" t="s">
        <v>14660</v>
      </c>
      <c r="B3371" s="5" t="s">
        <v>14661</v>
      </c>
      <c r="C3371" s="6" t="s">
        <v>43</v>
      </c>
      <c r="D3371" s="6" t="s">
        <v>10937</v>
      </c>
      <c r="E3371" s="6" t="s">
        <v>10938</v>
      </c>
      <c r="F3371" s="6" t="s">
        <v>46</v>
      </c>
      <c r="G3371" s="6" t="s">
        <v>2856</v>
      </c>
      <c r="H3371" s="18">
        <v>999</v>
      </c>
      <c r="I3371" s="19" t="s">
        <v>13662</v>
      </c>
      <c r="J3371" s="19" t="s">
        <v>14651</v>
      </c>
      <c r="K3371" s="6" t="s">
        <v>14662</v>
      </c>
      <c r="L3371" s="6" t="s">
        <v>14663</v>
      </c>
      <c r="M3371" s="6" t="s">
        <v>14664</v>
      </c>
      <c r="N3371" s="6" t="s">
        <v>14665</v>
      </c>
      <c r="O3371" s="6" t="s">
        <v>14666</v>
      </c>
      <c r="P3371" s="6" t="s">
        <v>14667</v>
      </c>
      <c r="Q3371" s="6" t="s">
        <v>14668</v>
      </c>
      <c r="R3371" s="6" t="s">
        <v>14669</v>
      </c>
      <c r="S3371" s="6" t="s">
        <v>13672</v>
      </c>
      <c r="T3371" s="6" t="s">
        <v>13697</v>
      </c>
      <c r="U3371" s="6" t="s">
        <v>13674</v>
      </c>
      <c r="V3371" s="6" t="s">
        <v>13675</v>
      </c>
      <c r="W3371" s="6" t="s">
        <v>13676</v>
      </c>
      <c r="X3371" s="6" t="s">
        <v>13677</v>
      </c>
      <c r="Y3371" s="6" t="s">
        <v>13678</v>
      </c>
      <c r="Z3371" s="6" t="s">
        <v>13679</v>
      </c>
      <c r="AA3371" s="6" t="s">
        <v>13680</v>
      </c>
      <c r="AB3371" s="6" t="s">
        <v>13681</v>
      </c>
      <c r="AC3371" s="6" t="s">
        <v>13682</v>
      </c>
      <c r="AD3371" s="6" t="s">
        <v>13683</v>
      </c>
      <c r="AG3371" s="14" t="s">
        <v>49</v>
      </c>
      <c r="AH3371" s="14" t="s">
        <v>1102</v>
      </c>
      <c r="AI3371" s="14" t="s">
        <v>13684</v>
      </c>
      <c r="AJ3371" s="5" t="s">
        <v>13685</v>
      </c>
    </row>
    <row r="3372" spans="1:37">
      <c r="A3372" s="6" t="s">
        <v>14670</v>
      </c>
      <c r="B3372" s="6" t="s">
        <v>14671</v>
      </c>
      <c r="C3372" s="6" t="s">
        <v>14672</v>
      </c>
      <c r="D3372" s="6" t="s">
        <v>10937</v>
      </c>
      <c r="E3372" s="6" t="s">
        <v>10938</v>
      </c>
      <c r="F3372" s="6" t="s">
        <v>46</v>
      </c>
      <c r="G3372" s="6" t="s">
        <v>9472</v>
      </c>
      <c r="I3372" s="6" t="s">
        <v>48</v>
      </c>
      <c r="J3372" s="6" t="s">
        <v>48</v>
      </c>
      <c r="K3372" s="6"/>
      <c r="L3372" s="6"/>
      <c r="M3372" s="6"/>
      <c r="N3372" s="6"/>
      <c r="O3372" s="6"/>
      <c r="P3372" s="6"/>
      <c r="Q3372" s="6"/>
      <c r="R3372" s="6"/>
      <c r="S3372" s="6"/>
      <c r="T3372" s="6"/>
      <c r="U3372" s="6"/>
      <c r="V3372" s="6"/>
      <c r="W3372" s="6"/>
      <c r="X3372" s="6"/>
      <c r="Y3372" s="6"/>
      <c r="Z3372" s="6"/>
      <c r="AA3372" s="6"/>
      <c r="AB3372" s="6"/>
      <c r="AC3372" s="6"/>
      <c r="AD3372" s="6"/>
      <c r="AE3372" s="6"/>
      <c r="AF3372" s="6"/>
      <c r="AG3372" s="15" t="s">
        <v>55</v>
      </c>
      <c r="AH3372" s="15"/>
      <c r="AI3372" s="15"/>
      <c r="AJ3372" s="6"/>
      <c r="AK3372" s="6"/>
    </row>
    <row r="3373" spans="1:37" s="6" customFormat="1">
      <c r="A3373" s="6" t="s">
        <v>14673</v>
      </c>
      <c r="B3373" s="6" t="s">
        <v>14674</v>
      </c>
      <c r="C3373" s="6" t="s">
        <v>43</v>
      </c>
      <c r="D3373" s="6" t="s">
        <v>10937</v>
      </c>
      <c r="E3373" s="6" t="s">
        <v>10938</v>
      </c>
      <c r="F3373" s="6" t="s">
        <v>46</v>
      </c>
      <c r="G3373" s="6" t="s">
        <v>3081</v>
      </c>
      <c r="H3373" s="7"/>
      <c r="I3373" s="16" t="s">
        <v>48</v>
      </c>
      <c r="J3373" s="6" t="s">
        <v>48</v>
      </c>
      <c r="AG3373" s="15" t="s">
        <v>55</v>
      </c>
      <c r="AH3373" s="15"/>
      <c r="AI3373" s="15"/>
    </row>
    <row r="3374" spans="1:37" s="6" customFormat="1">
      <c r="A3374" s="6" t="s">
        <v>14675</v>
      </c>
      <c r="B3374" s="6" t="s">
        <v>14676</v>
      </c>
      <c r="C3374" s="6" t="s">
        <v>43</v>
      </c>
      <c r="D3374" s="6" t="s">
        <v>10937</v>
      </c>
      <c r="E3374" s="6" t="s">
        <v>10938</v>
      </c>
      <c r="F3374" s="6" t="s">
        <v>46</v>
      </c>
      <c r="G3374" s="6" t="s">
        <v>14677</v>
      </c>
      <c r="H3374" s="7"/>
      <c r="I3374" s="6" t="s">
        <v>48</v>
      </c>
      <c r="J3374" s="6" t="s">
        <v>48</v>
      </c>
      <c r="AG3374" s="15" t="s">
        <v>55</v>
      </c>
      <c r="AH3374" s="15"/>
      <c r="AI3374" s="15"/>
    </row>
    <row r="3375" spans="1:37" s="6" customFormat="1">
      <c r="A3375" s="6" t="s">
        <v>14678</v>
      </c>
      <c r="B3375" s="6" t="s">
        <v>14679</v>
      </c>
      <c r="C3375" s="6" t="s">
        <v>7084</v>
      </c>
      <c r="D3375" s="6" t="s">
        <v>10937</v>
      </c>
      <c r="E3375" s="6" t="s">
        <v>10938</v>
      </c>
      <c r="F3375" s="6" t="s">
        <v>46</v>
      </c>
      <c r="G3375" s="6" t="s">
        <v>11448</v>
      </c>
      <c r="H3375" s="7"/>
      <c r="I3375" s="6" t="s">
        <v>48</v>
      </c>
      <c r="J3375" s="6" t="s">
        <v>48</v>
      </c>
      <c r="AG3375" s="15" t="s">
        <v>55</v>
      </c>
      <c r="AH3375" s="15"/>
      <c r="AI3375" s="15"/>
    </row>
    <row r="3376" spans="1:37" s="6" customFormat="1">
      <c r="A3376" s="6" t="s">
        <v>14680</v>
      </c>
      <c r="B3376" s="6" t="s">
        <v>14681</v>
      </c>
      <c r="C3376" s="6" t="s">
        <v>43</v>
      </c>
      <c r="D3376" s="6" t="s">
        <v>10937</v>
      </c>
      <c r="E3376" s="6" t="s">
        <v>10938</v>
      </c>
      <c r="F3376" s="6" t="s">
        <v>46</v>
      </c>
      <c r="G3376" s="6" t="s">
        <v>2842</v>
      </c>
      <c r="H3376" s="7"/>
      <c r="I3376" s="6" t="s">
        <v>48</v>
      </c>
      <c r="J3376" s="6" t="s">
        <v>48</v>
      </c>
      <c r="AG3376" s="15" t="s">
        <v>55</v>
      </c>
      <c r="AH3376" s="15"/>
      <c r="AI3376" s="15"/>
    </row>
    <row r="3377" spans="1:35" s="6" customFormat="1">
      <c r="A3377" s="6" t="s">
        <v>14682</v>
      </c>
      <c r="B3377" s="6" t="s">
        <v>14683</v>
      </c>
      <c r="C3377" s="6" t="s">
        <v>14347</v>
      </c>
      <c r="D3377" s="6" t="s">
        <v>10937</v>
      </c>
      <c r="E3377" s="6" t="s">
        <v>10938</v>
      </c>
      <c r="F3377" s="6" t="s">
        <v>46</v>
      </c>
      <c r="G3377" s="6" t="s">
        <v>3839</v>
      </c>
      <c r="H3377" s="7"/>
      <c r="I3377" s="6" t="s">
        <v>48</v>
      </c>
      <c r="J3377" s="6" t="s">
        <v>48</v>
      </c>
      <c r="AG3377" s="15" t="s">
        <v>55</v>
      </c>
      <c r="AH3377" s="15"/>
      <c r="AI3377" s="15"/>
    </row>
    <row r="3378" spans="1:35" s="6" customFormat="1">
      <c r="A3378" s="6" t="s">
        <v>14684</v>
      </c>
      <c r="B3378" s="6" t="s">
        <v>14685</v>
      </c>
      <c r="C3378" s="6" t="s">
        <v>43</v>
      </c>
      <c r="D3378" s="6" t="s">
        <v>10937</v>
      </c>
      <c r="E3378" s="6" t="s">
        <v>10938</v>
      </c>
      <c r="F3378" s="6" t="s">
        <v>46</v>
      </c>
      <c r="G3378" s="6" t="s">
        <v>13984</v>
      </c>
      <c r="H3378" s="7"/>
      <c r="I3378" s="6" t="s">
        <v>48</v>
      </c>
      <c r="J3378" s="6" t="s">
        <v>48</v>
      </c>
      <c r="AG3378" s="15" t="s">
        <v>55</v>
      </c>
      <c r="AH3378" s="15"/>
      <c r="AI3378" s="15"/>
    </row>
    <row r="3379" spans="1:35" s="6" customFormat="1">
      <c r="A3379" s="6" t="s">
        <v>14686</v>
      </c>
      <c r="B3379" s="6" t="s">
        <v>14687</v>
      </c>
      <c r="C3379" s="6" t="s">
        <v>7084</v>
      </c>
      <c r="D3379" s="6" t="s">
        <v>10937</v>
      </c>
      <c r="E3379" s="6" t="s">
        <v>10938</v>
      </c>
      <c r="F3379" s="6" t="s">
        <v>46</v>
      </c>
      <c r="G3379" s="6" t="s">
        <v>13068</v>
      </c>
      <c r="H3379" s="7"/>
      <c r="I3379" s="6" t="s">
        <v>48</v>
      </c>
      <c r="J3379" s="6" t="s">
        <v>48</v>
      </c>
      <c r="AG3379" s="15" t="s">
        <v>55</v>
      </c>
      <c r="AH3379" s="15"/>
      <c r="AI3379" s="15"/>
    </row>
    <row r="3380" spans="1:35" s="6" customFormat="1">
      <c r="A3380" s="6" t="s">
        <v>14688</v>
      </c>
      <c r="B3380" s="6" t="s">
        <v>14689</v>
      </c>
      <c r="C3380" s="6" t="s">
        <v>43</v>
      </c>
      <c r="D3380" s="6" t="s">
        <v>10937</v>
      </c>
      <c r="E3380" s="6" t="s">
        <v>10938</v>
      </c>
      <c r="F3380" s="6" t="s">
        <v>46</v>
      </c>
      <c r="G3380" s="6" t="s">
        <v>14690</v>
      </c>
      <c r="H3380" s="7"/>
      <c r="I3380" s="5" t="s">
        <v>48</v>
      </c>
      <c r="J3380" s="5" t="s">
        <v>48</v>
      </c>
      <c r="AG3380" s="15" t="s">
        <v>55</v>
      </c>
      <c r="AH3380" s="15"/>
      <c r="AI3380" s="15"/>
    </row>
    <row r="3381" spans="1:35" s="6" customFormat="1">
      <c r="A3381" s="6" t="s">
        <v>14691</v>
      </c>
      <c r="B3381" s="6" t="s">
        <v>14692</v>
      </c>
      <c r="C3381" s="6" t="s">
        <v>43</v>
      </c>
      <c r="D3381" s="6" t="s">
        <v>10937</v>
      </c>
      <c r="E3381" s="6" t="s">
        <v>10938</v>
      </c>
      <c r="F3381" s="6" t="s">
        <v>46</v>
      </c>
      <c r="G3381" s="6" t="s">
        <v>14693</v>
      </c>
      <c r="H3381" s="7"/>
      <c r="I3381" s="6" t="s">
        <v>48</v>
      </c>
      <c r="J3381" s="6" t="s">
        <v>48</v>
      </c>
      <c r="AG3381" s="15" t="s">
        <v>55</v>
      </c>
      <c r="AH3381" s="15"/>
      <c r="AI3381" s="15"/>
    </row>
    <row r="3382" spans="1:35" s="6" customFormat="1">
      <c r="A3382" s="6" t="s">
        <v>14694</v>
      </c>
      <c r="B3382" s="6" t="s">
        <v>14695</v>
      </c>
      <c r="C3382" s="6" t="s">
        <v>43</v>
      </c>
      <c r="D3382" s="6" t="s">
        <v>10937</v>
      </c>
      <c r="E3382" s="6" t="s">
        <v>10938</v>
      </c>
      <c r="F3382" s="6" t="s">
        <v>46</v>
      </c>
      <c r="G3382" s="6" t="s">
        <v>14175</v>
      </c>
      <c r="H3382" s="7"/>
      <c r="I3382" s="6" t="s">
        <v>48</v>
      </c>
      <c r="J3382" s="6" t="s">
        <v>48</v>
      </c>
      <c r="AG3382" s="15" t="s">
        <v>55</v>
      </c>
      <c r="AH3382" s="15"/>
      <c r="AI3382" s="15"/>
    </row>
    <row r="3383" spans="1:35" s="6" customFormat="1">
      <c r="A3383" s="6" t="s">
        <v>14696</v>
      </c>
      <c r="B3383" s="6" t="s">
        <v>14697</v>
      </c>
      <c r="C3383" s="6" t="s">
        <v>43</v>
      </c>
      <c r="D3383" s="6" t="s">
        <v>10937</v>
      </c>
      <c r="E3383" s="6" t="s">
        <v>10938</v>
      </c>
      <c r="F3383" s="6" t="s">
        <v>46</v>
      </c>
      <c r="G3383" s="6" t="s">
        <v>2462</v>
      </c>
      <c r="H3383" s="7"/>
      <c r="I3383" s="6" t="s">
        <v>48</v>
      </c>
      <c r="J3383" s="6" t="s">
        <v>48</v>
      </c>
      <c r="AG3383" s="15" t="s">
        <v>55</v>
      </c>
      <c r="AH3383" s="15"/>
      <c r="AI3383" s="15"/>
    </row>
    <row r="3384" spans="1:35" s="6" customFormat="1">
      <c r="A3384" s="6" t="s">
        <v>14698</v>
      </c>
      <c r="B3384" s="6" t="s">
        <v>14699</v>
      </c>
      <c r="C3384" s="6" t="s">
        <v>43</v>
      </c>
      <c r="D3384" s="6" t="s">
        <v>10937</v>
      </c>
      <c r="E3384" s="6" t="s">
        <v>10938</v>
      </c>
      <c r="F3384" s="6" t="s">
        <v>46</v>
      </c>
      <c r="G3384" s="6" t="s">
        <v>14700</v>
      </c>
      <c r="H3384" s="7"/>
      <c r="I3384" s="6" t="s">
        <v>48</v>
      </c>
      <c r="J3384" s="6" t="s">
        <v>48</v>
      </c>
      <c r="AG3384" s="15" t="s">
        <v>55</v>
      </c>
      <c r="AH3384" s="15"/>
      <c r="AI3384" s="15"/>
    </row>
    <row r="3385" spans="1:35" s="6" customFormat="1">
      <c r="A3385" s="6" t="s">
        <v>14701</v>
      </c>
      <c r="B3385" s="6" t="s">
        <v>14702</v>
      </c>
      <c r="C3385" s="6" t="s">
        <v>43</v>
      </c>
      <c r="D3385" s="6" t="s">
        <v>10937</v>
      </c>
      <c r="E3385" s="6" t="s">
        <v>10938</v>
      </c>
      <c r="F3385" s="6" t="s">
        <v>46</v>
      </c>
      <c r="G3385" s="6" t="s">
        <v>14703</v>
      </c>
      <c r="H3385" s="7"/>
      <c r="I3385" s="6" t="s">
        <v>48</v>
      </c>
      <c r="J3385" s="6" t="s">
        <v>48</v>
      </c>
      <c r="AG3385" s="15" t="s">
        <v>55</v>
      </c>
      <c r="AH3385" s="15"/>
      <c r="AI3385" s="15"/>
    </row>
    <row r="3386" spans="1:35" s="6" customFormat="1">
      <c r="A3386" s="6" t="s">
        <v>14704</v>
      </c>
      <c r="B3386" s="6" t="s">
        <v>14705</v>
      </c>
      <c r="C3386" s="6" t="s">
        <v>43</v>
      </c>
      <c r="D3386" s="6" t="s">
        <v>10937</v>
      </c>
      <c r="E3386" s="6" t="s">
        <v>10938</v>
      </c>
      <c r="F3386" s="6" t="s">
        <v>46</v>
      </c>
      <c r="G3386" s="6" t="s">
        <v>3158</v>
      </c>
      <c r="H3386" s="7"/>
      <c r="I3386" s="6" t="s">
        <v>48</v>
      </c>
      <c r="J3386" s="6" t="s">
        <v>48</v>
      </c>
      <c r="AG3386" s="15" t="s">
        <v>55</v>
      </c>
      <c r="AH3386" s="15"/>
      <c r="AI3386" s="15"/>
    </row>
    <row r="3387" spans="1:35" s="6" customFormat="1">
      <c r="A3387" s="6" t="s">
        <v>14706</v>
      </c>
      <c r="B3387" s="6" t="s">
        <v>14707</v>
      </c>
      <c r="C3387" s="6" t="s">
        <v>43</v>
      </c>
      <c r="D3387" s="6" t="s">
        <v>10937</v>
      </c>
      <c r="E3387" s="6" t="s">
        <v>10938</v>
      </c>
      <c r="F3387" s="6" t="s">
        <v>46</v>
      </c>
      <c r="G3387" s="6" t="s">
        <v>14181</v>
      </c>
      <c r="H3387" s="7"/>
      <c r="I3387" s="6" t="s">
        <v>48</v>
      </c>
      <c r="J3387" s="6" t="s">
        <v>48</v>
      </c>
      <c r="AG3387" s="15" t="s">
        <v>55</v>
      </c>
      <c r="AH3387" s="15"/>
      <c r="AI3387" s="15"/>
    </row>
    <row r="3388" spans="1:35" s="6" customFormat="1">
      <c r="A3388" s="6" t="s">
        <v>14708</v>
      </c>
      <c r="B3388" s="6" t="s">
        <v>14709</v>
      </c>
      <c r="C3388" s="6" t="s">
        <v>3276</v>
      </c>
      <c r="D3388" s="6" t="s">
        <v>10937</v>
      </c>
      <c r="E3388" s="6" t="s">
        <v>10938</v>
      </c>
      <c r="F3388" s="6" t="s">
        <v>46</v>
      </c>
      <c r="G3388" s="6" t="s">
        <v>14710</v>
      </c>
      <c r="H3388" s="7"/>
      <c r="I3388" s="5" t="s">
        <v>48</v>
      </c>
      <c r="J3388" s="5" t="s">
        <v>48</v>
      </c>
      <c r="AG3388" s="15" t="s">
        <v>55</v>
      </c>
      <c r="AH3388" s="15"/>
      <c r="AI3388" s="15"/>
    </row>
    <row r="3389" spans="1:35" s="6" customFormat="1">
      <c r="A3389" s="6" t="s">
        <v>14711</v>
      </c>
      <c r="B3389" s="6" t="s">
        <v>14712</v>
      </c>
      <c r="C3389" s="6" t="s">
        <v>4590</v>
      </c>
      <c r="D3389" s="6" t="s">
        <v>10937</v>
      </c>
      <c r="E3389" s="6" t="s">
        <v>10938</v>
      </c>
      <c r="F3389" s="6" t="s">
        <v>46</v>
      </c>
      <c r="G3389" s="6" t="s">
        <v>3851</v>
      </c>
      <c r="H3389" s="7"/>
      <c r="I3389" s="6" t="s">
        <v>48</v>
      </c>
      <c r="J3389" s="6" t="s">
        <v>48</v>
      </c>
      <c r="AG3389" s="15" t="s">
        <v>55</v>
      </c>
      <c r="AH3389" s="15"/>
      <c r="AI3389" s="15"/>
    </row>
    <row r="3390" spans="1:35" s="6" customFormat="1">
      <c r="A3390" s="6" t="s">
        <v>14713</v>
      </c>
      <c r="B3390" s="6" t="s">
        <v>14714</v>
      </c>
      <c r="C3390" s="6" t="s">
        <v>43</v>
      </c>
      <c r="D3390" s="6" t="s">
        <v>10937</v>
      </c>
      <c r="E3390" s="6" t="s">
        <v>10938</v>
      </c>
      <c r="F3390" s="6" t="s">
        <v>46</v>
      </c>
      <c r="G3390" s="6" t="s">
        <v>3851</v>
      </c>
      <c r="H3390" s="7"/>
      <c r="I3390" s="6" t="s">
        <v>48</v>
      </c>
      <c r="J3390" s="6" t="s">
        <v>48</v>
      </c>
      <c r="AG3390" s="15" t="s">
        <v>55</v>
      </c>
      <c r="AH3390" s="15"/>
      <c r="AI3390" s="15"/>
    </row>
    <row r="3391" spans="1:35" s="6" customFormat="1">
      <c r="A3391" s="6" t="s">
        <v>14715</v>
      </c>
      <c r="B3391" s="6" t="s">
        <v>14716</v>
      </c>
      <c r="C3391" s="6" t="s">
        <v>43</v>
      </c>
      <c r="D3391" s="6" t="s">
        <v>10937</v>
      </c>
      <c r="E3391" s="6" t="s">
        <v>10938</v>
      </c>
      <c r="F3391" s="6" t="s">
        <v>46</v>
      </c>
      <c r="G3391" s="6" t="s">
        <v>14717</v>
      </c>
      <c r="H3391" s="7"/>
      <c r="I3391" s="6" t="s">
        <v>48</v>
      </c>
      <c r="J3391" s="6" t="s">
        <v>48</v>
      </c>
      <c r="AG3391" s="15" t="s">
        <v>55</v>
      </c>
      <c r="AH3391" s="15"/>
      <c r="AI3391" s="15"/>
    </row>
    <row r="3392" spans="1:35" s="6" customFormat="1">
      <c r="A3392" s="6" t="s">
        <v>14718</v>
      </c>
      <c r="B3392" s="6" t="s">
        <v>14719</v>
      </c>
      <c r="C3392" s="6" t="s">
        <v>14672</v>
      </c>
      <c r="D3392" s="6" t="s">
        <v>10937</v>
      </c>
      <c r="E3392" s="6" t="s">
        <v>10938</v>
      </c>
      <c r="F3392" s="6" t="s">
        <v>46</v>
      </c>
      <c r="G3392" s="6" t="s">
        <v>14720</v>
      </c>
      <c r="H3392" s="7"/>
      <c r="I3392" s="6" t="s">
        <v>48</v>
      </c>
      <c r="J3392" s="6" t="s">
        <v>48</v>
      </c>
      <c r="AG3392" s="15" t="s">
        <v>55</v>
      </c>
      <c r="AH3392" s="15"/>
      <c r="AI3392" s="15"/>
    </row>
    <row r="3393" spans="1:35" s="6" customFormat="1">
      <c r="A3393" s="6" t="s">
        <v>14721</v>
      </c>
      <c r="B3393" s="6" t="s">
        <v>14722</v>
      </c>
      <c r="C3393" s="6" t="s">
        <v>43</v>
      </c>
      <c r="D3393" s="6" t="s">
        <v>10937</v>
      </c>
      <c r="E3393" s="6" t="s">
        <v>10938</v>
      </c>
      <c r="F3393" s="6" t="s">
        <v>46</v>
      </c>
      <c r="G3393" s="6" t="s">
        <v>14723</v>
      </c>
      <c r="H3393" s="7"/>
      <c r="I3393" s="6" t="s">
        <v>48</v>
      </c>
      <c r="J3393" s="6" t="s">
        <v>48</v>
      </c>
      <c r="AG3393" s="15" t="s">
        <v>55</v>
      </c>
      <c r="AH3393" s="15"/>
      <c r="AI3393" s="15"/>
    </row>
    <row r="3394" spans="1:35" s="6" customFormat="1">
      <c r="A3394" s="6" t="s">
        <v>14724</v>
      </c>
      <c r="B3394" s="6" t="s">
        <v>14725</v>
      </c>
      <c r="C3394" s="6" t="s">
        <v>3276</v>
      </c>
      <c r="D3394" s="6" t="s">
        <v>10937</v>
      </c>
      <c r="E3394" s="6" t="s">
        <v>10938</v>
      </c>
      <c r="F3394" s="6" t="s">
        <v>46</v>
      </c>
      <c r="G3394" s="6" t="s">
        <v>14726</v>
      </c>
      <c r="H3394" s="7"/>
      <c r="I3394" s="5" t="s">
        <v>48</v>
      </c>
      <c r="J3394" s="5" t="s">
        <v>48</v>
      </c>
      <c r="AG3394" s="15" t="s">
        <v>55</v>
      </c>
      <c r="AH3394" s="15"/>
      <c r="AI3394" s="15"/>
    </row>
    <row r="3395" spans="1:35" s="6" customFormat="1">
      <c r="A3395" s="6" t="s">
        <v>14727</v>
      </c>
      <c r="B3395" s="6" t="s">
        <v>14728</v>
      </c>
      <c r="C3395" s="6" t="s">
        <v>43</v>
      </c>
      <c r="D3395" s="6" t="s">
        <v>10937</v>
      </c>
      <c r="E3395" s="6" t="s">
        <v>10938</v>
      </c>
      <c r="F3395" s="6" t="s">
        <v>46</v>
      </c>
      <c r="G3395" s="6" t="s">
        <v>4769</v>
      </c>
      <c r="H3395" s="7"/>
      <c r="I3395" s="6" t="s">
        <v>48</v>
      </c>
      <c r="J3395" s="6" t="s">
        <v>48</v>
      </c>
      <c r="AG3395" s="15" t="s">
        <v>55</v>
      </c>
      <c r="AH3395" s="15"/>
      <c r="AI3395" s="15"/>
    </row>
    <row r="3396" spans="1:35" s="6" customFormat="1">
      <c r="A3396" s="6" t="s">
        <v>14729</v>
      </c>
      <c r="B3396" s="6" t="s">
        <v>14730</v>
      </c>
      <c r="C3396" s="6" t="s">
        <v>7084</v>
      </c>
      <c r="D3396" s="6" t="s">
        <v>10937</v>
      </c>
      <c r="E3396" s="6" t="s">
        <v>10938</v>
      </c>
      <c r="F3396" s="6" t="s">
        <v>46</v>
      </c>
      <c r="G3396" s="6" t="s">
        <v>14731</v>
      </c>
      <c r="H3396" s="7"/>
      <c r="I3396" s="5" t="s">
        <v>48</v>
      </c>
      <c r="J3396" s="5" t="s">
        <v>48</v>
      </c>
      <c r="AG3396" s="15" t="s">
        <v>55</v>
      </c>
      <c r="AH3396" s="15"/>
      <c r="AI3396" s="15"/>
    </row>
    <row r="3397" spans="1:35" s="6" customFormat="1">
      <c r="A3397" s="6" t="s">
        <v>14732</v>
      </c>
      <c r="B3397" s="6" t="s">
        <v>14733</v>
      </c>
      <c r="C3397" s="6" t="s">
        <v>7084</v>
      </c>
      <c r="D3397" s="6" t="s">
        <v>10937</v>
      </c>
      <c r="E3397" s="6" t="s">
        <v>10938</v>
      </c>
      <c r="F3397" s="6" t="s">
        <v>46</v>
      </c>
      <c r="G3397" s="6" t="s">
        <v>14731</v>
      </c>
      <c r="H3397" s="7"/>
      <c r="I3397" s="6" t="s">
        <v>48</v>
      </c>
      <c r="J3397" s="6" t="s">
        <v>48</v>
      </c>
      <c r="AG3397" s="15" t="s">
        <v>55</v>
      </c>
      <c r="AH3397" s="15"/>
      <c r="AI3397" s="15"/>
    </row>
    <row r="3398" spans="1:35" s="6" customFormat="1">
      <c r="A3398" s="6" t="s">
        <v>14734</v>
      </c>
      <c r="B3398" s="6" t="s">
        <v>14735</v>
      </c>
      <c r="C3398" s="6" t="s">
        <v>7084</v>
      </c>
      <c r="D3398" s="6" t="s">
        <v>10937</v>
      </c>
      <c r="E3398" s="6" t="s">
        <v>10938</v>
      </c>
      <c r="F3398" s="6" t="s">
        <v>46</v>
      </c>
      <c r="G3398" s="6" t="s">
        <v>14731</v>
      </c>
      <c r="H3398" s="7"/>
      <c r="I3398" s="5" t="s">
        <v>48</v>
      </c>
      <c r="J3398" s="5" t="s">
        <v>48</v>
      </c>
      <c r="AG3398" s="15" t="s">
        <v>55</v>
      </c>
      <c r="AH3398" s="15"/>
      <c r="AI3398" s="15"/>
    </row>
    <row r="3399" spans="1:35" s="6" customFormat="1">
      <c r="A3399" s="6" t="s">
        <v>14736</v>
      </c>
      <c r="B3399" s="6" t="s">
        <v>14737</v>
      </c>
      <c r="C3399" s="6" t="s">
        <v>43</v>
      </c>
      <c r="D3399" s="6" t="s">
        <v>10937</v>
      </c>
      <c r="E3399" s="6" t="s">
        <v>10938</v>
      </c>
      <c r="F3399" s="6" t="s">
        <v>46</v>
      </c>
      <c r="G3399" s="6" t="s">
        <v>14738</v>
      </c>
      <c r="H3399" s="7"/>
      <c r="I3399" s="6" t="s">
        <v>48</v>
      </c>
      <c r="J3399" s="6" t="s">
        <v>48</v>
      </c>
      <c r="AG3399" s="15" t="s">
        <v>55</v>
      </c>
      <c r="AH3399" s="15"/>
      <c r="AI3399" s="15"/>
    </row>
    <row r="3400" spans="1:35" s="6" customFormat="1">
      <c r="A3400" s="6" t="s">
        <v>14739</v>
      </c>
      <c r="B3400" s="6" t="s">
        <v>14740</v>
      </c>
      <c r="C3400" s="6" t="s">
        <v>43</v>
      </c>
      <c r="D3400" s="6" t="s">
        <v>10937</v>
      </c>
      <c r="E3400" s="6" t="s">
        <v>10938</v>
      </c>
      <c r="F3400" s="6" t="s">
        <v>46</v>
      </c>
      <c r="G3400" s="6" t="s">
        <v>14741</v>
      </c>
      <c r="H3400" s="7"/>
      <c r="I3400" s="6" t="s">
        <v>48</v>
      </c>
      <c r="J3400" s="6" t="s">
        <v>48</v>
      </c>
      <c r="AG3400" s="15" t="s">
        <v>55</v>
      </c>
      <c r="AH3400" s="15"/>
      <c r="AI3400" s="15"/>
    </row>
    <row r="3401" spans="1:35" s="6" customFormat="1">
      <c r="A3401" s="6" t="s">
        <v>14742</v>
      </c>
      <c r="B3401" s="6" t="s">
        <v>14743</v>
      </c>
      <c r="C3401" s="6" t="s">
        <v>43</v>
      </c>
      <c r="D3401" s="6" t="s">
        <v>10937</v>
      </c>
      <c r="E3401" s="6" t="s">
        <v>10938</v>
      </c>
      <c r="F3401" s="6" t="s">
        <v>46</v>
      </c>
      <c r="G3401" s="6" t="s">
        <v>14744</v>
      </c>
      <c r="H3401" s="7"/>
      <c r="I3401" s="6" t="s">
        <v>48</v>
      </c>
      <c r="J3401" s="6" t="s">
        <v>48</v>
      </c>
      <c r="AG3401" s="15" t="s">
        <v>55</v>
      </c>
      <c r="AH3401" s="15"/>
      <c r="AI3401" s="15"/>
    </row>
    <row r="3402" spans="1:35" s="6" customFormat="1">
      <c r="A3402" s="6" t="s">
        <v>14745</v>
      </c>
      <c r="B3402" s="6" t="s">
        <v>14746</v>
      </c>
      <c r="C3402" s="6" t="s">
        <v>43</v>
      </c>
      <c r="D3402" s="6" t="s">
        <v>10937</v>
      </c>
      <c r="E3402" s="6" t="s">
        <v>10938</v>
      </c>
      <c r="F3402" s="6" t="s">
        <v>46</v>
      </c>
      <c r="G3402" s="6" t="s">
        <v>14747</v>
      </c>
      <c r="H3402" s="7"/>
      <c r="I3402" s="6" t="s">
        <v>48</v>
      </c>
      <c r="J3402" s="6" t="s">
        <v>48</v>
      </c>
      <c r="AG3402" s="15" t="s">
        <v>55</v>
      </c>
      <c r="AH3402" s="15"/>
      <c r="AI3402" s="15"/>
    </row>
    <row r="3403" spans="1:35" s="6" customFormat="1">
      <c r="A3403" s="6" t="s">
        <v>14748</v>
      </c>
      <c r="B3403" s="6" t="s">
        <v>14749</v>
      </c>
      <c r="C3403" s="6" t="s">
        <v>14672</v>
      </c>
      <c r="D3403" s="6" t="s">
        <v>10937</v>
      </c>
      <c r="E3403" s="6" t="s">
        <v>10938</v>
      </c>
      <c r="F3403" s="6" t="s">
        <v>46</v>
      </c>
      <c r="G3403" s="6" t="s">
        <v>14750</v>
      </c>
      <c r="H3403" s="7"/>
      <c r="I3403" s="5" t="s">
        <v>48</v>
      </c>
      <c r="J3403" s="5" t="s">
        <v>48</v>
      </c>
      <c r="AG3403" s="15" t="s">
        <v>55</v>
      </c>
      <c r="AH3403" s="15"/>
      <c r="AI3403" s="15"/>
    </row>
    <row r="3404" spans="1:35" s="6" customFormat="1">
      <c r="A3404" s="6" t="s">
        <v>14751</v>
      </c>
      <c r="B3404" s="6" t="s">
        <v>14752</v>
      </c>
      <c r="C3404" s="6" t="s">
        <v>43</v>
      </c>
      <c r="D3404" s="6" t="s">
        <v>10937</v>
      </c>
      <c r="E3404" s="6" t="s">
        <v>10938</v>
      </c>
      <c r="F3404" s="6" t="s">
        <v>46</v>
      </c>
      <c r="G3404" s="6" t="s">
        <v>14753</v>
      </c>
      <c r="H3404" s="7"/>
      <c r="I3404" s="5" t="s">
        <v>48</v>
      </c>
      <c r="J3404" s="5" t="s">
        <v>48</v>
      </c>
      <c r="AG3404" s="15" t="s">
        <v>55</v>
      </c>
      <c r="AH3404" s="15"/>
      <c r="AI3404" s="15"/>
    </row>
    <row r="3405" spans="1:35" s="6" customFormat="1">
      <c r="A3405" s="6" t="s">
        <v>14754</v>
      </c>
      <c r="B3405" s="6" t="s">
        <v>14755</v>
      </c>
      <c r="C3405" s="6" t="s">
        <v>7084</v>
      </c>
      <c r="D3405" s="6" t="s">
        <v>10937</v>
      </c>
      <c r="E3405" s="6" t="s">
        <v>10938</v>
      </c>
      <c r="F3405" s="6" t="s">
        <v>46</v>
      </c>
      <c r="G3405" s="6" t="s">
        <v>14756</v>
      </c>
      <c r="H3405" s="7"/>
      <c r="I3405" s="6" t="s">
        <v>48</v>
      </c>
      <c r="J3405" s="6" t="s">
        <v>48</v>
      </c>
      <c r="AG3405" s="15" t="s">
        <v>55</v>
      </c>
      <c r="AH3405" s="15"/>
      <c r="AI3405" s="15"/>
    </row>
    <row r="3406" spans="1:35" s="6" customFormat="1">
      <c r="A3406" s="6" t="s">
        <v>14757</v>
      </c>
      <c r="B3406" s="6" t="s">
        <v>14758</v>
      </c>
      <c r="C3406" s="6" t="s">
        <v>43</v>
      </c>
      <c r="D3406" s="6" t="s">
        <v>10937</v>
      </c>
      <c r="E3406" s="6" t="s">
        <v>10938</v>
      </c>
      <c r="F3406" s="6" t="s">
        <v>46</v>
      </c>
      <c r="G3406" s="6" t="s">
        <v>14759</v>
      </c>
      <c r="H3406" s="7"/>
      <c r="I3406" s="6" t="s">
        <v>48</v>
      </c>
      <c r="J3406" s="6" t="s">
        <v>48</v>
      </c>
      <c r="AG3406" s="15" t="s">
        <v>55</v>
      </c>
      <c r="AH3406" s="15"/>
      <c r="AI3406" s="15"/>
    </row>
    <row r="3407" spans="1:35" s="6" customFormat="1">
      <c r="A3407" s="6" t="s">
        <v>14760</v>
      </c>
      <c r="B3407" s="6" t="s">
        <v>14761</v>
      </c>
      <c r="C3407" s="6" t="s">
        <v>43</v>
      </c>
      <c r="D3407" s="6" t="s">
        <v>10937</v>
      </c>
      <c r="E3407" s="6" t="s">
        <v>10938</v>
      </c>
      <c r="F3407" s="6" t="s">
        <v>46</v>
      </c>
      <c r="G3407" s="6" t="s">
        <v>5351</v>
      </c>
      <c r="H3407" s="7"/>
      <c r="I3407" s="6" t="s">
        <v>48</v>
      </c>
      <c r="J3407" s="6" t="s">
        <v>48</v>
      </c>
      <c r="AG3407" s="15" t="s">
        <v>55</v>
      </c>
      <c r="AH3407" s="15"/>
      <c r="AI3407" s="15"/>
    </row>
    <row r="3408" spans="1:35" s="6" customFormat="1">
      <c r="A3408" s="6" t="s">
        <v>14762</v>
      </c>
      <c r="B3408" s="6" t="s">
        <v>14763</v>
      </c>
      <c r="C3408" s="6" t="s">
        <v>7084</v>
      </c>
      <c r="D3408" s="6" t="s">
        <v>10937</v>
      </c>
      <c r="E3408" s="6" t="s">
        <v>10938</v>
      </c>
      <c r="F3408" s="6" t="s">
        <v>46</v>
      </c>
      <c r="G3408" s="6" t="s">
        <v>4622</v>
      </c>
      <c r="H3408" s="7"/>
      <c r="I3408" s="6" t="s">
        <v>48</v>
      </c>
      <c r="J3408" s="6" t="s">
        <v>48</v>
      </c>
      <c r="AG3408" s="15" t="s">
        <v>55</v>
      </c>
      <c r="AH3408" s="15"/>
      <c r="AI3408" s="15"/>
    </row>
    <row r="3409" spans="1:35" s="6" customFormat="1">
      <c r="A3409" s="6" t="s">
        <v>14764</v>
      </c>
      <c r="B3409" s="6" t="s">
        <v>14765</v>
      </c>
      <c r="C3409" s="6" t="s">
        <v>7084</v>
      </c>
      <c r="D3409" s="6" t="s">
        <v>10937</v>
      </c>
      <c r="E3409" s="6" t="s">
        <v>10938</v>
      </c>
      <c r="F3409" s="6" t="s">
        <v>46</v>
      </c>
      <c r="G3409" s="6" t="s">
        <v>6158</v>
      </c>
      <c r="H3409" s="7"/>
      <c r="I3409" s="6" t="s">
        <v>48</v>
      </c>
      <c r="J3409" s="6" t="s">
        <v>48</v>
      </c>
      <c r="AG3409" s="15" t="s">
        <v>55</v>
      </c>
      <c r="AH3409" s="15"/>
      <c r="AI3409" s="15"/>
    </row>
    <row r="3410" spans="1:35" s="6" customFormat="1">
      <c r="A3410" s="6" t="s">
        <v>14766</v>
      </c>
      <c r="B3410" s="6" t="s">
        <v>14767</v>
      </c>
      <c r="C3410" s="6" t="s">
        <v>7084</v>
      </c>
      <c r="D3410" s="6" t="s">
        <v>10937</v>
      </c>
      <c r="E3410" s="6" t="s">
        <v>10938</v>
      </c>
      <c r="F3410" s="6" t="s">
        <v>46</v>
      </c>
      <c r="G3410" s="6" t="s">
        <v>176</v>
      </c>
      <c r="H3410" s="7"/>
      <c r="I3410" s="6" t="s">
        <v>48</v>
      </c>
      <c r="J3410" s="6" t="s">
        <v>48</v>
      </c>
      <c r="AG3410" s="15" t="s">
        <v>55</v>
      </c>
      <c r="AH3410" s="15"/>
      <c r="AI3410" s="15"/>
    </row>
    <row r="3411" spans="1:35" s="6" customFormat="1">
      <c r="A3411" s="6" t="s">
        <v>14768</v>
      </c>
      <c r="B3411" s="6" t="s">
        <v>14769</v>
      </c>
      <c r="C3411" s="6" t="s">
        <v>14770</v>
      </c>
      <c r="D3411" s="6" t="s">
        <v>10937</v>
      </c>
      <c r="E3411" s="6" t="s">
        <v>10938</v>
      </c>
      <c r="F3411" s="6" t="s">
        <v>46</v>
      </c>
      <c r="G3411" s="6" t="s">
        <v>14771</v>
      </c>
      <c r="H3411" s="7"/>
      <c r="I3411" s="6" t="s">
        <v>48</v>
      </c>
      <c r="J3411" s="6" t="s">
        <v>48</v>
      </c>
      <c r="AG3411" s="15" t="s">
        <v>55</v>
      </c>
      <c r="AH3411" s="15"/>
      <c r="AI3411" s="15"/>
    </row>
    <row r="3412" spans="1:35" s="6" customFormat="1">
      <c r="A3412" s="6" t="s">
        <v>14772</v>
      </c>
      <c r="B3412" s="6" t="s">
        <v>14773</v>
      </c>
      <c r="C3412" s="6" t="s">
        <v>7084</v>
      </c>
      <c r="D3412" s="6" t="s">
        <v>10937</v>
      </c>
      <c r="E3412" s="6" t="s">
        <v>10938</v>
      </c>
      <c r="F3412" s="6" t="s">
        <v>46</v>
      </c>
      <c r="G3412" s="6" t="s">
        <v>14774</v>
      </c>
      <c r="H3412" s="7"/>
      <c r="I3412" s="6" t="s">
        <v>48</v>
      </c>
      <c r="J3412" s="6" t="s">
        <v>48</v>
      </c>
      <c r="AG3412" s="15" t="s">
        <v>55</v>
      </c>
      <c r="AH3412" s="15"/>
      <c r="AI3412" s="15"/>
    </row>
    <row r="3413" spans="1:35" s="6" customFormat="1">
      <c r="A3413" s="6" t="s">
        <v>14775</v>
      </c>
      <c r="B3413" s="6" t="s">
        <v>14776</v>
      </c>
      <c r="C3413" s="6" t="s">
        <v>7084</v>
      </c>
      <c r="D3413" s="6" t="s">
        <v>10937</v>
      </c>
      <c r="E3413" s="6" t="s">
        <v>10938</v>
      </c>
      <c r="F3413" s="6" t="s">
        <v>46</v>
      </c>
      <c r="G3413" s="6" t="s">
        <v>14777</v>
      </c>
      <c r="H3413" s="7"/>
      <c r="I3413" s="6" t="s">
        <v>48</v>
      </c>
      <c r="J3413" s="6" t="s">
        <v>48</v>
      </c>
      <c r="AG3413" s="15" t="s">
        <v>55</v>
      </c>
      <c r="AH3413" s="15"/>
      <c r="AI3413" s="15"/>
    </row>
    <row r="3414" spans="1:35" s="6" customFormat="1">
      <c r="A3414" s="6" t="s">
        <v>14778</v>
      </c>
      <c r="B3414" s="6" t="s">
        <v>14779</v>
      </c>
      <c r="C3414" s="6" t="s">
        <v>7084</v>
      </c>
      <c r="D3414" s="6" t="s">
        <v>10937</v>
      </c>
      <c r="E3414" s="6" t="s">
        <v>10938</v>
      </c>
      <c r="F3414" s="6" t="s">
        <v>46</v>
      </c>
      <c r="G3414" s="6" t="s">
        <v>6578</v>
      </c>
      <c r="H3414" s="7"/>
      <c r="I3414" s="5" t="s">
        <v>48</v>
      </c>
      <c r="J3414" s="5" t="s">
        <v>48</v>
      </c>
      <c r="AG3414" s="15" t="s">
        <v>55</v>
      </c>
      <c r="AH3414" s="15"/>
      <c r="AI3414" s="15"/>
    </row>
    <row r="3415" spans="1:35" s="6" customFormat="1">
      <c r="A3415" s="6" t="s">
        <v>14780</v>
      </c>
      <c r="B3415" s="6" t="s">
        <v>14781</v>
      </c>
      <c r="C3415" s="6" t="s">
        <v>7084</v>
      </c>
      <c r="D3415" s="6" t="s">
        <v>10937</v>
      </c>
      <c r="E3415" s="6" t="s">
        <v>10938</v>
      </c>
      <c r="F3415" s="6" t="s">
        <v>46</v>
      </c>
      <c r="G3415" s="6" t="s">
        <v>6019</v>
      </c>
      <c r="H3415" s="7"/>
      <c r="I3415" s="6" t="s">
        <v>48</v>
      </c>
      <c r="J3415" s="6" t="s">
        <v>48</v>
      </c>
      <c r="AG3415" s="15" t="s">
        <v>55</v>
      </c>
      <c r="AH3415" s="15"/>
      <c r="AI3415" s="15"/>
    </row>
    <row r="3416" spans="1:35" s="6" customFormat="1">
      <c r="A3416" s="6" t="s">
        <v>14782</v>
      </c>
      <c r="B3416" s="6" t="s">
        <v>14783</v>
      </c>
      <c r="C3416" s="6" t="s">
        <v>43</v>
      </c>
      <c r="D3416" s="6" t="s">
        <v>10937</v>
      </c>
      <c r="E3416" s="6" t="s">
        <v>10938</v>
      </c>
      <c r="F3416" s="6" t="s">
        <v>46</v>
      </c>
      <c r="G3416" s="6" t="s">
        <v>14784</v>
      </c>
      <c r="H3416" s="7"/>
      <c r="I3416" s="6" t="s">
        <v>48</v>
      </c>
      <c r="J3416" s="6" t="s">
        <v>48</v>
      </c>
      <c r="AG3416" s="15" t="s">
        <v>55</v>
      </c>
      <c r="AH3416" s="15"/>
      <c r="AI3416" s="15"/>
    </row>
    <row r="3417" spans="1:35" s="6" customFormat="1">
      <c r="A3417" s="6" t="s">
        <v>14785</v>
      </c>
      <c r="B3417" s="6" t="s">
        <v>14786</v>
      </c>
      <c r="C3417" s="6" t="s">
        <v>43</v>
      </c>
      <c r="D3417" s="6" t="s">
        <v>10937</v>
      </c>
      <c r="E3417" s="6" t="s">
        <v>10938</v>
      </c>
      <c r="F3417" s="6" t="s">
        <v>46</v>
      </c>
      <c r="G3417" s="6" t="s">
        <v>14774</v>
      </c>
      <c r="H3417" s="7"/>
      <c r="I3417" s="6" t="s">
        <v>48</v>
      </c>
      <c r="J3417" s="6" t="s">
        <v>48</v>
      </c>
      <c r="AG3417" s="15" t="s">
        <v>55</v>
      </c>
      <c r="AH3417" s="15"/>
      <c r="AI3417" s="15"/>
    </row>
    <row r="3418" spans="1:35" s="6" customFormat="1">
      <c r="A3418" s="6" t="s">
        <v>14787</v>
      </c>
      <c r="B3418" s="6" t="s">
        <v>14788</v>
      </c>
      <c r="C3418" s="6" t="s">
        <v>43</v>
      </c>
      <c r="D3418" s="6" t="s">
        <v>10937</v>
      </c>
      <c r="E3418" s="6" t="s">
        <v>10938</v>
      </c>
      <c r="F3418" s="6" t="s">
        <v>46</v>
      </c>
      <c r="G3418" s="6" t="s">
        <v>14774</v>
      </c>
      <c r="H3418" s="7"/>
      <c r="I3418" s="5" t="s">
        <v>48</v>
      </c>
      <c r="J3418" s="5" t="s">
        <v>48</v>
      </c>
      <c r="AG3418" s="15" t="s">
        <v>55</v>
      </c>
      <c r="AH3418" s="15"/>
      <c r="AI3418" s="15"/>
    </row>
    <row r="3419" spans="1:35" s="6" customFormat="1">
      <c r="A3419" s="6" t="s">
        <v>14789</v>
      </c>
      <c r="B3419" s="6" t="s">
        <v>14790</v>
      </c>
      <c r="C3419" s="6" t="s">
        <v>43</v>
      </c>
      <c r="D3419" s="6" t="s">
        <v>10937</v>
      </c>
      <c r="E3419" s="6" t="s">
        <v>10938</v>
      </c>
      <c r="F3419" s="6" t="s">
        <v>46</v>
      </c>
      <c r="G3419" s="6" t="s">
        <v>14791</v>
      </c>
      <c r="H3419" s="7"/>
      <c r="I3419" s="6" t="s">
        <v>48</v>
      </c>
      <c r="J3419" s="6" t="s">
        <v>48</v>
      </c>
      <c r="AG3419" s="15" t="s">
        <v>55</v>
      </c>
      <c r="AH3419" s="15"/>
      <c r="AI3419" s="15"/>
    </row>
    <row r="3420" spans="1:35" s="6" customFormat="1">
      <c r="A3420" s="6" t="s">
        <v>14792</v>
      </c>
      <c r="B3420" s="6" t="s">
        <v>14793</v>
      </c>
      <c r="C3420" s="6" t="s">
        <v>43</v>
      </c>
      <c r="D3420" s="6" t="s">
        <v>10937</v>
      </c>
      <c r="E3420" s="6" t="s">
        <v>10938</v>
      </c>
      <c r="F3420" s="6" t="s">
        <v>46</v>
      </c>
      <c r="G3420" s="6" t="s">
        <v>2769</v>
      </c>
      <c r="H3420" s="7"/>
      <c r="I3420" s="6" t="s">
        <v>48</v>
      </c>
      <c r="J3420" s="6" t="s">
        <v>48</v>
      </c>
      <c r="AG3420" s="15" t="s">
        <v>55</v>
      </c>
      <c r="AH3420" s="15"/>
      <c r="AI3420" s="15"/>
    </row>
    <row r="3421" spans="1:35" s="6" customFormat="1">
      <c r="A3421" s="6" t="s">
        <v>14794</v>
      </c>
      <c r="B3421" s="6" t="s">
        <v>14795</v>
      </c>
      <c r="C3421" s="6" t="s">
        <v>7327</v>
      </c>
      <c r="D3421" s="6" t="s">
        <v>10937</v>
      </c>
      <c r="E3421" s="6" t="s">
        <v>10938</v>
      </c>
      <c r="F3421" s="6" t="s">
        <v>46</v>
      </c>
      <c r="G3421" s="6" t="s">
        <v>14796</v>
      </c>
      <c r="H3421" s="7"/>
      <c r="I3421" s="5" t="s">
        <v>48</v>
      </c>
      <c r="J3421" s="5" t="s">
        <v>48</v>
      </c>
      <c r="AG3421" s="15" t="s">
        <v>55</v>
      </c>
      <c r="AH3421" s="15"/>
      <c r="AI3421" s="15"/>
    </row>
    <row r="3422" spans="1:35" s="6" customFormat="1">
      <c r="A3422" s="6" t="s">
        <v>14797</v>
      </c>
      <c r="B3422" s="6" t="s">
        <v>14798</v>
      </c>
      <c r="C3422" s="6" t="s">
        <v>7327</v>
      </c>
      <c r="D3422" s="6" t="s">
        <v>10937</v>
      </c>
      <c r="E3422" s="6" t="s">
        <v>10938</v>
      </c>
      <c r="F3422" s="6" t="s">
        <v>46</v>
      </c>
      <c r="G3422" s="6" t="s">
        <v>14799</v>
      </c>
      <c r="H3422" s="7"/>
      <c r="I3422" s="6" t="s">
        <v>48</v>
      </c>
      <c r="J3422" s="6" t="s">
        <v>48</v>
      </c>
      <c r="AG3422" s="15" t="s">
        <v>55</v>
      </c>
      <c r="AH3422" s="15"/>
      <c r="AI3422" s="15"/>
    </row>
    <row r="3423" spans="1:35" s="6" customFormat="1">
      <c r="A3423" s="6" t="s">
        <v>14800</v>
      </c>
      <c r="B3423" s="6" t="s">
        <v>14801</v>
      </c>
      <c r="C3423" s="6" t="s">
        <v>43</v>
      </c>
      <c r="D3423" s="6" t="s">
        <v>10937</v>
      </c>
      <c r="E3423" s="6" t="s">
        <v>10938</v>
      </c>
      <c r="F3423" s="6" t="s">
        <v>46</v>
      </c>
      <c r="G3423" s="6" t="s">
        <v>6369</v>
      </c>
      <c r="H3423" s="7"/>
      <c r="I3423" s="6" t="s">
        <v>48</v>
      </c>
      <c r="J3423" s="6" t="s">
        <v>48</v>
      </c>
      <c r="AG3423" s="15" t="s">
        <v>55</v>
      </c>
      <c r="AH3423" s="15"/>
      <c r="AI3423" s="15"/>
    </row>
    <row r="3424" spans="1:35" s="6" customFormat="1">
      <c r="A3424" s="6" t="s">
        <v>14802</v>
      </c>
      <c r="B3424" s="6" t="s">
        <v>14803</v>
      </c>
      <c r="C3424" s="6" t="s">
        <v>43</v>
      </c>
      <c r="D3424" s="6" t="s">
        <v>10937</v>
      </c>
      <c r="E3424" s="6" t="s">
        <v>10938</v>
      </c>
      <c r="F3424" s="6" t="s">
        <v>46</v>
      </c>
      <c r="G3424" s="6" t="s">
        <v>14804</v>
      </c>
      <c r="H3424" s="7"/>
      <c r="I3424" s="5" t="s">
        <v>48</v>
      </c>
      <c r="J3424" s="5" t="s">
        <v>48</v>
      </c>
      <c r="AG3424" s="15" t="s">
        <v>55</v>
      </c>
      <c r="AH3424" s="15"/>
      <c r="AI3424" s="15"/>
    </row>
    <row r="3425" spans="1:37" s="6" customFormat="1">
      <c r="A3425" s="6" t="s">
        <v>14805</v>
      </c>
      <c r="B3425" s="6" t="s">
        <v>14806</v>
      </c>
      <c r="C3425" s="6" t="s">
        <v>8309</v>
      </c>
      <c r="D3425" s="6" t="s">
        <v>10937</v>
      </c>
      <c r="E3425" s="6" t="s">
        <v>10938</v>
      </c>
      <c r="F3425" s="6" t="s">
        <v>46</v>
      </c>
      <c r="G3425" s="6" t="s">
        <v>14799</v>
      </c>
      <c r="H3425" s="7"/>
      <c r="I3425" s="6" t="s">
        <v>48</v>
      </c>
      <c r="J3425" s="6" t="s">
        <v>48</v>
      </c>
      <c r="AG3425" s="15" t="s">
        <v>55</v>
      </c>
      <c r="AH3425" s="15"/>
      <c r="AI3425" s="15"/>
    </row>
    <row r="3426" spans="1:37" s="6" customFormat="1">
      <c r="A3426" s="6" t="s">
        <v>14807</v>
      </c>
      <c r="B3426" s="6" t="s">
        <v>14808</v>
      </c>
      <c r="C3426" s="6" t="s">
        <v>43</v>
      </c>
      <c r="D3426" s="6" t="s">
        <v>10937</v>
      </c>
      <c r="E3426" s="6" t="s">
        <v>10938</v>
      </c>
      <c r="F3426" s="6" t="s">
        <v>46</v>
      </c>
      <c r="G3426" s="6" t="s">
        <v>8277</v>
      </c>
      <c r="H3426" s="7"/>
      <c r="I3426" s="6" t="s">
        <v>48</v>
      </c>
      <c r="J3426" s="6" t="s">
        <v>48</v>
      </c>
      <c r="AG3426" s="15" t="s">
        <v>55</v>
      </c>
      <c r="AH3426" s="15"/>
      <c r="AI3426" s="15"/>
    </row>
    <row r="3427" spans="1:37" s="6" customFormat="1">
      <c r="A3427" s="5" t="s">
        <v>14809</v>
      </c>
      <c r="B3427" s="5" t="s">
        <v>14810</v>
      </c>
      <c r="C3427" s="6" t="s">
        <v>8309</v>
      </c>
      <c r="D3427" s="6" t="s">
        <v>10937</v>
      </c>
      <c r="E3427" s="6" t="s">
        <v>10938</v>
      </c>
      <c r="F3427" s="6" t="s">
        <v>46</v>
      </c>
      <c r="G3427" s="6" t="s">
        <v>7108</v>
      </c>
      <c r="H3427" s="18">
        <v>999</v>
      </c>
      <c r="I3427" s="19" t="s">
        <v>13662</v>
      </c>
      <c r="J3427" s="19" t="s">
        <v>14651</v>
      </c>
      <c r="K3427" s="6" t="s">
        <v>14811</v>
      </c>
      <c r="L3427" s="6" t="s">
        <v>14812</v>
      </c>
      <c r="M3427" s="6" t="s">
        <v>14813</v>
      </c>
      <c r="N3427" s="6" t="s">
        <v>14814</v>
      </c>
      <c r="O3427" s="6" t="s">
        <v>14815</v>
      </c>
      <c r="P3427" s="6" t="s">
        <v>14816</v>
      </c>
      <c r="Q3427" s="6" t="s">
        <v>14817</v>
      </c>
      <c r="R3427" s="6" t="s">
        <v>14818</v>
      </c>
      <c r="S3427" s="6" t="s">
        <v>13672</v>
      </c>
      <c r="T3427" s="6" t="s">
        <v>13697</v>
      </c>
      <c r="U3427" s="6" t="s">
        <v>13674</v>
      </c>
      <c r="V3427" s="6" t="s">
        <v>13675</v>
      </c>
      <c r="W3427" s="6" t="s">
        <v>13676</v>
      </c>
      <c r="X3427" s="6" t="s">
        <v>13677</v>
      </c>
      <c r="Y3427" s="6" t="s">
        <v>13678</v>
      </c>
      <c r="Z3427" s="6" t="s">
        <v>13679</v>
      </c>
      <c r="AA3427" s="6" t="s">
        <v>13680</v>
      </c>
      <c r="AB3427" s="6" t="s">
        <v>13681</v>
      </c>
      <c r="AC3427" s="6" t="s">
        <v>13682</v>
      </c>
      <c r="AD3427" s="6" t="s">
        <v>13683</v>
      </c>
      <c r="AE3427" s="5"/>
      <c r="AF3427" s="5"/>
      <c r="AG3427" s="14" t="s">
        <v>49</v>
      </c>
      <c r="AH3427" s="14" t="s">
        <v>1102</v>
      </c>
      <c r="AI3427" s="14" t="s">
        <v>13684</v>
      </c>
      <c r="AJ3427" s="5" t="s">
        <v>13685</v>
      </c>
      <c r="AK3427" s="5"/>
    </row>
    <row r="3428" spans="1:37">
      <c r="A3428" s="5" t="s">
        <v>14819</v>
      </c>
      <c r="B3428" s="5" t="s">
        <v>14820</v>
      </c>
      <c r="C3428" s="6" t="s">
        <v>8309</v>
      </c>
      <c r="D3428" s="6" t="s">
        <v>10937</v>
      </c>
      <c r="E3428" s="6" t="s">
        <v>10938</v>
      </c>
      <c r="F3428" s="6" t="s">
        <v>46</v>
      </c>
      <c r="G3428" s="6" t="s">
        <v>14799</v>
      </c>
      <c r="H3428" s="18">
        <v>999</v>
      </c>
      <c r="I3428" s="19" t="s">
        <v>13662</v>
      </c>
      <c r="J3428" s="19" t="s">
        <v>14651</v>
      </c>
      <c r="K3428" s="6" t="s">
        <v>14821</v>
      </c>
      <c r="L3428" s="6" t="s">
        <v>14822</v>
      </c>
      <c r="M3428" s="6" t="s">
        <v>14823</v>
      </c>
      <c r="N3428" s="6" t="s">
        <v>14824</v>
      </c>
      <c r="O3428" s="6" t="s">
        <v>14825</v>
      </c>
      <c r="P3428" s="6" t="s">
        <v>14826</v>
      </c>
      <c r="Q3428" s="6" t="s">
        <v>14827</v>
      </c>
      <c r="R3428" s="6" t="s">
        <v>14828</v>
      </c>
      <c r="S3428" s="6" t="s">
        <v>13672</v>
      </c>
      <c r="T3428" s="6" t="s">
        <v>13697</v>
      </c>
      <c r="U3428" s="6" t="s">
        <v>13674</v>
      </c>
      <c r="V3428" s="6" t="s">
        <v>13675</v>
      </c>
      <c r="W3428" s="6" t="s">
        <v>13676</v>
      </c>
      <c r="X3428" s="6" t="s">
        <v>13677</v>
      </c>
      <c r="Y3428" s="6" t="s">
        <v>13678</v>
      </c>
      <c r="Z3428" s="6" t="s">
        <v>13679</v>
      </c>
      <c r="AA3428" s="6" t="s">
        <v>13680</v>
      </c>
      <c r="AB3428" s="6" t="s">
        <v>13681</v>
      </c>
      <c r="AC3428" s="6" t="s">
        <v>13682</v>
      </c>
      <c r="AD3428" s="6" t="s">
        <v>13683</v>
      </c>
      <c r="AG3428" s="14" t="s">
        <v>49</v>
      </c>
      <c r="AH3428" s="14" t="s">
        <v>1102</v>
      </c>
      <c r="AI3428" s="14" t="s">
        <v>13684</v>
      </c>
      <c r="AJ3428" s="5" t="s">
        <v>13685</v>
      </c>
    </row>
    <row r="3429" spans="1:37">
      <c r="A3429" s="6" t="s">
        <v>14829</v>
      </c>
      <c r="B3429" s="6" t="s">
        <v>14830</v>
      </c>
      <c r="C3429" s="6" t="s">
        <v>8309</v>
      </c>
      <c r="D3429" s="6" t="s">
        <v>10937</v>
      </c>
      <c r="E3429" s="6" t="s">
        <v>10938</v>
      </c>
      <c r="F3429" s="6" t="s">
        <v>46</v>
      </c>
      <c r="G3429" s="6" t="s">
        <v>14799</v>
      </c>
      <c r="I3429" s="5" t="s">
        <v>48</v>
      </c>
      <c r="J3429" s="5" t="s">
        <v>48</v>
      </c>
      <c r="K3429" s="6"/>
      <c r="L3429" s="6"/>
      <c r="M3429" s="6"/>
      <c r="N3429" s="6"/>
      <c r="O3429" s="6"/>
      <c r="P3429" s="6"/>
      <c r="Q3429" s="6"/>
      <c r="R3429" s="6"/>
      <c r="S3429" s="6"/>
      <c r="T3429" s="6"/>
      <c r="U3429" s="6"/>
      <c r="V3429" s="6"/>
      <c r="W3429" s="6"/>
      <c r="X3429" s="6"/>
      <c r="Y3429" s="6"/>
      <c r="Z3429" s="6"/>
      <c r="AA3429" s="6"/>
      <c r="AB3429" s="6"/>
      <c r="AC3429" s="6"/>
      <c r="AD3429" s="6"/>
      <c r="AE3429" s="6"/>
      <c r="AF3429" s="6"/>
      <c r="AG3429" s="15" t="s">
        <v>55</v>
      </c>
      <c r="AH3429" s="15"/>
      <c r="AI3429" s="15"/>
      <c r="AJ3429" s="6"/>
      <c r="AK3429" s="6"/>
    </row>
    <row r="3430" spans="1:37" s="6" customFormat="1">
      <c r="A3430" s="5" t="s">
        <v>14831</v>
      </c>
      <c r="B3430" s="5" t="s">
        <v>14832</v>
      </c>
      <c r="C3430" s="6" t="s">
        <v>8309</v>
      </c>
      <c r="D3430" s="6" t="s">
        <v>10937</v>
      </c>
      <c r="E3430" s="6" t="s">
        <v>10938</v>
      </c>
      <c r="F3430" s="6" t="s">
        <v>46</v>
      </c>
      <c r="G3430" s="6" t="s">
        <v>14799</v>
      </c>
      <c r="H3430" s="18">
        <v>999</v>
      </c>
      <c r="I3430" s="19" t="s">
        <v>13662</v>
      </c>
      <c r="J3430" s="19" t="s">
        <v>14651</v>
      </c>
      <c r="K3430" s="6" t="s">
        <v>14833</v>
      </c>
      <c r="L3430" s="6" t="s">
        <v>14834</v>
      </c>
      <c r="M3430" s="6" t="s">
        <v>14835</v>
      </c>
      <c r="N3430" s="6" t="s">
        <v>14836</v>
      </c>
      <c r="O3430" s="6" t="s">
        <v>14837</v>
      </c>
      <c r="P3430" s="6" t="s">
        <v>14838</v>
      </c>
      <c r="Q3430" s="6" t="s">
        <v>14839</v>
      </c>
      <c r="R3430" s="6" t="s">
        <v>14840</v>
      </c>
      <c r="S3430" s="6" t="s">
        <v>13672</v>
      </c>
      <c r="T3430" s="6" t="s">
        <v>13697</v>
      </c>
      <c r="U3430" s="6" t="s">
        <v>13674</v>
      </c>
      <c r="V3430" s="6" t="s">
        <v>13675</v>
      </c>
      <c r="W3430" s="6" t="s">
        <v>13676</v>
      </c>
      <c r="X3430" s="6" t="s">
        <v>13677</v>
      </c>
      <c r="Y3430" s="6" t="s">
        <v>13678</v>
      </c>
      <c r="Z3430" s="6" t="s">
        <v>13679</v>
      </c>
      <c r="AA3430" s="6" t="s">
        <v>13680</v>
      </c>
      <c r="AB3430" s="6" t="s">
        <v>13681</v>
      </c>
      <c r="AC3430" s="6" t="s">
        <v>13682</v>
      </c>
      <c r="AD3430" s="6" t="s">
        <v>13683</v>
      </c>
      <c r="AE3430" s="5"/>
      <c r="AF3430" s="5"/>
      <c r="AG3430" s="14" t="s">
        <v>49</v>
      </c>
      <c r="AH3430" s="14" t="s">
        <v>1102</v>
      </c>
      <c r="AI3430" s="14" t="s">
        <v>13684</v>
      </c>
      <c r="AJ3430" s="5" t="s">
        <v>13685</v>
      </c>
      <c r="AK3430" s="5"/>
    </row>
    <row r="3431" spans="1:37">
      <c r="A3431" s="6" t="s">
        <v>14841</v>
      </c>
      <c r="B3431" s="6" t="s">
        <v>14842</v>
      </c>
      <c r="C3431" s="6" t="s">
        <v>8309</v>
      </c>
      <c r="D3431" s="6" t="s">
        <v>10937</v>
      </c>
      <c r="E3431" s="6" t="s">
        <v>10938</v>
      </c>
      <c r="F3431" s="6" t="s">
        <v>46</v>
      </c>
      <c r="G3431" s="6" t="s">
        <v>7102</v>
      </c>
      <c r="I3431" s="6" t="s">
        <v>48</v>
      </c>
      <c r="J3431" s="6" t="s">
        <v>48</v>
      </c>
      <c r="K3431" s="6"/>
      <c r="L3431" s="6"/>
      <c r="M3431" s="6"/>
      <c r="N3431" s="6"/>
      <c r="O3431" s="6"/>
      <c r="P3431" s="6"/>
      <c r="Q3431" s="6"/>
      <c r="R3431" s="6"/>
      <c r="S3431" s="6"/>
      <c r="T3431" s="6"/>
      <c r="U3431" s="6"/>
      <c r="V3431" s="6"/>
      <c r="W3431" s="6"/>
      <c r="X3431" s="6"/>
      <c r="Y3431" s="6"/>
      <c r="Z3431" s="6"/>
      <c r="AA3431" s="6"/>
      <c r="AB3431" s="6"/>
      <c r="AC3431" s="6"/>
      <c r="AD3431" s="6"/>
      <c r="AE3431" s="6"/>
      <c r="AF3431" s="6"/>
      <c r="AG3431" s="15" t="s">
        <v>55</v>
      </c>
      <c r="AH3431" s="15"/>
      <c r="AI3431" s="15"/>
      <c r="AJ3431" s="6"/>
      <c r="AK3431" s="6"/>
    </row>
    <row r="3432" spans="1:37" s="6" customFormat="1">
      <c r="A3432" s="6" t="s">
        <v>14843</v>
      </c>
      <c r="B3432" s="6" t="s">
        <v>14844</v>
      </c>
      <c r="C3432" s="6" t="s">
        <v>43</v>
      </c>
      <c r="D3432" s="6" t="s">
        <v>10937</v>
      </c>
      <c r="E3432" s="6" t="s">
        <v>10938</v>
      </c>
      <c r="F3432" s="6" t="s">
        <v>46</v>
      </c>
      <c r="G3432" s="6" t="s">
        <v>14845</v>
      </c>
      <c r="H3432" s="7"/>
      <c r="I3432" s="6" t="s">
        <v>48</v>
      </c>
      <c r="J3432" s="6" t="s">
        <v>48</v>
      </c>
      <c r="AG3432" s="15" t="s">
        <v>55</v>
      </c>
      <c r="AH3432" s="15"/>
      <c r="AI3432" s="15"/>
    </row>
    <row r="3433" spans="1:37" s="6" customFormat="1">
      <c r="A3433" s="6" t="s">
        <v>14846</v>
      </c>
      <c r="B3433" s="6" t="s">
        <v>14847</v>
      </c>
      <c r="C3433" s="6" t="s">
        <v>43</v>
      </c>
      <c r="D3433" s="6" t="s">
        <v>10937</v>
      </c>
      <c r="E3433" s="6" t="s">
        <v>10938</v>
      </c>
      <c r="F3433" s="6" t="s">
        <v>46</v>
      </c>
      <c r="G3433" s="6" t="s">
        <v>8451</v>
      </c>
      <c r="H3433" s="7"/>
      <c r="I3433" s="6" t="s">
        <v>48</v>
      </c>
      <c r="J3433" s="6" t="s">
        <v>48</v>
      </c>
      <c r="AG3433" s="15" t="s">
        <v>55</v>
      </c>
      <c r="AH3433" s="15"/>
      <c r="AI3433" s="15"/>
    </row>
    <row r="3434" spans="1:37" s="6" customFormat="1">
      <c r="A3434" s="6" t="s">
        <v>14848</v>
      </c>
      <c r="B3434" s="6" t="s">
        <v>14849</v>
      </c>
      <c r="C3434" s="6" t="s">
        <v>43</v>
      </c>
      <c r="D3434" s="6" t="s">
        <v>10937</v>
      </c>
      <c r="E3434" s="6" t="s">
        <v>10938</v>
      </c>
      <c r="F3434" s="6" t="s">
        <v>46</v>
      </c>
      <c r="G3434" s="6" t="s">
        <v>1183</v>
      </c>
      <c r="H3434" s="7"/>
      <c r="I3434" s="6" t="s">
        <v>48</v>
      </c>
      <c r="J3434" s="6" t="s">
        <v>48</v>
      </c>
      <c r="AG3434" s="15" t="s">
        <v>55</v>
      </c>
      <c r="AH3434" s="15"/>
      <c r="AI3434" s="15"/>
    </row>
    <row r="3435" spans="1:37" s="6" customFormat="1">
      <c r="A3435" s="6" t="s">
        <v>14850</v>
      </c>
      <c r="B3435" s="6" t="s">
        <v>14851</v>
      </c>
      <c r="C3435" s="6" t="s">
        <v>43</v>
      </c>
      <c r="D3435" s="6" t="s">
        <v>10937</v>
      </c>
      <c r="E3435" s="6" t="s">
        <v>10938</v>
      </c>
      <c r="F3435" s="6" t="s">
        <v>46</v>
      </c>
      <c r="G3435" s="6" t="s">
        <v>14852</v>
      </c>
      <c r="H3435" s="7"/>
      <c r="I3435" s="6" t="s">
        <v>48</v>
      </c>
      <c r="J3435" s="6" t="s">
        <v>48</v>
      </c>
      <c r="AG3435" s="15" t="s">
        <v>55</v>
      </c>
      <c r="AH3435" s="15"/>
      <c r="AI3435" s="15"/>
    </row>
    <row r="3436" spans="1:37" s="6" customFormat="1">
      <c r="A3436" s="6" t="s">
        <v>14853</v>
      </c>
      <c r="B3436" s="6" t="s">
        <v>14854</v>
      </c>
      <c r="C3436" s="6" t="s">
        <v>43</v>
      </c>
      <c r="D3436" s="6" t="s">
        <v>10937</v>
      </c>
      <c r="E3436" s="6" t="s">
        <v>10938</v>
      </c>
      <c r="F3436" s="6" t="s">
        <v>46</v>
      </c>
      <c r="G3436" s="6" t="s">
        <v>14855</v>
      </c>
      <c r="H3436" s="7"/>
      <c r="I3436" s="6" t="s">
        <v>48</v>
      </c>
      <c r="J3436" s="6" t="s">
        <v>48</v>
      </c>
      <c r="AG3436" s="15" t="s">
        <v>55</v>
      </c>
      <c r="AH3436" s="15"/>
      <c r="AI3436" s="15"/>
    </row>
    <row r="3437" spans="1:37" s="6" customFormat="1">
      <c r="A3437" s="6" t="s">
        <v>14856</v>
      </c>
      <c r="B3437" s="6" t="s">
        <v>14857</v>
      </c>
      <c r="C3437" s="6" t="s">
        <v>43</v>
      </c>
      <c r="D3437" s="6" t="s">
        <v>10937</v>
      </c>
      <c r="E3437" s="6" t="s">
        <v>10938</v>
      </c>
      <c r="F3437" s="6" t="s">
        <v>46</v>
      </c>
      <c r="G3437" s="6" t="s">
        <v>973</v>
      </c>
      <c r="H3437" s="7"/>
      <c r="I3437" s="6" t="s">
        <v>48</v>
      </c>
      <c r="J3437" s="6" t="s">
        <v>48</v>
      </c>
      <c r="AG3437" s="15" t="s">
        <v>55</v>
      </c>
      <c r="AH3437" s="15"/>
      <c r="AI3437" s="15"/>
    </row>
    <row r="3438" spans="1:37" s="6" customFormat="1">
      <c r="A3438" s="6" t="s">
        <v>14858</v>
      </c>
      <c r="B3438" s="6" t="s">
        <v>14859</v>
      </c>
      <c r="C3438" s="6" t="s">
        <v>43</v>
      </c>
      <c r="D3438" s="6" t="s">
        <v>10937</v>
      </c>
      <c r="E3438" s="6" t="s">
        <v>10938</v>
      </c>
      <c r="F3438" s="6" t="s">
        <v>46</v>
      </c>
      <c r="G3438" s="6" t="s">
        <v>1464</v>
      </c>
      <c r="H3438" s="7"/>
      <c r="I3438" s="6" t="s">
        <v>48</v>
      </c>
      <c r="J3438" s="6" t="s">
        <v>48</v>
      </c>
      <c r="AG3438" s="15" t="s">
        <v>55</v>
      </c>
      <c r="AH3438" s="15"/>
      <c r="AI3438" s="15"/>
    </row>
    <row r="3439" spans="1:37" s="6" customFormat="1">
      <c r="A3439" s="6" t="s">
        <v>14860</v>
      </c>
      <c r="B3439" s="6" t="s">
        <v>14861</v>
      </c>
      <c r="C3439" s="6" t="s">
        <v>8309</v>
      </c>
      <c r="D3439" s="6" t="s">
        <v>10937</v>
      </c>
      <c r="E3439" s="6" t="s">
        <v>10938</v>
      </c>
      <c r="F3439" s="6" t="s">
        <v>46</v>
      </c>
      <c r="G3439" s="6" t="s">
        <v>14862</v>
      </c>
      <c r="H3439" s="7"/>
      <c r="I3439" s="6" t="s">
        <v>48</v>
      </c>
      <c r="J3439" s="6" t="s">
        <v>48</v>
      </c>
      <c r="AG3439" s="15" t="s">
        <v>55</v>
      </c>
      <c r="AH3439" s="15"/>
      <c r="AI3439" s="15"/>
    </row>
    <row r="3440" spans="1:37" s="6" customFormat="1">
      <c r="A3440" s="6" t="s">
        <v>14863</v>
      </c>
      <c r="B3440" s="6" t="s">
        <v>14864</v>
      </c>
      <c r="C3440" s="6" t="s">
        <v>14865</v>
      </c>
      <c r="D3440" s="6" t="s">
        <v>10937</v>
      </c>
      <c r="E3440" s="6" t="s">
        <v>10938</v>
      </c>
      <c r="F3440" s="6" t="s">
        <v>46</v>
      </c>
      <c r="G3440" s="6" t="s">
        <v>14866</v>
      </c>
      <c r="H3440" s="7"/>
      <c r="I3440" s="6" t="s">
        <v>48</v>
      </c>
      <c r="J3440" s="6" t="s">
        <v>48</v>
      </c>
      <c r="AG3440" s="15" t="s">
        <v>55</v>
      </c>
      <c r="AH3440" s="15"/>
      <c r="AI3440" s="15"/>
    </row>
    <row r="3441" spans="1:35" s="6" customFormat="1">
      <c r="A3441" s="6" t="s">
        <v>14867</v>
      </c>
      <c r="B3441" s="6" t="s">
        <v>14868</v>
      </c>
      <c r="C3441" s="6" t="s">
        <v>14865</v>
      </c>
      <c r="D3441" s="6" t="s">
        <v>10937</v>
      </c>
      <c r="E3441" s="6" t="s">
        <v>10938</v>
      </c>
      <c r="F3441" s="6" t="s">
        <v>46</v>
      </c>
      <c r="G3441" s="6" t="s">
        <v>7081</v>
      </c>
      <c r="H3441" s="7"/>
      <c r="I3441" s="6" t="s">
        <v>48</v>
      </c>
      <c r="J3441" s="6" t="s">
        <v>48</v>
      </c>
      <c r="AG3441" s="15" t="s">
        <v>55</v>
      </c>
      <c r="AH3441" s="15"/>
      <c r="AI3441" s="15"/>
    </row>
    <row r="3442" spans="1:35" s="6" customFormat="1">
      <c r="A3442" s="6" t="s">
        <v>14869</v>
      </c>
      <c r="B3442" s="6" t="s">
        <v>14870</v>
      </c>
      <c r="C3442" s="6" t="s">
        <v>14672</v>
      </c>
      <c r="D3442" s="6" t="s">
        <v>10937</v>
      </c>
      <c r="E3442" s="6" t="s">
        <v>10938</v>
      </c>
      <c r="F3442" s="6" t="s">
        <v>46</v>
      </c>
      <c r="G3442" s="6" t="s">
        <v>14871</v>
      </c>
      <c r="H3442" s="7"/>
      <c r="I3442" s="6" t="s">
        <v>48</v>
      </c>
      <c r="J3442" s="6" t="s">
        <v>48</v>
      </c>
      <c r="AG3442" s="15" t="s">
        <v>55</v>
      </c>
      <c r="AH3442" s="15"/>
      <c r="AI3442" s="15"/>
    </row>
    <row r="3443" spans="1:35" s="6" customFormat="1">
      <c r="A3443" s="6" t="s">
        <v>14872</v>
      </c>
      <c r="B3443" s="6" t="s">
        <v>14873</v>
      </c>
      <c r="C3443" s="6" t="s">
        <v>43</v>
      </c>
      <c r="D3443" s="6" t="s">
        <v>10937</v>
      </c>
      <c r="E3443" s="6" t="s">
        <v>10938</v>
      </c>
      <c r="F3443" s="6" t="s">
        <v>46</v>
      </c>
      <c r="G3443" s="6" t="s">
        <v>14874</v>
      </c>
      <c r="H3443" s="7"/>
      <c r="I3443" s="6" t="s">
        <v>48</v>
      </c>
      <c r="J3443" s="6" t="s">
        <v>48</v>
      </c>
      <c r="AG3443" s="15" t="s">
        <v>55</v>
      </c>
      <c r="AH3443" s="15"/>
      <c r="AI3443" s="15"/>
    </row>
    <row r="3444" spans="1:35" s="6" customFormat="1">
      <c r="A3444" s="6" t="s">
        <v>14875</v>
      </c>
      <c r="B3444" s="6" t="s">
        <v>14876</v>
      </c>
      <c r="C3444" s="6" t="s">
        <v>43</v>
      </c>
      <c r="D3444" s="6" t="s">
        <v>10937</v>
      </c>
      <c r="E3444" s="6" t="s">
        <v>10938</v>
      </c>
      <c r="F3444" s="6" t="s">
        <v>46</v>
      </c>
      <c r="G3444" s="6" t="s">
        <v>12712</v>
      </c>
      <c r="H3444" s="7"/>
      <c r="I3444" s="6" t="s">
        <v>48</v>
      </c>
      <c r="J3444" s="6" t="s">
        <v>48</v>
      </c>
      <c r="AG3444" s="15" t="s">
        <v>55</v>
      </c>
      <c r="AH3444" s="15"/>
      <c r="AI3444" s="15"/>
    </row>
    <row r="3445" spans="1:35" s="6" customFormat="1">
      <c r="A3445" s="6" t="s">
        <v>14877</v>
      </c>
      <c r="B3445" s="6" t="s">
        <v>14878</v>
      </c>
      <c r="C3445" s="6" t="s">
        <v>43</v>
      </c>
      <c r="D3445" s="6" t="s">
        <v>10937</v>
      </c>
      <c r="E3445" s="6" t="s">
        <v>10938</v>
      </c>
      <c r="F3445" s="6" t="s">
        <v>46</v>
      </c>
      <c r="G3445" s="6" t="s">
        <v>8429</v>
      </c>
      <c r="H3445" s="7"/>
      <c r="I3445" s="6" t="s">
        <v>48</v>
      </c>
      <c r="J3445" s="6" t="s">
        <v>48</v>
      </c>
      <c r="AG3445" s="15" t="s">
        <v>55</v>
      </c>
      <c r="AH3445" s="15"/>
      <c r="AI3445" s="15"/>
    </row>
    <row r="3446" spans="1:35" s="6" customFormat="1">
      <c r="A3446" s="6" t="s">
        <v>14879</v>
      </c>
      <c r="B3446" s="6" t="s">
        <v>14880</v>
      </c>
      <c r="C3446" s="6" t="s">
        <v>43</v>
      </c>
      <c r="D3446" s="6" t="s">
        <v>10937</v>
      </c>
      <c r="E3446" s="6" t="s">
        <v>10938</v>
      </c>
      <c r="F3446" s="6" t="s">
        <v>46</v>
      </c>
      <c r="G3446" s="6" t="s">
        <v>8309</v>
      </c>
      <c r="H3446" s="7"/>
      <c r="I3446" s="6" t="s">
        <v>48</v>
      </c>
      <c r="J3446" s="6" t="s">
        <v>48</v>
      </c>
      <c r="AG3446" s="15" t="s">
        <v>55</v>
      </c>
      <c r="AH3446" s="15"/>
      <c r="AI3446" s="15"/>
    </row>
    <row r="3447" spans="1:35" s="6" customFormat="1">
      <c r="A3447" s="6" t="s">
        <v>14881</v>
      </c>
      <c r="B3447" s="6" t="s">
        <v>14882</v>
      </c>
      <c r="C3447" s="6" t="s">
        <v>43</v>
      </c>
      <c r="D3447" s="6" t="s">
        <v>10937</v>
      </c>
      <c r="E3447" s="6" t="s">
        <v>10938</v>
      </c>
      <c r="F3447" s="6" t="s">
        <v>46</v>
      </c>
      <c r="G3447" s="6" t="s">
        <v>2016</v>
      </c>
      <c r="H3447" s="7"/>
      <c r="I3447" s="6" t="s">
        <v>48</v>
      </c>
      <c r="J3447" s="6" t="s">
        <v>48</v>
      </c>
      <c r="AG3447" s="15" t="s">
        <v>55</v>
      </c>
      <c r="AH3447" s="15"/>
      <c r="AI3447" s="15"/>
    </row>
    <row r="3448" spans="1:35" s="6" customFormat="1">
      <c r="A3448" s="6" t="s">
        <v>14883</v>
      </c>
      <c r="B3448" s="6" t="s">
        <v>14884</v>
      </c>
      <c r="C3448" s="6" t="s">
        <v>43</v>
      </c>
      <c r="D3448" s="6" t="s">
        <v>10937</v>
      </c>
      <c r="E3448" s="6" t="s">
        <v>10938</v>
      </c>
      <c r="F3448" s="6" t="s">
        <v>46</v>
      </c>
      <c r="G3448" s="6" t="s">
        <v>6597</v>
      </c>
      <c r="H3448" s="7"/>
      <c r="I3448" s="6" t="s">
        <v>48</v>
      </c>
      <c r="J3448" s="6" t="s">
        <v>48</v>
      </c>
      <c r="AG3448" s="15" t="s">
        <v>55</v>
      </c>
      <c r="AH3448" s="15"/>
      <c r="AI3448" s="15"/>
    </row>
    <row r="3449" spans="1:35" s="6" customFormat="1">
      <c r="A3449" s="6" t="s">
        <v>14885</v>
      </c>
      <c r="B3449" s="6" t="s">
        <v>14886</v>
      </c>
      <c r="C3449" s="6" t="s">
        <v>7176</v>
      </c>
      <c r="D3449" s="6" t="s">
        <v>10937</v>
      </c>
      <c r="E3449" s="6" t="s">
        <v>10938</v>
      </c>
      <c r="F3449" s="6" t="s">
        <v>46</v>
      </c>
      <c r="G3449" s="6" t="s">
        <v>14887</v>
      </c>
      <c r="H3449" s="7"/>
      <c r="I3449" s="6" t="s">
        <v>48</v>
      </c>
      <c r="J3449" s="6" t="s">
        <v>48</v>
      </c>
      <c r="AG3449" s="15" t="s">
        <v>55</v>
      </c>
      <c r="AH3449" s="15"/>
      <c r="AI3449" s="15"/>
    </row>
    <row r="3450" spans="1:35" s="6" customFormat="1">
      <c r="A3450" s="6" t="s">
        <v>14888</v>
      </c>
      <c r="B3450" s="6" t="s">
        <v>14889</v>
      </c>
      <c r="C3450" s="6" t="s">
        <v>14890</v>
      </c>
      <c r="D3450" s="6" t="s">
        <v>10937</v>
      </c>
      <c r="E3450" s="6" t="s">
        <v>10938</v>
      </c>
      <c r="F3450" s="6" t="s">
        <v>46</v>
      </c>
      <c r="G3450" s="6" t="s">
        <v>14891</v>
      </c>
      <c r="H3450" s="7"/>
      <c r="I3450" s="6" t="s">
        <v>48</v>
      </c>
      <c r="J3450" s="6" t="s">
        <v>48</v>
      </c>
      <c r="AG3450" s="15" t="s">
        <v>55</v>
      </c>
      <c r="AH3450" s="15"/>
      <c r="AI3450" s="15"/>
    </row>
    <row r="3451" spans="1:35" s="6" customFormat="1">
      <c r="A3451" s="6" t="s">
        <v>14892</v>
      </c>
      <c r="B3451" s="6" t="s">
        <v>14893</v>
      </c>
      <c r="C3451" s="6" t="s">
        <v>43</v>
      </c>
      <c r="D3451" s="6" t="s">
        <v>10937</v>
      </c>
      <c r="E3451" s="6" t="s">
        <v>10938</v>
      </c>
      <c r="F3451" s="6" t="s">
        <v>46</v>
      </c>
      <c r="G3451" s="6" t="s">
        <v>14887</v>
      </c>
      <c r="H3451" s="7"/>
      <c r="I3451" s="6" t="s">
        <v>48</v>
      </c>
      <c r="J3451" s="6" t="s">
        <v>48</v>
      </c>
      <c r="AG3451" s="15" t="s">
        <v>55</v>
      </c>
      <c r="AH3451" s="15"/>
      <c r="AI3451" s="15"/>
    </row>
    <row r="3452" spans="1:35" s="6" customFormat="1">
      <c r="A3452" s="6" t="s">
        <v>14894</v>
      </c>
      <c r="B3452" s="6" t="s">
        <v>14895</v>
      </c>
      <c r="C3452" s="6" t="s">
        <v>43</v>
      </c>
      <c r="D3452" s="6" t="s">
        <v>10937</v>
      </c>
      <c r="E3452" s="6" t="s">
        <v>10938</v>
      </c>
      <c r="F3452" s="6" t="s">
        <v>46</v>
      </c>
      <c r="G3452" s="6" t="s">
        <v>7127</v>
      </c>
      <c r="H3452" s="7"/>
      <c r="I3452" s="5" t="s">
        <v>48</v>
      </c>
      <c r="J3452" s="5" t="s">
        <v>48</v>
      </c>
      <c r="AG3452" s="15" t="s">
        <v>55</v>
      </c>
      <c r="AH3452" s="15"/>
      <c r="AI3452" s="15"/>
    </row>
    <row r="3453" spans="1:35" s="6" customFormat="1">
      <c r="A3453" s="6" t="s">
        <v>14896</v>
      </c>
      <c r="B3453" s="6" t="s">
        <v>14897</v>
      </c>
      <c r="C3453" s="6" t="s">
        <v>43</v>
      </c>
      <c r="D3453" s="6" t="s">
        <v>10937</v>
      </c>
      <c r="E3453" s="6" t="s">
        <v>10938</v>
      </c>
      <c r="F3453" s="6" t="s">
        <v>46</v>
      </c>
      <c r="G3453" s="6" t="s">
        <v>7701</v>
      </c>
      <c r="H3453" s="7"/>
      <c r="I3453" s="6" t="s">
        <v>48</v>
      </c>
      <c r="J3453" s="6" t="s">
        <v>48</v>
      </c>
      <c r="AG3453" s="15" t="s">
        <v>55</v>
      </c>
      <c r="AH3453" s="15"/>
      <c r="AI3453" s="15"/>
    </row>
    <row r="3454" spans="1:35" s="6" customFormat="1">
      <c r="A3454" s="6" t="s">
        <v>14898</v>
      </c>
      <c r="B3454" s="6" t="s">
        <v>14899</v>
      </c>
      <c r="C3454" s="6" t="s">
        <v>43</v>
      </c>
      <c r="D3454" s="6" t="s">
        <v>10937</v>
      </c>
      <c r="E3454" s="6" t="s">
        <v>10938</v>
      </c>
      <c r="F3454" s="6" t="s">
        <v>46</v>
      </c>
      <c r="G3454" s="6" t="s">
        <v>14900</v>
      </c>
      <c r="H3454" s="7"/>
      <c r="I3454" s="5" t="s">
        <v>48</v>
      </c>
      <c r="J3454" s="5" t="s">
        <v>48</v>
      </c>
      <c r="AG3454" s="15" t="s">
        <v>55</v>
      </c>
      <c r="AH3454" s="15"/>
      <c r="AI3454" s="15"/>
    </row>
    <row r="3455" spans="1:35" s="6" customFormat="1">
      <c r="A3455" s="6" t="s">
        <v>14901</v>
      </c>
      <c r="B3455" s="6" t="s">
        <v>14902</v>
      </c>
      <c r="C3455" s="6" t="s">
        <v>43</v>
      </c>
      <c r="D3455" s="6" t="s">
        <v>10937</v>
      </c>
      <c r="E3455" s="6" t="s">
        <v>10938</v>
      </c>
      <c r="F3455" s="6" t="s">
        <v>46</v>
      </c>
      <c r="G3455" s="6" t="s">
        <v>7904</v>
      </c>
      <c r="H3455" s="7"/>
      <c r="I3455" s="6" t="s">
        <v>48</v>
      </c>
      <c r="J3455" s="6" t="s">
        <v>48</v>
      </c>
      <c r="AG3455" s="15" t="s">
        <v>55</v>
      </c>
      <c r="AH3455" s="15"/>
      <c r="AI3455" s="15"/>
    </row>
    <row r="3456" spans="1:35" s="6" customFormat="1">
      <c r="A3456" s="6" t="s">
        <v>14903</v>
      </c>
      <c r="B3456" s="6" t="s">
        <v>14904</v>
      </c>
      <c r="C3456" s="6" t="s">
        <v>43</v>
      </c>
      <c r="D3456" s="6" t="s">
        <v>10937</v>
      </c>
      <c r="E3456" s="6" t="s">
        <v>10938</v>
      </c>
      <c r="F3456" s="6" t="s">
        <v>46</v>
      </c>
      <c r="G3456" s="6" t="s">
        <v>11410</v>
      </c>
      <c r="H3456" s="7"/>
      <c r="I3456" s="6" t="s">
        <v>48</v>
      </c>
      <c r="J3456" s="6" t="s">
        <v>48</v>
      </c>
      <c r="AG3456" s="15" t="s">
        <v>55</v>
      </c>
      <c r="AH3456" s="15"/>
      <c r="AI3456" s="15"/>
    </row>
    <row r="3457" spans="1:35" s="6" customFormat="1">
      <c r="A3457" s="6" t="s">
        <v>14905</v>
      </c>
      <c r="B3457" s="6" t="s">
        <v>14906</v>
      </c>
      <c r="C3457" s="6" t="s">
        <v>43</v>
      </c>
      <c r="D3457" s="6" t="s">
        <v>10937</v>
      </c>
      <c r="E3457" s="6" t="s">
        <v>10938</v>
      </c>
      <c r="F3457" s="6" t="s">
        <v>46</v>
      </c>
      <c r="G3457" s="6" t="s">
        <v>11410</v>
      </c>
      <c r="H3457" s="7"/>
      <c r="I3457" s="6" t="s">
        <v>48</v>
      </c>
      <c r="J3457" s="6" t="s">
        <v>48</v>
      </c>
      <c r="AG3457" s="15" t="s">
        <v>55</v>
      </c>
      <c r="AH3457" s="15"/>
      <c r="AI3457" s="15"/>
    </row>
    <row r="3458" spans="1:35" s="6" customFormat="1">
      <c r="A3458" s="6" t="s">
        <v>14907</v>
      </c>
      <c r="B3458" s="6" t="s">
        <v>14908</v>
      </c>
      <c r="C3458" s="6" t="s">
        <v>43</v>
      </c>
      <c r="D3458" s="6" t="s">
        <v>10937</v>
      </c>
      <c r="E3458" s="6" t="s">
        <v>10938</v>
      </c>
      <c r="F3458" s="6" t="s">
        <v>46</v>
      </c>
      <c r="G3458" s="6" t="s">
        <v>14909</v>
      </c>
      <c r="H3458" s="7"/>
      <c r="I3458" s="6" t="s">
        <v>48</v>
      </c>
      <c r="J3458" s="6" t="s">
        <v>48</v>
      </c>
      <c r="AG3458" s="15" t="s">
        <v>55</v>
      </c>
      <c r="AH3458" s="15"/>
      <c r="AI3458" s="15"/>
    </row>
    <row r="3459" spans="1:35" s="6" customFormat="1">
      <c r="A3459" s="6" t="s">
        <v>14910</v>
      </c>
      <c r="B3459" s="6" t="s">
        <v>14911</v>
      </c>
      <c r="C3459" s="6" t="s">
        <v>43</v>
      </c>
      <c r="D3459" s="6" t="s">
        <v>10937</v>
      </c>
      <c r="E3459" s="6" t="s">
        <v>10938</v>
      </c>
      <c r="F3459" s="6" t="s">
        <v>46</v>
      </c>
      <c r="G3459" s="6" t="s">
        <v>14912</v>
      </c>
      <c r="H3459" s="7"/>
      <c r="I3459" s="5" t="s">
        <v>48</v>
      </c>
      <c r="J3459" s="5" t="s">
        <v>48</v>
      </c>
      <c r="AG3459" s="15" t="s">
        <v>55</v>
      </c>
      <c r="AH3459" s="15"/>
      <c r="AI3459" s="15"/>
    </row>
    <row r="3460" spans="1:35" s="6" customFormat="1">
      <c r="A3460" s="6" t="s">
        <v>14913</v>
      </c>
      <c r="B3460" s="6" t="s">
        <v>14914</v>
      </c>
      <c r="C3460" s="6" t="s">
        <v>43</v>
      </c>
      <c r="D3460" s="6" t="s">
        <v>10937</v>
      </c>
      <c r="E3460" s="6" t="s">
        <v>10938</v>
      </c>
      <c r="F3460" s="6" t="s">
        <v>46</v>
      </c>
      <c r="G3460" s="6" t="s">
        <v>6490</v>
      </c>
      <c r="H3460" s="7"/>
      <c r="I3460" s="6" t="s">
        <v>48</v>
      </c>
      <c r="J3460" s="6" t="s">
        <v>48</v>
      </c>
      <c r="AG3460" s="15" t="s">
        <v>55</v>
      </c>
      <c r="AH3460" s="15"/>
      <c r="AI3460" s="15"/>
    </row>
    <row r="3461" spans="1:35" s="6" customFormat="1">
      <c r="A3461" s="6" t="s">
        <v>14915</v>
      </c>
      <c r="B3461" s="6" t="s">
        <v>14916</v>
      </c>
      <c r="C3461" s="6" t="s">
        <v>43</v>
      </c>
      <c r="D3461" s="6" t="s">
        <v>10937</v>
      </c>
      <c r="E3461" s="6" t="s">
        <v>10938</v>
      </c>
      <c r="F3461" s="6" t="s">
        <v>46</v>
      </c>
      <c r="G3461" s="6" t="s">
        <v>14912</v>
      </c>
      <c r="H3461" s="7"/>
      <c r="I3461" s="6" t="s">
        <v>48</v>
      </c>
      <c r="J3461" s="6" t="s">
        <v>48</v>
      </c>
      <c r="AG3461" s="15" t="s">
        <v>55</v>
      </c>
      <c r="AH3461" s="15"/>
      <c r="AI3461" s="15"/>
    </row>
    <row r="3462" spans="1:35" s="6" customFormat="1">
      <c r="A3462" s="6" t="s">
        <v>14917</v>
      </c>
      <c r="B3462" s="6" t="s">
        <v>14918</v>
      </c>
      <c r="C3462" s="6" t="s">
        <v>43</v>
      </c>
      <c r="D3462" s="6" t="s">
        <v>10937</v>
      </c>
      <c r="E3462" s="6" t="s">
        <v>10938</v>
      </c>
      <c r="F3462" s="6" t="s">
        <v>46</v>
      </c>
      <c r="G3462" s="6" t="s">
        <v>10075</v>
      </c>
      <c r="H3462" s="7"/>
      <c r="I3462" s="6" t="s">
        <v>48</v>
      </c>
      <c r="J3462" s="6" t="s">
        <v>48</v>
      </c>
      <c r="AG3462" s="15" t="s">
        <v>55</v>
      </c>
      <c r="AH3462" s="15"/>
      <c r="AI3462" s="15"/>
    </row>
    <row r="3463" spans="1:35" s="6" customFormat="1">
      <c r="A3463" s="6" t="s">
        <v>14919</v>
      </c>
      <c r="B3463" s="6" t="s">
        <v>14920</v>
      </c>
      <c r="C3463" s="6" t="s">
        <v>43</v>
      </c>
      <c r="D3463" s="6" t="s">
        <v>10937</v>
      </c>
      <c r="E3463" s="6" t="s">
        <v>10938</v>
      </c>
      <c r="F3463" s="6" t="s">
        <v>46</v>
      </c>
      <c r="G3463" s="6" t="s">
        <v>10075</v>
      </c>
      <c r="H3463" s="7"/>
      <c r="I3463" s="6" t="s">
        <v>48</v>
      </c>
      <c r="J3463" s="6" t="s">
        <v>48</v>
      </c>
      <c r="AG3463" s="15" t="s">
        <v>55</v>
      </c>
      <c r="AH3463" s="15"/>
      <c r="AI3463" s="15"/>
    </row>
    <row r="3464" spans="1:35" s="6" customFormat="1">
      <c r="A3464" s="6" t="s">
        <v>14921</v>
      </c>
      <c r="B3464" s="6" t="s">
        <v>14922</v>
      </c>
      <c r="C3464" s="6" t="s">
        <v>43</v>
      </c>
      <c r="D3464" s="6" t="s">
        <v>10937</v>
      </c>
      <c r="E3464" s="6" t="s">
        <v>10938</v>
      </c>
      <c r="F3464" s="6" t="s">
        <v>46</v>
      </c>
      <c r="G3464" s="6" t="s">
        <v>14923</v>
      </c>
      <c r="H3464" s="7"/>
      <c r="I3464" s="5" t="s">
        <v>48</v>
      </c>
      <c r="J3464" s="5" t="s">
        <v>48</v>
      </c>
      <c r="AG3464" s="15" t="s">
        <v>55</v>
      </c>
      <c r="AH3464" s="15"/>
      <c r="AI3464" s="15"/>
    </row>
    <row r="3465" spans="1:35" s="6" customFormat="1">
      <c r="A3465" s="6" t="s">
        <v>14924</v>
      </c>
      <c r="B3465" s="6" t="s">
        <v>14925</v>
      </c>
      <c r="C3465" s="6" t="s">
        <v>43</v>
      </c>
      <c r="D3465" s="6" t="s">
        <v>10937</v>
      </c>
      <c r="E3465" s="6" t="s">
        <v>10938</v>
      </c>
      <c r="F3465" s="6" t="s">
        <v>46</v>
      </c>
      <c r="G3465" s="6" t="s">
        <v>5163</v>
      </c>
      <c r="H3465" s="7"/>
      <c r="I3465" s="5" t="s">
        <v>48</v>
      </c>
      <c r="J3465" s="5" t="s">
        <v>48</v>
      </c>
      <c r="AG3465" s="15" t="s">
        <v>55</v>
      </c>
      <c r="AH3465" s="15"/>
      <c r="AI3465" s="15"/>
    </row>
    <row r="3466" spans="1:35" s="6" customFormat="1">
      <c r="A3466" s="6" t="s">
        <v>14926</v>
      </c>
      <c r="B3466" s="6" t="s">
        <v>14927</v>
      </c>
      <c r="C3466" s="6" t="s">
        <v>43</v>
      </c>
      <c r="D3466" s="6" t="s">
        <v>10937</v>
      </c>
      <c r="E3466" s="6" t="s">
        <v>10938</v>
      </c>
      <c r="F3466" s="6" t="s">
        <v>46</v>
      </c>
      <c r="G3466" s="6" t="s">
        <v>14928</v>
      </c>
      <c r="H3466" s="7"/>
      <c r="I3466" s="5" t="s">
        <v>48</v>
      </c>
      <c r="J3466" s="5" t="s">
        <v>48</v>
      </c>
      <c r="AG3466" s="15" t="s">
        <v>55</v>
      </c>
      <c r="AH3466" s="15"/>
      <c r="AI3466" s="15"/>
    </row>
    <row r="3467" spans="1:35" s="6" customFormat="1">
      <c r="A3467" s="6" t="s">
        <v>14929</v>
      </c>
      <c r="B3467" s="6" t="s">
        <v>14930</v>
      </c>
      <c r="C3467" s="6" t="s">
        <v>43</v>
      </c>
      <c r="D3467" s="6" t="s">
        <v>10937</v>
      </c>
      <c r="E3467" s="6" t="s">
        <v>10938</v>
      </c>
      <c r="F3467" s="6" t="s">
        <v>46</v>
      </c>
      <c r="G3467" s="6" t="s">
        <v>14931</v>
      </c>
      <c r="H3467" s="7"/>
      <c r="I3467" s="6" t="s">
        <v>48</v>
      </c>
      <c r="J3467" s="6" t="s">
        <v>48</v>
      </c>
      <c r="AG3467" s="15" t="s">
        <v>55</v>
      </c>
      <c r="AH3467" s="15"/>
      <c r="AI3467" s="15"/>
    </row>
    <row r="3468" spans="1:35" s="6" customFormat="1">
      <c r="A3468" s="6" t="s">
        <v>14932</v>
      </c>
      <c r="B3468" s="6" t="s">
        <v>14933</v>
      </c>
      <c r="C3468" s="6" t="s">
        <v>43</v>
      </c>
      <c r="D3468" s="6" t="s">
        <v>10937</v>
      </c>
      <c r="E3468" s="6" t="s">
        <v>10938</v>
      </c>
      <c r="F3468" s="6" t="s">
        <v>46</v>
      </c>
      <c r="G3468" s="6" t="s">
        <v>13796</v>
      </c>
      <c r="H3468" s="7"/>
      <c r="I3468" s="6" t="s">
        <v>48</v>
      </c>
      <c r="J3468" s="6" t="s">
        <v>48</v>
      </c>
      <c r="AG3468" s="15" t="s">
        <v>55</v>
      </c>
      <c r="AH3468" s="15"/>
      <c r="AI3468" s="15"/>
    </row>
    <row r="3469" spans="1:35" s="6" customFormat="1">
      <c r="A3469" s="6" t="s">
        <v>14934</v>
      </c>
      <c r="B3469" s="6" t="s">
        <v>14935</v>
      </c>
      <c r="C3469" s="6" t="s">
        <v>43</v>
      </c>
      <c r="D3469" s="6" t="s">
        <v>10937</v>
      </c>
      <c r="E3469" s="6" t="s">
        <v>10938</v>
      </c>
      <c r="F3469" s="6" t="s">
        <v>46</v>
      </c>
      <c r="G3469" s="6" t="s">
        <v>14936</v>
      </c>
      <c r="H3469" s="7"/>
      <c r="I3469" s="6" t="s">
        <v>48</v>
      </c>
      <c r="J3469" s="6" t="s">
        <v>48</v>
      </c>
      <c r="AG3469" s="15" t="s">
        <v>55</v>
      </c>
      <c r="AH3469" s="15"/>
      <c r="AI3469" s="15"/>
    </row>
    <row r="3470" spans="1:35" s="6" customFormat="1">
      <c r="A3470" s="6" t="s">
        <v>14937</v>
      </c>
      <c r="B3470" s="6" t="s">
        <v>14938</v>
      </c>
      <c r="C3470" s="6" t="s">
        <v>43</v>
      </c>
      <c r="D3470" s="6" t="s">
        <v>10937</v>
      </c>
      <c r="E3470" s="6" t="s">
        <v>10938</v>
      </c>
      <c r="F3470" s="6" t="s">
        <v>46</v>
      </c>
      <c r="G3470" s="6" t="s">
        <v>14939</v>
      </c>
      <c r="H3470" s="7"/>
      <c r="I3470" s="6" t="s">
        <v>48</v>
      </c>
      <c r="J3470" s="6" t="s">
        <v>48</v>
      </c>
      <c r="AG3470" s="15" t="s">
        <v>55</v>
      </c>
      <c r="AH3470" s="15"/>
      <c r="AI3470" s="15"/>
    </row>
    <row r="3471" spans="1:35" s="6" customFormat="1">
      <c r="A3471" s="6" t="s">
        <v>14940</v>
      </c>
      <c r="B3471" s="6" t="s">
        <v>14941</v>
      </c>
      <c r="C3471" s="6" t="s">
        <v>14347</v>
      </c>
      <c r="D3471" s="6" t="s">
        <v>10937</v>
      </c>
      <c r="E3471" s="6" t="s">
        <v>10938</v>
      </c>
      <c r="F3471" s="6" t="s">
        <v>46</v>
      </c>
      <c r="G3471" s="6" t="s">
        <v>7085</v>
      </c>
      <c r="H3471" s="7"/>
      <c r="I3471" s="5" t="s">
        <v>48</v>
      </c>
      <c r="J3471" s="5" t="s">
        <v>48</v>
      </c>
      <c r="AG3471" s="15" t="s">
        <v>55</v>
      </c>
      <c r="AH3471" s="15"/>
      <c r="AI3471" s="15"/>
    </row>
    <row r="3472" spans="1:35" s="6" customFormat="1">
      <c r="A3472" s="6" t="s">
        <v>14942</v>
      </c>
      <c r="B3472" s="6" t="s">
        <v>14943</v>
      </c>
      <c r="C3472" s="6" t="s">
        <v>14347</v>
      </c>
      <c r="D3472" s="6" t="s">
        <v>10937</v>
      </c>
      <c r="E3472" s="6" t="s">
        <v>10938</v>
      </c>
      <c r="F3472" s="6" t="s">
        <v>46</v>
      </c>
      <c r="G3472" s="6" t="s">
        <v>7066</v>
      </c>
      <c r="H3472" s="7"/>
      <c r="I3472" s="5" t="s">
        <v>48</v>
      </c>
      <c r="J3472" s="5" t="s">
        <v>48</v>
      </c>
      <c r="AG3472" s="15" t="s">
        <v>55</v>
      </c>
      <c r="AH3472" s="15"/>
      <c r="AI3472" s="15"/>
    </row>
    <row r="3473" spans="1:37" s="6" customFormat="1">
      <c r="A3473" s="6" t="s">
        <v>14944</v>
      </c>
      <c r="B3473" s="6" t="s">
        <v>14945</v>
      </c>
      <c r="C3473" s="6" t="s">
        <v>14946</v>
      </c>
      <c r="D3473" s="6" t="s">
        <v>10937</v>
      </c>
      <c r="E3473" s="6" t="s">
        <v>10938</v>
      </c>
      <c r="F3473" s="6" t="s">
        <v>46</v>
      </c>
      <c r="G3473" s="6" t="s">
        <v>14912</v>
      </c>
      <c r="H3473" s="7"/>
      <c r="I3473" s="6" t="s">
        <v>48</v>
      </c>
      <c r="J3473" s="6" t="s">
        <v>48</v>
      </c>
      <c r="AG3473" s="15" t="s">
        <v>55</v>
      </c>
      <c r="AH3473" s="15"/>
      <c r="AI3473" s="15"/>
    </row>
    <row r="3474" spans="1:37" s="6" customFormat="1">
      <c r="A3474" s="6" t="s">
        <v>14947</v>
      </c>
      <c r="B3474" s="6" t="s">
        <v>14948</v>
      </c>
      <c r="C3474" s="6" t="s">
        <v>14946</v>
      </c>
      <c r="D3474" s="6" t="s">
        <v>10937</v>
      </c>
      <c r="E3474" s="6" t="s">
        <v>10938</v>
      </c>
      <c r="F3474" s="6" t="s">
        <v>46</v>
      </c>
      <c r="G3474" s="6" t="s">
        <v>14912</v>
      </c>
      <c r="H3474" s="7"/>
      <c r="I3474" s="6" t="s">
        <v>48</v>
      </c>
      <c r="J3474" s="6" t="s">
        <v>48</v>
      </c>
      <c r="AG3474" s="15" t="s">
        <v>55</v>
      </c>
      <c r="AH3474" s="15"/>
      <c r="AI3474" s="15"/>
    </row>
    <row r="3475" spans="1:37" s="6" customFormat="1">
      <c r="A3475" s="6" t="s">
        <v>14949</v>
      </c>
      <c r="B3475" s="6" t="s">
        <v>14950</v>
      </c>
      <c r="C3475" s="6" t="s">
        <v>14951</v>
      </c>
      <c r="D3475" s="6" t="s">
        <v>10937</v>
      </c>
      <c r="E3475" s="6" t="s">
        <v>10938</v>
      </c>
      <c r="F3475" s="6" t="s">
        <v>46</v>
      </c>
      <c r="G3475" s="6" t="s">
        <v>8345</v>
      </c>
      <c r="H3475" s="7"/>
      <c r="I3475" s="5" t="s">
        <v>48</v>
      </c>
      <c r="J3475" s="5" t="s">
        <v>48</v>
      </c>
      <c r="AG3475" s="15" t="s">
        <v>55</v>
      </c>
      <c r="AH3475" s="15"/>
      <c r="AI3475" s="15"/>
    </row>
    <row r="3476" spans="1:37" s="6" customFormat="1">
      <c r="A3476" s="6" t="s">
        <v>14952</v>
      </c>
      <c r="B3476" s="6" t="s">
        <v>14953</v>
      </c>
      <c r="C3476" s="6" t="s">
        <v>14946</v>
      </c>
      <c r="D3476" s="6" t="s">
        <v>10937</v>
      </c>
      <c r="E3476" s="6" t="s">
        <v>10938</v>
      </c>
      <c r="F3476" s="6" t="s">
        <v>46</v>
      </c>
      <c r="G3476" s="6" t="s">
        <v>14912</v>
      </c>
      <c r="H3476" s="7"/>
      <c r="I3476" s="6" t="s">
        <v>48</v>
      </c>
      <c r="J3476" s="6" t="s">
        <v>48</v>
      </c>
      <c r="AG3476" s="15" t="s">
        <v>55</v>
      </c>
      <c r="AH3476" s="15"/>
      <c r="AI3476" s="15"/>
    </row>
    <row r="3477" spans="1:37" s="6" customFormat="1">
      <c r="A3477" s="6" t="s">
        <v>14954</v>
      </c>
      <c r="B3477" s="6" t="s">
        <v>14955</v>
      </c>
      <c r="C3477" s="6" t="s">
        <v>14946</v>
      </c>
      <c r="D3477" s="6" t="s">
        <v>10937</v>
      </c>
      <c r="E3477" s="6" t="s">
        <v>10938</v>
      </c>
      <c r="F3477" s="6" t="s">
        <v>46</v>
      </c>
      <c r="G3477" s="6" t="s">
        <v>14956</v>
      </c>
      <c r="H3477" s="7"/>
      <c r="I3477" s="6" t="s">
        <v>48</v>
      </c>
      <c r="J3477" s="6" t="s">
        <v>48</v>
      </c>
      <c r="AG3477" s="15" t="s">
        <v>55</v>
      </c>
      <c r="AH3477" s="15"/>
      <c r="AI3477" s="15"/>
    </row>
    <row r="3478" spans="1:37" s="6" customFormat="1">
      <c r="A3478" s="6" t="s">
        <v>14957</v>
      </c>
      <c r="B3478" s="6" t="s">
        <v>14958</v>
      </c>
      <c r="C3478" s="6" t="s">
        <v>14617</v>
      </c>
      <c r="D3478" s="6" t="s">
        <v>10937</v>
      </c>
      <c r="E3478" s="6" t="s">
        <v>10938</v>
      </c>
      <c r="F3478" s="6" t="s">
        <v>46</v>
      </c>
      <c r="G3478" s="6" t="s">
        <v>14274</v>
      </c>
      <c r="H3478" s="7"/>
      <c r="I3478" s="6" t="s">
        <v>48</v>
      </c>
      <c r="J3478" s="6" t="s">
        <v>48</v>
      </c>
      <c r="AG3478" s="15" t="s">
        <v>55</v>
      </c>
      <c r="AH3478" s="15"/>
      <c r="AI3478" s="15"/>
    </row>
    <row r="3479" spans="1:37" s="6" customFormat="1">
      <c r="A3479" s="6" t="s">
        <v>14959</v>
      </c>
      <c r="B3479" s="6" t="s">
        <v>14960</v>
      </c>
      <c r="C3479" s="6" t="s">
        <v>8002</v>
      </c>
      <c r="D3479" s="6" t="s">
        <v>10937</v>
      </c>
      <c r="E3479" s="6" t="s">
        <v>10938</v>
      </c>
      <c r="F3479" s="6" t="s">
        <v>46</v>
      </c>
      <c r="G3479" s="6" t="s">
        <v>3256</v>
      </c>
      <c r="H3479" s="7"/>
      <c r="I3479" s="6" t="s">
        <v>48</v>
      </c>
      <c r="J3479" s="6" t="s">
        <v>48</v>
      </c>
      <c r="AG3479" s="15" t="s">
        <v>55</v>
      </c>
      <c r="AH3479" s="15"/>
      <c r="AI3479" s="15"/>
    </row>
    <row r="3480" spans="1:37" s="6" customFormat="1">
      <c r="A3480" s="6" t="s">
        <v>14961</v>
      </c>
      <c r="B3480" s="6" t="s">
        <v>14962</v>
      </c>
      <c r="C3480" s="6" t="s">
        <v>8002</v>
      </c>
      <c r="D3480" s="6" t="s">
        <v>10937</v>
      </c>
      <c r="E3480" s="6" t="s">
        <v>10938</v>
      </c>
      <c r="F3480" s="6" t="s">
        <v>46</v>
      </c>
      <c r="G3480" s="6" t="s">
        <v>6524</v>
      </c>
      <c r="H3480" s="7"/>
      <c r="I3480" s="6" t="s">
        <v>48</v>
      </c>
      <c r="J3480" s="6" t="s">
        <v>48</v>
      </c>
      <c r="AG3480" s="15" t="s">
        <v>55</v>
      </c>
      <c r="AH3480" s="15"/>
      <c r="AI3480" s="15"/>
    </row>
    <row r="3481" spans="1:37" s="6" customFormat="1">
      <c r="A3481" s="6" t="s">
        <v>14963</v>
      </c>
      <c r="B3481" s="6" t="s">
        <v>14964</v>
      </c>
      <c r="C3481" s="6" t="s">
        <v>8002</v>
      </c>
      <c r="D3481" s="6" t="s">
        <v>10937</v>
      </c>
      <c r="E3481" s="6" t="s">
        <v>10938</v>
      </c>
      <c r="F3481" s="6" t="s">
        <v>46</v>
      </c>
      <c r="G3481" s="6" t="s">
        <v>6836</v>
      </c>
      <c r="H3481" s="7"/>
      <c r="I3481" s="6" t="s">
        <v>48</v>
      </c>
      <c r="J3481" s="6" t="s">
        <v>48</v>
      </c>
      <c r="AG3481" s="15" t="s">
        <v>55</v>
      </c>
      <c r="AH3481" s="15"/>
      <c r="AI3481" s="15"/>
    </row>
    <row r="3482" spans="1:37" s="6" customFormat="1">
      <c r="A3482" s="6" t="s">
        <v>14965</v>
      </c>
      <c r="B3482" s="6" t="s">
        <v>14966</v>
      </c>
      <c r="C3482" s="6" t="s">
        <v>8002</v>
      </c>
      <c r="D3482" s="6" t="s">
        <v>10937</v>
      </c>
      <c r="E3482" s="6" t="s">
        <v>10938</v>
      </c>
      <c r="F3482" s="6" t="s">
        <v>46</v>
      </c>
      <c r="G3482" s="6" t="s">
        <v>2786</v>
      </c>
      <c r="H3482" s="7"/>
      <c r="I3482" s="6" t="s">
        <v>48</v>
      </c>
      <c r="J3482" s="6" t="s">
        <v>48</v>
      </c>
      <c r="AG3482" s="15" t="s">
        <v>55</v>
      </c>
      <c r="AH3482" s="15"/>
      <c r="AI3482" s="15"/>
    </row>
    <row r="3483" spans="1:37" s="6" customFormat="1">
      <c r="A3483" s="6" t="s">
        <v>14967</v>
      </c>
      <c r="B3483" s="6" t="s">
        <v>14968</v>
      </c>
      <c r="C3483" s="6" t="s">
        <v>8002</v>
      </c>
      <c r="D3483" s="6" t="s">
        <v>10937</v>
      </c>
      <c r="E3483" s="6" t="s">
        <v>10938</v>
      </c>
      <c r="F3483" s="6" t="s">
        <v>46</v>
      </c>
      <c r="G3483" s="6" t="s">
        <v>7868</v>
      </c>
      <c r="H3483" s="7"/>
      <c r="I3483" s="6" t="s">
        <v>48</v>
      </c>
      <c r="J3483" s="6" t="s">
        <v>48</v>
      </c>
      <c r="AG3483" s="15" t="s">
        <v>55</v>
      </c>
      <c r="AH3483" s="15"/>
      <c r="AI3483" s="15"/>
    </row>
    <row r="3484" spans="1:37" s="6" customFormat="1">
      <c r="A3484" s="6" t="s">
        <v>14969</v>
      </c>
      <c r="B3484" s="6" t="s">
        <v>14970</v>
      </c>
      <c r="C3484" s="6" t="s">
        <v>43</v>
      </c>
      <c r="D3484" s="6" t="s">
        <v>10937</v>
      </c>
      <c r="E3484" s="6" t="s">
        <v>10938</v>
      </c>
      <c r="F3484" s="6" t="s">
        <v>46</v>
      </c>
      <c r="G3484" s="6" t="s">
        <v>14912</v>
      </c>
      <c r="H3484" s="7"/>
      <c r="I3484" s="6" t="s">
        <v>48</v>
      </c>
      <c r="J3484" s="6" t="s">
        <v>48</v>
      </c>
      <c r="AG3484" s="15" t="s">
        <v>55</v>
      </c>
      <c r="AH3484" s="15"/>
      <c r="AI3484" s="15"/>
    </row>
    <row r="3485" spans="1:37" s="6" customFormat="1">
      <c r="A3485" s="6" t="s">
        <v>14971</v>
      </c>
      <c r="B3485" s="6" t="s">
        <v>14972</v>
      </c>
      <c r="C3485" s="6" t="s">
        <v>43</v>
      </c>
      <c r="D3485" s="6" t="s">
        <v>10937</v>
      </c>
      <c r="E3485" s="6" t="s">
        <v>10938</v>
      </c>
      <c r="F3485" s="6" t="s">
        <v>46</v>
      </c>
      <c r="G3485" s="6" t="s">
        <v>14973</v>
      </c>
      <c r="H3485" s="7"/>
      <c r="I3485" s="6" t="s">
        <v>48</v>
      </c>
      <c r="J3485" s="6" t="s">
        <v>48</v>
      </c>
      <c r="AG3485" s="15" t="s">
        <v>55</v>
      </c>
      <c r="AH3485" s="15"/>
      <c r="AI3485" s="15"/>
    </row>
    <row r="3486" spans="1:37" s="6" customFormat="1">
      <c r="A3486" s="5" t="s">
        <v>14974</v>
      </c>
      <c r="B3486" s="5" t="s">
        <v>14975</v>
      </c>
      <c r="C3486" s="6" t="s">
        <v>14890</v>
      </c>
      <c r="D3486" s="6" t="s">
        <v>10937</v>
      </c>
      <c r="E3486" s="6" t="s">
        <v>10938</v>
      </c>
      <c r="F3486" s="6" t="s">
        <v>46</v>
      </c>
      <c r="G3486" s="6" t="s">
        <v>8323</v>
      </c>
      <c r="H3486" s="18">
        <v>999</v>
      </c>
      <c r="I3486" s="19" t="s">
        <v>13662</v>
      </c>
      <c r="J3486" s="19" t="s">
        <v>14651</v>
      </c>
      <c r="K3486" s="6" t="s">
        <v>14976</v>
      </c>
      <c r="L3486" s="6" t="s">
        <v>14977</v>
      </c>
      <c r="M3486" s="6" t="s">
        <v>14978</v>
      </c>
      <c r="N3486" s="6" t="s">
        <v>14979</v>
      </c>
      <c r="O3486" s="6" t="s">
        <v>14980</v>
      </c>
      <c r="P3486" s="6" t="s">
        <v>14981</v>
      </c>
      <c r="Q3486" s="6" t="s">
        <v>14982</v>
      </c>
      <c r="R3486" s="6" t="s">
        <v>14983</v>
      </c>
      <c r="S3486" s="6" t="s">
        <v>13672</v>
      </c>
      <c r="T3486" s="6" t="s">
        <v>13697</v>
      </c>
      <c r="U3486" s="6" t="s">
        <v>13674</v>
      </c>
      <c r="V3486" s="6" t="s">
        <v>13675</v>
      </c>
      <c r="W3486" s="6" t="s">
        <v>13676</v>
      </c>
      <c r="X3486" s="6" t="s">
        <v>13677</v>
      </c>
      <c r="Y3486" s="6" t="s">
        <v>13678</v>
      </c>
      <c r="Z3486" s="6" t="s">
        <v>13679</v>
      </c>
      <c r="AA3486" s="6" t="s">
        <v>13680</v>
      </c>
      <c r="AB3486" s="6" t="s">
        <v>13681</v>
      </c>
      <c r="AC3486" s="6" t="s">
        <v>13682</v>
      </c>
      <c r="AD3486" s="6" t="s">
        <v>13683</v>
      </c>
      <c r="AE3486" s="5"/>
      <c r="AF3486" s="5"/>
      <c r="AG3486" s="14" t="s">
        <v>49</v>
      </c>
      <c r="AH3486" s="14" t="s">
        <v>1102</v>
      </c>
      <c r="AI3486" s="14" t="s">
        <v>13684</v>
      </c>
      <c r="AJ3486" s="5" t="s">
        <v>13685</v>
      </c>
      <c r="AK3486" s="5"/>
    </row>
    <row r="3487" spans="1:37">
      <c r="A3487" s="5" t="s">
        <v>14984</v>
      </c>
      <c r="B3487" s="5" t="s">
        <v>14985</v>
      </c>
      <c r="C3487" s="6" t="s">
        <v>14890</v>
      </c>
      <c r="D3487" s="6" t="s">
        <v>10937</v>
      </c>
      <c r="E3487" s="6" t="s">
        <v>10938</v>
      </c>
      <c r="F3487" s="6" t="s">
        <v>46</v>
      </c>
      <c r="G3487" s="6" t="s">
        <v>14912</v>
      </c>
      <c r="H3487" s="18">
        <v>999</v>
      </c>
      <c r="I3487" s="19" t="s">
        <v>13662</v>
      </c>
      <c r="J3487" s="19" t="s">
        <v>14651</v>
      </c>
      <c r="K3487" s="6" t="s">
        <v>14986</v>
      </c>
      <c r="L3487" s="6" t="s">
        <v>14987</v>
      </c>
      <c r="M3487" s="6" t="s">
        <v>14988</v>
      </c>
      <c r="N3487" s="6" t="s">
        <v>14989</v>
      </c>
      <c r="O3487" s="6" t="s">
        <v>14990</v>
      </c>
      <c r="P3487" s="6" t="s">
        <v>14991</v>
      </c>
      <c r="Q3487" s="6" t="s">
        <v>14992</v>
      </c>
      <c r="R3487" s="6" t="s">
        <v>14993</v>
      </c>
      <c r="S3487" s="6" t="s">
        <v>13672</v>
      </c>
      <c r="T3487" s="6" t="s">
        <v>13697</v>
      </c>
      <c r="U3487" s="6" t="s">
        <v>13674</v>
      </c>
      <c r="V3487" s="6" t="s">
        <v>13675</v>
      </c>
      <c r="W3487" s="6" t="s">
        <v>13676</v>
      </c>
      <c r="X3487" s="6" t="s">
        <v>13677</v>
      </c>
      <c r="Y3487" s="6" t="s">
        <v>13678</v>
      </c>
      <c r="Z3487" s="6" t="s">
        <v>13679</v>
      </c>
      <c r="AA3487" s="6" t="s">
        <v>13680</v>
      </c>
      <c r="AB3487" s="6" t="s">
        <v>13681</v>
      </c>
      <c r="AC3487" s="6" t="s">
        <v>13682</v>
      </c>
      <c r="AD3487" s="6" t="s">
        <v>13683</v>
      </c>
      <c r="AG3487" s="14" t="s">
        <v>49</v>
      </c>
      <c r="AH3487" s="14" t="s">
        <v>1102</v>
      </c>
      <c r="AI3487" s="14" t="s">
        <v>13684</v>
      </c>
      <c r="AJ3487" s="5" t="s">
        <v>13685</v>
      </c>
    </row>
    <row r="3488" spans="1:37">
      <c r="A3488" s="6" t="s">
        <v>14994</v>
      </c>
      <c r="B3488" s="6" t="s">
        <v>14995</v>
      </c>
      <c r="C3488" s="6" t="s">
        <v>43</v>
      </c>
      <c r="D3488" s="6" t="s">
        <v>10937</v>
      </c>
      <c r="E3488" s="6" t="s">
        <v>10938</v>
      </c>
      <c r="F3488" s="6" t="s">
        <v>46</v>
      </c>
      <c r="G3488" s="6" t="s">
        <v>14912</v>
      </c>
      <c r="I3488" s="5" t="s">
        <v>48</v>
      </c>
      <c r="J3488" s="5" t="s">
        <v>48</v>
      </c>
      <c r="K3488" s="6"/>
      <c r="L3488" s="6"/>
      <c r="M3488" s="6"/>
      <c r="N3488" s="6"/>
      <c r="O3488" s="6"/>
      <c r="P3488" s="6"/>
      <c r="Q3488" s="6"/>
      <c r="R3488" s="6"/>
      <c r="S3488" s="6"/>
      <c r="T3488" s="6"/>
      <c r="U3488" s="6"/>
      <c r="V3488" s="6"/>
      <c r="W3488" s="6"/>
      <c r="X3488" s="6"/>
      <c r="Y3488" s="6"/>
      <c r="Z3488" s="6"/>
      <c r="AA3488" s="6"/>
      <c r="AB3488" s="6"/>
      <c r="AC3488" s="6"/>
      <c r="AD3488" s="6"/>
      <c r="AE3488" s="6"/>
      <c r="AF3488" s="6"/>
      <c r="AG3488" s="15" t="s">
        <v>55</v>
      </c>
      <c r="AH3488" s="15"/>
      <c r="AI3488" s="15"/>
      <c r="AJ3488" s="6"/>
      <c r="AK3488" s="6"/>
    </row>
    <row r="3489" spans="1:37" s="6" customFormat="1">
      <c r="A3489" s="5" t="s">
        <v>14996</v>
      </c>
      <c r="B3489" s="5" t="s">
        <v>14997</v>
      </c>
      <c r="C3489" s="6" t="s">
        <v>43</v>
      </c>
      <c r="D3489" s="6" t="s">
        <v>10937</v>
      </c>
      <c r="E3489" s="6" t="s">
        <v>10938</v>
      </c>
      <c r="F3489" s="6" t="s">
        <v>46</v>
      </c>
      <c r="G3489" s="6" t="s">
        <v>14998</v>
      </c>
      <c r="H3489" s="18">
        <v>999</v>
      </c>
      <c r="I3489" s="19" t="s">
        <v>13662</v>
      </c>
      <c r="J3489" s="19" t="s">
        <v>14651</v>
      </c>
      <c r="K3489" s="6" t="s">
        <v>14999</v>
      </c>
      <c r="L3489" s="6" t="s">
        <v>15000</v>
      </c>
      <c r="M3489" s="6" t="s">
        <v>15001</v>
      </c>
      <c r="N3489" s="6" t="s">
        <v>15002</v>
      </c>
      <c r="O3489" s="6" t="s">
        <v>15003</v>
      </c>
      <c r="P3489" s="6" t="s">
        <v>15004</v>
      </c>
      <c r="Q3489" s="6" t="s">
        <v>15005</v>
      </c>
      <c r="R3489" s="6" t="s">
        <v>15006</v>
      </c>
      <c r="S3489" s="6" t="s">
        <v>13672</v>
      </c>
      <c r="T3489" s="6" t="s">
        <v>13697</v>
      </c>
      <c r="U3489" s="6" t="s">
        <v>13674</v>
      </c>
      <c r="V3489" s="6" t="s">
        <v>13675</v>
      </c>
      <c r="W3489" s="6" t="s">
        <v>13676</v>
      </c>
      <c r="X3489" s="6" t="s">
        <v>13677</v>
      </c>
      <c r="Y3489" s="6" t="s">
        <v>13678</v>
      </c>
      <c r="Z3489" s="6" t="s">
        <v>13679</v>
      </c>
      <c r="AA3489" s="6" t="s">
        <v>13680</v>
      </c>
      <c r="AB3489" s="6" t="s">
        <v>13681</v>
      </c>
      <c r="AC3489" s="6" t="s">
        <v>13682</v>
      </c>
      <c r="AD3489" s="6" t="s">
        <v>13683</v>
      </c>
      <c r="AE3489" s="5"/>
      <c r="AF3489" s="5"/>
      <c r="AG3489" s="14" t="s">
        <v>49</v>
      </c>
      <c r="AH3489" s="14" t="s">
        <v>1102</v>
      </c>
      <c r="AI3489" s="14" t="s">
        <v>13684</v>
      </c>
      <c r="AJ3489" s="5" t="s">
        <v>13685</v>
      </c>
      <c r="AK3489" s="5"/>
    </row>
    <row r="3490" spans="1:37">
      <c r="A3490" s="5" t="s">
        <v>15007</v>
      </c>
      <c r="B3490" s="5" t="s">
        <v>15008</v>
      </c>
      <c r="C3490" s="6" t="s">
        <v>43</v>
      </c>
      <c r="D3490" s="6" t="s">
        <v>10937</v>
      </c>
      <c r="E3490" s="6" t="s">
        <v>10938</v>
      </c>
      <c r="F3490" s="6" t="s">
        <v>46</v>
      </c>
      <c r="G3490" s="6" t="s">
        <v>8323</v>
      </c>
      <c r="H3490" s="18">
        <v>999</v>
      </c>
      <c r="I3490" s="19" t="s">
        <v>13662</v>
      </c>
      <c r="J3490" s="19" t="s">
        <v>14651</v>
      </c>
      <c r="K3490" s="6" t="s">
        <v>15009</v>
      </c>
      <c r="L3490" s="6" t="s">
        <v>15010</v>
      </c>
      <c r="M3490" s="6" t="s">
        <v>15011</v>
      </c>
      <c r="N3490" s="6" t="s">
        <v>15012</v>
      </c>
      <c r="O3490" s="6" t="s">
        <v>15013</v>
      </c>
      <c r="P3490" s="6" t="s">
        <v>15014</v>
      </c>
      <c r="Q3490" s="6" t="s">
        <v>15015</v>
      </c>
      <c r="R3490" s="6" t="s">
        <v>15016</v>
      </c>
      <c r="S3490" s="6" t="s">
        <v>13672</v>
      </c>
      <c r="T3490" s="6" t="s">
        <v>13697</v>
      </c>
      <c r="U3490" s="6" t="s">
        <v>13674</v>
      </c>
      <c r="V3490" s="6" t="s">
        <v>13675</v>
      </c>
      <c r="W3490" s="6" t="s">
        <v>13676</v>
      </c>
      <c r="X3490" s="6" t="s">
        <v>13677</v>
      </c>
      <c r="Y3490" s="6" t="s">
        <v>13678</v>
      </c>
      <c r="Z3490" s="6" t="s">
        <v>13679</v>
      </c>
      <c r="AA3490" s="6" t="s">
        <v>13680</v>
      </c>
      <c r="AB3490" s="6" t="s">
        <v>13681</v>
      </c>
      <c r="AC3490" s="6" t="s">
        <v>13682</v>
      </c>
      <c r="AD3490" s="6" t="s">
        <v>13683</v>
      </c>
      <c r="AG3490" s="14" t="s">
        <v>49</v>
      </c>
      <c r="AH3490" s="14" t="s">
        <v>1102</v>
      </c>
      <c r="AI3490" s="14" t="s">
        <v>13684</v>
      </c>
      <c r="AJ3490" s="5" t="s">
        <v>13685</v>
      </c>
    </row>
    <row r="3491" spans="1:37">
      <c r="A3491" s="6" t="s">
        <v>15017</v>
      </c>
      <c r="B3491" s="6" t="s">
        <v>15018</v>
      </c>
      <c r="C3491" s="6" t="s">
        <v>14890</v>
      </c>
      <c r="D3491" s="6" t="s">
        <v>10937</v>
      </c>
      <c r="E3491" s="6" t="s">
        <v>10938</v>
      </c>
      <c r="F3491" s="6" t="s">
        <v>46</v>
      </c>
      <c r="G3491" s="6" t="s">
        <v>15019</v>
      </c>
      <c r="I3491" s="6" t="s">
        <v>48</v>
      </c>
      <c r="J3491" s="6" t="s">
        <v>48</v>
      </c>
      <c r="K3491" s="6"/>
      <c r="L3491" s="6"/>
      <c r="M3491" s="6"/>
      <c r="N3491" s="6"/>
      <c r="O3491" s="6"/>
      <c r="P3491" s="6"/>
      <c r="Q3491" s="6"/>
      <c r="R3491" s="6"/>
      <c r="S3491" s="6"/>
      <c r="T3491" s="6"/>
      <c r="U3491" s="6"/>
      <c r="V3491" s="6"/>
      <c r="W3491" s="6"/>
      <c r="X3491" s="6"/>
      <c r="Y3491" s="6"/>
      <c r="Z3491" s="6"/>
      <c r="AA3491" s="6"/>
      <c r="AB3491" s="6"/>
      <c r="AC3491" s="6"/>
      <c r="AD3491" s="6"/>
      <c r="AE3491" s="6"/>
      <c r="AF3491" s="6"/>
      <c r="AG3491" s="15" t="s">
        <v>55</v>
      </c>
      <c r="AH3491" s="15"/>
      <c r="AI3491" s="15"/>
      <c r="AJ3491" s="6"/>
      <c r="AK3491" s="6"/>
    </row>
    <row r="3492" spans="1:37" s="6" customFormat="1">
      <c r="A3492" s="6" t="s">
        <v>15020</v>
      </c>
      <c r="B3492" s="6" t="s">
        <v>15021</v>
      </c>
      <c r="C3492" s="6" t="s">
        <v>43</v>
      </c>
      <c r="D3492" s="6" t="s">
        <v>10937</v>
      </c>
      <c r="E3492" s="6" t="s">
        <v>10938</v>
      </c>
      <c r="F3492" s="6" t="s">
        <v>46</v>
      </c>
      <c r="G3492" s="6" t="s">
        <v>15022</v>
      </c>
      <c r="H3492" s="7"/>
      <c r="I3492" s="6" t="s">
        <v>48</v>
      </c>
      <c r="J3492" s="6" t="s">
        <v>48</v>
      </c>
      <c r="AG3492" s="15" t="s">
        <v>55</v>
      </c>
      <c r="AH3492" s="15"/>
      <c r="AI3492" s="15"/>
    </row>
    <row r="3493" spans="1:37" s="6" customFormat="1">
      <c r="A3493" s="6" t="s">
        <v>15023</v>
      </c>
      <c r="B3493" s="6" t="s">
        <v>15024</v>
      </c>
      <c r="C3493" s="6" t="s">
        <v>43</v>
      </c>
      <c r="D3493" s="6" t="s">
        <v>10937</v>
      </c>
      <c r="E3493" s="6" t="s">
        <v>10938</v>
      </c>
      <c r="F3493" s="6" t="s">
        <v>46</v>
      </c>
      <c r="G3493" s="6" t="s">
        <v>14866</v>
      </c>
      <c r="H3493" s="7"/>
      <c r="I3493" s="6" t="s">
        <v>48</v>
      </c>
      <c r="J3493" s="6" t="s">
        <v>48</v>
      </c>
      <c r="AG3493" s="15" t="s">
        <v>55</v>
      </c>
      <c r="AH3493" s="15"/>
      <c r="AI3493" s="15"/>
    </row>
    <row r="3494" spans="1:37" s="6" customFormat="1">
      <c r="A3494" s="6" t="s">
        <v>15025</v>
      </c>
      <c r="B3494" s="6" t="s">
        <v>15026</v>
      </c>
      <c r="C3494" s="6" t="s">
        <v>1450</v>
      </c>
      <c r="D3494" s="6" t="s">
        <v>10937</v>
      </c>
      <c r="E3494" s="6" t="s">
        <v>10938</v>
      </c>
      <c r="F3494" s="6" t="s">
        <v>46</v>
      </c>
      <c r="G3494" s="6" t="s">
        <v>8601</v>
      </c>
      <c r="H3494" s="7"/>
      <c r="I3494" s="6" t="s">
        <v>48</v>
      </c>
      <c r="J3494" s="6" t="s">
        <v>48</v>
      </c>
      <c r="AG3494" s="15" t="s">
        <v>55</v>
      </c>
      <c r="AH3494" s="15"/>
      <c r="AI3494" s="15"/>
    </row>
    <row r="3495" spans="1:37" s="6" customFormat="1">
      <c r="A3495" s="6" t="s">
        <v>15027</v>
      </c>
      <c r="B3495" s="6" t="s">
        <v>15028</v>
      </c>
      <c r="C3495" s="6" t="s">
        <v>8002</v>
      </c>
      <c r="D3495" s="6" t="s">
        <v>10937</v>
      </c>
      <c r="E3495" s="6" t="s">
        <v>10938</v>
      </c>
      <c r="F3495" s="6" t="s">
        <v>46</v>
      </c>
      <c r="G3495" s="6" t="s">
        <v>10741</v>
      </c>
      <c r="H3495" s="7"/>
      <c r="I3495" s="6" t="s">
        <v>48</v>
      </c>
      <c r="J3495" s="6" t="s">
        <v>48</v>
      </c>
      <c r="AG3495" s="15" t="s">
        <v>55</v>
      </c>
      <c r="AH3495" s="15"/>
      <c r="AI3495" s="15"/>
    </row>
    <row r="3496" spans="1:37" s="6" customFormat="1">
      <c r="A3496" s="6" t="s">
        <v>15029</v>
      </c>
      <c r="B3496" s="6" t="s">
        <v>15030</v>
      </c>
      <c r="C3496" s="6" t="s">
        <v>8002</v>
      </c>
      <c r="D3496" s="6" t="s">
        <v>10937</v>
      </c>
      <c r="E3496" s="6" t="s">
        <v>10938</v>
      </c>
      <c r="F3496" s="6" t="s">
        <v>46</v>
      </c>
      <c r="G3496" s="6" t="s">
        <v>15031</v>
      </c>
      <c r="H3496" s="7"/>
      <c r="I3496" s="6" t="s">
        <v>48</v>
      </c>
      <c r="J3496" s="6" t="s">
        <v>48</v>
      </c>
      <c r="AG3496" s="15" t="s">
        <v>55</v>
      </c>
      <c r="AH3496" s="15"/>
      <c r="AI3496" s="15"/>
    </row>
    <row r="3497" spans="1:37" s="6" customFormat="1">
      <c r="A3497" s="6" t="s">
        <v>15032</v>
      </c>
      <c r="B3497" s="6" t="s">
        <v>15033</v>
      </c>
      <c r="C3497" s="6" t="s">
        <v>8002</v>
      </c>
      <c r="D3497" s="6" t="s">
        <v>10937</v>
      </c>
      <c r="E3497" s="6" t="s">
        <v>10938</v>
      </c>
      <c r="F3497" s="6" t="s">
        <v>46</v>
      </c>
      <c r="G3497" s="6" t="s">
        <v>15034</v>
      </c>
      <c r="H3497" s="7"/>
      <c r="I3497" s="6" t="s">
        <v>48</v>
      </c>
      <c r="J3497" s="6" t="s">
        <v>48</v>
      </c>
      <c r="AG3497" s="15" t="s">
        <v>55</v>
      </c>
      <c r="AH3497" s="15"/>
      <c r="AI3497" s="15"/>
    </row>
    <row r="3498" spans="1:37" s="6" customFormat="1">
      <c r="A3498" s="6" t="s">
        <v>15035</v>
      </c>
      <c r="B3498" s="6" t="s">
        <v>15036</v>
      </c>
      <c r="C3498" s="6" t="s">
        <v>8002</v>
      </c>
      <c r="D3498" s="6" t="s">
        <v>10937</v>
      </c>
      <c r="E3498" s="6" t="s">
        <v>10938</v>
      </c>
      <c r="F3498" s="6" t="s">
        <v>46</v>
      </c>
      <c r="G3498" s="6" t="s">
        <v>15037</v>
      </c>
      <c r="H3498" s="7"/>
      <c r="I3498" s="6" t="s">
        <v>48</v>
      </c>
      <c r="J3498" s="6" t="s">
        <v>48</v>
      </c>
      <c r="AG3498" s="15" t="s">
        <v>55</v>
      </c>
      <c r="AH3498" s="15"/>
      <c r="AI3498" s="15"/>
    </row>
    <row r="3499" spans="1:37" s="6" customFormat="1">
      <c r="A3499" s="6" t="s">
        <v>15038</v>
      </c>
      <c r="B3499" s="6" t="s">
        <v>15039</v>
      </c>
      <c r="C3499" s="6" t="s">
        <v>8002</v>
      </c>
      <c r="D3499" s="6" t="s">
        <v>10937</v>
      </c>
      <c r="E3499" s="6" t="s">
        <v>10938</v>
      </c>
      <c r="F3499" s="6" t="s">
        <v>46</v>
      </c>
      <c r="G3499" s="6" t="s">
        <v>7379</v>
      </c>
      <c r="H3499" s="7"/>
      <c r="I3499" s="6" t="s">
        <v>48</v>
      </c>
      <c r="J3499" s="6" t="s">
        <v>48</v>
      </c>
      <c r="AG3499" s="15" t="s">
        <v>55</v>
      </c>
      <c r="AH3499" s="15"/>
      <c r="AI3499" s="15"/>
    </row>
    <row r="3500" spans="1:37" s="6" customFormat="1">
      <c r="A3500" s="6" t="s">
        <v>15040</v>
      </c>
      <c r="B3500" s="6" t="s">
        <v>15041</v>
      </c>
      <c r="C3500" s="6" t="s">
        <v>8002</v>
      </c>
      <c r="D3500" s="6" t="s">
        <v>10937</v>
      </c>
      <c r="E3500" s="6" t="s">
        <v>10938</v>
      </c>
      <c r="F3500" s="6" t="s">
        <v>46</v>
      </c>
      <c r="G3500" s="6" t="s">
        <v>13455</v>
      </c>
      <c r="H3500" s="7"/>
      <c r="I3500" s="6" t="s">
        <v>48</v>
      </c>
      <c r="J3500" s="6" t="s">
        <v>48</v>
      </c>
      <c r="AG3500" s="15" t="s">
        <v>55</v>
      </c>
      <c r="AH3500" s="15"/>
      <c r="AI3500" s="15"/>
    </row>
    <row r="3501" spans="1:37" s="6" customFormat="1">
      <c r="A3501" s="6" t="s">
        <v>15042</v>
      </c>
      <c r="B3501" s="6" t="s">
        <v>15043</v>
      </c>
      <c r="C3501" s="6" t="s">
        <v>43</v>
      </c>
      <c r="D3501" s="6" t="s">
        <v>10937</v>
      </c>
      <c r="E3501" s="6" t="s">
        <v>10938</v>
      </c>
      <c r="F3501" s="6" t="s">
        <v>46</v>
      </c>
      <c r="G3501" s="6" t="s">
        <v>15044</v>
      </c>
      <c r="H3501" s="7"/>
      <c r="I3501" s="6" t="s">
        <v>48</v>
      </c>
      <c r="J3501" s="6" t="s">
        <v>48</v>
      </c>
      <c r="AG3501" s="15" t="s">
        <v>55</v>
      </c>
      <c r="AH3501" s="15"/>
      <c r="AI3501" s="15"/>
    </row>
    <row r="3502" spans="1:37" s="6" customFormat="1">
      <c r="A3502" s="6" t="s">
        <v>15045</v>
      </c>
      <c r="B3502" s="6" t="s">
        <v>15046</v>
      </c>
      <c r="C3502" s="6" t="s">
        <v>43</v>
      </c>
      <c r="D3502" s="6" t="s">
        <v>10937</v>
      </c>
      <c r="E3502" s="6" t="s">
        <v>10938</v>
      </c>
      <c r="F3502" s="6" t="s">
        <v>46</v>
      </c>
      <c r="G3502" s="6" t="s">
        <v>14912</v>
      </c>
      <c r="H3502" s="7"/>
      <c r="I3502" s="6" t="s">
        <v>48</v>
      </c>
      <c r="J3502" s="6" t="s">
        <v>48</v>
      </c>
      <c r="AG3502" s="15" t="s">
        <v>55</v>
      </c>
      <c r="AH3502" s="15"/>
      <c r="AI3502" s="15"/>
    </row>
    <row r="3503" spans="1:37" s="6" customFormat="1">
      <c r="A3503" s="6" t="s">
        <v>15047</v>
      </c>
      <c r="B3503" s="6" t="s">
        <v>15048</v>
      </c>
      <c r="C3503" s="6" t="s">
        <v>43</v>
      </c>
      <c r="D3503" s="6" t="s">
        <v>10937</v>
      </c>
      <c r="E3503" s="6" t="s">
        <v>10938</v>
      </c>
      <c r="F3503" s="6" t="s">
        <v>46</v>
      </c>
      <c r="G3503" s="6" t="s">
        <v>10734</v>
      </c>
      <c r="H3503" s="7"/>
      <c r="I3503" s="6" t="s">
        <v>48</v>
      </c>
      <c r="J3503" s="6" t="s">
        <v>48</v>
      </c>
      <c r="AG3503" s="15" t="s">
        <v>55</v>
      </c>
      <c r="AH3503" s="15"/>
      <c r="AI3503" s="15"/>
    </row>
    <row r="3504" spans="1:37" s="6" customFormat="1">
      <c r="A3504" s="6" t="s">
        <v>15049</v>
      </c>
      <c r="B3504" s="6" t="s">
        <v>15050</v>
      </c>
      <c r="C3504" s="6" t="s">
        <v>14865</v>
      </c>
      <c r="D3504" s="6" t="s">
        <v>10937</v>
      </c>
      <c r="E3504" s="6" t="s">
        <v>10938</v>
      </c>
      <c r="F3504" s="6" t="s">
        <v>46</v>
      </c>
      <c r="G3504" s="6" t="s">
        <v>1335</v>
      </c>
      <c r="H3504" s="7"/>
      <c r="I3504" s="6" t="s">
        <v>48</v>
      </c>
      <c r="J3504" s="6" t="s">
        <v>48</v>
      </c>
      <c r="AG3504" s="15" t="s">
        <v>55</v>
      </c>
      <c r="AH3504" s="15"/>
      <c r="AI3504" s="15"/>
    </row>
    <row r="3505" spans="1:35" s="6" customFormat="1">
      <c r="A3505" s="6" t="s">
        <v>15051</v>
      </c>
      <c r="B3505" s="6" t="s">
        <v>15052</v>
      </c>
      <c r="C3505" s="6" t="s">
        <v>14347</v>
      </c>
      <c r="D3505" s="6" t="s">
        <v>10937</v>
      </c>
      <c r="E3505" s="6" t="s">
        <v>10938</v>
      </c>
      <c r="F3505" s="6" t="s">
        <v>46</v>
      </c>
      <c r="G3505" s="6" t="s">
        <v>7134</v>
      </c>
      <c r="H3505" s="7"/>
      <c r="I3505" s="5" t="s">
        <v>48</v>
      </c>
      <c r="J3505" s="5" t="s">
        <v>48</v>
      </c>
      <c r="AG3505" s="15" t="s">
        <v>55</v>
      </c>
      <c r="AH3505" s="15"/>
      <c r="AI3505" s="15"/>
    </row>
    <row r="3506" spans="1:35" s="6" customFormat="1">
      <c r="A3506" s="6" t="s">
        <v>15053</v>
      </c>
      <c r="B3506" s="6" t="s">
        <v>15054</v>
      </c>
      <c r="C3506" s="6" t="s">
        <v>14347</v>
      </c>
      <c r="D3506" s="6" t="s">
        <v>10937</v>
      </c>
      <c r="E3506" s="6" t="s">
        <v>10938</v>
      </c>
      <c r="F3506" s="6" t="s">
        <v>46</v>
      </c>
      <c r="G3506" s="6" t="s">
        <v>15055</v>
      </c>
      <c r="H3506" s="7"/>
      <c r="I3506" s="5" t="s">
        <v>48</v>
      </c>
      <c r="J3506" s="5" t="s">
        <v>48</v>
      </c>
      <c r="AG3506" s="15" t="s">
        <v>55</v>
      </c>
      <c r="AH3506" s="15"/>
      <c r="AI3506" s="15"/>
    </row>
    <row r="3507" spans="1:35" s="6" customFormat="1">
      <c r="A3507" s="6" t="s">
        <v>15056</v>
      </c>
      <c r="B3507" s="6" t="s">
        <v>15057</v>
      </c>
      <c r="C3507" s="6" t="s">
        <v>14865</v>
      </c>
      <c r="D3507" s="6" t="s">
        <v>10937</v>
      </c>
      <c r="E3507" s="6" t="s">
        <v>10938</v>
      </c>
      <c r="F3507" s="6" t="s">
        <v>46</v>
      </c>
      <c r="G3507" s="6" t="s">
        <v>15055</v>
      </c>
      <c r="H3507" s="7"/>
      <c r="I3507" s="6" t="s">
        <v>48</v>
      </c>
      <c r="J3507" s="6" t="s">
        <v>48</v>
      </c>
      <c r="AG3507" s="15" t="s">
        <v>55</v>
      </c>
      <c r="AH3507" s="15"/>
      <c r="AI3507" s="15"/>
    </row>
    <row r="3508" spans="1:35" s="6" customFormat="1">
      <c r="A3508" s="6" t="s">
        <v>15058</v>
      </c>
      <c r="B3508" s="6" t="s">
        <v>15059</v>
      </c>
      <c r="C3508" s="6" t="s">
        <v>14865</v>
      </c>
      <c r="D3508" s="6" t="s">
        <v>10937</v>
      </c>
      <c r="E3508" s="6" t="s">
        <v>10938</v>
      </c>
      <c r="F3508" s="6" t="s">
        <v>46</v>
      </c>
      <c r="G3508" s="6" t="s">
        <v>15060</v>
      </c>
      <c r="H3508" s="7"/>
      <c r="I3508" s="6" t="s">
        <v>48</v>
      </c>
      <c r="J3508" s="6" t="s">
        <v>48</v>
      </c>
      <c r="AG3508" s="15" t="s">
        <v>55</v>
      </c>
      <c r="AH3508" s="15"/>
      <c r="AI3508" s="15"/>
    </row>
    <row r="3509" spans="1:35" s="6" customFormat="1">
      <c r="A3509" s="6" t="s">
        <v>15061</v>
      </c>
      <c r="B3509" s="6" t="s">
        <v>15062</v>
      </c>
      <c r="C3509" s="6" t="s">
        <v>14865</v>
      </c>
      <c r="D3509" s="6" t="s">
        <v>10937</v>
      </c>
      <c r="E3509" s="6" t="s">
        <v>10938</v>
      </c>
      <c r="F3509" s="6" t="s">
        <v>46</v>
      </c>
      <c r="G3509" s="6" t="s">
        <v>15063</v>
      </c>
      <c r="H3509" s="7"/>
      <c r="I3509" s="6" t="s">
        <v>48</v>
      </c>
      <c r="J3509" s="6" t="s">
        <v>48</v>
      </c>
      <c r="AG3509" s="15" t="s">
        <v>55</v>
      </c>
      <c r="AH3509" s="15"/>
      <c r="AI3509" s="15"/>
    </row>
    <row r="3510" spans="1:35" s="6" customFormat="1">
      <c r="A3510" s="6" t="s">
        <v>15064</v>
      </c>
      <c r="B3510" s="6" t="s">
        <v>15065</v>
      </c>
      <c r="C3510" s="6" t="s">
        <v>43</v>
      </c>
      <c r="D3510" s="6" t="s">
        <v>10937</v>
      </c>
      <c r="E3510" s="6" t="s">
        <v>10938</v>
      </c>
      <c r="F3510" s="6" t="s">
        <v>46</v>
      </c>
      <c r="G3510" s="6" t="s">
        <v>6767</v>
      </c>
      <c r="H3510" s="7"/>
      <c r="I3510" s="5" t="s">
        <v>48</v>
      </c>
      <c r="J3510" s="5" t="s">
        <v>48</v>
      </c>
      <c r="AG3510" s="15" t="s">
        <v>55</v>
      </c>
      <c r="AH3510" s="15"/>
      <c r="AI3510" s="15"/>
    </row>
    <row r="3511" spans="1:35" s="6" customFormat="1">
      <c r="A3511" s="6" t="s">
        <v>15066</v>
      </c>
      <c r="B3511" s="6" t="s">
        <v>15067</v>
      </c>
      <c r="C3511" s="6" t="s">
        <v>14865</v>
      </c>
      <c r="D3511" s="6" t="s">
        <v>10937</v>
      </c>
      <c r="E3511" s="6" t="s">
        <v>10938</v>
      </c>
      <c r="F3511" s="6" t="s">
        <v>46</v>
      </c>
      <c r="G3511" s="6" t="s">
        <v>15068</v>
      </c>
      <c r="H3511" s="7"/>
      <c r="I3511" s="5" t="s">
        <v>48</v>
      </c>
      <c r="J3511" s="5" t="s">
        <v>48</v>
      </c>
      <c r="AG3511" s="15" t="s">
        <v>55</v>
      </c>
      <c r="AH3511" s="15"/>
      <c r="AI3511" s="15"/>
    </row>
    <row r="3512" spans="1:35" s="6" customFormat="1">
      <c r="A3512" s="6" t="s">
        <v>15069</v>
      </c>
      <c r="B3512" s="6" t="s">
        <v>15070</v>
      </c>
      <c r="C3512" s="6" t="s">
        <v>14865</v>
      </c>
      <c r="D3512" s="6" t="s">
        <v>10937</v>
      </c>
      <c r="E3512" s="6" t="s">
        <v>10938</v>
      </c>
      <c r="F3512" s="6" t="s">
        <v>46</v>
      </c>
      <c r="G3512" s="6" t="s">
        <v>15071</v>
      </c>
      <c r="H3512" s="7"/>
      <c r="I3512" s="6" t="s">
        <v>48</v>
      </c>
      <c r="J3512" s="6" t="s">
        <v>48</v>
      </c>
      <c r="AG3512" s="15" t="s">
        <v>55</v>
      </c>
      <c r="AH3512" s="15"/>
      <c r="AI3512" s="15"/>
    </row>
    <row r="3513" spans="1:35" s="6" customFormat="1">
      <c r="A3513" s="6" t="s">
        <v>15072</v>
      </c>
      <c r="B3513" s="6" t="s">
        <v>15073</v>
      </c>
      <c r="C3513" s="6" t="s">
        <v>14865</v>
      </c>
      <c r="D3513" s="6" t="s">
        <v>10937</v>
      </c>
      <c r="E3513" s="6" t="s">
        <v>10938</v>
      </c>
      <c r="F3513" s="6" t="s">
        <v>46</v>
      </c>
      <c r="G3513" s="6" t="s">
        <v>15055</v>
      </c>
      <c r="H3513" s="7"/>
      <c r="I3513" s="5" t="s">
        <v>48</v>
      </c>
      <c r="J3513" s="5" t="s">
        <v>48</v>
      </c>
      <c r="AG3513" s="15" t="s">
        <v>55</v>
      </c>
      <c r="AH3513" s="15"/>
      <c r="AI3513" s="15"/>
    </row>
    <row r="3514" spans="1:35" s="6" customFormat="1">
      <c r="A3514" s="6" t="s">
        <v>15074</v>
      </c>
      <c r="B3514" s="6" t="s">
        <v>15075</v>
      </c>
      <c r="C3514" s="6" t="s">
        <v>14865</v>
      </c>
      <c r="D3514" s="6" t="s">
        <v>10937</v>
      </c>
      <c r="E3514" s="6" t="s">
        <v>10938</v>
      </c>
      <c r="F3514" s="6" t="s">
        <v>46</v>
      </c>
      <c r="G3514" s="6" t="s">
        <v>7122</v>
      </c>
      <c r="H3514" s="7"/>
      <c r="I3514" s="6" t="s">
        <v>48</v>
      </c>
      <c r="J3514" s="6" t="s">
        <v>48</v>
      </c>
      <c r="AG3514" s="15" t="s">
        <v>55</v>
      </c>
      <c r="AH3514" s="15"/>
      <c r="AI3514" s="15"/>
    </row>
    <row r="3515" spans="1:35" s="6" customFormat="1">
      <c r="A3515" s="6" t="s">
        <v>15076</v>
      </c>
      <c r="B3515" s="6" t="s">
        <v>15077</v>
      </c>
      <c r="C3515" s="6" t="s">
        <v>14865</v>
      </c>
      <c r="D3515" s="6" t="s">
        <v>10937</v>
      </c>
      <c r="E3515" s="6" t="s">
        <v>10938</v>
      </c>
      <c r="F3515" s="6" t="s">
        <v>46</v>
      </c>
      <c r="G3515" s="6" t="s">
        <v>15078</v>
      </c>
      <c r="H3515" s="7"/>
      <c r="I3515" s="6" t="s">
        <v>48</v>
      </c>
      <c r="J3515" s="6" t="s">
        <v>48</v>
      </c>
      <c r="AG3515" s="15" t="s">
        <v>55</v>
      </c>
      <c r="AH3515" s="15"/>
      <c r="AI3515" s="15"/>
    </row>
    <row r="3516" spans="1:35" s="6" customFormat="1">
      <c r="A3516" s="6" t="s">
        <v>15079</v>
      </c>
      <c r="B3516" s="6" t="s">
        <v>15080</v>
      </c>
      <c r="C3516" s="6" t="s">
        <v>43</v>
      </c>
      <c r="D3516" s="6" t="s">
        <v>10937</v>
      </c>
      <c r="E3516" s="6" t="s">
        <v>10938</v>
      </c>
      <c r="F3516" s="6" t="s">
        <v>46</v>
      </c>
      <c r="G3516" s="6" t="s">
        <v>15081</v>
      </c>
      <c r="H3516" s="7"/>
      <c r="I3516" s="6" t="s">
        <v>48</v>
      </c>
      <c r="J3516" s="6" t="s">
        <v>48</v>
      </c>
      <c r="AG3516" s="15" t="s">
        <v>55</v>
      </c>
      <c r="AH3516" s="15"/>
      <c r="AI3516" s="15"/>
    </row>
    <row r="3517" spans="1:35" s="6" customFormat="1">
      <c r="A3517" s="6" t="s">
        <v>15082</v>
      </c>
      <c r="B3517" s="6" t="s">
        <v>15083</v>
      </c>
      <c r="C3517" s="6" t="s">
        <v>14865</v>
      </c>
      <c r="D3517" s="6" t="s">
        <v>10937</v>
      </c>
      <c r="E3517" s="6" t="s">
        <v>10938</v>
      </c>
      <c r="F3517" s="6" t="s">
        <v>46</v>
      </c>
      <c r="G3517" s="6" t="s">
        <v>15055</v>
      </c>
      <c r="H3517" s="7"/>
      <c r="I3517" s="5" t="s">
        <v>48</v>
      </c>
      <c r="J3517" s="5" t="s">
        <v>48</v>
      </c>
      <c r="AG3517" s="15" t="s">
        <v>55</v>
      </c>
      <c r="AH3517" s="15"/>
      <c r="AI3517" s="15"/>
    </row>
    <row r="3518" spans="1:35" s="6" customFormat="1">
      <c r="A3518" s="6" t="s">
        <v>15084</v>
      </c>
      <c r="B3518" s="6" t="s">
        <v>15085</v>
      </c>
      <c r="C3518" s="6" t="s">
        <v>14865</v>
      </c>
      <c r="D3518" s="6" t="s">
        <v>10937</v>
      </c>
      <c r="E3518" s="6" t="s">
        <v>10938</v>
      </c>
      <c r="F3518" s="6" t="s">
        <v>46</v>
      </c>
      <c r="G3518" s="6" t="s">
        <v>15055</v>
      </c>
      <c r="H3518" s="7"/>
      <c r="I3518" s="6" t="s">
        <v>48</v>
      </c>
      <c r="J3518" s="6" t="s">
        <v>48</v>
      </c>
      <c r="AG3518" s="15" t="s">
        <v>55</v>
      </c>
      <c r="AH3518" s="15"/>
      <c r="AI3518" s="15"/>
    </row>
    <row r="3519" spans="1:35" s="6" customFormat="1">
      <c r="A3519" s="6" t="s">
        <v>15086</v>
      </c>
      <c r="B3519" s="6" t="s">
        <v>15087</v>
      </c>
      <c r="C3519" s="6" t="s">
        <v>43</v>
      </c>
      <c r="D3519" s="6" t="s">
        <v>10937</v>
      </c>
      <c r="E3519" s="6" t="s">
        <v>10938</v>
      </c>
      <c r="F3519" s="6" t="s">
        <v>46</v>
      </c>
      <c r="G3519" s="6" t="s">
        <v>15088</v>
      </c>
      <c r="H3519" s="7"/>
      <c r="I3519" s="6" t="s">
        <v>48</v>
      </c>
      <c r="J3519" s="6" t="s">
        <v>48</v>
      </c>
      <c r="AG3519" s="15" t="s">
        <v>55</v>
      </c>
      <c r="AH3519" s="15"/>
      <c r="AI3519" s="15"/>
    </row>
    <row r="3520" spans="1:35" s="6" customFormat="1">
      <c r="A3520" s="6" t="s">
        <v>15089</v>
      </c>
      <c r="B3520" s="6" t="s">
        <v>15090</v>
      </c>
      <c r="C3520" s="6" t="s">
        <v>14865</v>
      </c>
      <c r="D3520" s="6" t="s">
        <v>10937</v>
      </c>
      <c r="E3520" s="6" t="s">
        <v>10938</v>
      </c>
      <c r="F3520" s="6" t="s">
        <v>46</v>
      </c>
      <c r="G3520" s="6" t="s">
        <v>15091</v>
      </c>
      <c r="H3520" s="7"/>
      <c r="I3520" s="6" t="s">
        <v>48</v>
      </c>
      <c r="J3520" s="6" t="s">
        <v>48</v>
      </c>
      <c r="AG3520" s="15" t="s">
        <v>55</v>
      </c>
      <c r="AH3520" s="15"/>
      <c r="AI3520" s="15"/>
    </row>
    <row r="3521" spans="1:35" s="6" customFormat="1">
      <c r="A3521" s="6" t="s">
        <v>15092</v>
      </c>
      <c r="B3521" s="6" t="s">
        <v>15093</v>
      </c>
      <c r="C3521" s="6" t="s">
        <v>43</v>
      </c>
      <c r="D3521" s="6" t="s">
        <v>10937</v>
      </c>
      <c r="E3521" s="6" t="s">
        <v>10938</v>
      </c>
      <c r="F3521" s="6" t="s">
        <v>46</v>
      </c>
      <c r="G3521" s="6" t="s">
        <v>15094</v>
      </c>
      <c r="H3521" s="7"/>
      <c r="I3521" s="6" t="s">
        <v>48</v>
      </c>
      <c r="J3521" s="6" t="s">
        <v>48</v>
      </c>
      <c r="AG3521" s="15" t="s">
        <v>55</v>
      </c>
      <c r="AH3521" s="15"/>
      <c r="AI3521" s="15"/>
    </row>
    <row r="3522" spans="1:35" s="6" customFormat="1">
      <c r="A3522" s="6" t="s">
        <v>15095</v>
      </c>
      <c r="B3522" s="6" t="s">
        <v>15096</v>
      </c>
      <c r="C3522" s="6" t="s">
        <v>43</v>
      </c>
      <c r="D3522" s="6" t="s">
        <v>10937</v>
      </c>
      <c r="E3522" s="6" t="s">
        <v>10938</v>
      </c>
      <c r="F3522" s="6" t="s">
        <v>46</v>
      </c>
      <c r="G3522" s="6" t="s">
        <v>15097</v>
      </c>
      <c r="H3522" s="7"/>
      <c r="I3522" s="6" t="s">
        <v>48</v>
      </c>
      <c r="J3522" s="6" t="s">
        <v>48</v>
      </c>
      <c r="AG3522" s="15" t="s">
        <v>55</v>
      </c>
      <c r="AH3522" s="15"/>
      <c r="AI3522" s="15"/>
    </row>
    <row r="3523" spans="1:35" s="6" customFormat="1">
      <c r="A3523" s="6" t="s">
        <v>15098</v>
      </c>
      <c r="B3523" s="6" t="s">
        <v>15099</v>
      </c>
      <c r="C3523" s="6" t="s">
        <v>14865</v>
      </c>
      <c r="D3523" s="6" t="s">
        <v>10937</v>
      </c>
      <c r="E3523" s="6" t="s">
        <v>10938</v>
      </c>
      <c r="F3523" s="6" t="s">
        <v>46</v>
      </c>
      <c r="G3523" s="6" t="s">
        <v>1457</v>
      </c>
      <c r="H3523" s="7"/>
      <c r="I3523" s="5" t="s">
        <v>48</v>
      </c>
      <c r="J3523" s="5" t="s">
        <v>48</v>
      </c>
      <c r="AG3523" s="15" t="s">
        <v>55</v>
      </c>
      <c r="AH3523" s="15"/>
      <c r="AI3523" s="15"/>
    </row>
    <row r="3524" spans="1:35" s="6" customFormat="1">
      <c r="A3524" s="6" t="s">
        <v>15100</v>
      </c>
      <c r="B3524" s="6" t="s">
        <v>15101</v>
      </c>
      <c r="C3524" s="6" t="s">
        <v>43</v>
      </c>
      <c r="D3524" s="6" t="s">
        <v>10937</v>
      </c>
      <c r="E3524" s="6" t="s">
        <v>10938</v>
      </c>
      <c r="F3524" s="6" t="s">
        <v>46</v>
      </c>
      <c r="G3524" s="6" t="s">
        <v>15102</v>
      </c>
      <c r="H3524" s="7"/>
      <c r="I3524" s="5" t="s">
        <v>48</v>
      </c>
      <c r="J3524" s="5" t="s">
        <v>48</v>
      </c>
      <c r="AG3524" s="15" t="s">
        <v>55</v>
      </c>
      <c r="AH3524" s="15"/>
      <c r="AI3524" s="15"/>
    </row>
    <row r="3525" spans="1:35" s="6" customFormat="1">
      <c r="A3525" s="6" t="s">
        <v>15103</v>
      </c>
      <c r="B3525" s="6" t="s">
        <v>15104</v>
      </c>
      <c r="C3525" s="6" t="s">
        <v>43</v>
      </c>
      <c r="D3525" s="6" t="s">
        <v>10937</v>
      </c>
      <c r="E3525" s="6" t="s">
        <v>10938</v>
      </c>
      <c r="F3525" s="6" t="s">
        <v>46</v>
      </c>
      <c r="G3525" s="6" t="s">
        <v>7023</v>
      </c>
      <c r="H3525" s="7"/>
      <c r="I3525" s="6" t="s">
        <v>48</v>
      </c>
      <c r="J3525" s="6" t="s">
        <v>48</v>
      </c>
      <c r="AG3525" s="15" t="s">
        <v>55</v>
      </c>
      <c r="AH3525" s="15"/>
      <c r="AI3525" s="15"/>
    </row>
    <row r="3526" spans="1:35" s="6" customFormat="1">
      <c r="A3526" s="6" t="s">
        <v>15105</v>
      </c>
      <c r="B3526" s="6" t="s">
        <v>15106</v>
      </c>
      <c r="C3526" s="6" t="s">
        <v>43</v>
      </c>
      <c r="D3526" s="6" t="s">
        <v>10937</v>
      </c>
      <c r="E3526" s="6" t="s">
        <v>10938</v>
      </c>
      <c r="F3526" s="6" t="s">
        <v>46</v>
      </c>
      <c r="G3526" s="6" t="s">
        <v>15107</v>
      </c>
      <c r="H3526" s="7"/>
      <c r="I3526" s="6" t="s">
        <v>48</v>
      </c>
      <c r="J3526" s="6" t="s">
        <v>48</v>
      </c>
      <c r="AG3526" s="15" t="s">
        <v>55</v>
      </c>
      <c r="AH3526" s="15"/>
      <c r="AI3526" s="15"/>
    </row>
    <row r="3527" spans="1:35" s="6" customFormat="1">
      <c r="A3527" s="6" t="s">
        <v>15108</v>
      </c>
      <c r="B3527" s="6" t="s">
        <v>15109</v>
      </c>
      <c r="C3527" s="6" t="s">
        <v>43</v>
      </c>
      <c r="D3527" s="6" t="s">
        <v>10937</v>
      </c>
      <c r="E3527" s="6" t="s">
        <v>10938</v>
      </c>
      <c r="F3527" s="6" t="s">
        <v>46</v>
      </c>
      <c r="G3527" s="6" t="s">
        <v>15110</v>
      </c>
      <c r="H3527" s="7"/>
      <c r="I3527" s="5" t="s">
        <v>48</v>
      </c>
      <c r="J3527" s="5" t="s">
        <v>48</v>
      </c>
      <c r="AG3527" s="15" t="s">
        <v>55</v>
      </c>
      <c r="AH3527" s="15"/>
      <c r="AI3527" s="15"/>
    </row>
    <row r="3528" spans="1:35" s="6" customFormat="1">
      <c r="A3528" s="6" t="s">
        <v>15111</v>
      </c>
      <c r="B3528" s="6" t="s">
        <v>15112</v>
      </c>
      <c r="C3528" s="6" t="s">
        <v>43</v>
      </c>
      <c r="D3528" s="6" t="s">
        <v>10937</v>
      </c>
      <c r="E3528" s="6" t="s">
        <v>10938</v>
      </c>
      <c r="F3528" s="6" t="s">
        <v>46</v>
      </c>
      <c r="G3528" s="6" t="s">
        <v>15113</v>
      </c>
      <c r="H3528" s="7"/>
      <c r="I3528" s="6" t="s">
        <v>48</v>
      </c>
      <c r="J3528" s="6" t="s">
        <v>48</v>
      </c>
      <c r="AG3528" s="15" t="s">
        <v>55</v>
      </c>
      <c r="AH3528" s="15"/>
      <c r="AI3528" s="15"/>
    </row>
    <row r="3529" spans="1:35" s="6" customFormat="1">
      <c r="A3529" s="6" t="s">
        <v>15114</v>
      </c>
      <c r="B3529" s="6" t="s">
        <v>15115</v>
      </c>
      <c r="C3529" s="6" t="s">
        <v>43</v>
      </c>
      <c r="D3529" s="6" t="s">
        <v>10937</v>
      </c>
      <c r="E3529" s="6" t="s">
        <v>10938</v>
      </c>
      <c r="F3529" s="6" t="s">
        <v>46</v>
      </c>
      <c r="G3529" s="6" t="s">
        <v>15116</v>
      </c>
      <c r="H3529" s="7"/>
      <c r="I3529" s="6" t="s">
        <v>48</v>
      </c>
      <c r="J3529" s="6" t="s">
        <v>48</v>
      </c>
      <c r="AG3529" s="15" t="s">
        <v>55</v>
      </c>
      <c r="AH3529" s="15"/>
      <c r="AI3529" s="15"/>
    </row>
    <row r="3530" spans="1:35" s="6" customFormat="1">
      <c r="A3530" s="6" t="s">
        <v>15117</v>
      </c>
      <c r="B3530" s="6" t="s">
        <v>15118</v>
      </c>
      <c r="C3530" s="6" t="s">
        <v>43</v>
      </c>
      <c r="D3530" s="6" t="s">
        <v>10937</v>
      </c>
      <c r="E3530" s="6" t="s">
        <v>10938</v>
      </c>
      <c r="F3530" s="6" t="s">
        <v>46</v>
      </c>
      <c r="G3530" s="6" t="s">
        <v>5163</v>
      </c>
      <c r="H3530" s="7"/>
      <c r="I3530" s="5" t="s">
        <v>48</v>
      </c>
      <c r="J3530" s="5" t="s">
        <v>48</v>
      </c>
      <c r="AG3530" s="15" t="s">
        <v>55</v>
      </c>
      <c r="AH3530" s="15"/>
      <c r="AI3530" s="15"/>
    </row>
    <row r="3531" spans="1:35" s="6" customFormat="1">
      <c r="A3531" s="6" t="s">
        <v>15119</v>
      </c>
      <c r="B3531" s="6" t="s">
        <v>15120</v>
      </c>
      <c r="C3531" s="6" t="s">
        <v>15121</v>
      </c>
      <c r="D3531" s="6" t="s">
        <v>10937</v>
      </c>
      <c r="E3531" s="6" t="s">
        <v>10938</v>
      </c>
      <c r="F3531" s="6" t="s">
        <v>46</v>
      </c>
      <c r="G3531" s="6" t="s">
        <v>15122</v>
      </c>
      <c r="H3531" s="7"/>
      <c r="I3531" s="5" t="s">
        <v>48</v>
      </c>
      <c r="J3531" s="5" t="s">
        <v>48</v>
      </c>
      <c r="AG3531" s="15" t="s">
        <v>55</v>
      </c>
      <c r="AH3531" s="15"/>
      <c r="AI3531" s="15"/>
    </row>
    <row r="3532" spans="1:35" s="6" customFormat="1">
      <c r="A3532" s="6" t="s">
        <v>15123</v>
      </c>
      <c r="B3532" s="6" t="s">
        <v>15124</v>
      </c>
      <c r="C3532" s="6" t="s">
        <v>15121</v>
      </c>
      <c r="D3532" s="6" t="s">
        <v>10937</v>
      </c>
      <c r="E3532" s="6" t="s">
        <v>10938</v>
      </c>
      <c r="F3532" s="6" t="s">
        <v>46</v>
      </c>
      <c r="G3532" s="6" t="s">
        <v>5163</v>
      </c>
      <c r="H3532" s="7"/>
      <c r="I3532" s="6" t="s">
        <v>48</v>
      </c>
      <c r="J3532" s="6" t="s">
        <v>48</v>
      </c>
      <c r="AG3532" s="15" t="s">
        <v>55</v>
      </c>
      <c r="AH3532" s="15"/>
      <c r="AI3532" s="15"/>
    </row>
    <row r="3533" spans="1:35" s="6" customFormat="1">
      <c r="A3533" s="6" t="s">
        <v>15125</v>
      </c>
      <c r="B3533" s="6" t="s">
        <v>15126</v>
      </c>
      <c r="C3533" s="6" t="s">
        <v>15127</v>
      </c>
      <c r="D3533" s="6" t="s">
        <v>10937</v>
      </c>
      <c r="E3533" s="6" t="s">
        <v>10938</v>
      </c>
      <c r="F3533" s="6" t="s">
        <v>46</v>
      </c>
      <c r="G3533" s="6" t="s">
        <v>15088</v>
      </c>
      <c r="H3533" s="7"/>
      <c r="I3533" s="5" t="s">
        <v>48</v>
      </c>
      <c r="J3533" s="5" t="s">
        <v>48</v>
      </c>
      <c r="AG3533" s="15" t="s">
        <v>55</v>
      </c>
      <c r="AH3533" s="15"/>
      <c r="AI3533" s="15"/>
    </row>
    <row r="3534" spans="1:35" s="6" customFormat="1">
      <c r="A3534" s="6" t="s">
        <v>15128</v>
      </c>
      <c r="B3534" s="6" t="s">
        <v>15129</v>
      </c>
      <c r="C3534" s="6" t="s">
        <v>15121</v>
      </c>
      <c r="D3534" s="6" t="s">
        <v>10937</v>
      </c>
      <c r="E3534" s="6" t="s">
        <v>10938</v>
      </c>
      <c r="F3534" s="6" t="s">
        <v>46</v>
      </c>
      <c r="G3534" s="6" t="s">
        <v>7710</v>
      </c>
      <c r="H3534" s="7"/>
      <c r="I3534" s="6" t="s">
        <v>48</v>
      </c>
      <c r="J3534" s="6" t="s">
        <v>48</v>
      </c>
      <c r="AG3534" s="15" t="s">
        <v>55</v>
      </c>
      <c r="AH3534" s="15"/>
      <c r="AI3534" s="15"/>
    </row>
    <row r="3535" spans="1:35" s="6" customFormat="1">
      <c r="A3535" s="6" t="s">
        <v>15130</v>
      </c>
      <c r="B3535" s="6" t="s">
        <v>15131</v>
      </c>
      <c r="C3535" s="6" t="s">
        <v>15121</v>
      </c>
      <c r="D3535" s="6" t="s">
        <v>10937</v>
      </c>
      <c r="E3535" s="6" t="s">
        <v>10938</v>
      </c>
      <c r="F3535" s="6" t="s">
        <v>46</v>
      </c>
      <c r="G3535" s="6" t="s">
        <v>7139</v>
      </c>
      <c r="H3535" s="7"/>
      <c r="I3535" s="6" t="s">
        <v>48</v>
      </c>
      <c r="J3535" s="6" t="s">
        <v>48</v>
      </c>
      <c r="AG3535" s="15" t="s">
        <v>55</v>
      </c>
      <c r="AH3535" s="15"/>
      <c r="AI3535" s="15"/>
    </row>
    <row r="3536" spans="1:35" s="6" customFormat="1">
      <c r="A3536" s="6" t="s">
        <v>15132</v>
      </c>
      <c r="B3536" s="6" t="s">
        <v>15133</v>
      </c>
      <c r="C3536" s="6" t="s">
        <v>15121</v>
      </c>
      <c r="D3536" s="6" t="s">
        <v>10937</v>
      </c>
      <c r="E3536" s="6" t="s">
        <v>10938</v>
      </c>
      <c r="F3536" s="6" t="s">
        <v>46</v>
      </c>
      <c r="G3536" s="6" t="s">
        <v>13770</v>
      </c>
      <c r="H3536" s="7"/>
      <c r="I3536" s="6" t="s">
        <v>48</v>
      </c>
      <c r="J3536" s="6" t="s">
        <v>48</v>
      </c>
      <c r="AG3536" s="15" t="s">
        <v>55</v>
      </c>
      <c r="AH3536" s="15"/>
      <c r="AI3536" s="15"/>
    </row>
    <row r="3537" spans="1:37" s="6" customFormat="1">
      <c r="A3537" s="6" t="s">
        <v>15134</v>
      </c>
      <c r="B3537" s="6" t="s">
        <v>15135</v>
      </c>
      <c r="C3537" s="6" t="s">
        <v>14617</v>
      </c>
      <c r="D3537" s="6" t="s">
        <v>10937</v>
      </c>
      <c r="E3537" s="6" t="s">
        <v>10938</v>
      </c>
      <c r="F3537" s="6" t="s">
        <v>46</v>
      </c>
      <c r="G3537" s="6" t="s">
        <v>15136</v>
      </c>
      <c r="H3537" s="7"/>
      <c r="I3537" s="6" t="s">
        <v>48</v>
      </c>
      <c r="J3537" s="6" t="s">
        <v>48</v>
      </c>
      <c r="AG3537" s="15" t="s">
        <v>55</v>
      </c>
      <c r="AH3537" s="15"/>
      <c r="AI3537" s="15"/>
    </row>
    <row r="3538" spans="1:37" s="6" customFormat="1">
      <c r="A3538" s="6" t="s">
        <v>15137</v>
      </c>
      <c r="B3538" s="6" t="s">
        <v>15138</v>
      </c>
      <c r="C3538" s="6" t="s">
        <v>14617</v>
      </c>
      <c r="D3538" s="6" t="s">
        <v>10937</v>
      </c>
      <c r="E3538" s="6" t="s">
        <v>10938</v>
      </c>
      <c r="F3538" s="6" t="s">
        <v>46</v>
      </c>
      <c r="G3538" s="6" t="s">
        <v>15139</v>
      </c>
      <c r="H3538" s="7"/>
      <c r="I3538" s="6" t="s">
        <v>48</v>
      </c>
      <c r="J3538" s="6" t="s">
        <v>48</v>
      </c>
      <c r="AG3538" s="15" t="s">
        <v>55</v>
      </c>
      <c r="AH3538" s="15"/>
      <c r="AI3538" s="15"/>
    </row>
    <row r="3539" spans="1:37" s="6" customFormat="1">
      <c r="A3539" s="6" t="s">
        <v>15140</v>
      </c>
      <c r="B3539" s="6" t="s">
        <v>15141</v>
      </c>
      <c r="C3539" s="6" t="s">
        <v>15142</v>
      </c>
      <c r="D3539" s="6" t="s">
        <v>10937</v>
      </c>
      <c r="E3539" s="6" t="s">
        <v>10938</v>
      </c>
      <c r="F3539" s="6" t="s">
        <v>46</v>
      </c>
      <c r="G3539" s="6" t="s">
        <v>15143</v>
      </c>
      <c r="H3539" s="7"/>
      <c r="I3539" s="6" t="s">
        <v>48</v>
      </c>
      <c r="J3539" s="6" t="s">
        <v>48</v>
      </c>
      <c r="AG3539" s="15" t="s">
        <v>55</v>
      </c>
      <c r="AH3539" s="15"/>
      <c r="AI3539" s="15"/>
    </row>
    <row r="3540" spans="1:37" s="6" customFormat="1">
      <c r="A3540" s="6" t="s">
        <v>15144</v>
      </c>
      <c r="B3540" s="6" t="s">
        <v>15145</v>
      </c>
      <c r="C3540" s="6" t="s">
        <v>14617</v>
      </c>
      <c r="D3540" s="6" t="s">
        <v>10937</v>
      </c>
      <c r="E3540" s="6" t="s">
        <v>10938</v>
      </c>
      <c r="F3540" s="6" t="s">
        <v>46</v>
      </c>
      <c r="G3540" s="6" t="s">
        <v>1935</v>
      </c>
      <c r="H3540" s="7"/>
      <c r="I3540" s="6" t="s">
        <v>48</v>
      </c>
      <c r="J3540" s="6" t="s">
        <v>48</v>
      </c>
      <c r="AG3540" s="15" t="s">
        <v>55</v>
      </c>
      <c r="AH3540" s="15"/>
      <c r="AI3540" s="15"/>
    </row>
    <row r="3541" spans="1:37" s="6" customFormat="1">
      <c r="A3541" s="6" t="s">
        <v>15146</v>
      </c>
      <c r="B3541" s="6" t="s">
        <v>15147</v>
      </c>
      <c r="C3541" s="6" t="s">
        <v>14617</v>
      </c>
      <c r="D3541" s="6" t="s">
        <v>10937</v>
      </c>
      <c r="E3541" s="6" t="s">
        <v>10938</v>
      </c>
      <c r="F3541" s="6" t="s">
        <v>46</v>
      </c>
      <c r="G3541" s="6" t="s">
        <v>2846</v>
      </c>
      <c r="H3541" s="7"/>
      <c r="I3541" s="6" t="s">
        <v>48</v>
      </c>
      <c r="J3541" s="6" t="s">
        <v>48</v>
      </c>
      <c r="AG3541" s="15" t="s">
        <v>55</v>
      </c>
      <c r="AH3541" s="15"/>
      <c r="AI3541" s="15"/>
    </row>
    <row r="3542" spans="1:37" s="6" customFormat="1">
      <c r="A3542" s="6" t="s">
        <v>15148</v>
      </c>
      <c r="B3542" s="6" t="s">
        <v>15149</v>
      </c>
      <c r="C3542" s="6" t="s">
        <v>43</v>
      </c>
      <c r="D3542" s="6" t="s">
        <v>10937</v>
      </c>
      <c r="E3542" s="6" t="s">
        <v>10938</v>
      </c>
      <c r="F3542" s="6" t="s">
        <v>46</v>
      </c>
      <c r="G3542" s="6" t="s">
        <v>14444</v>
      </c>
      <c r="H3542" s="7"/>
      <c r="I3542" s="6" t="s">
        <v>48</v>
      </c>
      <c r="J3542" s="6" t="s">
        <v>48</v>
      </c>
      <c r="AG3542" s="15" t="s">
        <v>55</v>
      </c>
      <c r="AH3542" s="15"/>
      <c r="AI3542" s="15"/>
    </row>
    <row r="3543" spans="1:37" s="6" customFormat="1">
      <c r="A3543" s="6" t="s">
        <v>15150</v>
      </c>
      <c r="B3543" s="6" t="s">
        <v>15151</v>
      </c>
      <c r="C3543" s="6" t="s">
        <v>43</v>
      </c>
      <c r="D3543" s="6" t="s">
        <v>10937</v>
      </c>
      <c r="E3543" s="6" t="s">
        <v>10938</v>
      </c>
      <c r="F3543" s="6" t="s">
        <v>46</v>
      </c>
      <c r="G3543" s="6" t="s">
        <v>15152</v>
      </c>
      <c r="H3543" s="7"/>
      <c r="I3543" s="6" t="s">
        <v>48</v>
      </c>
      <c r="J3543" s="6" t="s">
        <v>48</v>
      </c>
      <c r="AG3543" s="15" t="s">
        <v>55</v>
      </c>
      <c r="AH3543" s="15"/>
      <c r="AI3543" s="15"/>
    </row>
    <row r="3544" spans="1:37" s="6" customFormat="1">
      <c r="A3544" s="6" t="s">
        <v>15153</v>
      </c>
      <c r="B3544" s="6" t="s">
        <v>15154</v>
      </c>
      <c r="C3544" s="6" t="s">
        <v>15121</v>
      </c>
      <c r="D3544" s="6" t="s">
        <v>10937</v>
      </c>
      <c r="E3544" s="6" t="s">
        <v>10938</v>
      </c>
      <c r="F3544" s="6" t="s">
        <v>46</v>
      </c>
      <c r="G3544" s="6" t="s">
        <v>5163</v>
      </c>
      <c r="H3544" s="7"/>
      <c r="I3544" s="6" t="s">
        <v>48</v>
      </c>
      <c r="J3544" s="6" t="s">
        <v>48</v>
      </c>
      <c r="AG3544" s="15" t="s">
        <v>55</v>
      </c>
      <c r="AH3544" s="15"/>
      <c r="AI3544" s="15"/>
    </row>
    <row r="3545" spans="1:37" s="6" customFormat="1">
      <c r="A3545" s="5" t="s">
        <v>15155</v>
      </c>
      <c r="B3545" s="5" t="s">
        <v>15156</v>
      </c>
      <c r="C3545" s="6" t="s">
        <v>43</v>
      </c>
      <c r="D3545" s="6" t="s">
        <v>10937</v>
      </c>
      <c r="E3545" s="6" t="s">
        <v>10938</v>
      </c>
      <c r="F3545" s="6" t="s">
        <v>46</v>
      </c>
      <c r="G3545" s="6" t="s">
        <v>5163</v>
      </c>
      <c r="H3545" s="18">
        <v>999</v>
      </c>
      <c r="I3545" s="19" t="s">
        <v>13662</v>
      </c>
      <c r="J3545" s="19" t="s">
        <v>14651</v>
      </c>
      <c r="K3545" s="6" t="s">
        <v>15157</v>
      </c>
      <c r="L3545" s="6" t="s">
        <v>15158</v>
      </c>
      <c r="M3545" s="6" t="s">
        <v>15159</v>
      </c>
      <c r="N3545" s="6" t="s">
        <v>15160</v>
      </c>
      <c r="O3545" s="6" t="s">
        <v>15161</v>
      </c>
      <c r="P3545" s="6" t="s">
        <v>15162</v>
      </c>
      <c r="Q3545" s="6" t="s">
        <v>15163</v>
      </c>
      <c r="R3545" s="6" t="s">
        <v>15164</v>
      </c>
      <c r="S3545" s="6" t="s">
        <v>13672</v>
      </c>
      <c r="T3545" s="6" t="s">
        <v>13697</v>
      </c>
      <c r="U3545" s="6" t="s">
        <v>13674</v>
      </c>
      <c r="V3545" s="6" t="s">
        <v>13675</v>
      </c>
      <c r="W3545" s="6" t="s">
        <v>13676</v>
      </c>
      <c r="X3545" s="6" t="s">
        <v>13677</v>
      </c>
      <c r="Y3545" s="6" t="s">
        <v>13678</v>
      </c>
      <c r="Z3545" s="6" t="s">
        <v>13679</v>
      </c>
      <c r="AA3545" s="6" t="s">
        <v>13680</v>
      </c>
      <c r="AB3545" s="6" t="s">
        <v>13681</v>
      </c>
      <c r="AC3545" s="6" t="s">
        <v>13682</v>
      </c>
      <c r="AD3545" s="6" t="s">
        <v>13683</v>
      </c>
      <c r="AE3545" s="5"/>
      <c r="AF3545" s="5"/>
      <c r="AG3545" s="14" t="s">
        <v>49</v>
      </c>
      <c r="AH3545" s="14" t="s">
        <v>1102</v>
      </c>
      <c r="AI3545" s="14" t="s">
        <v>13684</v>
      </c>
      <c r="AJ3545" s="5" t="s">
        <v>13685</v>
      </c>
      <c r="AK3545" s="5"/>
    </row>
    <row r="3546" spans="1:37">
      <c r="A3546" s="5" t="s">
        <v>15165</v>
      </c>
      <c r="B3546" s="5" t="s">
        <v>15166</v>
      </c>
      <c r="C3546" s="6" t="s">
        <v>43</v>
      </c>
      <c r="D3546" s="6" t="s">
        <v>10937</v>
      </c>
      <c r="E3546" s="6" t="s">
        <v>10938</v>
      </c>
      <c r="F3546" s="6" t="s">
        <v>46</v>
      </c>
      <c r="G3546" s="6" t="s">
        <v>5163</v>
      </c>
      <c r="H3546" s="18">
        <v>999</v>
      </c>
      <c r="I3546" s="19" t="s">
        <v>13662</v>
      </c>
      <c r="J3546" s="19" t="s">
        <v>14651</v>
      </c>
      <c r="K3546" s="6" t="s">
        <v>15167</v>
      </c>
      <c r="L3546" s="6" t="s">
        <v>15168</v>
      </c>
      <c r="M3546" s="6" t="s">
        <v>15169</v>
      </c>
      <c r="N3546" s="6" t="s">
        <v>15170</v>
      </c>
      <c r="O3546" s="6" t="s">
        <v>15171</v>
      </c>
      <c r="P3546" s="6" t="s">
        <v>15172</v>
      </c>
      <c r="Q3546" s="6" t="s">
        <v>15173</v>
      </c>
      <c r="R3546" s="6" t="s">
        <v>15174</v>
      </c>
      <c r="S3546" s="6" t="s">
        <v>13672</v>
      </c>
      <c r="T3546" s="6" t="s">
        <v>13697</v>
      </c>
      <c r="U3546" s="6" t="s">
        <v>13674</v>
      </c>
      <c r="V3546" s="6" t="s">
        <v>13675</v>
      </c>
      <c r="W3546" s="6" t="s">
        <v>13676</v>
      </c>
      <c r="X3546" s="6" t="s">
        <v>13677</v>
      </c>
      <c r="Y3546" s="6" t="s">
        <v>13678</v>
      </c>
      <c r="Z3546" s="6" t="s">
        <v>13679</v>
      </c>
      <c r="AA3546" s="6" t="s">
        <v>13680</v>
      </c>
      <c r="AB3546" s="6" t="s">
        <v>13681</v>
      </c>
      <c r="AC3546" s="6" t="s">
        <v>13682</v>
      </c>
      <c r="AD3546" s="6" t="s">
        <v>13683</v>
      </c>
      <c r="AG3546" s="14" t="s">
        <v>49</v>
      </c>
      <c r="AH3546" s="14" t="s">
        <v>1102</v>
      </c>
      <c r="AI3546" s="14" t="s">
        <v>13684</v>
      </c>
      <c r="AJ3546" s="5" t="s">
        <v>13685</v>
      </c>
    </row>
    <row r="3547" spans="1:37">
      <c r="A3547" s="6" t="s">
        <v>15175</v>
      </c>
      <c r="B3547" s="6" t="s">
        <v>15176</v>
      </c>
      <c r="C3547" s="6" t="s">
        <v>15127</v>
      </c>
      <c r="D3547" s="6" t="s">
        <v>10937</v>
      </c>
      <c r="E3547" s="6" t="s">
        <v>10938</v>
      </c>
      <c r="F3547" s="6" t="s">
        <v>46</v>
      </c>
      <c r="G3547" s="6" t="s">
        <v>5163</v>
      </c>
      <c r="I3547" s="5" t="s">
        <v>48</v>
      </c>
      <c r="J3547" s="5" t="s">
        <v>48</v>
      </c>
      <c r="K3547" s="6"/>
      <c r="L3547" s="6"/>
      <c r="M3547" s="6"/>
      <c r="N3547" s="6"/>
      <c r="O3547" s="6"/>
      <c r="P3547" s="6"/>
      <c r="Q3547" s="6"/>
      <c r="R3547" s="6"/>
      <c r="S3547" s="6"/>
      <c r="T3547" s="6"/>
      <c r="U3547" s="6"/>
      <c r="V3547" s="6"/>
      <c r="W3547" s="6"/>
      <c r="X3547" s="6"/>
      <c r="Y3547" s="6"/>
      <c r="Z3547" s="6"/>
      <c r="AA3547" s="6"/>
      <c r="AB3547" s="6"/>
      <c r="AC3547" s="6"/>
      <c r="AD3547" s="6"/>
      <c r="AE3547" s="6"/>
      <c r="AF3547" s="6"/>
      <c r="AG3547" s="15" t="s">
        <v>55</v>
      </c>
      <c r="AH3547" s="15"/>
      <c r="AI3547" s="15"/>
      <c r="AJ3547" s="6"/>
      <c r="AK3547" s="6"/>
    </row>
    <row r="3548" spans="1:37" s="6" customFormat="1">
      <c r="A3548" s="5" t="s">
        <v>15177</v>
      </c>
      <c r="B3548" s="5" t="s">
        <v>15178</v>
      </c>
      <c r="C3548" s="6" t="s">
        <v>13540</v>
      </c>
      <c r="D3548" s="6" t="s">
        <v>10937</v>
      </c>
      <c r="E3548" s="6" t="s">
        <v>10938</v>
      </c>
      <c r="F3548" s="6" t="s">
        <v>46</v>
      </c>
      <c r="G3548" s="6" t="s">
        <v>15179</v>
      </c>
      <c r="H3548" s="18">
        <v>999</v>
      </c>
      <c r="I3548" s="19" t="s">
        <v>13662</v>
      </c>
      <c r="J3548" s="19" t="s">
        <v>14651</v>
      </c>
      <c r="K3548" s="6" t="s">
        <v>15180</v>
      </c>
      <c r="L3548" s="6" t="s">
        <v>15181</v>
      </c>
      <c r="M3548" s="6" t="s">
        <v>15182</v>
      </c>
      <c r="N3548" s="6" t="s">
        <v>15183</v>
      </c>
      <c r="O3548" s="6" t="s">
        <v>15184</v>
      </c>
      <c r="P3548" s="6" t="s">
        <v>15185</v>
      </c>
      <c r="Q3548" s="6" t="s">
        <v>15186</v>
      </c>
      <c r="R3548" s="6" t="s">
        <v>15187</v>
      </c>
      <c r="S3548" s="6" t="s">
        <v>13672</v>
      </c>
      <c r="T3548" s="6" t="s">
        <v>13697</v>
      </c>
      <c r="U3548" s="6" t="s">
        <v>13674</v>
      </c>
      <c r="V3548" s="6" t="s">
        <v>13675</v>
      </c>
      <c r="W3548" s="6" t="s">
        <v>13676</v>
      </c>
      <c r="X3548" s="6" t="s">
        <v>13677</v>
      </c>
      <c r="Y3548" s="6" t="s">
        <v>13678</v>
      </c>
      <c r="Z3548" s="6" t="s">
        <v>13679</v>
      </c>
      <c r="AA3548" s="6" t="s">
        <v>13680</v>
      </c>
      <c r="AB3548" s="6" t="s">
        <v>13681</v>
      </c>
      <c r="AC3548" s="6" t="s">
        <v>13682</v>
      </c>
      <c r="AD3548" s="6" t="s">
        <v>13683</v>
      </c>
      <c r="AE3548" s="5"/>
      <c r="AF3548" s="5"/>
      <c r="AG3548" s="14" t="s">
        <v>49</v>
      </c>
      <c r="AH3548" s="14" t="s">
        <v>1102</v>
      </c>
      <c r="AI3548" s="14" t="s">
        <v>13684</v>
      </c>
      <c r="AJ3548" s="5" t="s">
        <v>13685</v>
      </c>
      <c r="AK3548" s="5"/>
    </row>
    <row r="3549" spans="1:37">
      <c r="A3549" s="6" t="s">
        <v>15188</v>
      </c>
      <c r="B3549" s="6" t="s">
        <v>15189</v>
      </c>
      <c r="C3549" s="6" t="s">
        <v>43</v>
      </c>
      <c r="D3549" s="6" t="s">
        <v>10937</v>
      </c>
      <c r="E3549" s="6" t="s">
        <v>10938</v>
      </c>
      <c r="F3549" s="6" t="s">
        <v>46</v>
      </c>
      <c r="G3549" s="6" t="s">
        <v>5163</v>
      </c>
      <c r="I3549" s="6" t="s">
        <v>48</v>
      </c>
      <c r="J3549" s="6" t="s">
        <v>48</v>
      </c>
      <c r="K3549" s="6"/>
      <c r="L3549" s="6"/>
      <c r="M3549" s="6"/>
      <c r="N3549" s="6"/>
      <c r="O3549" s="6"/>
      <c r="P3549" s="6"/>
      <c r="Q3549" s="6"/>
      <c r="R3549" s="6"/>
      <c r="S3549" s="6"/>
      <c r="T3549" s="6"/>
      <c r="U3549" s="6"/>
      <c r="V3549" s="6"/>
      <c r="W3549" s="6"/>
      <c r="X3549" s="6"/>
      <c r="Y3549" s="6"/>
      <c r="Z3549" s="6"/>
      <c r="AA3549" s="6"/>
      <c r="AB3549" s="6"/>
      <c r="AC3549" s="6"/>
      <c r="AD3549" s="6"/>
      <c r="AE3549" s="6"/>
      <c r="AF3549" s="6"/>
      <c r="AG3549" s="15" t="s">
        <v>55</v>
      </c>
      <c r="AH3549" s="15"/>
      <c r="AI3549" s="15"/>
      <c r="AJ3549" s="6"/>
      <c r="AK3549" s="6"/>
    </row>
    <row r="3550" spans="1:37" s="6" customFormat="1">
      <c r="A3550" s="5" t="s">
        <v>15190</v>
      </c>
      <c r="B3550" s="5" t="s">
        <v>15191</v>
      </c>
      <c r="C3550" s="6" t="s">
        <v>13540</v>
      </c>
      <c r="D3550" s="6" t="s">
        <v>10937</v>
      </c>
      <c r="E3550" s="6" t="s">
        <v>10938</v>
      </c>
      <c r="F3550" s="6" t="s">
        <v>46</v>
      </c>
      <c r="G3550" s="6" t="s">
        <v>8361</v>
      </c>
      <c r="H3550" s="18">
        <v>999</v>
      </c>
      <c r="I3550" s="19" t="s">
        <v>13662</v>
      </c>
      <c r="J3550" s="19" t="s">
        <v>14651</v>
      </c>
      <c r="K3550" s="6" t="s">
        <v>15192</v>
      </c>
      <c r="L3550" s="6" t="s">
        <v>15193</v>
      </c>
      <c r="M3550" s="6" t="s">
        <v>15194</v>
      </c>
      <c r="N3550" s="6" t="s">
        <v>15195</v>
      </c>
      <c r="O3550" s="6" t="s">
        <v>15196</v>
      </c>
      <c r="P3550" s="6" t="s">
        <v>15197</v>
      </c>
      <c r="Q3550" s="6" t="s">
        <v>15198</v>
      </c>
      <c r="R3550" s="6" t="s">
        <v>15199</v>
      </c>
      <c r="S3550" s="6" t="s">
        <v>13672</v>
      </c>
      <c r="T3550" s="6" t="s">
        <v>13697</v>
      </c>
      <c r="U3550" s="6" t="s">
        <v>13674</v>
      </c>
      <c r="V3550" s="6" t="s">
        <v>13675</v>
      </c>
      <c r="W3550" s="6" t="s">
        <v>13676</v>
      </c>
      <c r="X3550" s="6" t="s">
        <v>13677</v>
      </c>
      <c r="Y3550" s="6" t="s">
        <v>13678</v>
      </c>
      <c r="Z3550" s="6" t="s">
        <v>13679</v>
      </c>
      <c r="AA3550" s="6" t="s">
        <v>13680</v>
      </c>
      <c r="AB3550" s="6" t="s">
        <v>13681</v>
      </c>
      <c r="AC3550" s="6" t="s">
        <v>13682</v>
      </c>
      <c r="AD3550" s="6" t="s">
        <v>13683</v>
      </c>
      <c r="AE3550" s="5"/>
      <c r="AF3550" s="5"/>
      <c r="AG3550" s="14" t="s">
        <v>49</v>
      </c>
      <c r="AH3550" s="14" t="s">
        <v>1102</v>
      </c>
      <c r="AI3550" s="14" t="s">
        <v>13684</v>
      </c>
      <c r="AJ3550" s="5" t="s">
        <v>13685</v>
      </c>
      <c r="AK3550" s="5"/>
    </row>
    <row r="3551" spans="1:37">
      <c r="A3551" s="6" t="s">
        <v>15200</v>
      </c>
      <c r="B3551" s="6" t="s">
        <v>15201</v>
      </c>
      <c r="C3551" s="6" t="s">
        <v>43</v>
      </c>
      <c r="D3551" s="6" t="s">
        <v>10937</v>
      </c>
      <c r="E3551" s="6" t="s">
        <v>10938</v>
      </c>
      <c r="F3551" s="6" t="s">
        <v>46</v>
      </c>
      <c r="G3551" s="6" t="s">
        <v>15202</v>
      </c>
      <c r="I3551" s="6" t="s">
        <v>48</v>
      </c>
      <c r="J3551" s="6" t="s">
        <v>48</v>
      </c>
      <c r="K3551" s="6"/>
      <c r="L3551" s="6"/>
      <c r="M3551" s="6"/>
      <c r="N3551" s="6"/>
      <c r="O3551" s="6"/>
      <c r="P3551" s="6"/>
      <c r="Q3551" s="6"/>
      <c r="R3551" s="6"/>
      <c r="S3551" s="6"/>
      <c r="T3551" s="6"/>
      <c r="U3551" s="6"/>
      <c r="V3551" s="6"/>
      <c r="W3551" s="6"/>
      <c r="X3551" s="6"/>
      <c r="Y3551" s="6"/>
      <c r="Z3551" s="6"/>
      <c r="AA3551" s="6"/>
      <c r="AB3551" s="6"/>
      <c r="AC3551" s="6"/>
      <c r="AD3551" s="6"/>
      <c r="AE3551" s="6"/>
      <c r="AF3551" s="6"/>
      <c r="AG3551" s="15" t="s">
        <v>55</v>
      </c>
      <c r="AH3551" s="15"/>
      <c r="AI3551" s="15"/>
      <c r="AJ3551" s="6"/>
      <c r="AK3551" s="6"/>
    </row>
    <row r="3552" spans="1:37" s="6" customFormat="1">
      <c r="A3552" s="6" t="s">
        <v>15203</v>
      </c>
      <c r="B3552" s="6" t="s">
        <v>15204</v>
      </c>
      <c r="C3552" s="6" t="s">
        <v>43</v>
      </c>
      <c r="D3552" s="6" t="s">
        <v>10937</v>
      </c>
      <c r="E3552" s="6" t="s">
        <v>10938</v>
      </c>
      <c r="F3552" s="6" t="s">
        <v>46</v>
      </c>
      <c r="G3552" s="6" t="s">
        <v>15205</v>
      </c>
      <c r="H3552" s="7"/>
      <c r="I3552" s="6" t="s">
        <v>48</v>
      </c>
      <c r="J3552" s="6" t="s">
        <v>48</v>
      </c>
      <c r="AG3552" s="15" t="s">
        <v>55</v>
      </c>
      <c r="AH3552" s="15"/>
      <c r="AI3552" s="15"/>
    </row>
    <row r="3553" spans="1:35" s="6" customFormat="1">
      <c r="A3553" s="6" t="s">
        <v>15206</v>
      </c>
      <c r="B3553" s="6" t="s">
        <v>15207</v>
      </c>
      <c r="C3553" s="6" t="s">
        <v>43</v>
      </c>
      <c r="D3553" s="6" t="s">
        <v>10937</v>
      </c>
      <c r="E3553" s="6" t="s">
        <v>10938</v>
      </c>
      <c r="F3553" s="6" t="s">
        <v>46</v>
      </c>
      <c r="G3553" s="6" t="s">
        <v>8603</v>
      </c>
      <c r="H3553" s="7"/>
      <c r="I3553" s="6" t="s">
        <v>48</v>
      </c>
      <c r="J3553" s="6" t="s">
        <v>48</v>
      </c>
      <c r="AG3553" s="15" t="s">
        <v>55</v>
      </c>
      <c r="AH3553" s="15"/>
      <c r="AI3553" s="15"/>
    </row>
    <row r="3554" spans="1:35" s="6" customFormat="1">
      <c r="A3554" s="6" t="s">
        <v>15208</v>
      </c>
      <c r="B3554" s="6" t="s">
        <v>15209</v>
      </c>
      <c r="C3554" s="6" t="s">
        <v>43</v>
      </c>
      <c r="D3554" s="6" t="s">
        <v>10937</v>
      </c>
      <c r="E3554" s="6" t="s">
        <v>10938</v>
      </c>
      <c r="F3554" s="6" t="s">
        <v>46</v>
      </c>
      <c r="G3554" s="6" t="s">
        <v>15210</v>
      </c>
      <c r="H3554" s="7"/>
      <c r="I3554" s="6" t="s">
        <v>48</v>
      </c>
      <c r="J3554" s="6" t="s">
        <v>48</v>
      </c>
      <c r="AG3554" s="15" t="s">
        <v>55</v>
      </c>
      <c r="AH3554" s="15"/>
      <c r="AI3554" s="15"/>
    </row>
    <row r="3555" spans="1:35" s="6" customFormat="1">
      <c r="A3555" s="6" t="s">
        <v>15211</v>
      </c>
      <c r="B3555" s="6" t="s">
        <v>15212</v>
      </c>
      <c r="C3555" s="6" t="s">
        <v>43</v>
      </c>
      <c r="D3555" s="6" t="s">
        <v>10937</v>
      </c>
      <c r="E3555" s="6" t="s">
        <v>10938</v>
      </c>
      <c r="F3555" s="6" t="s">
        <v>46</v>
      </c>
      <c r="G3555" s="6" t="s">
        <v>15213</v>
      </c>
      <c r="H3555" s="7"/>
      <c r="I3555" s="6" t="s">
        <v>48</v>
      </c>
      <c r="J3555" s="6" t="s">
        <v>48</v>
      </c>
      <c r="AG3555" s="15" t="s">
        <v>55</v>
      </c>
      <c r="AH3555" s="15"/>
      <c r="AI3555" s="15"/>
    </row>
    <row r="3556" spans="1:35" s="6" customFormat="1">
      <c r="A3556" s="6" t="s">
        <v>15214</v>
      </c>
      <c r="B3556" s="6" t="s">
        <v>15215</v>
      </c>
      <c r="C3556" s="6" t="s">
        <v>43</v>
      </c>
      <c r="D3556" s="6" t="s">
        <v>10937</v>
      </c>
      <c r="E3556" s="6" t="s">
        <v>10938</v>
      </c>
      <c r="F3556" s="6" t="s">
        <v>46</v>
      </c>
      <c r="G3556" s="6" t="s">
        <v>15216</v>
      </c>
      <c r="H3556" s="7"/>
      <c r="I3556" s="6" t="s">
        <v>48</v>
      </c>
      <c r="J3556" s="6" t="s">
        <v>48</v>
      </c>
      <c r="AG3556" s="15" t="s">
        <v>55</v>
      </c>
      <c r="AH3556" s="15"/>
      <c r="AI3556" s="15"/>
    </row>
    <row r="3557" spans="1:35" s="6" customFormat="1">
      <c r="A3557" s="6" t="s">
        <v>15217</v>
      </c>
      <c r="B3557" s="6" t="s">
        <v>15218</v>
      </c>
      <c r="C3557" s="6" t="s">
        <v>15127</v>
      </c>
      <c r="D3557" s="6" t="s">
        <v>10937</v>
      </c>
      <c r="E3557" s="6" t="s">
        <v>10938</v>
      </c>
      <c r="F3557" s="6" t="s">
        <v>46</v>
      </c>
      <c r="G3557" s="6" t="s">
        <v>15219</v>
      </c>
      <c r="H3557" s="7"/>
      <c r="I3557" s="5" t="s">
        <v>48</v>
      </c>
      <c r="J3557" s="5" t="s">
        <v>48</v>
      </c>
      <c r="AG3557" s="15" t="s">
        <v>55</v>
      </c>
      <c r="AH3557" s="15"/>
      <c r="AI3557" s="15"/>
    </row>
    <row r="3558" spans="1:35" s="6" customFormat="1">
      <c r="A3558" s="6" t="s">
        <v>15220</v>
      </c>
      <c r="B3558" s="6" t="s">
        <v>15221</v>
      </c>
      <c r="C3558" s="6" t="s">
        <v>15222</v>
      </c>
      <c r="D3558" s="6" t="s">
        <v>10937</v>
      </c>
      <c r="E3558" s="6" t="s">
        <v>10938</v>
      </c>
      <c r="F3558" s="6" t="s">
        <v>46</v>
      </c>
      <c r="G3558" s="6" t="s">
        <v>7174</v>
      </c>
      <c r="H3558" s="7"/>
      <c r="I3558" s="5" t="s">
        <v>48</v>
      </c>
      <c r="J3558" s="5" t="s">
        <v>48</v>
      </c>
      <c r="AG3558" s="15" t="s">
        <v>55</v>
      </c>
      <c r="AH3558" s="15"/>
      <c r="AI3558" s="15"/>
    </row>
    <row r="3559" spans="1:35" s="6" customFormat="1">
      <c r="A3559" s="6" t="s">
        <v>15223</v>
      </c>
      <c r="B3559" s="6" t="s">
        <v>15224</v>
      </c>
      <c r="C3559" s="6" t="s">
        <v>15222</v>
      </c>
      <c r="D3559" s="6" t="s">
        <v>10937</v>
      </c>
      <c r="E3559" s="6" t="s">
        <v>10938</v>
      </c>
      <c r="F3559" s="6" t="s">
        <v>46</v>
      </c>
      <c r="G3559" s="6" t="s">
        <v>8377</v>
      </c>
      <c r="H3559" s="7"/>
      <c r="I3559" s="5" t="s">
        <v>48</v>
      </c>
      <c r="J3559" s="5" t="s">
        <v>48</v>
      </c>
      <c r="AG3559" s="15" t="s">
        <v>55</v>
      </c>
      <c r="AH3559" s="15"/>
      <c r="AI3559" s="15"/>
    </row>
    <row r="3560" spans="1:35" s="6" customFormat="1">
      <c r="A3560" s="6" t="s">
        <v>15225</v>
      </c>
      <c r="B3560" s="6" t="s">
        <v>15226</v>
      </c>
      <c r="C3560" s="6" t="s">
        <v>15222</v>
      </c>
      <c r="D3560" s="6" t="s">
        <v>10937</v>
      </c>
      <c r="E3560" s="6" t="s">
        <v>10938</v>
      </c>
      <c r="F3560" s="6" t="s">
        <v>46</v>
      </c>
      <c r="G3560" s="6" t="s">
        <v>13877</v>
      </c>
      <c r="H3560" s="7"/>
      <c r="I3560" s="6" t="s">
        <v>48</v>
      </c>
      <c r="J3560" s="6" t="s">
        <v>48</v>
      </c>
      <c r="AG3560" s="15" t="s">
        <v>55</v>
      </c>
      <c r="AH3560" s="15"/>
      <c r="AI3560" s="15"/>
    </row>
    <row r="3561" spans="1:35" s="6" customFormat="1">
      <c r="A3561" s="6" t="s">
        <v>15227</v>
      </c>
      <c r="B3561" s="6" t="s">
        <v>15228</v>
      </c>
      <c r="C3561" s="6" t="s">
        <v>8002</v>
      </c>
      <c r="D3561" s="6" t="s">
        <v>10937</v>
      </c>
      <c r="E3561" s="6" t="s">
        <v>10938</v>
      </c>
      <c r="F3561" s="6" t="s">
        <v>46</v>
      </c>
      <c r="G3561" s="6" t="s">
        <v>15229</v>
      </c>
      <c r="H3561" s="7"/>
      <c r="I3561" s="6" t="s">
        <v>48</v>
      </c>
      <c r="J3561" s="6" t="s">
        <v>48</v>
      </c>
      <c r="AG3561" s="15" t="s">
        <v>55</v>
      </c>
      <c r="AH3561" s="15"/>
      <c r="AI3561" s="15"/>
    </row>
    <row r="3562" spans="1:35" s="6" customFormat="1">
      <c r="A3562" s="6" t="s">
        <v>15230</v>
      </c>
      <c r="B3562" s="6" t="s">
        <v>15231</v>
      </c>
      <c r="C3562" s="6" t="s">
        <v>43</v>
      </c>
      <c r="D3562" s="6" t="s">
        <v>10937</v>
      </c>
      <c r="E3562" s="6" t="s">
        <v>10938</v>
      </c>
      <c r="F3562" s="6" t="s">
        <v>46</v>
      </c>
      <c r="G3562" s="6" t="s">
        <v>15232</v>
      </c>
      <c r="H3562" s="7"/>
      <c r="I3562" s="6" t="s">
        <v>48</v>
      </c>
      <c r="J3562" s="6" t="s">
        <v>48</v>
      </c>
      <c r="AG3562" s="15" t="s">
        <v>55</v>
      </c>
      <c r="AH3562" s="15"/>
      <c r="AI3562" s="15"/>
    </row>
    <row r="3563" spans="1:35" s="6" customFormat="1">
      <c r="A3563" s="6" t="s">
        <v>15233</v>
      </c>
      <c r="B3563" s="6" t="s">
        <v>15234</v>
      </c>
      <c r="C3563" s="6" t="s">
        <v>15121</v>
      </c>
      <c r="D3563" s="6" t="s">
        <v>10937</v>
      </c>
      <c r="E3563" s="6" t="s">
        <v>10938</v>
      </c>
      <c r="F3563" s="6" t="s">
        <v>46</v>
      </c>
      <c r="G3563" s="6" t="s">
        <v>15232</v>
      </c>
      <c r="H3563" s="7"/>
      <c r="I3563" s="6" t="s">
        <v>48</v>
      </c>
      <c r="J3563" s="6" t="s">
        <v>48</v>
      </c>
      <c r="AG3563" s="15" t="s">
        <v>55</v>
      </c>
      <c r="AH3563" s="15"/>
      <c r="AI3563" s="15"/>
    </row>
    <row r="3564" spans="1:35" s="6" customFormat="1">
      <c r="A3564" s="6" t="s">
        <v>15235</v>
      </c>
      <c r="B3564" s="6" t="s">
        <v>15236</v>
      </c>
      <c r="C3564" s="6" t="s">
        <v>15121</v>
      </c>
      <c r="D3564" s="6" t="s">
        <v>10937</v>
      </c>
      <c r="E3564" s="6" t="s">
        <v>10938</v>
      </c>
      <c r="F3564" s="6" t="s">
        <v>46</v>
      </c>
      <c r="G3564" s="6" t="s">
        <v>15237</v>
      </c>
      <c r="H3564" s="7"/>
      <c r="I3564" s="6" t="s">
        <v>48</v>
      </c>
      <c r="J3564" s="6" t="s">
        <v>48</v>
      </c>
      <c r="AG3564" s="15" t="s">
        <v>55</v>
      </c>
      <c r="AH3564" s="15"/>
      <c r="AI3564" s="15"/>
    </row>
    <row r="3565" spans="1:35" s="6" customFormat="1">
      <c r="A3565" s="6" t="s">
        <v>15238</v>
      </c>
      <c r="B3565" s="6" t="s">
        <v>15239</v>
      </c>
      <c r="C3565" s="6" t="s">
        <v>43</v>
      </c>
      <c r="D3565" s="6" t="s">
        <v>10937</v>
      </c>
      <c r="E3565" s="6" t="s">
        <v>10938</v>
      </c>
      <c r="F3565" s="6" t="s">
        <v>46</v>
      </c>
      <c r="G3565" s="6" t="s">
        <v>15240</v>
      </c>
      <c r="H3565" s="7"/>
      <c r="I3565" s="6" t="s">
        <v>48</v>
      </c>
      <c r="J3565" s="6" t="s">
        <v>48</v>
      </c>
      <c r="AG3565" s="15" t="s">
        <v>55</v>
      </c>
      <c r="AH3565" s="15"/>
      <c r="AI3565" s="15"/>
    </row>
    <row r="3566" spans="1:35" s="6" customFormat="1">
      <c r="A3566" s="6" t="s">
        <v>15241</v>
      </c>
      <c r="B3566" s="6" t="s">
        <v>15242</v>
      </c>
      <c r="C3566" s="6" t="s">
        <v>43</v>
      </c>
      <c r="D3566" s="6" t="s">
        <v>10937</v>
      </c>
      <c r="E3566" s="6" t="s">
        <v>10938</v>
      </c>
      <c r="F3566" s="6" t="s">
        <v>46</v>
      </c>
      <c r="G3566" s="6" t="s">
        <v>15243</v>
      </c>
      <c r="H3566" s="7"/>
      <c r="I3566" s="6" t="s">
        <v>48</v>
      </c>
      <c r="J3566" s="6" t="s">
        <v>48</v>
      </c>
      <c r="AG3566" s="15" t="s">
        <v>55</v>
      </c>
      <c r="AH3566" s="15"/>
      <c r="AI3566" s="15"/>
    </row>
    <row r="3567" spans="1:35" s="6" customFormat="1">
      <c r="A3567" s="6" t="s">
        <v>15244</v>
      </c>
      <c r="B3567" s="6" t="s">
        <v>15245</v>
      </c>
      <c r="C3567" s="6" t="s">
        <v>43</v>
      </c>
      <c r="D3567" s="6" t="s">
        <v>10937</v>
      </c>
      <c r="E3567" s="6" t="s">
        <v>10938</v>
      </c>
      <c r="F3567" s="6" t="s">
        <v>46</v>
      </c>
      <c r="G3567" s="6" t="s">
        <v>13430</v>
      </c>
      <c r="H3567" s="7"/>
      <c r="I3567" s="5" t="s">
        <v>48</v>
      </c>
      <c r="J3567" s="5" t="s">
        <v>48</v>
      </c>
      <c r="AG3567" s="15" t="s">
        <v>55</v>
      </c>
      <c r="AH3567" s="15"/>
      <c r="AI3567" s="15"/>
    </row>
    <row r="3568" spans="1:35" s="6" customFormat="1">
      <c r="A3568" s="6" t="s">
        <v>15246</v>
      </c>
      <c r="B3568" s="6" t="s">
        <v>15247</v>
      </c>
      <c r="C3568" s="6" t="s">
        <v>43</v>
      </c>
      <c r="D3568" s="6" t="s">
        <v>10937</v>
      </c>
      <c r="E3568" s="6" t="s">
        <v>10938</v>
      </c>
      <c r="F3568" s="6" t="s">
        <v>46</v>
      </c>
      <c r="G3568" s="6" t="s">
        <v>6524</v>
      </c>
      <c r="H3568" s="7"/>
      <c r="I3568" s="6" t="s">
        <v>48</v>
      </c>
      <c r="J3568" s="6" t="s">
        <v>48</v>
      </c>
      <c r="AG3568" s="15" t="s">
        <v>55</v>
      </c>
      <c r="AH3568" s="15"/>
      <c r="AI3568" s="15"/>
    </row>
    <row r="3569" spans="1:35" s="6" customFormat="1">
      <c r="A3569" s="6" t="s">
        <v>15248</v>
      </c>
      <c r="B3569" s="6" t="s">
        <v>15249</v>
      </c>
      <c r="C3569" s="6" t="s">
        <v>43</v>
      </c>
      <c r="D3569" s="6" t="s">
        <v>10937</v>
      </c>
      <c r="E3569" s="6" t="s">
        <v>10938</v>
      </c>
      <c r="F3569" s="6" t="s">
        <v>46</v>
      </c>
      <c r="G3569" s="6" t="s">
        <v>10519</v>
      </c>
      <c r="H3569" s="7"/>
      <c r="I3569" s="5" t="s">
        <v>48</v>
      </c>
      <c r="J3569" s="5" t="s">
        <v>48</v>
      </c>
      <c r="AG3569" s="15" t="s">
        <v>55</v>
      </c>
      <c r="AH3569" s="15"/>
      <c r="AI3569" s="15"/>
    </row>
    <row r="3570" spans="1:35" s="6" customFormat="1">
      <c r="A3570" s="6" t="s">
        <v>15250</v>
      </c>
      <c r="B3570" s="6" t="s">
        <v>15251</v>
      </c>
      <c r="C3570" s="6" t="s">
        <v>43</v>
      </c>
      <c r="D3570" s="6" t="s">
        <v>10937</v>
      </c>
      <c r="E3570" s="6" t="s">
        <v>10938</v>
      </c>
      <c r="F3570" s="6" t="s">
        <v>46</v>
      </c>
      <c r="G3570" s="6" t="s">
        <v>7317</v>
      </c>
      <c r="H3570" s="7"/>
      <c r="I3570" s="6" t="s">
        <v>48</v>
      </c>
      <c r="J3570" s="6" t="s">
        <v>48</v>
      </c>
      <c r="AG3570" s="15" t="s">
        <v>55</v>
      </c>
      <c r="AH3570" s="15"/>
      <c r="AI3570" s="15"/>
    </row>
    <row r="3571" spans="1:35" s="6" customFormat="1">
      <c r="A3571" s="6" t="s">
        <v>15252</v>
      </c>
      <c r="B3571" s="6" t="s">
        <v>15253</v>
      </c>
      <c r="C3571" s="6" t="s">
        <v>43</v>
      </c>
      <c r="D3571" s="6" t="s">
        <v>10937</v>
      </c>
      <c r="E3571" s="6" t="s">
        <v>10938</v>
      </c>
      <c r="F3571" s="6" t="s">
        <v>46</v>
      </c>
      <c r="G3571" s="6" t="s">
        <v>8349</v>
      </c>
      <c r="H3571" s="7"/>
      <c r="I3571" s="6" t="s">
        <v>48</v>
      </c>
      <c r="J3571" s="6" t="s">
        <v>48</v>
      </c>
      <c r="AG3571" s="15" t="s">
        <v>55</v>
      </c>
      <c r="AH3571" s="15"/>
      <c r="AI3571" s="15"/>
    </row>
    <row r="3572" spans="1:35" s="6" customFormat="1">
      <c r="A3572" s="6" t="s">
        <v>15254</v>
      </c>
      <c r="B3572" s="6" t="s">
        <v>15255</v>
      </c>
      <c r="C3572" s="6" t="s">
        <v>43</v>
      </c>
      <c r="D3572" s="6" t="s">
        <v>10937</v>
      </c>
      <c r="E3572" s="6" t="s">
        <v>10938</v>
      </c>
      <c r="F3572" s="6" t="s">
        <v>46</v>
      </c>
      <c r="G3572" s="6" t="s">
        <v>15256</v>
      </c>
      <c r="H3572" s="7"/>
      <c r="I3572" s="6" t="s">
        <v>48</v>
      </c>
      <c r="J3572" s="6" t="s">
        <v>48</v>
      </c>
      <c r="AG3572" s="15" t="s">
        <v>55</v>
      </c>
      <c r="AH3572" s="15"/>
      <c r="AI3572" s="15"/>
    </row>
    <row r="3573" spans="1:35" s="6" customFormat="1">
      <c r="A3573" s="6" t="s">
        <v>15257</v>
      </c>
      <c r="B3573" s="6" t="s">
        <v>15258</v>
      </c>
      <c r="C3573" s="6" t="s">
        <v>43</v>
      </c>
      <c r="D3573" s="6" t="s">
        <v>10937</v>
      </c>
      <c r="E3573" s="6" t="s">
        <v>10938</v>
      </c>
      <c r="F3573" s="6" t="s">
        <v>46</v>
      </c>
      <c r="G3573" s="6" t="s">
        <v>15259</v>
      </c>
      <c r="H3573" s="7"/>
      <c r="I3573" s="6" t="s">
        <v>48</v>
      </c>
      <c r="J3573" s="6" t="s">
        <v>48</v>
      </c>
      <c r="AG3573" s="15" t="s">
        <v>55</v>
      </c>
      <c r="AH3573" s="15"/>
      <c r="AI3573" s="15"/>
    </row>
    <row r="3574" spans="1:35" s="6" customFormat="1">
      <c r="A3574" s="6" t="s">
        <v>15260</v>
      </c>
      <c r="B3574" s="6" t="s">
        <v>15261</v>
      </c>
      <c r="C3574" s="6" t="s">
        <v>43</v>
      </c>
      <c r="D3574" s="6" t="s">
        <v>10937</v>
      </c>
      <c r="E3574" s="6" t="s">
        <v>10938</v>
      </c>
      <c r="F3574" s="6" t="s">
        <v>46</v>
      </c>
      <c r="G3574" s="6" t="s">
        <v>15262</v>
      </c>
      <c r="H3574" s="7"/>
      <c r="I3574" s="6" t="s">
        <v>48</v>
      </c>
      <c r="J3574" s="6" t="s">
        <v>48</v>
      </c>
      <c r="AG3574" s="15" t="s">
        <v>55</v>
      </c>
      <c r="AH3574" s="15"/>
      <c r="AI3574" s="15"/>
    </row>
    <row r="3575" spans="1:35" s="6" customFormat="1">
      <c r="A3575" s="6" t="s">
        <v>15263</v>
      </c>
      <c r="B3575" s="6" t="s">
        <v>15264</v>
      </c>
      <c r="C3575" s="6" t="s">
        <v>7084</v>
      </c>
      <c r="D3575" s="6" t="s">
        <v>10937</v>
      </c>
      <c r="E3575" s="6" t="s">
        <v>10938</v>
      </c>
      <c r="F3575" s="6" t="s">
        <v>46</v>
      </c>
      <c r="G3575" s="6" t="s">
        <v>15265</v>
      </c>
      <c r="H3575" s="7"/>
      <c r="I3575" s="5" t="s">
        <v>48</v>
      </c>
      <c r="J3575" s="5" t="s">
        <v>48</v>
      </c>
      <c r="AG3575" s="15" t="s">
        <v>55</v>
      </c>
      <c r="AH3575" s="15"/>
      <c r="AI3575" s="15"/>
    </row>
    <row r="3576" spans="1:35" s="6" customFormat="1">
      <c r="A3576" s="6" t="s">
        <v>15266</v>
      </c>
      <c r="B3576" s="6" t="s">
        <v>15267</v>
      </c>
      <c r="C3576" s="6" t="s">
        <v>2983</v>
      </c>
      <c r="D3576" s="6" t="s">
        <v>10937</v>
      </c>
      <c r="E3576" s="6" t="s">
        <v>10938</v>
      </c>
      <c r="F3576" s="6" t="s">
        <v>46</v>
      </c>
      <c r="G3576" s="6" t="s">
        <v>15268</v>
      </c>
      <c r="H3576" s="7"/>
      <c r="I3576" s="6" t="s">
        <v>48</v>
      </c>
      <c r="J3576" s="6" t="s">
        <v>48</v>
      </c>
      <c r="AG3576" s="15" t="s">
        <v>55</v>
      </c>
      <c r="AH3576" s="15"/>
      <c r="AI3576" s="15"/>
    </row>
    <row r="3577" spans="1:35" s="6" customFormat="1">
      <c r="A3577" s="6" t="s">
        <v>15269</v>
      </c>
      <c r="B3577" s="6" t="s">
        <v>15270</v>
      </c>
      <c r="C3577" s="6" t="s">
        <v>2983</v>
      </c>
      <c r="D3577" s="6" t="s">
        <v>10937</v>
      </c>
      <c r="E3577" s="6" t="s">
        <v>10938</v>
      </c>
      <c r="F3577" s="6" t="s">
        <v>46</v>
      </c>
      <c r="G3577" s="6" t="s">
        <v>15271</v>
      </c>
      <c r="H3577" s="7"/>
      <c r="I3577" s="6" t="s">
        <v>48</v>
      </c>
      <c r="J3577" s="6" t="s">
        <v>48</v>
      </c>
      <c r="AG3577" s="15" t="s">
        <v>55</v>
      </c>
      <c r="AH3577" s="15"/>
      <c r="AI3577" s="15"/>
    </row>
    <row r="3578" spans="1:35" s="6" customFormat="1">
      <c r="A3578" s="6" t="s">
        <v>15272</v>
      </c>
      <c r="B3578" s="6" t="s">
        <v>15273</v>
      </c>
      <c r="C3578" s="6" t="s">
        <v>43</v>
      </c>
      <c r="D3578" s="6" t="s">
        <v>10937</v>
      </c>
      <c r="E3578" s="6" t="s">
        <v>10938</v>
      </c>
      <c r="F3578" s="6" t="s">
        <v>46</v>
      </c>
      <c r="G3578" s="6" t="s">
        <v>15274</v>
      </c>
      <c r="H3578" s="7"/>
      <c r="I3578" s="6" t="s">
        <v>48</v>
      </c>
      <c r="J3578" s="6" t="s">
        <v>48</v>
      </c>
      <c r="AG3578" s="15" t="s">
        <v>55</v>
      </c>
      <c r="AH3578" s="15"/>
      <c r="AI3578" s="15"/>
    </row>
    <row r="3579" spans="1:35" s="6" customFormat="1">
      <c r="A3579" s="6" t="s">
        <v>15275</v>
      </c>
      <c r="B3579" s="6" t="s">
        <v>15276</v>
      </c>
      <c r="C3579" s="6" t="s">
        <v>43</v>
      </c>
      <c r="D3579" s="6" t="s">
        <v>10937</v>
      </c>
      <c r="E3579" s="6" t="s">
        <v>10938</v>
      </c>
      <c r="F3579" s="6" t="s">
        <v>46</v>
      </c>
      <c r="G3579" s="6" t="s">
        <v>15274</v>
      </c>
      <c r="H3579" s="7"/>
      <c r="I3579" s="6" t="s">
        <v>48</v>
      </c>
      <c r="J3579" s="6" t="s">
        <v>48</v>
      </c>
      <c r="AG3579" s="15" t="s">
        <v>55</v>
      </c>
      <c r="AH3579" s="15"/>
      <c r="AI3579" s="15"/>
    </row>
    <row r="3580" spans="1:35" s="6" customFormat="1">
      <c r="A3580" s="6" t="s">
        <v>15277</v>
      </c>
      <c r="B3580" s="6" t="s">
        <v>15278</v>
      </c>
      <c r="C3580" s="6" t="s">
        <v>43</v>
      </c>
      <c r="D3580" s="6" t="s">
        <v>10937</v>
      </c>
      <c r="E3580" s="6" t="s">
        <v>10938</v>
      </c>
      <c r="F3580" s="6" t="s">
        <v>46</v>
      </c>
      <c r="G3580" s="6" t="s">
        <v>15274</v>
      </c>
      <c r="H3580" s="7"/>
      <c r="I3580" s="6" t="s">
        <v>48</v>
      </c>
      <c r="J3580" s="6" t="s">
        <v>48</v>
      </c>
      <c r="AG3580" s="15" t="s">
        <v>55</v>
      </c>
      <c r="AH3580" s="15"/>
      <c r="AI3580" s="15"/>
    </row>
    <row r="3581" spans="1:35" s="6" customFormat="1">
      <c r="A3581" s="6" t="s">
        <v>15279</v>
      </c>
      <c r="B3581" s="6" t="s">
        <v>15280</v>
      </c>
      <c r="C3581" s="6" t="s">
        <v>43</v>
      </c>
      <c r="D3581" s="6" t="s">
        <v>10937</v>
      </c>
      <c r="E3581" s="6" t="s">
        <v>10938</v>
      </c>
      <c r="F3581" s="6" t="s">
        <v>46</v>
      </c>
      <c r="G3581" s="6" t="s">
        <v>4647</v>
      </c>
      <c r="H3581" s="7"/>
      <c r="I3581" s="5" t="s">
        <v>48</v>
      </c>
      <c r="J3581" s="5" t="s">
        <v>48</v>
      </c>
      <c r="AG3581" s="15" t="s">
        <v>55</v>
      </c>
      <c r="AH3581" s="15"/>
      <c r="AI3581" s="15"/>
    </row>
    <row r="3582" spans="1:35" s="6" customFormat="1">
      <c r="A3582" s="6" t="s">
        <v>15281</v>
      </c>
      <c r="B3582" s="6" t="s">
        <v>15282</v>
      </c>
      <c r="C3582" s="6" t="s">
        <v>43</v>
      </c>
      <c r="D3582" s="6" t="s">
        <v>10937</v>
      </c>
      <c r="E3582" s="6" t="s">
        <v>10938</v>
      </c>
      <c r="F3582" s="6" t="s">
        <v>46</v>
      </c>
      <c r="G3582" s="6" t="s">
        <v>15283</v>
      </c>
      <c r="H3582" s="7"/>
      <c r="I3582" s="6" t="s">
        <v>48</v>
      </c>
      <c r="J3582" s="6" t="s">
        <v>48</v>
      </c>
      <c r="AG3582" s="15" t="s">
        <v>55</v>
      </c>
      <c r="AH3582" s="15"/>
      <c r="AI3582" s="15"/>
    </row>
    <row r="3583" spans="1:35" s="6" customFormat="1">
      <c r="A3583" s="6" t="s">
        <v>15284</v>
      </c>
      <c r="B3583" s="6" t="s">
        <v>15285</v>
      </c>
      <c r="C3583" s="6" t="s">
        <v>43</v>
      </c>
      <c r="D3583" s="6" t="s">
        <v>10937</v>
      </c>
      <c r="E3583" s="6" t="s">
        <v>10938</v>
      </c>
      <c r="F3583" s="6" t="s">
        <v>46</v>
      </c>
      <c r="G3583" s="6" t="s">
        <v>15286</v>
      </c>
      <c r="H3583" s="7"/>
      <c r="I3583" s="6" t="s">
        <v>48</v>
      </c>
      <c r="J3583" s="6" t="s">
        <v>48</v>
      </c>
      <c r="AG3583" s="15" t="s">
        <v>55</v>
      </c>
      <c r="AH3583" s="15"/>
      <c r="AI3583" s="15"/>
    </row>
    <row r="3584" spans="1:35" s="6" customFormat="1">
      <c r="A3584" s="6" t="s">
        <v>15287</v>
      </c>
      <c r="B3584" s="6" t="s">
        <v>15288</v>
      </c>
      <c r="C3584" s="6" t="s">
        <v>14617</v>
      </c>
      <c r="D3584" s="6" t="s">
        <v>10937</v>
      </c>
      <c r="E3584" s="6" t="s">
        <v>10938</v>
      </c>
      <c r="F3584" s="6" t="s">
        <v>46</v>
      </c>
      <c r="G3584" s="6" t="s">
        <v>13944</v>
      </c>
      <c r="H3584" s="7"/>
      <c r="I3584" s="6" t="s">
        <v>48</v>
      </c>
      <c r="J3584" s="6" t="s">
        <v>48</v>
      </c>
      <c r="AG3584" s="15" t="s">
        <v>55</v>
      </c>
      <c r="AH3584" s="15"/>
      <c r="AI3584" s="15"/>
    </row>
    <row r="3585" spans="1:37" s="6" customFormat="1">
      <c r="A3585" s="6" t="s">
        <v>15289</v>
      </c>
      <c r="B3585" s="6" t="s">
        <v>15290</v>
      </c>
      <c r="C3585" s="6" t="s">
        <v>43</v>
      </c>
      <c r="D3585" s="6" t="s">
        <v>10937</v>
      </c>
      <c r="E3585" s="6" t="s">
        <v>10938</v>
      </c>
      <c r="F3585" s="6" t="s">
        <v>46</v>
      </c>
      <c r="G3585" s="6" t="s">
        <v>9324</v>
      </c>
      <c r="H3585" s="7"/>
      <c r="I3585" s="6" t="s">
        <v>48</v>
      </c>
      <c r="J3585" s="6" t="s">
        <v>48</v>
      </c>
      <c r="AG3585" s="15" t="s">
        <v>55</v>
      </c>
      <c r="AH3585" s="15"/>
      <c r="AI3585" s="15"/>
    </row>
    <row r="3586" spans="1:37" s="6" customFormat="1">
      <c r="A3586" s="6" t="s">
        <v>15291</v>
      </c>
      <c r="B3586" s="6" t="s">
        <v>15292</v>
      </c>
      <c r="C3586" s="6" t="s">
        <v>43</v>
      </c>
      <c r="D3586" s="6" t="s">
        <v>10937</v>
      </c>
      <c r="E3586" s="6" t="s">
        <v>10938</v>
      </c>
      <c r="F3586" s="6" t="s">
        <v>46</v>
      </c>
      <c r="G3586" s="6" t="s">
        <v>8815</v>
      </c>
      <c r="H3586" s="7"/>
      <c r="I3586" s="6" t="s">
        <v>48</v>
      </c>
      <c r="J3586" s="6" t="s">
        <v>48</v>
      </c>
      <c r="AG3586" s="15" t="s">
        <v>55</v>
      </c>
      <c r="AH3586" s="15"/>
      <c r="AI3586" s="15"/>
    </row>
    <row r="3587" spans="1:37" s="6" customFormat="1">
      <c r="A3587" s="6" t="s">
        <v>15293</v>
      </c>
      <c r="B3587" s="6" t="s">
        <v>15294</v>
      </c>
      <c r="C3587" s="6" t="s">
        <v>43</v>
      </c>
      <c r="D3587" s="6" t="s">
        <v>10937</v>
      </c>
      <c r="E3587" s="6" t="s">
        <v>10938</v>
      </c>
      <c r="F3587" s="6" t="s">
        <v>46</v>
      </c>
      <c r="G3587" s="6" t="s">
        <v>15295</v>
      </c>
      <c r="H3587" s="7"/>
      <c r="I3587" s="6" t="s">
        <v>48</v>
      </c>
      <c r="J3587" s="6" t="s">
        <v>48</v>
      </c>
      <c r="AG3587" s="15" t="s">
        <v>55</v>
      </c>
      <c r="AH3587" s="15"/>
      <c r="AI3587" s="15"/>
    </row>
    <row r="3588" spans="1:37" s="6" customFormat="1">
      <c r="A3588" s="5" t="s">
        <v>15296</v>
      </c>
      <c r="B3588" s="5" t="s">
        <v>15297</v>
      </c>
      <c r="C3588" s="6" t="s">
        <v>43</v>
      </c>
      <c r="D3588" s="6" t="s">
        <v>10937</v>
      </c>
      <c r="E3588" s="6" t="s">
        <v>10938</v>
      </c>
      <c r="F3588" s="6" t="s">
        <v>46</v>
      </c>
      <c r="G3588" s="6" t="s">
        <v>13840</v>
      </c>
      <c r="H3588" s="18">
        <v>999</v>
      </c>
      <c r="I3588" s="19" t="s">
        <v>13662</v>
      </c>
      <c r="J3588" s="19" t="s">
        <v>14651</v>
      </c>
      <c r="K3588" s="6" t="s">
        <v>15298</v>
      </c>
      <c r="L3588" s="6" t="s">
        <v>15299</v>
      </c>
      <c r="M3588" s="6" t="s">
        <v>15300</v>
      </c>
      <c r="N3588" s="6" t="s">
        <v>15301</v>
      </c>
      <c r="O3588" s="6" t="s">
        <v>15302</v>
      </c>
      <c r="P3588" s="6" t="s">
        <v>15303</v>
      </c>
      <c r="Q3588" s="6" t="s">
        <v>15304</v>
      </c>
      <c r="R3588" s="6" t="s">
        <v>15305</v>
      </c>
      <c r="S3588" s="6" t="s">
        <v>13672</v>
      </c>
      <c r="T3588" s="6" t="s">
        <v>13697</v>
      </c>
      <c r="U3588" s="6" t="s">
        <v>13674</v>
      </c>
      <c r="V3588" s="6" t="s">
        <v>13675</v>
      </c>
      <c r="W3588" s="6" t="s">
        <v>13676</v>
      </c>
      <c r="X3588" s="6" t="s">
        <v>13677</v>
      </c>
      <c r="Y3588" s="6" t="s">
        <v>13678</v>
      </c>
      <c r="Z3588" s="6" t="s">
        <v>13679</v>
      </c>
      <c r="AA3588" s="6" t="s">
        <v>13680</v>
      </c>
      <c r="AB3588" s="6" t="s">
        <v>13681</v>
      </c>
      <c r="AC3588" s="6" t="s">
        <v>13682</v>
      </c>
      <c r="AD3588" s="6" t="s">
        <v>13683</v>
      </c>
      <c r="AE3588" s="5"/>
      <c r="AF3588" s="5"/>
      <c r="AG3588" s="14" t="s">
        <v>49</v>
      </c>
      <c r="AH3588" s="14" t="s">
        <v>1102</v>
      </c>
      <c r="AI3588" s="14" t="s">
        <v>13684</v>
      </c>
      <c r="AJ3588" s="5" t="s">
        <v>13685</v>
      </c>
      <c r="AK3588" s="5"/>
    </row>
    <row r="3589" spans="1:37">
      <c r="A3589" s="6" t="s">
        <v>15306</v>
      </c>
      <c r="B3589" s="6" t="s">
        <v>15307</v>
      </c>
      <c r="C3589" s="6" t="s">
        <v>43</v>
      </c>
      <c r="D3589" s="6" t="s">
        <v>10937</v>
      </c>
      <c r="E3589" s="6" t="s">
        <v>10938</v>
      </c>
      <c r="F3589" s="6" t="s">
        <v>46</v>
      </c>
      <c r="G3589" s="6" t="s">
        <v>15274</v>
      </c>
      <c r="I3589" s="5" t="s">
        <v>48</v>
      </c>
      <c r="J3589" s="5" t="s">
        <v>48</v>
      </c>
      <c r="K3589" s="6"/>
      <c r="L3589" s="6"/>
      <c r="M3589" s="6"/>
      <c r="N3589" s="6"/>
      <c r="O3589" s="6"/>
      <c r="P3589" s="6"/>
      <c r="Q3589" s="6"/>
      <c r="R3589" s="6"/>
      <c r="S3589" s="6"/>
      <c r="T3589" s="6"/>
      <c r="U3589" s="6"/>
      <c r="V3589" s="6"/>
      <c r="W3589" s="6"/>
      <c r="X3589" s="6"/>
      <c r="Y3589" s="6"/>
      <c r="Z3589" s="6"/>
      <c r="AA3589" s="6"/>
      <c r="AB3589" s="6"/>
      <c r="AC3589" s="6"/>
      <c r="AD3589" s="6"/>
      <c r="AE3589" s="6"/>
      <c r="AF3589" s="6"/>
      <c r="AG3589" s="15" t="s">
        <v>55</v>
      </c>
      <c r="AH3589" s="15"/>
      <c r="AI3589" s="15"/>
      <c r="AJ3589" s="6"/>
      <c r="AK3589" s="6"/>
    </row>
    <row r="3590" spans="1:37" s="6" customFormat="1">
      <c r="A3590" s="5" t="s">
        <v>15308</v>
      </c>
      <c r="B3590" s="5" t="s">
        <v>15309</v>
      </c>
      <c r="C3590" s="6" t="s">
        <v>43</v>
      </c>
      <c r="D3590" s="6" t="s">
        <v>10937</v>
      </c>
      <c r="E3590" s="6" t="s">
        <v>10938</v>
      </c>
      <c r="F3590" s="6" t="s">
        <v>46</v>
      </c>
      <c r="G3590" s="6" t="s">
        <v>15310</v>
      </c>
      <c r="H3590" s="18">
        <v>999</v>
      </c>
      <c r="I3590" s="19" t="s">
        <v>13662</v>
      </c>
      <c r="J3590" s="19" t="s">
        <v>14651</v>
      </c>
      <c r="K3590" s="6" t="s">
        <v>15311</v>
      </c>
      <c r="L3590" s="6" t="s">
        <v>15312</v>
      </c>
      <c r="M3590" s="6" t="s">
        <v>15313</v>
      </c>
      <c r="N3590" s="6" t="s">
        <v>15314</v>
      </c>
      <c r="O3590" s="6" t="s">
        <v>15315</v>
      </c>
      <c r="P3590" s="6" t="s">
        <v>15316</v>
      </c>
      <c r="Q3590" s="6" t="s">
        <v>15317</v>
      </c>
      <c r="R3590" s="6" t="s">
        <v>15318</v>
      </c>
      <c r="S3590" s="6" t="s">
        <v>13672</v>
      </c>
      <c r="T3590" s="6" t="s">
        <v>13697</v>
      </c>
      <c r="U3590" s="6" t="s">
        <v>13674</v>
      </c>
      <c r="V3590" s="6" t="s">
        <v>13675</v>
      </c>
      <c r="W3590" s="6" t="s">
        <v>13676</v>
      </c>
      <c r="X3590" s="6" t="s">
        <v>13677</v>
      </c>
      <c r="Y3590" s="6" t="s">
        <v>13678</v>
      </c>
      <c r="Z3590" s="6" t="s">
        <v>13679</v>
      </c>
      <c r="AA3590" s="6" t="s">
        <v>13680</v>
      </c>
      <c r="AB3590" s="6" t="s">
        <v>13681</v>
      </c>
      <c r="AC3590" s="6" t="s">
        <v>13682</v>
      </c>
      <c r="AD3590" s="6" t="s">
        <v>13683</v>
      </c>
      <c r="AE3590" s="5"/>
      <c r="AF3590" s="5"/>
      <c r="AG3590" s="14" t="s">
        <v>49</v>
      </c>
      <c r="AH3590" s="14" t="s">
        <v>1102</v>
      </c>
      <c r="AI3590" s="14" t="s">
        <v>13684</v>
      </c>
      <c r="AJ3590" s="5" t="s">
        <v>13685</v>
      </c>
      <c r="AK3590" s="5"/>
    </row>
    <row r="3591" spans="1:37">
      <c r="A3591" s="5" t="s">
        <v>15319</v>
      </c>
      <c r="B3591" s="5" t="s">
        <v>15320</v>
      </c>
      <c r="C3591" s="6" t="s">
        <v>43</v>
      </c>
      <c r="D3591" s="6" t="s">
        <v>10937</v>
      </c>
      <c r="E3591" s="6" t="s">
        <v>10938</v>
      </c>
      <c r="F3591" s="6" t="s">
        <v>46</v>
      </c>
      <c r="G3591" s="6" t="s">
        <v>15274</v>
      </c>
      <c r="H3591" s="18">
        <v>999</v>
      </c>
      <c r="I3591" s="19" t="s">
        <v>13662</v>
      </c>
      <c r="J3591" s="19" t="s">
        <v>14651</v>
      </c>
      <c r="K3591" s="6" t="s">
        <v>15321</v>
      </c>
      <c r="L3591" s="6" t="s">
        <v>15322</v>
      </c>
      <c r="M3591" s="6" t="s">
        <v>15323</v>
      </c>
      <c r="N3591" s="6" t="s">
        <v>15324</v>
      </c>
      <c r="O3591" s="6" t="s">
        <v>15325</v>
      </c>
      <c r="P3591" s="6" t="s">
        <v>15326</v>
      </c>
      <c r="Q3591" s="6" t="s">
        <v>15327</v>
      </c>
      <c r="R3591" s="6" t="s">
        <v>15328</v>
      </c>
      <c r="S3591" s="6" t="s">
        <v>13672</v>
      </c>
      <c r="T3591" s="6" t="s">
        <v>13697</v>
      </c>
      <c r="U3591" s="6" t="s">
        <v>13674</v>
      </c>
      <c r="V3591" s="6" t="s">
        <v>13675</v>
      </c>
      <c r="W3591" s="6" t="s">
        <v>13676</v>
      </c>
      <c r="X3591" s="6" t="s">
        <v>13677</v>
      </c>
      <c r="Y3591" s="6" t="s">
        <v>13678</v>
      </c>
      <c r="Z3591" s="6" t="s">
        <v>13679</v>
      </c>
      <c r="AA3591" s="6" t="s">
        <v>13680</v>
      </c>
      <c r="AB3591" s="6" t="s">
        <v>13681</v>
      </c>
      <c r="AC3591" s="6" t="s">
        <v>13682</v>
      </c>
      <c r="AD3591" s="6" t="s">
        <v>13683</v>
      </c>
      <c r="AG3591" s="14" t="s">
        <v>49</v>
      </c>
      <c r="AH3591" s="14" t="s">
        <v>1102</v>
      </c>
      <c r="AI3591" s="14" t="s">
        <v>13684</v>
      </c>
      <c r="AJ3591" s="5" t="s">
        <v>13685</v>
      </c>
    </row>
    <row r="3592" spans="1:37">
      <c r="A3592" s="6" t="s">
        <v>15329</v>
      </c>
      <c r="B3592" s="6" t="s">
        <v>15330</v>
      </c>
      <c r="C3592" s="6" t="s">
        <v>43</v>
      </c>
      <c r="D3592" s="6" t="s">
        <v>10937</v>
      </c>
      <c r="E3592" s="6" t="s">
        <v>10938</v>
      </c>
      <c r="F3592" s="6" t="s">
        <v>46</v>
      </c>
      <c r="G3592" s="6" t="s">
        <v>15331</v>
      </c>
      <c r="I3592" s="5" t="s">
        <v>48</v>
      </c>
      <c r="J3592" s="5" t="s">
        <v>48</v>
      </c>
      <c r="K3592" s="6"/>
      <c r="L3592" s="6"/>
      <c r="M3592" s="6"/>
      <c r="N3592" s="6"/>
      <c r="O3592" s="6"/>
      <c r="P3592" s="6"/>
      <c r="Q3592" s="6"/>
      <c r="R3592" s="6"/>
      <c r="S3592" s="6"/>
      <c r="T3592" s="6"/>
      <c r="U3592" s="6"/>
      <c r="V3592" s="6"/>
      <c r="W3592" s="6"/>
      <c r="X3592" s="6"/>
      <c r="Y3592" s="6"/>
      <c r="Z3592" s="6"/>
      <c r="AA3592" s="6"/>
      <c r="AB3592" s="6"/>
      <c r="AC3592" s="6"/>
      <c r="AD3592" s="6"/>
      <c r="AE3592" s="6"/>
      <c r="AF3592" s="6"/>
      <c r="AG3592" s="15" t="s">
        <v>55</v>
      </c>
      <c r="AH3592" s="15"/>
      <c r="AI3592" s="15"/>
      <c r="AJ3592" s="6"/>
      <c r="AK3592" s="6"/>
    </row>
    <row r="3593" spans="1:37" s="6" customFormat="1">
      <c r="A3593" s="6" t="s">
        <v>15332</v>
      </c>
      <c r="B3593" s="6" t="s">
        <v>15333</v>
      </c>
      <c r="C3593" s="6" t="s">
        <v>43</v>
      </c>
      <c r="D3593" s="6" t="s">
        <v>10937</v>
      </c>
      <c r="E3593" s="6" t="s">
        <v>10938</v>
      </c>
      <c r="F3593" s="6" t="s">
        <v>46</v>
      </c>
      <c r="G3593" s="6" t="s">
        <v>8312</v>
      </c>
      <c r="H3593" s="7"/>
      <c r="I3593" s="6" t="s">
        <v>48</v>
      </c>
      <c r="J3593" s="6" t="s">
        <v>48</v>
      </c>
      <c r="AG3593" s="15" t="s">
        <v>55</v>
      </c>
      <c r="AH3593" s="15"/>
      <c r="AI3593" s="15"/>
    </row>
    <row r="3594" spans="1:37" s="6" customFormat="1">
      <c r="A3594" s="6" t="s">
        <v>15334</v>
      </c>
      <c r="B3594" s="6" t="s">
        <v>15335</v>
      </c>
      <c r="C3594" s="6" t="s">
        <v>14617</v>
      </c>
      <c r="D3594" s="6" t="s">
        <v>10937</v>
      </c>
      <c r="E3594" s="6" t="s">
        <v>10938</v>
      </c>
      <c r="F3594" s="6" t="s">
        <v>46</v>
      </c>
      <c r="G3594" s="6" t="s">
        <v>15336</v>
      </c>
      <c r="H3594" s="7"/>
      <c r="I3594" s="6" t="s">
        <v>48</v>
      </c>
      <c r="J3594" s="6" t="s">
        <v>48</v>
      </c>
      <c r="AG3594" s="15" t="s">
        <v>55</v>
      </c>
      <c r="AH3594" s="15"/>
      <c r="AI3594" s="15"/>
    </row>
    <row r="3595" spans="1:37" s="6" customFormat="1">
      <c r="A3595" s="6" t="s">
        <v>15337</v>
      </c>
      <c r="B3595" s="6" t="s">
        <v>15338</v>
      </c>
      <c r="C3595" s="6" t="s">
        <v>43</v>
      </c>
      <c r="D3595" s="6" t="s">
        <v>10937</v>
      </c>
      <c r="E3595" s="6" t="s">
        <v>10938</v>
      </c>
      <c r="F3595" s="6" t="s">
        <v>46</v>
      </c>
      <c r="G3595" s="6" t="s">
        <v>6914</v>
      </c>
      <c r="H3595" s="7"/>
      <c r="I3595" s="6" t="s">
        <v>48</v>
      </c>
      <c r="J3595" s="6" t="s">
        <v>48</v>
      </c>
      <c r="AG3595" s="15" t="s">
        <v>55</v>
      </c>
      <c r="AH3595" s="15"/>
      <c r="AI3595" s="15"/>
    </row>
    <row r="3596" spans="1:37" s="6" customFormat="1">
      <c r="A3596" s="6" t="s">
        <v>15339</v>
      </c>
      <c r="B3596" s="6" t="s">
        <v>15340</v>
      </c>
      <c r="C3596" s="6" t="s">
        <v>43</v>
      </c>
      <c r="D3596" s="6" t="s">
        <v>10937</v>
      </c>
      <c r="E3596" s="6" t="s">
        <v>10938</v>
      </c>
      <c r="F3596" s="6" t="s">
        <v>46</v>
      </c>
      <c r="G3596" s="6" t="s">
        <v>15341</v>
      </c>
      <c r="H3596" s="7"/>
      <c r="I3596" s="6" t="s">
        <v>48</v>
      </c>
      <c r="J3596" s="6" t="s">
        <v>48</v>
      </c>
      <c r="AG3596" s="15" t="s">
        <v>55</v>
      </c>
      <c r="AH3596" s="15"/>
      <c r="AI3596" s="15"/>
    </row>
    <row r="3597" spans="1:37" s="6" customFormat="1">
      <c r="A3597" s="6" t="s">
        <v>15342</v>
      </c>
      <c r="B3597" s="6" t="s">
        <v>15343</v>
      </c>
      <c r="C3597" s="6" t="s">
        <v>43</v>
      </c>
      <c r="D3597" s="6" t="s">
        <v>10937</v>
      </c>
      <c r="E3597" s="6" t="s">
        <v>10938</v>
      </c>
      <c r="F3597" s="6" t="s">
        <v>46</v>
      </c>
      <c r="G3597" s="6" t="s">
        <v>7723</v>
      </c>
      <c r="H3597" s="7"/>
      <c r="I3597" s="6" t="s">
        <v>48</v>
      </c>
      <c r="J3597" s="6" t="s">
        <v>48</v>
      </c>
      <c r="AG3597" s="15" t="s">
        <v>55</v>
      </c>
      <c r="AH3597" s="15"/>
      <c r="AI3597" s="15"/>
    </row>
    <row r="3598" spans="1:37" s="6" customFormat="1">
      <c r="A3598" s="6" t="s">
        <v>15344</v>
      </c>
      <c r="B3598" s="6" t="s">
        <v>15345</v>
      </c>
      <c r="C3598" s="6" t="s">
        <v>43</v>
      </c>
      <c r="D3598" s="6" t="s">
        <v>10937</v>
      </c>
      <c r="E3598" s="6" t="s">
        <v>10938</v>
      </c>
      <c r="F3598" s="6" t="s">
        <v>46</v>
      </c>
      <c r="G3598" s="6" t="s">
        <v>15310</v>
      </c>
      <c r="H3598" s="7"/>
      <c r="I3598" s="6" t="s">
        <v>48</v>
      </c>
      <c r="J3598" s="6" t="s">
        <v>48</v>
      </c>
      <c r="AG3598" s="15" t="s">
        <v>55</v>
      </c>
      <c r="AH3598" s="15"/>
      <c r="AI3598" s="15"/>
    </row>
    <row r="3599" spans="1:37" s="6" customFormat="1">
      <c r="A3599" s="6" t="s">
        <v>15346</v>
      </c>
      <c r="B3599" s="6" t="s">
        <v>15347</v>
      </c>
      <c r="C3599" s="6" t="s">
        <v>43</v>
      </c>
      <c r="D3599" s="6" t="s">
        <v>10937</v>
      </c>
      <c r="E3599" s="6" t="s">
        <v>10938</v>
      </c>
      <c r="F3599" s="6" t="s">
        <v>46</v>
      </c>
      <c r="G3599" s="6" t="s">
        <v>6181</v>
      </c>
      <c r="H3599" s="7"/>
      <c r="I3599" s="5" t="s">
        <v>48</v>
      </c>
      <c r="J3599" s="5" t="s">
        <v>48</v>
      </c>
      <c r="AG3599" s="15" t="s">
        <v>55</v>
      </c>
      <c r="AH3599" s="15"/>
      <c r="AI3599" s="15"/>
    </row>
    <row r="3600" spans="1:37" s="6" customFormat="1">
      <c r="A3600" s="6" t="s">
        <v>15348</v>
      </c>
      <c r="B3600" s="6" t="s">
        <v>15349</v>
      </c>
      <c r="C3600" s="6" t="s">
        <v>43</v>
      </c>
      <c r="D3600" s="6" t="s">
        <v>10937</v>
      </c>
      <c r="E3600" s="6" t="s">
        <v>10938</v>
      </c>
      <c r="F3600" s="6" t="s">
        <v>46</v>
      </c>
      <c r="G3600" s="6" t="s">
        <v>3013</v>
      </c>
      <c r="H3600" s="7"/>
      <c r="I3600" s="6" t="s">
        <v>48</v>
      </c>
      <c r="J3600" s="6" t="s">
        <v>48</v>
      </c>
      <c r="AG3600" s="15" t="s">
        <v>55</v>
      </c>
      <c r="AH3600" s="15"/>
      <c r="AI3600" s="15"/>
    </row>
    <row r="3601" spans="1:35" s="6" customFormat="1">
      <c r="A3601" s="6" t="s">
        <v>15350</v>
      </c>
      <c r="B3601" s="6" t="s">
        <v>15351</v>
      </c>
      <c r="C3601" s="6" t="s">
        <v>43</v>
      </c>
      <c r="D3601" s="6" t="s">
        <v>10937</v>
      </c>
      <c r="E3601" s="6" t="s">
        <v>10938</v>
      </c>
      <c r="F3601" s="6" t="s">
        <v>46</v>
      </c>
      <c r="G3601" s="6" t="s">
        <v>15352</v>
      </c>
      <c r="H3601" s="7"/>
      <c r="I3601" s="6" t="s">
        <v>48</v>
      </c>
      <c r="J3601" s="6" t="s">
        <v>48</v>
      </c>
      <c r="AG3601" s="15" t="s">
        <v>55</v>
      </c>
      <c r="AH3601" s="15"/>
      <c r="AI3601" s="15"/>
    </row>
    <row r="3602" spans="1:35" s="6" customFormat="1">
      <c r="A3602" s="6" t="s">
        <v>15353</v>
      </c>
      <c r="B3602" s="6" t="s">
        <v>15354</v>
      </c>
      <c r="C3602" s="6" t="s">
        <v>14890</v>
      </c>
      <c r="D3602" s="6" t="s">
        <v>10937</v>
      </c>
      <c r="E3602" s="6" t="s">
        <v>10938</v>
      </c>
      <c r="F3602" s="6" t="s">
        <v>46</v>
      </c>
      <c r="G3602" s="6" t="s">
        <v>8262</v>
      </c>
      <c r="H3602" s="7"/>
      <c r="I3602" s="6" t="s">
        <v>48</v>
      </c>
      <c r="J3602" s="6" t="s">
        <v>48</v>
      </c>
      <c r="AG3602" s="15" t="s">
        <v>55</v>
      </c>
      <c r="AH3602" s="15"/>
      <c r="AI3602" s="15"/>
    </row>
    <row r="3603" spans="1:35" s="6" customFormat="1">
      <c r="A3603" s="6" t="s">
        <v>15355</v>
      </c>
      <c r="B3603" s="6" t="s">
        <v>15356</v>
      </c>
      <c r="C3603" s="6" t="s">
        <v>43</v>
      </c>
      <c r="D3603" s="6" t="s">
        <v>10937</v>
      </c>
      <c r="E3603" s="6" t="s">
        <v>10938</v>
      </c>
      <c r="F3603" s="6" t="s">
        <v>46</v>
      </c>
      <c r="G3603" s="6" t="s">
        <v>15357</v>
      </c>
      <c r="H3603" s="7"/>
      <c r="I3603" s="6" t="s">
        <v>48</v>
      </c>
      <c r="J3603" s="6" t="s">
        <v>48</v>
      </c>
      <c r="AG3603" s="15" t="s">
        <v>55</v>
      </c>
      <c r="AH3603" s="15"/>
      <c r="AI3603" s="15"/>
    </row>
    <row r="3604" spans="1:35" s="6" customFormat="1">
      <c r="A3604" s="6" t="s">
        <v>15358</v>
      </c>
      <c r="B3604" s="6" t="s">
        <v>15359</v>
      </c>
      <c r="C3604" s="6" t="s">
        <v>14890</v>
      </c>
      <c r="D3604" s="6" t="s">
        <v>10937</v>
      </c>
      <c r="E3604" s="6" t="s">
        <v>10938</v>
      </c>
      <c r="F3604" s="6" t="s">
        <v>46</v>
      </c>
      <c r="G3604" s="6" t="s">
        <v>15360</v>
      </c>
      <c r="H3604" s="7"/>
      <c r="I3604" s="6" t="s">
        <v>48</v>
      </c>
      <c r="J3604" s="6" t="s">
        <v>48</v>
      </c>
      <c r="AG3604" s="15" t="s">
        <v>55</v>
      </c>
      <c r="AH3604" s="15"/>
      <c r="AI3604" s="15"/>
    </row>
    <row r="3605" spans="1:35" s="6" customFormat="1">
      <c r="A3605" s="6" t="s">
        <v>15361</v>
      </c>
      <c r="B3605" s="6" t="s">
        <v>15362</v>
      </c>
      <c r="C3605" s="6" t="s">
        <v>43</v>
      </c>
      <c r="D3605" s="6" t="s">
        <v>10937</v>
      </c>
      <c r="E3605" s="6" t="s">
        <v>10938</v>
      </c>
      <c r="F3605" s="6" t="s">
        <v>46</v>
      </c>
      <c r="G3605" s="6" t="s">
        <v>15363</v>
      </c>
      <c r="H3605" s="7"/>
      <c r="I3605" s="6" t="s">
        <v>48</v>
      </c>
      <c r="J3605" s="6" t="s">
        <v>48</v>
      </c>
      <c r="AG3605" s="15" t="s">
        <v>55</v>
      </c>
      <c r="AH3605" s="15"/>
      <c r="AI3605" s="15"/>
    </row>
    <row r="3606" spans="1:35" s="6" customFormat="1">
      <c r="A3606" s="6" t="s">
        <v>15364</v>
      </c>
      <c r="B3606" s="6" t="s">
        <v>15365</v>
      </c>
      <c r="C3606" s="6" t="s">
        <v>15366</v>
      </c>
      <c r="D3606" s="6" t="s">
        <v>10937</v>
      </c>
      <c r="E3606" s="6" t="s">
        <v>10938</v>
      </c>
      <c r="F3606" s="6" t="s">
        <v>46</v>
      </c>
      <c r="G3606" s="6" t="s">
        <v>15367</v>
      </c>
      <c r="H3606" s="7"/>
      <c r="I3606" s="6" t="s">
        <v>48</v>
      </c>
      <c r="J3606" s="6" t="s">
        <v>48</v>
      </c>
      <c r="AG3606" s="15" t="s">
        <v>55</v>
      </c>
      <c r="AH3606" s="15"/>
      <c r="AI3606" s="15"/>
    </row>
    <row r="3607" spans="1:35" s="6" customFormat="1">
      <c r="A3607" s="6" t="s">
        <v>15368</v>
      </c>
      <c r="B3607" s="6" t="s">
        <v>15369</v>
      </c>
      <c r="C3607" s="6" t="s">
        <v>15366</v>
      </c>
      <c r="D3607" s="6" t="s">
        <v>10937</v>
      </c>
      <c r="E3607" s="6" t="s">
        <v>10938</v>
      </c>
      <c r="F3607" s="6" t="s">
        <v>46</v>
      </c>
      <c r="G3607" s="6" t="s">
        <v>13928</v>
      </c>
      <c r="H3607" s="7"/>
      <c r="I3607" s="6" t="s">
        <v>48</v>
      </c>
      <c r="J3607" s="6" t="s">
        <v>48</v>
      </c>
      <c r="AG3607" s="15" t="s">
        <v>55</v>
      </c>
      <c r="AH3607" s="15"/>
      <c r="AI3607" s="15"/>
    </row>
    <row r="3608" spans="1:35" s="6" customFormat="1">
      <c r="A3608" s="6" t="s">
        <v>15370</v>
      </c>
      <c r="B3608" s="6" t="s">
        <v>15371</v>
      </c>
      <c r="C3608" s="6" t="s">
        <v>14890</v>
      </c>
      <c r="D3608" s="6" t="s">
        <v>10937</v>
      </c>
      <c r="E3608" s="6" t="s">
        <v>10938</v>
      </c>
      <c r="F3608" s="6" t="s">
        <v>46</v>
      </c>
      <c r="G3608" s="6" t="s">
        <v>15372</v>
      </c>
      <c r="H3608" s="7"/>
      <c r="I3608" s="6" t="s">
        <v>48</v>
      </c>
      <c r="J3608" s="6" t="s">
        <v>48</v>
      </c>
      <c r="AG3608" s="15" t="s">
        <v>55</v>
      </c>
      <c r="AH3608" s="15"/>
      <c r="AI3608" s="15"/>
    </row>
    <row r="3609" spans="1:35" s="6" customFormat="1">
      <c r="A3609" s="6" t="s">
        <v>15373</v>
      </c>
      <c r="B3609" s="6" t="s">
        <v>15374</v>
      </c>
      <c r="C3609" s="6" t="s">
        <v>14890</v>
      </c>
      <c r="D3609" s="6" t="s">
        <v>10937</v>
      </c>
      <c r="E3609" s="6" t="s">
        <v>10938</v>
      </c>
      <c r="F3609" s="6" t="s">
        <v>46</v>
      </c>
      <c r="G3609" s="6" t="s">
        <v>15237</v>
      </c>
      <c r="H3609" s="7"/>
      <c r="I3609" s="6" t="s">
        <v>48</v>
      </c>
      <c r="J3609" s="6" t="s">
        <v>48</v>
      </c>
      <c r="AG3609" s="15" t="s">
        <v>55</v>
      </c>
      <c r="AH3609" s="15"/>
      <c r="AI3609" s="15"/>
    </row>
    <row r="3610" spans="1:35" s="6" customFormat="1">
      <c r="A3610" s="6" t="s">
        <v>15375</v>
      </c>
      <c r="B3610" s="6" t="s">
        <v>15376</v>
      </c>
      <c r="C3610" s="6" t="s">
        <v>43</v>
      </c>
      <c r="D3610" s="6" t="s">
        <v>10937</v>
      </c>
      <c r="E3610" s="6" t="s">
        <v>10938</v>
      </c>
      <c r="F3610" s="6" t="s">
        <v>46</v>
      </c>
      <c r="G3610" s="6" t="s">
        <v>13989</v>
      </c>
      <c r="H3610" s="7"/>
      <c r="I3610" s="6" t="s">
        <v>48</v>
      </c>
      <c r="J3610" s="6" t="s">
        <v>48</v>
      </c>
      <c r="AG3610" s="15" t="s">
        <v>55</v>
      </c>
      <c r="AH3610" s="15"/>
      <c r="AI3610" s="15"/>
    </row>
    <row r="3611" spans="1:35" s="6" customFormat="1">
      <c r="A3611" s="6" t="s">
        <v>15377</v>
      </c>
      <c r="B3611" s="6" t="s">
        <v>15378</v>
      </c>
      <c r="C3611" s="6" t="s">
        <v>43</v>
      </c>
      <c r="D3611" s="6" t="s">
        <v>10937</v>
      </c>
      <c r="E3611" s="6" t="s">
        <v>10938</v>
      </c>
      <c r="F3611" s="6" t="s">
        <v>46</v>
      </c>
      <c r="G3611" s="6" t="s">
        <v>7314</v>
      </c>
      <c r="H3611" s="7"/>
      <c r="I3611" s="6" t="s">
        <v>48</v>
      </c>
      <c r="J3611" s="6" t="s">
        <v>48</v>
      </c>
      <c r="AG3611" s="15" t="s">
        <v>55</v>
      </c>
      <c r="AH3611" s="15"/>
      <c r="AI3611" s="15"/>
    </row>
    <row r="3612" spans="1:35" s="6" customFormat="1">
      <c r="A3612" s="6" t="s">
        <v>15379</v>
      </c>
      <c r="B3612" s="6" t="s">
        <v>15380</v>
      </c>
      <c r="C3612" s="6" t="s">
        <v>14672</v>
      </c>
      <c r="D3612" s="6" t="s">
        <v>10937</v>
      </c>
      <c r="E3612" s="6" t="s">
        <v>10938</v>
      </c>
      <c r="F3612" s="6" t="s">
        <v>46</v>
      </c>
      <c r="G3612" s="6" t="s">
        <v>8071</v>
      </c>
      <c r="H3612" s="7"/>
      <c r="I3612" s="6" t="s">
        <v>48</v>
      </c>
      <c r="J3612" s="6" t="s">
        <v>48</v>
      </c>
      <c r="AG3612" s="15" t="s">
        <v>55</v>
      </c>
      <c r="AH3612" s="15"/>
      <c r="AI3612" s="15"/>
    </row>
    <row r="3613" spans="1:35" s="6" customFormat="1">
      <c r="A3613" s="6" t="s">
        <v>15381</v>
      </c>
      <c r="B3613" s="6" t="s">
        <v>15382</v>
      </c>
      <c r="C3613" s="6" t="s">
        <v>14672</v>
      </c>
      <c r="D3613" s="6" t="s">
        <v>10937</v>
      </c>
      <c r="E3613" s="6" t="s">
        <v>10938</v>
      </c>
      <c r="F3613" s="6" t="s">
        <v>46</v>
      </c>
      <c r="G3613" s="6" t="s">
        <v>6258</v>
      </c>
      <c r="H3613" s="7"/>
      <c r="I3613" s="5" t="s">
        <v>48</v>
      </c>
      <c r="J3613" s="5" t="s">
        <v>48</v>
      </c>
      <c r="AG3613" s="15" t="s">
        <v>55</v>
      </c>
      <c r="AH3613" s="15"/>
      <c r="AI3613" s="15"/>
    </row>
    <row r="3614" spans="1:35" s="6" customFormat="1">
      <c r="A3614" s="6" t="s">
        <v>15383</v>
      </c>
      <c r="B3614" s="6" t="s">
        <v>15384</v>
      </c>
      <c r="C3614" s="6" t="s">
        <v>14672</v>
      </c>
      <c r="D3614" s="6" t="s">
        <v>10937</v>
      </c>
      <c r="E3614" s="6" t="s">
        <v>10938</v>
      </c>
      <c r="F3614" s="6" t="s">
        <v>46</v>
      </c>
      <c r="G3614" s="6" t="s">
        <v>15385</v>
      </c>
      <c r="H3614" s="7"/>
      <c r="I3614" s="5" t="s">
        <v>48</v>
      </c>
      <c r="J3614" s="5" t="s">
        <v>48</v>
      </c>
      <c r="AG3614" s="15" t="s">
        <v>55</v>
      </c>
      <c r="AH3614" s="15"/>
      <c r="AI3614" s="15"/>
    </row>
    <row r="3615" spans="1:35" s="6" customFormat="1">
      <c r="A3615" s="6" t="s">
        <v>15386</v>
      </c>
      <c r="B3615" s="6" t="s">
        <v>15387</v>
      </c>
      <c r="C3615" s="6" t="s">
        <v>43</v>
      </c>
      <c r="D3615" s="6" t="s">
        <v>10937</v>
      </c>
      <c r="E3615" s="6" t="s">
        <v>10938</v>
      </c>
      <c r="F3615" s="6" t="s">
        <v>46</v>
      </c>
      <c r="G3615" s="6" t="s">
        <v>15388</v>
      </c>
      <c r="H3615" s="7"/>
      <c r="I3615" s="5" t="s">
        <v>48</v>
      </c>
      <c r="J3615" s="5" t="s">
        <v>48</v>
      </c>
      <c r="AG3615" s="15" t="s">
        <v>55</v>
      </c>
      <c r="AH3615" s="15"/>
      <c r="AI3615" s="15"/>
    </row>
    <row r="3616" spans="1:35" s="6" customFormat="1">
      <c r="A3616" s="6" t="s">
        <v>15389</v>
      </c>
      <c r="B3616" s="6" t="s">
        <v>15390</v>
      </c>
      <c r="C3616" s="6" t="s">
        <v>43</v>
      </c>
      <c r="D3616" s="6" t="s">
        <v>10937</v>
      </c>
      <c r="E3616" s="6" t="s">
        <v>10938</v>
      </c>
      <c r="F3616" s="6" t="s">
        <v>46</v>
      </c>
      <c r="G3616" s="6" t="s">
        <v>7154</v>
      </c>
      <c r="H3616" s="7"/>
      <c r="I3616" s="6" t="s">
        <v>48</v>
      </c>
      <c r="J3616" s="6" t="s">
        <v>48</v>
      </c>
      <c r="AG3616" s="15" t="s">
        <v>55</v>
      </c>
      <c r="AH3616" s="15"/>
      <c r="AI3616" s="15"/>
    </row>
    <row r="3617" spans="1:37" s="6" customFormat="1">
      <c r="A3617" s="6" t="s">
        <v>15391</v>
      </c>
      <c r="B3617" s="6" t="s">
        <v>15392</v>
      </c>
      <c r="C3617" s="6" t="s">
        <v>14890</v>
      </c>
      <c r="D3617" s="6" t="s">
        <v>10937</v>
      </c>
      <c r="E3617" s="6" t="s">
        <v>10938</v>
      </c>
      <c r="F3617" s="6" t="s">
        <v>46</v>
      </c>
      <c r="G3617" s="6" t="s">
        <v>15393</v>
      </c>
      <c r="H3617" s="7"/>
      <c r="I3617" s="6" t="s">
        <v>48</v>
      </c>
      <c r="J3617" s="6" t="s">
        <v>48</v>
      </c>
      <c r="AG3617" s="15" t="s">
        <v>55</v>
      </c>
      <c r="AH3617" s="15"/>
      <c r="AI3617" s="15"/>
    </row>
    <row r="3618" spans="1:37" s="6" customFormat="1">
      <c r="A3618" s="6" t="s">
        <v>15394</v>
      </c>
      <c r="B3618" s="6" t="s">
        <v>15395</v>
      </c>
      <c r="C3618" s="6" t="s">
        <v>14890</v>
      </c>
      <c r="D3618" s="6" t="s">
        <v>10937</v>
      </c>
      <c r="E3618" s="6" t="s">
        <v>10938</v>
      </c>
      <c r="F3618" s="6" t="s">
        <v>46</v>
      </c>
      <c r="G3618" s="6" t="s">
        <v>15396</v>
      </c>
      <c r="H3618" s="7"/>
      <c r="I3618" s="6" t="s">
        <v>48</v>
      </c>
      <c r="J3618" s="6" t="s">
        <v>48</v>
      </c>
      <c r="AG3618" s="15" t="s">
        <v>55</v>
      </c>
      <c r="AH3618" s="15"/>
      <c r="AI3618" s="15"/>
    </row>
    <row r="3619" spans="1:37" s="6" customFormat="1">
      <c r="A3619" s="6" t="s">
        <v>15397</v>
      </c>
      <c r="B3619" s="6" t="s">
        <v>15398</v>
      </c>
      <c r="C3619" s="6" t="s">
        <v>43</v>
      </c>
      <c r="D3619" s="6" t="s">
        <v>10937</v>
      </c>
      <c r="E3619" s="6" t="s">
        <v>10938</v>
      </c>
      <c r="F3619" s="6" t="s">
        <v>46</v>
      </c>
      <c r="G3619" s="6" t="s">
        <v>13481</v>
      </c>
      <c r="H3619" s="7"/>
      <c r="I3619" s="6" t="s">
        <v>48</v>
      </c>
      <c r="J3619" s="6" t="s">
        <v>48</v>
      </c>
      <c r="AG3619" s="15" t="s">
        <v>55</v>
      </c>
      <c r="AH3619" s="15"/>
      <c r="AI3619" s="15"/>
    </row>
    <row r="3620" spans="1:37" s="6" customFormat="1">
      <c r="A3620" s="6" t="s">
        <v>15399</v>
      </c>
      <c r="B3620" s="6" t="s">
        <v>15400</v>
      </c>
      <c r="C3620" s="6" t="s">
        <v>43</v>
      </c>
      <c r="D3620" s="6" t="s">
        <v>10937</v>
      </c>
      <c r="E3620" s="6" t="s">
        <v>10938</v>
      </c>
      <c r="F3620" s="6" t="s">
        <v>46</v>
      </c>
      <c r="G3620" s="6" t="s">
        <v>15401</v>
      </c>
      <c r="H3620" s="7"/>
      <c r="I3620" s="6" t="s">
        <v>48</v>
      </c>
      <c r="J3620" s="6" t="s">
        <v>48</v>
      </c>
      <c r="AG3620" s="15" t="s">
        <v>55</v>
      </c>
      <c r="AH3620" s="15"/>
      <c r="AI3620" s="15"/>
    </row>
    <row r="3621" spans="1:37" s="6" customFormat="1">
      <c r="A3621" s="6" t="s">
        <v>15402</v>
      </c>
      <c r="B3621" s="6" t="s">
        <v>15403</v>
      </c>
      <c r="C3621" s="6" t="s">
        <v>43</v>
      </c>
      <c r="D3621" s="6" t="s">
        <v>10937</v>
      </c>
      <c r="E3621" s="6" t="s">
        <v>10938</v>
      </c>
      <c r="F3621" s="6" t="s">
        <v>46</v>
      </c>
      <c r="G3621" s="6" t="s">
        <v>6619</v>
      </c>
      <c r="H3621" s="7"/>
      <c r="I3621" s="5" t="s">
        <v>48</v>
      </c>
      <c r="J3621" s="5" t="s">
        <v>48</v>
      </c>
      <c r="AG3621" s="15" t="s">
        <v>55</v>
      </c>
      <c r="AH3621" s="15"/>
      <c r="AI3621" s="15"/>
    </row>
    <row r="3622" spans="1:37" s="6" customFormat="1">
      <c r="A3622" s="5" t="s">
        <v>15404</v>
      </c>
      <c r="B3622" s="5" t="s">
        <v>15405</v>
      </c>
      <c r="C3622" s="6" t="s">
        <v>43</v>
      </c>
      <c r="D3622" s="6" t="s">
        <v>10937</v>
      </c>
      <c r="E3622" s="6" t="s">
        <v>10938</v>
      </c>
      <c r="F3622" s="6" t="s">
        <v>46</v>
      </c>
      <c r="G3622" s="6" t="s">
        <v>6619</v>
      </c>
      <c r="H3622" s="18">
        <v>999</v>
      </c>
      <c r="I3622" s="19" t="s">
        <v>13662</v>
      </c>
      <c r="J3622" s="19" t="s">
        <v>14651</v>
      </c>
      <c r="K3622" s="6" t="s">
        <v>15406</v>
      </c>
      <c r="L3622" s="6" t="s">
        <v>15407</v>
      </c>
      <c r="M3622" s="6" t="s">
        <v>15408</v>
      </c>
      <c r="N3622" s="6" t="s">
        <v>15409</v>
      </c>
      <c r="O3622" s="6" t="s">
        <v>15410</v>
      </c>
      <c r="P3622" s="6" t="s">
        <v>15411</v>
      </c>
      <c r="Q3622" s="6" t="s">
        <v>15412</v>
      </c>
      <c r="R3622" s="6" t="s">
        <v>15413</v>
      </c>
      <c r="S3622" s="6" t="s">
        <v>13672</v>
      </c>
      <c r="T3622" s="6" t="s">
        <v>13697</v>
      </c>
      <c r="U3622" s="6" t="s">
        <v>13674</v>
      </c>
      <c r="V3622" s="6" t="s">
        <v>13675</v>
      </c>
      <c r="W3622" s="6" t="s">
        <v>13676</v>
      </c>
      <c r="X3622" s="6" t="s">
        <v>13677</v>
      </c>
      <c r="Y3622" s="6" t="s">
        <v>13678</v>
      </c>
      <c r="Z3622" s="6" t="s">
        <v>13679</v>
      </c>
      <c r="AA3622" s="6" t="s">
        <v>13680</v>
      </c>
      <c r="AB3622" s="6" t="s">
        <v>13681</v>
      </c>
      <c r="AC3622" s="6" t="s">
        <v>13682</v>
      </c>
      <c r="AD3622" s="6" t="s">
        <v>13683</v>
      </c>
      <c r="AE3622" s="5"/>
      <c r="AF3622" s="5"/>
      <c r="AG3622" s="14" t="s">
        <v>49</v>
      </c>
      <c r="AH3622" s="14" t="s">
        <v>1102</v>
      </c>
      <c r="AI3622" s="14" t="s">
        <v>13684</v>
      </c>
      <c r="AJ3622" s="5" t="s">
        <v>13685</v>
      </c>
      <c r="AK3622" s="5"/>
    </row>
    <row r="3623" spans="1:37">
      <c r="A3623" s="5" t="s">
        <v>15414</v>
      </c>
      <c r="B3623" s="5" t="s">
        <v>15415</v>
      </c>
      <c r="C3623" s="6" t="s">
        <v>43</v>
      </c>
      <c r="D3623" s="6" t="s">
        <v>10937</v>
      </c>
      <c r="E3623" s="6" t="s">
        <v>10938</v>
      </c>
      <c r="F3623" s="6" t="s">
        <v>46</v>
      </c>
      <c r="G3623" s="6" t="s">
        <v>6619</v>
      </c>
      <c r="H3623" s="18">
        <v>999</v>
      </c>
      <c r="I3623" s="19" t="s">
        <v>13662</v>
      </c>
      <c r="J3623" s="19" t="s">
        <v>14651</v>
      </c>
      <c r="K3623" s="6" t="s">
        <v>15416</v>
      </c>
      <c r="L3623" s="6" t="s">
        <v>15417</v>
      </c>
      <c r="M3623" s="6" t="s">
        <v>15418</v>
      </c>
      <c r="N3623" s="6" t="s">
        <v>15419</v>
      </c>
      <c r="O3623" s="6" t="s">
        <v>15420</v>
      </c>
      <c r="P3623" s="6" t="s">
        <v>15421</v>
      </c>
      <c r="Q3623" s="6" t="s">
        <v>15422</v>
      </c>
      <c r="R3623" s="6" t="s">
        <v>15423</v>
      </c>
      <c r="S3623" s="6" t="s">
        <v>13672</v>
      </c>
      <c r="T3623" s="6" t="s">
        <v>13697</v>
      </c>
      <c r="U3623" s="6" t="s">
        <v>13674</v>
      </c>
      <c r="V3623" s="6" t="s">
        <v>13675</v>
      </c>
      <c r="W3623" s="6" t="s">
        <v>13676</v>
      </c>
      <c r="X3623" s="6" t="s">
        <v>13677</v>
      </c>
      <c r="Y3623" s="6" t="s">
        <v>13678</v>
      </c>
      <c r="Z3623" s="6" t="s">
        <v>13679</v>
      </c>
      <c r="AA3623" s="6" t="s">
        <v>13680</v>
      </c>
      <c r="AB3623" s="6" t="s">
        <v>13681</v>
      </c>
      <c r="AC3623" s="6" t="s">
        <v>13682</v>
      </c>
      <c r="AD3623" s="6" t="s">
        <v>13683</v>
      </c>
      <c r="AG3623" s="14" t="s">
        <v>49</v>
      </c>
      <c r="AH3623" s="14" t="s">
        <v>1102</v>
      </c>
      <c r="AI3623" s="14" t="s">
        <v>13684</v>
      </c>
      <c r="AJ3623" s="5" t="s">
        <v>13685</v>
      </c>
    </row>
    <row r="3624" spans="1:37">
      <c r="A3624" s="6" t="s">
        <v>15424</v>
      </c>
      <c r="B3624" s="6" t="s">
        <v>15425</v>
      </c>
      <c r="C3624" s="6" t="s">
        <v>43</v>
      </c>
      <c r="D3624" s="6" t="s">
        <v>10937</v>
      </c>
      <c r="E3624" s="6" t="s">
        <v>10938</v>
      </c>
      <c r="F3624" s="6" t="s">
        <v>46</v>
      </c>
      <c r="G3624" s="6" t="s">
        <v>6619</v>
      </c>
      <c r="I3624" s="5" t="s">
        <v>48</v>
      </c>
      <c r="J3624" s="5" t="s">
        <v>48</v>
      </c>
      <c r="K3624" s="6"/>
      <c r="L3624" s="6"/>
      <c r="M3624" s="6"/>
      <c r="N3624" s="6"/>
      <c r="O3624" s="6"/>
      <c r="P3624" s="6"/>
      <c r="Q3624" s="6"/>
      <c r="R3624" s="6"/>
      <c r="S3624" s="6"/>
      <c r="T3624" s="6"/>
      <c r="U3624" s="6"/>
      <c r="V3624" s="6"/>
      <c r="W3624" s="6"/>
      <c r="X3624" s="6"/>
      <c r="Y3624" s="6"/>
      <c r="Z3624" s="6"/>
      <c r="AA3624" s="6"/>
      <c r="AB3624" s="6"/>
      <c r="AC3624" s="6"/>
      <c r="AD3624" s="6"/>
      <c r="AE3624" s="6"/>
      <c r="AF3624" s="6"/>
      <c r="AG3624" s="15" t="s">
        <v>55</v>
      </c>
      <c r="AH3624" s="15"/>
      <c r="AI3624" s="15"/>
      <c r="AJ3624" s="6"/>
      <c r="AK3624" s="6"/>
    </row>
    <row r="3625" spans="1:37" s="6" customFormat="1">
      <c r="A3625" s="5" t="s">
        <v>15426</v>
      </c>
      <c r="B3625" s="5" t="s">
        <v>15427</v>
      </c>
      <c r="C3625" s="6" t="s">
        <v>43</v>
      </c>
      <c r="D3625" s="6" t="s">
        <v>10937</v>
      </c>
      <c r="E3625" s="6" t="s">
        <v>10938</v>
      </c>
      <c r="F3625" s="6" t="s">
        <v>46</v>
      </c>
      <c r="G3625" s="6" t="s">
        <v>15428</v>
      </c>
      <c r="H3625" s="18">
        <v>999</v>
      </c>
      <c r="I3625" s="19" t="s">
        <v>13662</v>
      </c>
      <c r="J3625" s="19" t="s">
        <v>14651</v>
      </c>
      <c r="K3625" s="6" t="s">
        <v>15429</v>
      </c>
      <c r="L3625" s="6" t="s">
        <v>15430</v>
      </c>
      <c r="M3625" s="6" t="s">
        <v>15431</v>
      </c>
      <c r="N3625" s="6" t="s">
        <v>15432</v>
      </c>
      <c r="O3625" s="6" t="s">
        <v>15433</v>
      </c>
      <c r="P3625" s="6" t="s">
        <v>15434</v>
      </c>
      <c r="Q3625" s="6" t="s">
        <v>15435</v>
      </c>
      <c r="R3625" s="6" t="s">
        <v>15436</v>
      </c>
      <c r="S3625" s="6" t="s">
        <v>13672</v>
      </c>
      <c r="T3625" s="6" t="s">
        <v>13697</v>
      </c>
      <c r="U3625" s="6" t="s">
        <v>13674</v>
      </c>
      <c r="V3625" s="6" t="s">
        <v>13675</v>
      </c>
      <c r="W3625" s="6" t="s">
        <v>13676</v>
      </c>
      <c r="X3625" s="6" t="s">
        <v>13677</v>
      </c>
      <c r="Y3625" s="6" t="s">
        <v>13678</v>
      </c>
      <c r="Z3625" s="6" t="s">
        <v>13679</v>
      </c>
      <c r="AA3625" s="6" t="s">
        <v>13680</v>
      </c>
      <c r="AB3625" s="6" t="s">
        <v>13681</v>
      </c>
      <c r="AC3625" s="6" t="s">
        <v>13682</v>
      </c>
      <c r="AD3625" s="6" t="s">
        <v>13683</v>
      </c>
      <c r="AE3625" s="5"/>
      <c r="AF3625" s="5"/>
      <c r="AG3625" s="14" t="s">
        <v>49</v>
      </c>
      <c r="AH3625" s="14" t="s">
        <v>1102</v>
      </c>
      <c r="AI3625" s="14" t="s">
        <v>13684</v>
      </c>
      <c r="AJ3625" s="5" t="s">
        <v>13685</v>
      </c>
      <c r="AK3625" s="5"/>
    </row>
    <row r="3626" spans="1:37">
      <c r="A3626" s="6" t="s">
        <v>15437</v>
      </c>
      <c r="B3626" s="6" t="s">
        <v>15438</v>
      </c>
      <c r="C3626" s="6" t="s">
        <v>43</v>
      </c>
      <c r="D3626" s="6" t="s">
        <v>10937</v>
      </c>
      <c r="E3626" s="6" t="s">
        <v>10938</v>
      </c>
      <c r="F3626" s="6" t="s">
        <v>46</v>
      </c>
      <c r="G3626" s="6" t="s">
        <v>15439</v>
      </c>
      <c r="I3626" s="6" t="s">
        <v>48</v>
      </c>
      <c r="J3626" s="6" t="s">
        <v>48</v>
      </c>
      <c r="K3626" s="6"/>
      <c r="L3626" s="6"/>
      <c r="M3626" s="6"/>
      <c r="N3626" s="6"/>
      <c r="O3626" s="6"/>
      <c r="P3626" s="6"/>
      <c r="Q3626" s="6"/>
      <c r="R3626" s="6"/>
      <c r="S3626" s="6"/>
      <c r="T3626" s="6"/>
      <c r="U3626" s="6"/>
      <c r="V3626" s="6"/>
      <c r="W3626" s="6"/>
      <c r="X3626" s="6"/>
      <c r="Y3626" s="6"/>
      <c r="Z3626" s="6"/>
      <c r="AA3626" s="6"/>
      <c r="AB3626" s="6"/>
      <c r="AC3626" s="6"/>
      <c r="AD3626" s="6"/>
      <c r="AE3626" s="6"/>
      <c r="AF3626" s="6"/>
      <c r="AG3626" s="15" t="s">
        <v>55</v>
      </c>
      <c r="AH3626" s="15"/>
      <c r="AI3626" s="15"/>
      <c r="AJ3626" s="6"/>
      <c r="AK3626" s="6"/>
    </row>
    <row r="3627" spans="1:37" s="6" customFormat="1">
      <c r="A3627" s="6" t="s">
        <v>15440</v>
      </c>
      <c r="B3627" s="6" t="s">
        <v>15441</v>
      </c>
      <c r="C3627" s="6" t="s">
        <v>43</v>
      </c>
      <c r="D3627" s="6" t="s">
        <v>10937</v>
      </c>
      <c r="E3627" s="6" t="s">
        <v>10938</v>
      </c>
      <c r="F3627" s="6" t="s">
        <v>46</v>
      </c>
      <c r="G3627" s="6" t="s">
        <v>15439</v>
      </c>
      <c r="H3627" s="7"/>
      <c r="I3627" s="6" t="s">
        <v>48</v>
      </c>
      <c r="J3627" s="6" t="s">
        <v>48</v>
      </c>
      <c r="AG3627" s="15" t="s">
        <v>55</v>
      </c>
      <c r="AH3627" s="15"/>
      <c r="AI3627" s="15"/>
    </row>
    <row r="3628" spans="1:37" s="6" customFormat="1">
      <c r="A3628" s="6" t="s">
        <v>15442</v>
      </c>
      <c r="B3628" s="6" t="s">
        <v>15443</v>
      </c>
      <c r="C3628" s="6" t="s">
        <v>8002</v>
      </c>
      <c r="D3628" s="6" t="s">
        <v>10937</v>
      </c>
      <c r="E3628" s="6" t="s">
        <v>10938</v>
      </c>
      <c r="F3628" s="6" t="s">
        <v>46</v>
      </c>
      <c r="G3628" s="6" t="s">
        <v>3276</v>
      </c>
      <c r="H3628" s="7"/>
      <c r="I3628" s="6" t="s">
        <v>48</v>
      </c>
      <c r="J3628" s="6" t="s">
        <v>48</v>
      </c>
      <c r="AG3628" s="15" t="s">
        <v>55</v>
      </c>
      <c r="AH3628" s="15"/>
      <c r="AI3628" s="15"/>
    </row>
    <row r="3629" spans="1:37" s="6" customFormat="1">
      <c r="A3629" s="6" t="s">
        <v>15444</v>
      </c>
      <c r="B3629" s="6" t="s">
        <v>15445</v>
      </c>
      <c r="C3629" s="6" t="s">
        <v>43</v>
      </c>
      <c r="D3629" s="6" t="s">
        <v>10937</v>
      </c>
      <c r="E3629" s="6" t="s">
        <v>10938</v>
      </c>
      <c r="F3629" s="6" t="s">
        <v>46</v>
      </c>
      <c r="G3629" s="6" t="s">
        <v>4162</v>
      </c>
      <c r="H3629" s="7"/>
      <c r="I3629" s="6" t="s">
        <v>48</v>
      </c>
      <c r="J3629" s="6" t="s">
        <v>48</v>
      </c>
      <c r="AG3629" s="15" t="s">
        <v>55</v>
      </c>
      <c r="AH3629" s="15"/>
      <c r="AI3629" s="15"/>
    </row>
    <row r="3630" spans="1:37" s="6" customFormat="1">
      <c r="A3630" s="6" t="s">
        <v>15446</v>
      </c>
      <c r="B3630" s="6" t="s">
        <v>15447</v>
      </c>
      <c r="C3630" s="6" t="s">
        <v>7239</v>
      </c>
      <c r="D3630" s="6" t="s">
        <v>10937</v>
      </c>
      <c r="E3630" s="6" t="s">
        <v>10938</v>
      </c>
      <c r="F3630" s="6" t="s">
        <v>46</v>
      </c>
      <c r="G3630" s="6" t="s">
        <v>15448</v>
      </c>
      <c r="H3630" s="7"/>
      <c r="I3630" s="6" t="s">
        <v>48</v>
      </c>
      <c r="J3630" s="6" t="s">
        <v>48</v>
      </c>
      <c r="AG3630" s="15" t="s">
        <v>55</v>
      </c>
      <c r="AH3630" s="15"/>
      <c r="AI3630" s="15"/>
    </row>
    <row r="3631" spans="1:37" s="6" customFormat="1">
      <c r="A3631" s="6" t="s">
        <v>15449</v>
      </c>
      <c r="B3631" s="6" t="s">
        <v>15450</v>
      </c>
      <c r="C3631" s="6" t="s">
        <v>7239</v>
      </c>
      <c r="D3631" s="6" t="s">
        <v>10937</v>
      </c>
      <c r="E3631" s="6" t="s">
        <v>10938</v>
      </c>
      <c r="F3631" s="6" t="s">
        <v>46</v>
      </c>
      <c r="G3631" s="6" t="s">
        <v>6682</v>
      </c>
      <c r="H3631" s="7"/>
      <c r="I3631" s="5" t="s">
        <v>48</v>
      </c>
      <c r="J3631" s="5" t="s">
        <v>48</v>
      </c>
      <c r="AG3631" s="15" t="s">
        <v>55</v>
      </c>
      <c r="AH3631" s="15"/>
      <c r="AI3631" s="15"/>
    </row>
    <row r="3632" spans="1:37" s="6" customFormat="1">
      <c r="A3632" s="6" t="s">
        <v>15451</v>
      </c>
      <c r="B3632" s="6" t="s">
        <v>15452</v>
      </c>
      <c r="C3632" s="6" t="s">
        <v>7239</v>
      </c>
      <c r="D3632" s="6" t="s">
        <v>10937</v>
      </c>
      <c r="E3632" s="6" t="s">
        <v>10938</v>
      </c>
      <c r="F3632" s="6" t="s">
        <v>46</v>
      </c>
      <c r="G3632" s="6" t="s">
        <v>15453</v>
      </c>
      <c r="H3632" s="7"/>
      <c r="I3632" s="6" t="s">
        <v>48</v>
      </c>
      <c r="J3632" s="6" t="s">
        <v>48</v>
      </c>
      <c r="AG3632" s="15" t="s">
        <v>55</v>
      </c>
      <c r="AH3632" s="15"/>
      <c r="AI3632" s="15"/>
    </row>
    <row r="3633" spans="1:35" s="6" customFormat="1">
      <c r="A3633" s="6" t="s">
        <v>15454</v>
      </c>
      <c r="B3633" s="6" t="s">
        <v>15455</v>
      </c>
      <c r="C3633" s="6" t="s">
        <v>7239</v>
      </c>
      <c r="D3633" s="6" t="s">
        <v>10937</v>
      </c>
      <c r="E3633" s="6" t="s">
        <v>10938</v>
      </c>
      <c r="F3633" s="6" t="s">
        <v>46</v>
      </c>
      <c r="G3633" s="6" t="s">
        <v>15456</v>
      </c>
      <c r="H3633" s="7"/>
      <c r="I3633" s="6" t="s">
        <v>48</v>
      </c>
      <c r="J3633" s="6" t="s">
        <v>48</v>
      </c>
      <c r="AG3633" s="15" t="s">
        <v>55</v>
      </c>
      <c r="AH3633" s="15"/>
      <c r="AI3633" s="15"/>
    </row>
    <row r="3634" spans="1:35" s="6" customFormat="1">
      <c r="A3634" s="6" t="s">
        <v>15457</v>
      </c>
      <c r="B3634" s="6" t="s">
        <v>15458</v>
      </c>
      <c r="C3634" s="6" t="s">
        <v>43</v>
      </c>
      <c r="D3634" s="6" t="s">
        <v>10937</v>
      </c>
      <c r="E3634" s="6" t="s">
        <v>10938</v>
      </c>
      <c r="F3634" s="6" t="s">
        <v>46</v>
      </c>
      <c r="G3634" s="6" t="s">
        <v>7387</v>
      </c>
      <c r="H3634" s="7"/>
      <c r="I3634" s="6" t="s">
        <v>48</v>
      </c>
      <c r="J3634" s="6" t="s">
        <v>48</v>
      </c>
      <c r="AG3634" s="15" t="s">
        <v>55</v>
      </c>
      <c r="AH3634" s="15"/>
      <c r="AI3634" s="15"/>
    </row>
    <row r="3635" spans="1:35" s="6" customFormat="1">
      <c r="A3635" s="6" t="s">
        <v>15459</v>
      </c>
      <c r="B3635" s="6" t="s">
        <v>15458</v>
      </c>
      <c r="C3635" s="6" t="s">
        <v>43</v>
      </c>
      <c r="D3635" s="6" t="s">
        <v>10937</v>
      </c>
      <c r="E3635" s="6" t="s">
        <v>10938</v>
      </c>
      <c r="F3635" s="6" t="s">
        <v>46</v>
      </c>
      <c r="G3635" s="6" t="s">
        <v>15460</v>
      </c>
      <c r="H3635" s="7"/>
      <c r="I3635" s="6" t="s">
        <v>48</v>
      </c>
      <c r="J3635" s="6" t="s">
        <v>48</v>
      </c>
      <c r="AG3635" s="15" t="s">
        <v>55</v>
      </c>
      <c r="AH3635" s="15"/>
      <c r="AI3635" s="15"/>
    </row>
    <row r="3636" spans="1:35" s="6" customFormat="1">
      <c r="A3636" s="6" t="s">
        <v>15461</v>
      </c>
      <c r="B3636" s="6" t="s">
        <v>15462</v>
      </c>
      <c r="C3636" s="6" t="s">
        <v>43</v>
      </c>
      <c r="D3636" s="6" t="s">
        <v>10937</v>
      </c>
      <c r="E3636" s="6" t="s">
        <v>10938</v>
      </c>
      <c r="F3636" s="6" t="s">
        <v>46</v>
      </c>
      <c r="G3636" s="6" t="s">
        <v>15463</v>
      </c>
      <c r="H3636" s="7"/>
      <c r="I3636" s="6" t="s">
        <v>48</v>
      </c>
      <c r="J3636" s="6" t="s">
        <v>48</v>
      </c>
      <c r="AG3636" s="15" t="s">
        <v>55</v>
      </c>
      <c r="AH3636" s="15"/>
      <c r="AI3636" s="15"/>
    </row>
    <row r="3637" spans="1:35" s="6" customFormat="1">
      <c r="A3637" s="6" t="s">
        <v>15464</v>
      </c>
      <c r="B3637" s="6" t="s">
        <v>15465</v>
      </c>
      <c r="C3637" s="6" t="s">
        <v>7239</v>
      </c>
      <c r="D3637" s="6" t="s">
        <v>10937</v>
      </c>
      <c r="E3637" s="6" t="s">
        <v>10938</v>
      </c>
      <c r="F3637" s="6" t="s">
        <v>46</v>
      </c>
      <c r="G3637" s="6" t="s">
        <v>15466</v>
      </c>
      <c r="H3637" s="7"/>
      <c r="I3637" s="6" t="s">
        <v>48</v>
      </c>
      <c r="J3637" s="6" t="s">
        <v>48</v>
      </c>
      <c r="AG3637" s="15" t="s">
        <v>55</v>
      </c>
      <c r="AH3637" s="15"/>
      <c r="AI3637" s="15"/>
    </row>
    <row r="3638" spans="1:35" s="6" customFormat="1">
      <c r="A3638" s="6" t="s">
        <v>15467</v>
      </c>
      <c r="B3638" s="6" t="s">
        <v>15468</v>
      </c>
      <c r="C3638" s="6" t="s">
        <v>7239</v>
      </c>
      <c r="D3638" s="6" t="s">
        <v>10937</v>
      </c>
      <c r="E3638" s="6" t="s">
        <v>10938</v>
      </c>
      <c r="F3638" s="6" t="s">
        <v>46</v>
      </c>
      <c r="G3638" s="6" t="s">
        <v>7716</v>
      </c>
      <c r="H3638" s="7"/>
      <c r="I3638" s="6" t="s">
        <v>48</v>
      </c>
      <c r="J3638" s="6" t="s">
        <v>48</v>
      </c>
      <c r="AG3638" s="15" t="s">
        <v>55</v>
      </c>
      <c r="AH3638" s="15"/>
      <c r="AI3638" s="15"/>
    </row>
    <row r="3639" spans="1:35" s="6" customFormat="1">
      <c r="A3639" s="6" t="s">
        <v>15469</v>
      </c>
      <c r="B3639" s="6" t="s">
        <v>15470</v>
      </c>
      <c r="C3639" s="6" t="s">
        <v>43</v>
      </c>
      <c r="D3639" s="6" t="s">
        <v>10937</v>
      </c>
      <c r="E3639" s="6" t="s">
        <v>10938</v>
      </c>
      <c r="F3639" s="6" t="s">
        <v>46</v>
      </c>
      <c r="G3639" s="6" t="s">
        <v>15471</v>
      </c>
      <c r="H3639" s="7"/>
      <c r="I3639" s="6" t="s">
        <v>48</v>
      </c>
      <c r="J3639" s="6" t="s">
        <v>48</v>
      </c>
      <c r="AG3639" s="15" t="s">
        <v>55</v>
      </c>
      <c r="AH3639" s="15"/>
      <c r="AI3639" s="15"/>
    </row>
    <row r="3640" spans="1:35" s="6" customFormat="1">
      <c r="A3640" s="6" t="s">
        <v>15472</v>
      </c>
      <c r="B3640" s="6" t="s">
        <v>15473</v>
      </c>
      <c r="C3640" s="6" t="s">
        <v>43</v>
      </c>
      <c r="D3640" s="6" t="s">
        <v>10937</v>
      </c>
      <c r="E3640" s="6" t="s">
        <v>10938</v>
      </c>
      <c r="F3640" s="6" t="s">
        <v>46</v>
      </c>
      <c r="G3640" s="6" t="s">
        <v>15474</v>
      </c>
      <c r="H3640" s="7"/>
      <c r="I3640" s="6" t="s">
        <v>48</v>
      </c>
      <c r="J3640" s="6" t="s">
        <v>48</v>
      </c>
      <c r="AG3640" s="15" t="s">
        <v>55</v>
      </c>
      <c r="AH3640" s="15"/>
      <c r="AI3640" s="15"/>
    </row>
    <row r="3641" spans="1:35" s="6" customFormat="1">
      <c r="A3641" s="6" t="s">
        <v>15475</v>
      </c>
      <c r="B3641" s="6" t="s">
        <v>15476</v>
      </c>
      <c r="C3641" s="6" t="s">
        <v>43</v>
      </c>
      <c r="D3641" s="6" t="s">
        <v>10937</v>
      </c>
      <c r="E3641" s="6" t="s">
        <v>10938</v>
      </c>
      <c r="F3641" s="6" t="s">
        <v>46</v>
      </c>
      <c r="G3641" s="6" t="s">
        <v>15477</v>
      </c>
      <c r="H3641" s="7"/>
      <c r="I3641" s="6" t="s">
        <v>48</v>
      </c>
      <c r="J3641" s="6" t="s">
        <v>48</v>
      </c>
      <c r="AG3641" s="15" t="s">
        <v>55</v>
      </c>
      <c r="AH3641" s="15"/>
      <c r="AI3641" s="15"/>
    </row>
    <row r="3642" spans="1:35" s="6" customFormat="1">
      <c r="A3642" s="6" t="s">
        <v>15478</v>
      </c>
      <c r="B3642" s="6" t="s">
        <v>15479</v>
      </c>
      <c r="C3642" s="6" t="s">
        <v>43</v>
      </c>
      <c r="D3642" s="6" t="s">
        <v>10937</v>
      </c>
      <c r="E3642" s="6" t="s">
        <v>10938</v>
      </c>
      <c r="F3642" s="6" t="s">
        <v>46</v>
      </c>
      <c r="G3642" s="6" t="s">
        <v>15357</v>
      </c>
      <c r="H3642" s="7"/>
      <c r="I3642" s="6" t="s">
        <v>48</v>
      </c>
      <c r="J3642" s="6" t="s">
        <v>48</v>
      </c>
      <c r="AG3642" s="15" t="s">
        <v>55</v>
      </c>
      <c r="AH3642" s="15"/>
      <c r="AI3642" s="15"/>
    </row>
    <row r="3643" spans="1:35" s="6" customFormat="1">
      <c r="A3643" s="6" t="s">
        <v>15480</v>
      </c>
      <c r="B3643" s="6" t="s">
        <v>15481</v>
      </c>
      <c r="C3643" s="6" t="s">
        <v>43</v>
      </c>
      <c r="D3643" s="6" t="s">
        <v>10937</v>
      </c>
      <c r="E3643" s="6" t="s">
        <v>10938</v>
      </c>
      <c r="F3643" s="6" t="s">
        <v>46</v>
      </c>
      <c r="G3643" s="6" t="s">
        <v>15482</v>
      </c>
      <c r="H3643" s="7"/>
      <c r="I3643" s="5" t="s">
        <v>48</v>
      </c>
      <c r="J3643" s="5" t="s">
        <v>48</v>
      </c>
      <c r="AG3643" s="15" t="s">
        <v>55</v>
      </c>
      <c r="AH3643" s="15"/>
      <c r="AI3643" s="15"/>
    </row>
    <row r="3644" spans="1:35" s="6" customFormat="1">
      <c r="A3644" s="6" t="s">
        <v>15483</v>
      </c>
      <c r="B3644" s="6" t="s">
        <v>15484</v>
      </c>
      <c r="C3644" s="6" t="s">
        <v>7084</v>
      </c>
      <c r="D3644" s="6" t="s">
        <v>10937</v>
      </c>
      <c r="E3644" s="6" t="s">
        <v>10938</v>
      </c>
      <c r="F3644" s="6" t="s">
        <v>46</v>
      </c>
      <c r="G3644" s="6" t="s">
        <v>15485</v>
      </c>
      <c r="H3644" s="7"/>
      <c r="I3644" s="6" t="s">
        <v>48</v>
      </c>
      <c r="J3644" s="6" t="s">
        <v>48</v>
      </c>
      <c r="AG3644" s="15" t="s">
        <v>55</v>
      </c>
      <c r="AH3644" s="15"/>
      <c r="AI3644" s="15"/>
    </row>
    <row r="3645" spans="1:35" s="6" customFormat="1">
      <c r="A3645" s="6" t="s">
        <v>15486</v>
      </c>
      <c r="B3645" s="6" t="s">
        <v>15487</v>
      </c>
      <c r="C3645" s="6" t="s">
        <v>43</v>
      </c>
      <c r="D3645" s="6" t="s">
        <v>10937</v>
      </c>
      <c r="E3645" s="6" t="s">
        <v>10938</v>
      </c>
      <c r="F3645" s="6" t="s">
        <v>46</v>
      </c>
      <c r="G3645" s="6" t="s">
        <v>15471</v>
      </c>
      <c r="H3645" s="7"/>
      <c r="I3645" s="6" t="s">
        <v>48</v>
      </c>
      <c r="J3645" s="6" t="s">
        <v>48</v>
      </c>
      <c r="AG3645" s="15" t="s">
        <v>55</v>
      </c>
      <c r="AH3645" s="15"/>
      <c r="AI3645" s="15"/>
    </row>
    <row r="3646" spans="1:35" s="6" customFormat="1">
      <c r="A3646" s="6" t="s">
        <v>15488</v>
      </c>
      <c r="B3646" s="6" t="s">
        <v>15489</v>
      </c>
      <c r="C3646" s="6" t="s">
        <v>14617</v>
      </c>
      <c r="D3646" s="6" t="s">
        <v>10937</v>
      </c>
      <c r="E3646" s="6" t="s">
        <v>10938</v>
      </c>
      <c r="F3646" s="6" t="s">
        <v>46</v>
      </c>
      <c r="G3646" s="6" t="s">
        <v>15490</v>
      </c>
      <c r="H3646" s="7"/>
      <c r="I3646" s="6" t="s">
        <v>48</v>
      </c>
      <c r="J3646" s="6" t="s">
        <v>48</v>
      </c>
      <c r="AG3646" s="15" t="s">
        <v>55</v>
      </c>
      <c r="AH3646" s="15"/>
      <c r="AI3646" s="15"/>
    </row>
    <row r="3647" spans="1:35" s="6" customFormat="1">
      <c r="A3647" s="6" t="s">
        <v>15491</v>
      </c>
      <c r="B3647" s="6" t="s">
        <v>15492</v>
      </c>
      <c r="C3647" s="6" t="s">
        <v>43</v>
      </c>
      <c r="D3647" s="6" t="s">
        <v>10937</v>
      </c>
      <c r="E3647" s="6" t="s">
        <v>10938</v>
      </c>
      <c r="F3647" s="6" t="s">
        <v>46</v>
      </c>
      <c r="G3647" s="6" t="s">
        <v>15493</v>
      </c>
      <c r="H3647" s="7"/>
      <c r="I3647" s="6" t="s">
        <v>48</v>
      </c>
      <c r="J3647" s="6" t="s">
        <v>48</v>
      </c>
      <c r="AG3647" s="15" t="s">
        <v>55</v>
      </c>
      <c r="AH3647" s="15"/>
      <c r="AI3647" s="15"/>
    </row>
    <row r="3648" spans="1:35" s="6" customFormat="1">
      <c r="A3648" s="6" t="s">
        <v>15494</v>
      </c>
      <c r="B3648" s="6" t="s">
        <v>15495</v>
      </c>
      <c r="C3648" s="6" t="s">
        <v>43</v>
      </c>
      <c r="D3648" s="6" t="s">
        <v>10937</v>
      </c>
      <c r="E3648" s="6" t="s">
        <v>10938</v>
      </c>
      <c r="F3648" s="6" t="s">
        <v>46</v>
      </c>
      <c r="G3648" s="6" t="s">
        <v>2045</v>
      </c>
      <c r="H3648" s="7"/>
      <c r="I3648" s="5" t="s">
        <v>48</v>
      </c>
      <c r="J3648" s="5" t="s">
        <v>48</v>
      </c>
      <c r="AG3648" s="15" t="s">
        <v>55</v>
      </c>
      <c r="AH3648" s="15"/>
      <c r="AI3648" s="15"/>
    </row>
    <row r="3649" spans="1:35" s="6" customFormat="1">
      <c r="A3649" s="6" t="s">
        <v>15496</v>
      </c>
      <c r="B3649" s="6" t="s">
        <v>15497</v>
      </c>
      <c r="C3649" s="6" t="s">
        <v>43</v>
      </c>
      <c r="D3649" s="6" t="s">
        <v>10937</v>
      </c>
      <c r="E3649" s="6" t="s">
        <v>10938</v>
      </c>
      <c r="F3649" s="6" t="s">
        <v>46</v>
      </c>
      <c r="G3649" s="6" t="s">
        <v>15498</v>
      </c>
      <c r="H3649" s="7"/>
      <c r="I3649" s="5" t="s">
        <v>48</v>
      </c>
      <c r="J3649" s="5" t="s">
        <v>48</v>
      </c>
      <c r="AG3649" s="15" t="s">
        <v>55</v>
      </c>
      <c r="AH3649" s="15"/>
      <c r="AI3649" s="15"/>
    </row>
    <row r="3650" spans="1:35" s="6" customFormat="1">
      <c r="A3650" s="6" t="s">
        <v>15499</v>
      </c>
      <c r="B3650" s="6" t="s">
        <v>15500</v>
      </c>
      <c r="C3650" s="6" t="s">
        <v>9082</v>
      </c>
      <c r="D3650" s="6" t="s">
        <v>10937</v>
      </c>
      <c r="E3650" s="6" t="s">
        <v>10938</v>
      </c>
      <c r="F3650" s="6" t="s">
        <v>46</v>
      </c>
      <c r="G3650" s="6" t="s">
        <v>5026</v>
      </c>
      <c r="H3650" s="7"/>
      <c r="I3650" s="6" t="s">
        <v>48</v>
      </c>
      <c r="J3650" s="6" t="s">
        <v>48</v>
      </c>
      <c r="AG3650" s="15" t="s">
        <v>55</v>
      </c>
      <c r="AH3650" s="15"/>
      <c r="AI3650" s="15"/>
    </row>
    <row r="3651" spans="1:35" s="6" customFormat="1">
      <c r="A3651" s="6" t="s">
        <v>15501</v>
      </c>
      <c r="B3651" s="6" t="s">
        <v>15502</v>
      </c>
      <c r="C3651" s="6" t="s">
        <v>43</v>
      </c>
      <c r="D3651" s="6" t="s">
        <v>10937</v>
      </c>
      <c r="E3651" s="6" t="s">
        <v>10938</v>
      </c>
      <c r="F3651" s="6" t="s">
        <v>46</v>
      </c>
      <c r="G3651" s="6" t="s">
        <v>15503</v>
      </c>
      <c r="H3651" s="7"/>
      <c r="I3651" s="6" t="s">
        <v>48</v>
      </c>
      <c r="J3651" s="6" t="s">
        <v>48</v>
      </c>
      <c r="AG3651" s="15" t="s">
        <v>55</v>
      </c>
      <c r="AH3651" s="15"/>
      <c r="AI3651" s="15"/>
    </row>
    <row r="3652" spans="1:35" s="6" customFormat="1">
      <c r="A3652" s="6" t="s">
        <v>15504</v>
      </c>
      <c r="B3652" s="6" t="s">
        <v>15505</v>
      </c>
      <c r="C3652" s="6" t="s">
        <v>12541</v>
      </c>
      <c r="D3652" s="6" t="s">
        <v>10937</v>
      </c>
      <c r="E3652" s="6" t="s">
        <v>10938</v>
      </c>
      <c r="F3652" s="6" t="s">
        <v>46</v>
      </c>
      <c r="G3652" s="6" t="s">
        <v>15506</v>
      </c>
      <c r="H3652" s="7"/>
      <c r="I3652" s="6" t="s">
        <v>48</v>
      </c>
      <c r="J3652" s="6" t="s">
        <v>48</v>
      </c>
      <c r="AG3652" s="15" t="s">
        <v>55</v>
      </c>
      <c r="AH3652" s="15"/>
      <c r="AI3652" s="15"/>
    </row>
    <row r="3653" spans="1:35" s="6" customFormat="1">
      <c r="A3653" s="6" t="s">
        <v>15507</v>
      </c>
      <c r="B3653" s="6" t="s">
        <v>15508</v>
      </c>
      <c r="C3653" s="6" t="s">
        <v>12541</v>
      </c>
      <c r="D3653" s="6" t="s">
        <v>10937</v>
      </c>
      <c r="E3653" s="6" t="s">
        <v>10938</v>
      </c>
      <c r="F3653" s="6" t="s">
        <v>46</v>
      </c>
      <c r="G3653" s="6" t="s">
        <v>15509</v>
      </c>
      <c r="H3653" s="7"/>
      <c r="I3653" s="6" t="s">
        <v>48</v>
      </c>
      <c r="J3653" s="6" t="s">
        <v>48</v>
      </c>
      <c r="AG3653" s="15" t="s">
        <v>55</v>
      </c>
      <c r="AH3653" s="15"/>
      <c r="AI3653" s="15"/>
    </row>
    <row r="3654" spans="1:35" s="6" customFormat="1">
      <c r="A3654" s="6" t="s">
        <v>15510</v>
      </c>
      <c r="B3654" s="6" t="s">
        <v>15511</v>
      </c>
      <c r="C3654" s="6" t="s">
        <v>12541</v>
      </c>
      <c r="D3654" s="6" t="s">
        <v>10937</v>
      </c>
      <c r="E3654" s="6" t="s">
        <v>10938</v>
      </c>
      <c r="F3654" s="6" t="s">
        <v>46</v>
      </c>
      <c r="G3654" s="6" t="s">
        <v>15509</v>
      </c>
      <c r="H3654" s="7"/>
      <c r="I3654" s="6" t="s">
        <v>48</v>
      </c>
      <c r="J3654" s="6" t="s">
        <v>48</v>
      </c>
      <c r="AG3654" s="15" t="s">
        <v>55</v>
      </c>
      <c r="AH3654" s="15"/>
      <c r="AI3654" s="15"/>
    </row>
    <row r="3655" spans="1:35" s="6" customFormat="1">
      <c r="A3655" s="6" t="s">
        <v>15512</v>
      </c>
      <c r="B3655" s="6" t="s">
        <v>15513</v>
      </c>
      <c r="C3655" s="6" t="s">
        <v>43</v>
      </c>
      <c r="D3655" s="6" t="s">
        <v>10937</v>
      </c>
      <c r="E3655" s="6" t="s">
        <v>10938</v>
      </c>
      <c r="F3655" s="6" t="s">
        <v>46</v>
      </c>
      <c r="G3655" s="6" t="s">
        <v>3823</v>
      </c>
      <c r="H3655" s="7"/>
      <c r="I3655" s="6" t="s">
        <v>48</v>
      </c>
      <c r="J3655" s="6" t="s">
        <v>48</v>
      </c>
      <c r="AG3655" s="15" t="s">
        <v>55</v>
      </c>
      <c r="AH3655" s="15"/>
      <c r="AI3655" s="15"/>
    </row>
    <row r="3656" spans="1:35" s="6" customFormat="1">
      <c r="A3656" s="6" t="s">
        <v>15514</v>
      </c>
      <c r="B3656" s="6" t="s">
        <v>15515</v>
      </c>
      <c r="C3656" s="6" t="s">
        <v>43</v>
      </c>
      <c r="D3656" s="6" t="s">
        <v>10937</v>
      </c>
      <c r="E3656" s="6" t="s">
        <v>10938</v>
      </c>
      <c r="F3656" s="6" t="s">
        <v>46</v>
      </c>
      <c r="G3656" s="6" t="s">
        <v>15516</v>
      </c>
      <c r="H3656" s="7"/>
      <c r="I3656" s="6" t="s">
        <v>48</v>
      </c>
      <c r="J3656" s="6" t="s">
        <v>48</v>
      </c>
      <c r="AG3656" s="15" t="s">
        <v>55</v>
      </c>
      <c r="AH3656" s="15"/>
      <c r="AI3656" s="15"/>
    </row>
    <row r="3657" spans="1:35" s="6" customFormat="1">
      <c r="A3657" s="6" t="s">
        <v>15517</v>
      </c>
      <c r="B3657" s="6" t="s">
        <v>15518</v>
      </c>
      <c r="C3657" s="6" t="s">
        <v>43</v>
      </c>
      <c r="D3657" s="6" t="s">
        <v>10937</v>
      </c>
      <c r="E3657" s="6" t="s">
        <v>10938</v>
      </c>
      <c r="F3657" s="6" t="s">
        <v>46</v>
      </c>
      <c r="G3657" s="6" t="s">
        <v>15519</v>
      </c>
      <c r="H3657" s="7"/>
      <c r="I3657" s="6" t="s">
        <v>48</v>
      </c>
      <c r="J3657" s="6" t="s">
        <v>48</v>
      </c>
      <c r="AG3657" s="15" t="s">
        <v>55</v>
      </c>
      <c r="AH3657" s="15"/>
      <c r="AI3657" s="15"/>
    </row>
    <row r="3658" spans="1:35" s="6" customFormat="1">
      <c r="A3658" s="6" t="s">
        <v>15520</v>
      </c>
      <c r="B3658" s="6" t="s">
        <v>15521</v>
      </c>
      <c r="C3658" s="6" t="s">
        <v>43</v>
      </c>
      <c r="D3658" s="6" t="s">
        <v>10937</v>
      </c>
      <c r="E3658" s="6" t="s">
        <v>10938</v>
      </c>
      <c r="F3658" s="6" t="s">
        <v>46</v>
      </c>
      <c r="G3658" s="6" t="s">
        <v>15522</v>
      </c>
      <c r="H3658" s="7"/>
      <c r="I3658" s="6" t="s">
        <v>48</v>
      </c>
      <c r="J3658" s="6" t="s">
        <v>48</v>
      </c>
      <c r="AG3658" s="15" t="s">
        <v>55</v>
      </c>
      <c r="AH3658" s="15"/>
      <c r="AI3658" s="15"/>
    </row>
    <row r="3659" spans="1:35" s="6" customFormat="1">
      <c r="A3659" s="6" t="s">
        <v>15523</v>
      </c>
      <c r="B3659" s="6" t="s">
        <v>15524</v>
      </c>
      <c r="C3659" s="6" t="s">
        <v>43</v>
      </c>
      <c r="D3659" s="6" t="s">
        <v>10937</v>
      </c>
      <c r="E3659" s="6" t="s">
        <v>10938</v>
      </c>
      <c r="F3659" s="6" t="s">
        <v>46</v>
      </c>
      <c r="G3659" s="6" t="s">
        <v>8834</v>
      </c>
      <c r="H3659" s="7"/>
      <c r="I3659" s="6" t="s">
        <v>48</v>
      </c>
      <c r="J3659" s="6" t="s">
        <v>48</v>
      </c>
      <c r="AG3659" s="15" t="s">
        <v>55</v>
      </c>
      <c r="AH3659" s="15"/>
      <c r="AI3659" s="15"/>
    </row>
    <row r="3660" spans="1:35" s="6" customFormat="1">
      <c r="A3660" s="6" t="s">
        <v>15525</v>
      </c>
      <c r="B3660" s="6" t="s">
        <v>15526</v>
      </c>
      <c r="C3660" s="6" t="s">
        <v>43</v>
      </c>
      <c r="D3660" s="6" t="s">
        <v>10937</v>
      </c>
      <c r="E3660" s="6" t="s">
        <v>10938</v>
      </c>
      <c r="F3660" s="6" t="s">
        <v>46</v>
      </c>
      <c r="G3660" s="6" t="s">
        <v>15527</v>
      </c>
      <c r="H3660" s="7"/>
      <c r="I3660" s="6" t="s">
        <v>48</v>
      </c>
      <c r="J3660" s="6" t="s">
        <v>48</v>
      </c>
      <c r="AG3660" s="15" t="s">
        <v>55</v>
      </c>
      <c r="AH3660" s="15"/>
      <c r="AI3660" s="15"/>
    </row>
    <row r="3661" spans="1:35" s="6" customFormat="1">
      <c r="A3661" s="6" t="s">
        <v>15528</v>
      </c>
      <c r="B3661" s="6" t="s">
        <v>15529</v>
      </c>
      <c r="C3661" s="6" t="s">
        <v>43</v>
      </c>
      <c r="D3661" s="6" t="s">
        <v>10937</v>
      </c>
      <c r="E3661" s="6" t="s">
        <v>10938</v>
      </c>
      <c r="F3661" s="6" t="s">
        <v>46</v>
      </c>
      <c r="G3661" s="6" t="s">
        <v>15530</v>
      </c>
      <c r="H3661" s="7"/>
      <c r="I3661" s="6" t="s">
        <v>48</v>
      </c>
      <c r="J3661" s="6" t="s">
        <v>48</v>
      </c>
      <c r="AG3661" s="15" t="s">
        <v>55</v>
      </c>
      <c r="AH3661" s="15"/>
      <c r="AI3661" s="15"/>
    </row>
    <row r="3662" spans="1:35" s="6" customFormat="1">
      <c r="A3662" s="6" t="s">
        <v>15531</v>
      </c>
      <c r="B3662" s="6" t="s">
        <v>15532</v>
      </c>
      <c r="C3662" s="6" t="s">
        <v>43</v>
      </c>
      <c r="D3662" s="6" t="s">
        <v>10937</v>
      </c>
      <c r="E3662" s="6" t="s">
        <v>10938</v>
      </c>
      <c r="F3662" s="6" t="s">
        <v>46</v>
      </c>
      <c r="G3662" s="6" t="s">
        <v>15533</v>
      </c>
      <c r="H3662" s="7"/>
      <c r="I3662" s="6" t="s">
        <v>48</v>
      </c>
      <c r="J3662" s="6" t="s">
        <v>48</v>
      </c>
      <c r="AG3662" s="15" t="s">
        <v>55</v>
      </c>
      <c r="AH3662" s="15"/>
      <c r="AI3662" s="15"/>
    </row>
    <row r="3663" spans="1:35" s="6" customFormat="1">
      <c r="A3663" s="6" t="s">
        <v>15534</v>
      </c>
      <c r="B3663" s="6" t="s">
        <v>15535</v>
      </c>
      <c r="C3663" s="6" t="s">
        <v>43</v>
      </c>
      <c r="D3663" s="6" t="s">
        <v>10937</v>
      </c>
      <c r="E3663" s="6" t="s">
        <v>10938</v>
      </c>
      <c r="F3663" s="6" t="s">
        <v>46</v>
      </c>
      <c r="G3663" s="6" t="s">
        <v>15533</v>
      </c>
      <c r="H3663" s="7"/>
      <c r="I3663" s="6" t="s">
        <v>48</v>
      </c>
      <c r="J3663" s="6" t="s">
        <v>48</v>
      </c>
      <c r="AG3663" s="15" t="s">
        <v>55</v>
      </c>
      <c r="AH3663" s="15"/>
      <c r="AI3663" s="15"/>
    </row>
    <row r="3664" spans="1:35" s="6" customFormat="1">
      <c r="A3664" s="6" t="s">
        <v>15536</v>
      </c>
      <c r="B3664" s="6" t="s">
        <v>15537</v>
      </c>
      <c r="C3664" s="6" t="s">
        <v>43</v>
      </c>
      <c r="D3664" s="6" t="s">
        <v>10937</v>
      </c>
      <c r="E3664" s="6" t="s">
        <v>10938</v>
      </c>
      <c r="F3664" s="6" t="s">
        <v>46</v>
      </c>
      <c r="G3664" s="6" t="s">
        <v>15538</v>
      </c>
      <c r="H3664" s="7"/>
      <c r="I3664" s="6" t="s">
        <v>48</v>
      </c>
      <c r="J3664" s="6" t="s">
        <v>48</v>
      </c>
      <c r="AG3664" s="15" t="s">
        <v>55</v>
      </c>
      <c r="AH3664" s="15"/>
      <c r="AI3664" s="15"/>
    </row>
    <row r="3665" spans="1:35" s="6" customFormat="1">
      <c r="A3665" s="6" t="s">
        <v>15539</v>
      </c>
      <c r="B3665" s="6" t="s">
        <v>15540</v>
      </c>
      <c r="C3665" s="6" t="s">
        <v>43</v>
      </c>
      <c r="D3665" s="6" t="s">
        <v>10937</v>
      </c>
      <c r="E3665" s="6" t="s">
        <v>10938</v>
      </c>
      <c r="F3665" s="6" t="s">
        <v>46</v>
      </c>
      <c r="G3665" s="6" t="s">
        <v>15541</v>
      </c>
      <c r="H3665" s="7"/>
      <c r="I3665" s="6" t="s">
        <v>48</v>
      </c>
      <c r="J3665" s="6" t="s">
        <v>48</v>
      </c>
      <c r="AG3665" s="15" t="s">
        <v>55</v>
      </c>
      <c r="AH3665" s="15"/>
      <c r="AI3665" s="15"/>
    </row>
    <row r="3666" spans="1:35" s="6" customFormat="1">
      <c r="A3666" s="6" t="s">
        <v>15542</v>
      </c>
      <c r="B3666" s="6" t="s">
        <v>15543</v>
      </c>
      <c r="C3666" s="6" t="s">
        <v>43</v>
      </c>
      <c r="D3666" s="6" t="s">
        <v>10937</v>
      </c>
      <c r="E3666" s="6" t="s">
        <v>10938</v>
      </c>
      <c r="F3666" s="6" t="s">
        <v>46</v>
      </c>
      <c r="G3666" s="6" t="s">
        <v>14129</v>
      </c>
      <c r="H3666" s="7"/>
      <c r="I3666" s="6" t="s">
        <v>48</v>
      </c>
      <c r="J3666" s="6" t="s">
        <v>48</v>
      </c>
      <c r="AG3666" s="15" t="s">
        <v>55</v>
      </c>
      <c r="AH3666" s="15"/>
      <c r="AI3666" s="15"/>
    </row>
    <row r="3667" spans="1:35" s="6" customFormat="1">
      <c r="A3667" s="6" t="s">
        <v>15544</v>
      </c>
      <c r="B3667" s="6" t="s">
        <v>15545</v>
      </c>
      <c r="C3667" s="6" t="s">
        <v>43</v>
      </c>
      <c r="D3667" s="6" t="s">
        <v>10937</v>
      </c>
      <c r="E3667" s="6" t="s">
        <v>10938</v>
      </c>
      <c r="F3667" s="6" t="s">
        <v>46</v>
      </c>
      <c r="G3667" s="6" t="s">
        <v>15546</v>
      </c>
      <c r="H3667" s="7"/>
      <c r="I3667" s="6" t="s">
        <v>48</v>
      </c>
      <c r="J3667" s="6" t="s">
        <v>48</v>
      </c>
      <c r="AG3667" s="15" t="s">
        <v>55</v>
      </c>
      <c r="AH3667" s="15"/>
      <c r="AI3667" s="15"/>
    </row>
    <row r="3668" spans="1:35" s="6" customFormat="1">
      <c r="A3668" s="6" t="s">
        <v>15547</v>
      </c>
      <c r="B3668" s="6" t="s">
        <v>15548</v>
      </c>
      <c r="C3668" s="6" t="s">
        <v>43</v>
      </c>
      <c r="D3668" s="6" t="s">
        <v>10937</v>
      </c>
      <c r="E3668" s="6" t="s">
        <v>10938</v>
      </c>
      <c r="F3668" s="6" t="s">
        <v>46</v>
      </c>
      <c r="G3668" s="6" t="s">
        <v>8815</v>
      </c>
      <c r="H3668" s="7"/>
      <c r="I3668" s="5" t="s">
        <v>48</v>
      </c>
      <c r="J3668" s="5" t="s">
        <v>48</v>
      </c>
      <c r="AG3668" s="15" t="s">
        <v>55</v>
      </c>
      <c r="AH3668" s="15"/>
      <c r="AI3668" s="15"/>
    </row>
    <row r="3669" spans="1:35" s="6" customFormat="1">
      <c r="A3669" s="6" t="s">
        <v>15549</v>
      </c>
      <c r="B3669" s="6" t="s">
        <v>15550</v>
      </c>
      <c r="C3669" s="6" t="s">
        <v>43</v>
      </c>
      <c r="D3669" s="6" t="s">
        <v>10937</v>
      </c>
      <c r="E3669" s="6" t="s">
        <v>10938</v>
      </c>
      <c r="F3669" s="6" t="s">
        <v>46</v>
      </c>
      <c r="G3669" s="6" t="s">
        <v>15551</v>
      </c>
      <c r="H3669" s="7"/>
      <c r="I3669" s="6" t="s">
        <v>48</v>
      </c>
      <c r="J3669" s="6" t="s">
        <v>48</v>
      </c>
      <c r="AG3669" s="15" t="s">
        <v>55</v>
      </c>
      <c r="AH3669" s="15"/>
      <c r="AI3669" s="15"/>
    </row>
    <row r="3670" spans="1:35" s="6" customFormat="1">
      <c r="A3670" s="6" t="s">
        <v>15552</v>
      </c>
      <c r="B3670" s="6" t="s">
        <v>15553</v>
      </c>
      <c r="C3670" s="6" t="s">
        <v>7084</v>
      </c>
      <c r="D3670" s="6" t="s">
        <v>10937</v>
      </c>
      <c r="E3670" s="6" t="s">
        <v>10938</v>
      </c>
      <c r="F3670" s="6" t="s">
        <v>46</v>
      </c>
      <c r="G3670" s="6" t="s">
        <v>2022</v>
      </c>
      <c r="H3670" s="7"/>
      <c r="I3670" s="6" t="s">
        <v>48</v>
      </c>
      <c r="J3670" s="6" t="s">
        <v>48</v>
      </c>
      <c r="AG3670" s="15" t="s">
        <v>55</v>
      </c>
      <c r="AH3670" s="15"/>
      <c r="AI3670" s="15"/>
    </row>
    <row r="3671" spans="1:35" s="6" customFormat="1">
      <c r="A3671" s="6" t="s">
        <v>15554</v>
      </c>
      <c r="B3671" s="6" t="s">
        <v>15555</v>
      </c>
      <c r="C3671" s="6" t="s">
        <v>43</v>
      </c>
      <c r="D3671" s="6" t="s">
        <v>10937</v>
      </c>
      <c r="E3671" s="6" t="s">
        <v>10938</v>
      </c>
      <c r="F3671" s="6" t="s">
        <v>46</v>
      </c>
      <c r="G3671" s="6" t="s">
        <v>15556</v>
      </c>
      <c r="H3671" s="7"/>
      <c r="I3671" s="6" t="s">
        <v>48</v>
      </c>
      <c r="J3671" s="6" t="s">
        <v>48</v>
      </c>
      <c r="AG3671" s="15" t="s">
        <v>55</v>
      </c>
      <c r="AH3671" s="15"/>
      <c r="AI3671" s="15"/>
    </row>
    <row r="3672" spans="1:35" s="6" customFormat="1">
      <c r="A3672" s="6" t="s">
        <v>15557</v>
      </c>
      <c r="B3672" s="6" t="s">
        <v>15558</v>
      </c>
      <c r="C3672" s="6" t="s">
        <v>43</v>
      </c>
      <c r="D3672" s="6" t="s">
        <v>10937</v>
      </c>
      <c r="E3672" s="6" t="s">
        <v>10938</v>
      </c>
      <c r="F3672" s="6" t="s">
        <v>46</v>
      </c>
      <c r="G3672" s="6" t="s">
        <v>15559</v>
      </c>
      <c r="H3672" s="7"/>
      <c r="I3672" s="6" t="s">
        <v>48</v>
      </c>
      <c r="J3672" s="6" t="s">
        <v>48</v>
      </c>
      <c r="AG3672" s="15" t="s">
        <v>55</v>
      </c>
      <c r="AH3672" s="15"/>
      <c r="AI3672" s="15"/>
    </row>
    <row r="3673" spans="1:35" s="6" customFormat="1">
      <c r="A3673" s="6" t="s">
        <v>15560</v>
      </c>
      <c r="B3673" s="6" t="s">
        <v>15561</v>
      </c>
      <c r="C3673" s="6" t="s">
        <v>10496</v>
      </c>
      <c r="D3673" s="6" t="s">
        <v>10937</v>
      </c>
      <c r="E3673" s="6" t="s">
        <v>10938</v>
      </c>
      <c r="F3673" s="6" t="s">
        <v>46</v>
      </c>
      <c r="G3673" s="6" t="s">
        <v>15562</v>
      </c>
      <c r="H3673" s="7"/>
      <c r="I3673" s="6" t="s">
        <v>48</v>
      </c>
      <c r="J3673" s="6" t="s">
        <v>48</v>
      </c>
      <c r="AG3673" s="15" t="s">
        <v>55</v>
      </c>
      <c r="AH3673" s="15"/>
      <c r="AI3673" s="15"/>
    </row>
    <row r="3674" spans="1:35" s="6" customFormat="1">
      <c r="A3674" s="6" t="s">
        <v>15563</v>
      </c>
      <c r="B3674" s="6" t="s">
        <v>15564</v>
      </c>
      <c r="C3674" s="6" t="s">
        <v>15565</v>
      </c>
      <c r="D3674" s="6" t="s">
        <v>10937</v>
      </c>
      <c r="E3674" s="6" t="s">
        <v>10938</v>
      </c>
      <c r="F3674" s="6" t="s">
        <v>46</v>
      </c>
      <c r="G3674" s="6" t="s">
        <v>15566</v>
      </c>
      <c r="H3674" s="7"/>
      <c r="I3674" s="6" t="s">
        <v>48</v>
      </c>
      <c r="J3674" s="6" t="s">
        <v>48</v>
      </c>
      <c r="AG3674" s="15" t="s">
        <v>55</v>
      </c>
      <c r="AH3674" s="15"/>
      <c r="AI3674" s="15"/>
    </row>
    <row r="3675" spans="1:35" s="6" customFormat="1">
      <c r="A3675" s="6" t="s">
        <v>15567</v>
      </c>
      <c r="B3675" s="6" t="s">
        <v>15568</v>
      </c>
      <c r="C3675" s="6" t="s">
        <v>43</v>
      </c>
      <c r="D3675" s="6" t="s">
        <v>10937</v>
      </c>
      <c r="E3675" s="6" t="s">
        <v>10938</v>
      </c>
      <c r="F3675" s="6" t="s">
        <v>46</v>
      </c>
      <c r="G3675" s="6" t="s">
        <v>14172</v>
      </c>
      <c r="H3675" s="7"/>
      <c r="I3675" s="6" t="s">
        <v>48</v>
      </c>
      <c r="J3675" s="6" t="s">
        <v>48</v>
      </c>
      <c r="AG3675" s="15" t="s">
        <v>55</v>
      </c>
      <c r="AH3675" s="15"/>
      <c r="AI3675" s="15"/>
    </row>
    <row r="3676" spans="1:35" s="6" customFormat="1">
      <c r="A3676" s="6" t="s">
        <v>15569</v>
      </c>
      <c r="B3676" s="6" t="s">
        <v>15570</v>
      </c>
      <c r="C3676" s="6" t="s">
        <v>43</v>
      </c>
      <c r="D3676" s="6" t="s">
        <v>10937</v>
      </c>
      <c r="E3676" s="6" t="s">
        <v>10938</v>
      </c>
      <c r="F3676" s="6" t="s">
        <v>46</v>
      </c>
      <c r="G3676" s="6" t="s">
        <v>15571</v>
      </c>
      <c r="H3676" s="7"/>
      <c r="I3676" s="6" t="s">
        <v>48</v>
      </c>
      <c r="J3676" s="6" t="s">
        <v>48</v>
      </c>
      <c r="AG3676" s="15" t="s">
        <v>55</v>
      </c>
      <c r="AH3676" s="15"/>
      <c r="AI3676" s="15"/>
    </row>
    <row r="3677" spans="1:35" s="6" customFormat="1">
      <c r="A3677" s="6" t="s">
        <v>15572</v>
      </c>
      <c r="B3677" s="6" t="s">
        <v>15573</v>
      </c>
      <c r="C3677" s="6" t="s">
        <v>43</v>
      </c>
      <c r="D3677" s="6" t="s">
        <v>10937</v>
      </c>
      <c r="E3677" s="6" t="s">
        <v>10938</v>
      </c>
      <c r="F3677" s="6" t="s">
        <v>46</v>
      </c>
      <c r="G3677" s="6" t="s">
        <v>15574</v>
      </c>
      <c r="H3677" s="7"/>
      <c r="I3677" s="6" t="s">
        <v>48</v>
      </c>
      <c r="J3677" s="6" t="s">
        <v>48</v>
      </c>
      <c r="AG3677" s="15" t="s">
        <v>55</v>
      </c>
      <c r="AH3677" s="15"/>
      <c r="AI3677" s="15"/>
    </row>
    <row r="3678" spans="1:35" s="6" customFormat="1">
      <c r="A3678" s="6" t="s">
        <v>15575</v>
      </c>
      <c r="B3678" s="6" t="s">
        <v>15576</v>
      </c>
      <c r="C3678" s="6" t="s">
        <v>43</v>
      </c>
      <c r="D3678" s="6" t="s">
        <v>10937</v>
      </c>
      <c r="E3678" s="6" t="s">
        <v>10938</v>
      </c>
      <c r="F3678" s="6" t="s">
        <v>46</v>
      </c>
      <c r="G3678" s="6" t="s">
        <v>15577</v>
      </c>
      <c r="H3678" s="7"/>
      <c r="I3678" s="6" t="s">
        <v>48</v>
      </c>
      <c r="J3678" s="6" t="s">
        <v>48</v>
      </c>
      <c r="AG3678" s="15" t="s">
        <v>55</v>
      </c>
      <c r="AH3678" s="15"/>
      <c r="AI3678" s="15"/>
    </row>
    <row r="3679" spans="1:35" s="6" customFormat="1">
      <c r="A3679" s="6" t="s">
        <v>15578</v>
      </c>
      <c r="B3679" s="6" t="s">
        <v>15579</v>
      </c>
      <c r="C3679" s="6" t="s">
        <v>43</v>
      </c>
      <c r="D3679" s="6" t="s">
        <v>10937</v>
      </c>
      <c r="E3679" s="6" t="s">
        <v>10938</v>
      </c>
      <c r="F3679" s="6" t="s">
        <v>46</v>
      </c>
      <c r="G3679" s="6" t="s">
        <v>15580</v>
      </c>
      <c r="H3679" s="7"/>
      <c r="I3679" s="6" t="s">
        <v>48</v>
      </c>
      <c r="J3679" s="6" t="s">
        <v>48</v>
      </c>
      <c r="AG3679" s="15" t="s">
        <v>55</v>
      </c>
      <c r="AH3679" s="15"/>
      <c r="AI3679" s="15"/>
    </row>
    <row r="3680" spans="1:35" s="6" customFormat="1">
      <c r="A3680" s="6" t="s">
        <v>15581</v>
      </c>
      <c r="B3680" s="6" t="s">
        <v>15582</v>
      </c>
      <c r="C3680" s="6" t="s">
        <v>43</v>
      </c>
      <c r="D3680" s="6" t="s">
        <v>10937</v>
      </c>
      <c r="E3680" s="6" t="s">
        <v>10938</v>
      </c>
      <c r="F3680" s="6" t="s">
        <v>46</v>
      </c>
      <c r="G3680" s="6" t="s">
        <v>15583</v>
      </c>
      <c r="H3680" s="7"/>
      <c r="I3680" s="6" t="s">
        <v>48</v>
      </c>
      <c r="J3680" s="6" t="s">
        <v>48</v>
      </c>
      <c r="AG3680" s="15" t="s">
        <v>55</v>
      </c>
      <c r="AH3680" s="15"/>
      <c r="AI3680" s="15"/>
    </row>
    <row r="3681" spans="1:35" s="6" customFormat="1">
      <c r="A3681" s="6" t="s">
        <v>15584</v>
      </c>
      <c r="B3681" s="6" t="s">
        <v>15585</v>
      </c>
      <c r="C3681" s="6" t="s">
        <v>43</v>
      </c>
      <c r="D3681" s="6" t="s">
        <v>10937</v>
      </c>
      <c r="E3681" s="6" t="s">
        <v>10938</v>
      </c>
      <c r="F3681" s="6" t="s">
        <v>46</v>
      </c>
      <c r="G3681" s="6" t="s">
        <v>7317</v>
      </c>
      <c r="H3681" s="7"/>
      <c r="I3681" s="6" t="s">
        <v>48</v>
      </c>
      <c r="J3681" s="6" t="s">
        <v>48</v>
      </c>
      <c r="AG3681" s="15" t="s">
        <v>55</v>
      </c>
      <c r="AH3681" s="15"/>
      <c r="AI3681" s="15"/>
    </row>
    <row r="3682" spans="1:35" s="6" customFormat="1">
      <c r="A3682" s="6" t="s">
        <v>15586</v>
      </c>
      <c r="B3682" s="6" t="s">
        <v>15587</v>
      </c>
      <c r="C3682" s="6" t="s">
        <v>43</v>
      </c>
      <c r="D3682" s="6" t="s">
        <v>10937</v>
      </c>
      <c r="E3682" s="6" t="s">
        <v>10938</v>
      </c>
      <c r="F3682" s="6" t="s">
        <v>46</v>
      </c>
      <c r="G3682" s="6" t="s">
        <v>7317</v>
      </c>
      <c r="H3682" s="7"/>
      <c r="I3682" s="6" t="s">
        <v>48</v>
      </c>
      <c r="J3682" s="6" t="s">
        <v>48</v>
      </c>
      <c r="AG3682" s="15" t="s">
        <v>55</v>
      </c>
      <c r="AH3682" s="15"/>
      <c r="AI3682" s="15"/>
    </row>
    <row r="3683" spans="1:35" s="6" customFormat="1">
      <c r="A3683" s="6" t="s">
        <v>15588</v>
      </c>
      <c r="B3683" s="6" t="s">
        <v>15589</v>
      </c>
      <c r="C3683" s="6" t="s">
        <v>43</v>
      </c>
      <c r="D3683" s="6" t="s">
        <v>10937</v>
      </c>
      <c r="E3683" s="6" t="s">
        <v>10938</v>
      </c>
      <c r="F3683" s="6" t="s">
        <v>46</v>
      </c>
      <c r="G3683" s="6" t="s">
        <v>15590</v>
      </c>
      <c r="H3683" s="7"/>
      <c r="I3683" s="6" t="s">
        <v>48</v>
      </c>
      <c r="J3683" s="6" t="s">
        <v>48</v>
      </c>
      <c r="AG3683" s="15" t="s">
        <v>55</v>
      </c>
      <c r="AH3683" s="15"/>
      <c r="AI3683" s="15"/>
    </row>
    <row r="3684" spans="1:35" s="6" customFormat="1">
      <c r="A3684" s="6" t="s">
        <v>15591</v>
      </c>
      <c r="B3684" s="6" t="s">
        <v>15592</v>
      </c>
      <c r="C3684" s="6" t="s">
        <v>43</v>
      </c>
      <c r="D3684" s="6" t="s">
        <v>10937</v>
      </c>
      <c r="E3684" s="6" t="s">
        <v>10938</v>
      </c>
      <c r="F3684" s="6" t="s">
        <v>46</v>
      </c>
      <c r="G3684" s="6" t="s">
        <v>2825</v>
      </c>
      <c r="H3684" s="7"/>
      <c r="I3684" s="6" t="s">
        <v>48</v>
      </c>
      <c r="J3684" s="6" t="s">
        <v>48</v>
      </c>
      <c r="AG3684" s="15" t="s">
        <v>55</v>
      </c>
      <c r="AH3684" s="15"/>
      <c r="AI3684" s="15"/>
    </row>
    <row r="3685" spans="1:35" s="6" customFormat="1">
      <c r="A3685" s="6" t="s">
        <v>15593</v>
      </c>
      <c r="B3685" s="6" t="s">
        <v>15594</v>
      </c>
      <c r="C3685" s="6" t="s">
        <v>43</v>
      </c>
      <c r="D3685" s="6" t="s">
        <v>10937</v>
      </c>
      <c r="E3685" s="6" t="s">
        <v>10938</v>
      </c>
      <c r="F3685" s="6" t="s">
        <v>46</v>
      </c>
      <c r="G3685" s="6" t="s">
        <v>8119</v>
      </c>
      <c r="H3685" s="7"/>
      <c r="I3685" s="6" t="s">
        <v>48</v>
      </c>
      <c r="J3685" s="6" t="s">
        <v>48</v>
      </c>
      <c r="AG3685" s="15" t="s">
        <v>55</v>
      </c>
      <c r="AH3685" s="15"/>
      <c r="AI3685" s="15"/>
    </row>
    <row r="3686" spans="1:35" s="6" customFormat="1">
      <c r="A3686" s="6" t="s">
        <v>15595</v>
      </c>
      <c r="B3686" s="6" t="s">
        <v>15596</v>
      </c>
      <c r="C3686" s="6" t="s">
        <v>43</v>
      </c>
      <c r="D3686" s="6" t="s">
        <v>10937</v>
      </c>
      <c r="E3686" s="6" t="s">
        <v>10938</v>
      </c>
      <c r="F3686" s="6" t="s">
        <v>46</v>
      </c>
      <c r="G3686" s="6" t="s">
        <v>8221</v>
      </c>
      <c r="H3686" s="7"/>
      <c r="I3686" s="6" t="s">
        <v>48</v>
      </c>
      <c r="J3686" s="6" t="s">
        <v>48</v>
      </c>
      <c r="AG3686" s="15" t="s">
        <v>55</v>
      </c>
      <c r="AH3686" s="15"/>
      <c r="AI3686" s="15"/>
    </row>
    <row r="3687" spans="1:35" s="6" customFormat="1">
      <c r="A3687" s="6" t="s">
        <v>15597</v>
      </c>
      <c r="B3687" s="6" t="s">
        <v>15598</v>
      </c>
      <c r="C3687" s="6" t="s">
        <v>43</v>
      </c>
      <c r="D3687" s="6" t="s">
        <v>10937</v>
      </c>
      <c r="E3687" s="6" t="s">
        <v>10938</v>
      </c>
      <c r="F3687" s="6" t="s">
        <v>46</v>
      </c>
      <c r="G3687" s="6" t="s">
        <v>15599</v>
      </c>
      <c r="H3687" s="7"/>
      <c r="I3687" s="6" t="s">
        <v>48</v>
      </c>
      <c r="J3687" s="6" t="s">
        <v>48</v>
      </c>
      <c r="AG3687" s="15" t="s">
        <v>55</v>
      </c>
      <c r="AH3687" s="15"/>
      <c r="AI3687" s="15"/>
    </row>
    <row r="3688" spans="1:35" s="6" customFormat="1">
      <c r="A3688" s="6" t="s">
        <v>15600</v>
      </c>
      <c r="B3688" s="6" t="s">
        <v>15601</v>
      </c>
      <c r="C3688" s="6" t="s">
        <v>43</v>
      </c>
      <c r="D3688" s="6" t="s">
        <v>10937</v>
      </c>
      <c r="E3688" s="6" t="s">
        <v>10938</v>
      </c>
      <c r="F3688" s="6" t="s">
        <v>46</v>
      </c>
      <c r="G3688" s="6" t="s">
        <v>15602</v>
      </c>
      <c r="H3688" s="7"/>
      <c r="I3688" s="6" t="s">
        <v>48</v>
      </c>
      <c r="J3688" s="6" t="s">
        <v>48</v>
      </c>
      <c r="AG3688" s="15" t="s">
        <v>55</v>
      </c>
      <c r="AH3688" s="15"/>
      <c r="AI3688" s="15"/>
    </row>
    <row r="3689" spans="1:35" s="6" customFormat="1">
      <c r="A3689" s="6" t="s">
        <v>15603</v>
      </c>
      <c r="B3689" s="6" t="s">
        <v>15604</v>
      </c>
      <c r="C3689" s="6" t="s">
        <v>43</v>
      </c>
      <c r="D3689" s="6" t="s">
        <v>10937</v>
      </c>
      <c r="E3689" s="6" t="s">
        <v>10938</v>
      </c>
      <c r="F3689" s="6" t="s">
        <v>46</v>
      </c>
      <c r="G3689" s="6" t="s">
        <v>7978</v>
      </c>
      <c r="H3689" s="7"/>
      <c r="I3689" s="5" t="s">
        <v>48</v>
      </c>
      <c r="J3689" s="5" t="s">
        <v>48</v>
      </c>
      <c r="AG3689" s="15" t="s">
        <v>55</v>
      </c>
      <c r="AH3689" s="15"/>
      <c r="AI3689" s="15"/>
    </row>
    <row r="3690" spans="1:35" s="6" customFormat="1">
      <c r="A3690" s="6" t="s">
        <v>15605</v>
      </c>
      <c r="B3690" s="6" t="s">
        <v>15606</v>
      </c>
      <c r="C3690" s="6" t="s">
        <v>43</v>
      </c>
      <c r="D3690" s="6" t="s">
        <v>10937</v>
      </c>
      <c r="E3690" s="6" t="s">
        <v>10938</v>
      </c>
      <c r="F3690" s="6" t="s">
        <v>46</v>
      </c>
      <c r="G3690" s="6" t="s">
        <v>15607</v>
      </c>
      <c r="H3690" s="7"/>
      <c r="I3690" s="6" t="s">
        <v>48</v>
      </c>
      <c r="J3690" s="6" t="s">
        <v>48</v>
      </c>
      <c r="AG3690" s="15" t="s">
        <v>55</v>
      </c>
      <c r="AH3690" s="15"/>
      <c r="AI3690" s="15"/>
    </row>
    <row r="3691" spans="1:35" s="6" customFormat="1">
      <c r="A3691" s="6" t="s">
        <v>15608</v>
      </c>
      <c r="B3691" s="6" t="s">
        <v>15609</v>
      </c>
      <c r="C3691" s="6" t="s">
        <v>14347</v>
      </c>
      <c r="D3691" s="6" t="s">
        <v>10937</v>
      </c>
      <c r="E3691" s="6" t="s">
        <v>10938</v>
      </c>
      <c r="F3691" s="6" t="s">
        <v>46</v>
      </c>
      <c r="G3691" s="6" t="s">
        <v>2918</v>
      </c>
      <c r="H3691" s="7"/>
      <c r="I3691" s="6" t="s">
        <v>48</v>
      </c>
      <c r="J3691" s="6" t="s">
        <v>48</v>
      </c>
      <c r="AG3691" s="15" t="s">
        <v>55</v>
      </c>
      <c r="AH3691" s="15"/>
      <c r="AI3691" s="15"/>
    </row>
    <row r="3692" spans="1:35" s="6" customFormat="1">
      <c r="A3692" s="6" t="s">
        <v>15610</v>
      </c>
      <c r="B3692" s="6" t="s">
        <v>15611</v>
      </c>
      <c r="C3692" s="6" t="s">
        <v>43</v>
      </c>
      <c r="D3692" s="6" t="s">
        <v>10937</v>
      </c>
      <c r="E3692" s="6" t="s">
        <v>10938</v>
      </c>
      <c r="F3692" s="6" t="s">
        <v>46</v>
      </c>
      <c r="G3692" s="6" t="s">
        <v>8440</v>
      </c>
      <c r="H3692" s="7"/>
      <c r="I3692" s="6" t="s">
        <v>48</v>
      </c>
      <c r="J3692" s="6" t="s">
        <v>48</v>
      </c>
      <c r="AG3692" s="15" t="s">
        <v>55</v>
      </c>
      <c r="AH3692" s="15"/>
      <c r="AI3692" s="15"/>
    </row>
    <row r="3693" spans="1:35" s="6" customFormat="1">
      <c r="A3693" s="6" t="s">
        <v>15612</v>
      </c>
      <c r="B3693" s="6" t="s">
        <v>15613</v>
      </c>
      <c r="C3693" s="6" t="s">
        <v>43</v>
      </c>
      <c r="D3693" s="6" t="s">
        <v>10937</v>
      </c>
      <c r="E3693" s="6" t="s">
        <v>10938</v>
      </c>
      <c r="F3693" s="6" t="s">
        <v>46</v>
      </c>
      <c r="G3693" s="6" t="s">
        <v>15614</v>
      </c>
      <c r="H3693" s="7"/>
      <c r="I3693" s="6" t="s">
        <v>48</v>
      </c>
      <c r="J3693" s="6" t="s">
        <v>48</v>
      </c>
      <c r="AG3693" s="15" t="s">
        <v>55</v>
      </c>
      <c r="AH3693" s="15"/>
      <c r="AI3693" s="15"/>
    </row>
    <row r="3694" spans="1:35" s="6" customFormat="1">
      <c r="A3694" s="6" t="s">
        <v>15615</v>
      </c>
      <c r="B3694" s="6" t="s">
        <v>15616</v>
      </c>
      <c r="C3694" s="6" t="s">
        <v>43</v>
      </c>
      <c r="D3694" s="6" t="s">
        <v>10937</v>
      </c>
      <c r="E3694" s="6" t="s">
        <v>10938</v>
      </c>
      <c r="F3694" s="6" t="s">
        <v>46</v>
      </c>
      <c r="G3694" s="6" t="s">
        <v>14305</v>
      </c>
      <c r="H3694" s="7"/>
      <c r="I3694" s="6" t="s">
        <v>48</v>
      </c>
      <c r="J3694" s="6" t="s">
        <v>48</v>
      </c>
      <c r="AG3694" s="15" t="s">
        <v>55</v>
      </c>
      <c r="AH3694" s="15"/>
      <c r="AI3694" s="15"/>
    </row>
    <row r="3695" spans="1:35" s="6" customFormat="1">
      <c r="A3695" s="6" t="s">
        <v>15617</v>
      </c>
      <c r="B3695" s="6" t="s">
        <v>15618</v>
      </c>
      <c r="C3695" s="6" t="s">
        <v>43</v>
      </c>
      <c r="D3695" s="6" t="s">
        <v>10937</v>
      </c>
      <c r="E3695" s="6" t="s">
        <v>10938</v>
      </c>
      <c r="F3695" s="6" t="s">
        <v>46</v>
      </c>
      <c r="G3695" s="6" t="s">
        <v>1935</v>
      </c>
      <c r="H3695" s="7"/>
      <c r="I3695" s="6" t="s">
        <v>48</v>
      </c>
      <c r="J3695" s="6" t="s">
        <v>48</v>
      </c>
      <c r="AG3695" s="15" t="s">
        <v>55</v>
      </c>
      <c r="AH3695" s="15"/>
      <c r="AI3695" s="15"/>
    </row>
    <row r="3696" spans="1:35" s="6" customFormat="1">
      <c r="A3696" s="6" t="s">
        <v>15619</v>
      </c>
      <c r="B3696" s="6" t="s">
        <v>15620</v>
      </c>
      <c r="C3696" s="6" t="s">
        <v>43</v>
      </c>
      <c r="D3696" s="6" t="s">
        <v>10937</v>
      </c>
      <c r="E3696" s="6" t="s">
        <v>10938</v>
      </c>
      <c r="F3696" s="6" t="s">
        <v>46</v>
      </c>
      <c r="G3696" s="6" t="s">
        <v>2825</v>
      </c>
      <c r="H3696" s="7"/>
      <c r="I3696" s="6" t="s">
        <v>48</v>
      </c>
      <c r="J3696" s="6" t="s">
        <v>48</v>
      </c>
      <c r="AG3696" s="15" t="s">
        <v>55</v>
      </c>
      <c r="AH3696" s="15"/>
      <c r="AI3696" s="15"/>
    </row>
    <row r="3697" spans="1:35" s="6" customFormat="1">
      <c r="A3697" s="6" t="s">
        <v>15621</v>
      </c>
      <c r="B3697" s="6" t="s">
        <v>15622</v>
      </c>
      <c r="C3697" s="6" t="s">
        <v>43</v>
      </c>
      <c r="D3697" s="6" t="s">
        <v>10937</v>
      </c>
      <c r="E3697" s="6" t="s">
        <v>10938</v>
      </c>
      <c r="F3697" s="6" t="s">
        <v>46</v>
      </c>
      <c r="G3697" s="6" t="s">
        <v>2825</v>
      </c>
      <c r="H3697" s="7"/>
      <c r="I3697" s="6" t="s">
        <v>48</v>
      </c>
      <c r="J3697" s="6" t="s">
        <v>48</v>
      </c>
      <c r="AG3697" s="15" t="s">
        <v>55</v>
      </c>
      <c r="AH3697" s="15"/>
      <c r="AI3697" s="15"/>
    </row>
    <row r="3698" spans="1:35" s="6" customFormat="1">
      <c r="A3698" s="6" t="s">
        <v>15623</v>
      </c>
      <c r="B3698" s="6" t="s">
        <v>15624</v>
      </c>
      <c r="C3698" s="6" t="s">
        <v>43</v>
      </c>
      <c r="D3698" s="6" t="s">
        <v>10937</v>
      </c>
      <c r="E3698" s="6" t="s">
        <v>10938</v>
      </c>
      <c r="F3698" s="6" t="s">
        <v>46</v>
      </c>
      <c r="G3698" s="6" t="s">
        <v>15625</v>
      </c>
      <c r="H3698" s="7"/>
      <c r="I3698" s="5" t="s">
        <v>48</v>
      </c>
      <c r="J3698" s="5" t="s">
        <v>48</v>
      </c>
      <c r="AG3698" s="15" t="s">
        <v>55</v>
      </c>
      <c r="AH3698" s="15"/>
      <c r="AI3698" s="15"/>
    </row>
    <row r="3699" spans="1:35" s="6" customFormat="1">
      <c r="A3699" s="6" t="s">
        <v>15626</v>
      </c>
      <c r="B3699" s="6" t="s">
        <v>15627</v>
      </c>
      <c r="C3699" s="6" t="s">
        <v>43</v>
      </c>
      <c r="D3699" s="6" t="s">
        <v>10937</v>
      </c>
      <c r="E3699" s="6" t="s">
        <v>10938</v>
      </c>
      <c r="F3699" s="6" t="s">
        <v>46</v>
      </c>
      <c r="G3699" s="6" t="s">
        <v>15628</v>
      </c>
      <c r="H3699" s="7"/>
      <c r="I3699" s="6" t="s">
        <v>48</v>
      </c>
      <c r="J3699" s="6" t="s">
        <v>48</v>
      </c>
      <c r="AG3699" s="15" t="s">
        <v>55</v>
      </c>
      <c r="AH3699" s="15"/>
      <c r="AI3699" s="15"/>
    </row>
    <row r="3700" spans="1:35" s="6" customFormat="1">
      <c r="A3700" s="6" t="s">
        <v>15629</v>
      </c>
      <c r="B3700" s="6" t="s">
        <v>15630</v>
      </c>
      <c r="C3700" s="6" t="s">
        <v>43</v>
      </c>
      <c r="D3700" s="6" t="s">
        <v>10937</v>
      </c>
      <c r="E3700" s="6" t="s">
        <v>10938</v>
      </c>
      <c r="F3700" s="6" t="s">
        <v>46</v>
      </c>
      <c r="G3700" s="6" t="s">
        <v>4612</v>
      </c>
      <c r="H3700" s="7"/>
      <c r="I3700" s="6" t="s">
        <v>48</v>
      </c>
      <c r="J3700" s="6" t="s">
        <v>48</v>
      </c>
      <c r="AG3700" s="15" t="s">
        <v>55</v>
      </c>
      <c r="AH3700" s="15"/>
      <c r="AI3700" s="15"/>
    </row>
    <row r="3701" spans="1:35" s="6" customFormat="1">
      <c r="A3701" s="6" t="s">
        <v>15631</v>
      </c>
      <c r="B3701" s="6" t="s">
        <v>15632</v>
      </c>
      <c r="C3701" s="6" t="s">
        <v>43</v>
      </c>
      <c r="D3701" s="6" t="s">
        <v>10937</v>
      </c>
      <c r="E3701" s="6" t="s">
        <v>10938</v>
      </c>
      <c r="F3701" s="6" t="s">
        <v>46</v>
      </c>
      <c r="G3701" s="6" t="s">
        <v>15633</v>
      </c>
      <c r="H3701" s="7"/>
      <c r="I3701" s="6" t="s">
        <v>48</v>
      </c>
      <c r="J3701" s="6" t="s">
        <v>48</v>
      </c>
      <c r="AG3701" s="15" t="s">
        <v>55</v>
      </c>
      <c r="AH3701" s="15"/>
      <c r="AI3701" s="15"/>
    </row>
    <row r="3702" spans="1:35" s="6" customFormat="1">
      <c r="A3702" s="6" t="s">
        <v>15634</v>
      </c>
      <c r="B3702" s="6" t="s">
        <v>15630</v>
      </c>
      <c r="C3702" s="6" t="s">
        <v>43</v>
      </c>
      <c r="D3702" s="6" t="s">
        <v>10937</v>
      </c>
      <c r="E3702" s="6" t="s">
        <v>10938</v>
      </c>
      <c r="F3702" s="6" t="s">
        <v>46</v>
      </c>
      <c r="G3702" s="6" t="s">
        <v>15635</v>
      </c>
      <c r="H3702" s="7"/>
      <c r="I3702" s="6" t="s">
        <v>48</v>
      </c>
      <c r="J3702" s="6" t="s">
        <v>48</v>
      </c>
      <c r="AG3702" s="15" t="s">
        <v>55</v>
      </c>
      <c r="AH3702" s="15"/>
      <c r="AI3702" s="15"/>
    </row>
    <row r="3703" spans="1:35" s="6" customFormat="1">
      <c r="A3703" s="6" t="s">
        <v>15636</v>
      </c>
      <c r="B3703" s="6" t="s">
        <v>15637</v>
      </c>
      <c r="C3703" s="6" t="s">
        <v>43</v>
      </c>
      <c r="D3703" s="6" t="s">
        <v>10937</v>
      </c>
      <c r="E3703" s="6" t="s">
        <v>10938</v>
      </c>
      <c r="F3703" s="6" t="s">
        <v>46</v>
      </c>
      <c r="G3703" s="6" t="s">
        <v>11416</v>
      </c>
      <c r="H3703" s="7"/>
      <c r="I3703" s="5" t="s">
        <v>48</v>
      </c>
      <c r="J3703" s="5" t="s">
        <v>48</v>
      </c>
      <c r="AG3703" s="15" t="s">
        <v>55</v>
      </c>
      <c r="AH3703" s="15"/>
      <c r="AI3703" s="15"/>
    </row>
    <row r="3704" spans="1:35" s="6" customFormat="1">
      <c r="A3704" s="6" t="s">
        <v>15638</v>
      </c>
      <c r="B3704" s="6" t="s">
        <v>15639</v>
      </c>
      <c r="C3704" s="6" t="s">
        <v>14784</v>
      </c>
      <c r="D3704" s="6" t="s">
        <v>10937</v>
      </c>
      <c r="E3704" s="6" t="s">
        <v>10938</v>
      </c>
      <c r="F3704" s="6" t="s">
        <v>46</v>
      </c>
      <c r="G3704" s="6" t="s">
        <v>15640</v>
      </c>
      <c r="H3704" s="7"/>
      <c r="I3704" s="6" t="s">
        <v>48</v>
      </c>
      <c r="J3704" s="6" t="s">
        <v>48</v>
      </c>
      <c r="AG3704" s="15" t="s">
        <v>55</v>
      </c>
      <c r="AH3704" s="15"/>
      <c r="AI3704" s="15"/>
    </row>
    <row r="3705" spans="1:35" s="6" customFormat="1">
      <c r="A3705" s="6" t="s">
        <v>15641</v>
      </c>
      <c r="B3705" s="6" t="s">
        <v>15642</v>
      </c>
      <c r="C3705" s="6" t="s">
        <v>14347</v>
      </c>
      <c r="D3705" s="6" t="s">
        <v>10937</v>
      </c>
      <c r="E3705" s="6" t="s">
        <v>10938</v>
      </c>
      <c r="F3705" s="6" t="s">
        <v>46</v>
      </c>
      <c r="G3705" s="6" t="s">
        <v>15643</v>
      </c>
      <c r="H3705" s="7"/>
      <c r="I3705" s="5" t="s">
        <v>48</v>
      </c>
      <c r="J3705" s="5" t="s">
        <v>48</v>
      </c>
      <c r="AG3705" s="15" t="s">
        <v>55</v>
      </c>
      <c r="AH3705" s="15"/>
      <c r="AI3705" s="15"/>
    </row>
    <row r="3706" spans="1:35" s="6" customFormat="1">
      <c r="A3706" s="6" t="s">
        <v>15644</v>
      </c>
      <c r="B3706" s="6" t="s">
        <v>15645</v>
      </c>
      <c r="C3706" s="6" t="s">
        <v>14347</v>
      </c>
      <c r="D3706" s="6" t="s">
        <v>10937</v>
      </c>
      <c r="E3706" s="6" t="s">
        <v>10938</v>
      </c>
      <c r="F3706" s="6" t="s">
        <v>46</v>
      </c>
      <c r="G3706" s="6" t="s">
        <v>3859</v>
      </c>
      <c r="H3706" s="7"/>
      <c r="I3706" s="5" t="s">
        <v>48</v>
      </c>
      <c r="J3706" s="5" t="s">
        <v>48</v>
      </c>
      <c r="AG3706" s="15" t="s">
        <v>55</v>
      </c>
      <c r="AH3706" s="15"/>
      <c r="AI3706" s="15"/>
    </row>
    <row r="3707" spans="1:35" s="6" customFormat="1">
      <c r="A3707" s="6" t="s">
        <v>15646</v>
      </c>
      <c r="B3707" s="6" t="s">
        <v>15647</v>
      </c>
      <c r="C3707" s="6" t="s">
        <v>15648</v>
      </c>
      <c r="D3707" s="6" t="s">
        <v>10937</v>
      </c>
      <c r="E3707" s="6" t="s">
        <v>10938</v>
      </c>
      <c r="F3707" s="6" t="s">
        <v>46</v>
      </c>
      <c r="G3707" s="6" t="s">
        <v>7993</v>
      </c>
      <c r="H3707" s="7"/>
      <c r="I3707" s="6" t="s">
        <v>48</v>
      </c>
      <c r="J3707" s="6" t="s">
        <v>48</v>
      </c>
      <c r="AG3707" s="15" t="s">
        <v>55</v>
      </c>
      <c r="AH3707" s="15"/>
      <c r="AI3707" s="15"/>
    </row>
    <row r="3708" spans="1:35" s="6" customFormat="1">
      <c r="A3708" s="6" t="s">
        <v>15649</v>
      </c>
      <c r="B3708" s="6" t="s">
        <v>15650</v>
      </c>
      <c r="C3708" s="6" t="s">
        <v>43</v>
      </c>
      <c r="D3708" s="6" t="s">
        <v>10937</v>
      </c>
      <c r="E3708" s="6" t="s">
        <v>10938</v>
      </c>
      <c r="F3708" s="6" t="s">
        <v>46</v>
      </c>
      <c r="G3708" s="6" t="s">
        <v>15651</v>
      </c>
      <c r="H3708" s="7"/>
      <c r="I3708" s="6" t="s">
        <v>48</v>
      </c>
      <c r="J3708" s="6" t="s">
        <v>48</v>
      </c>
      <c r="AG3708" s="15" t="s">
        <v>55</v>
      </c>
      <c r="AH3708" s="15"/>
      <c r="AI3708" s="15"/>
    </row>
    <row r="3709" spans="1:35" s="6" customFormat="1">
      <c r="A3709" s="6" t="s">
        <v>15652</v>
      </c>
      <c r="B3709" s="6" t="s">
        <v>15653</v>
      </c>
      <c r="C3709" s="6" t="s">
        <v>43</v>
      </c>
      <c r="D3709" s="6" t="s">
        <v>10937</v>
      </c>
      <c r="E3709" s="6" t="s">
        <v>10938</v>
      </c>
      <c r="F3709" s="6" t="s">
        <v>46</v>
      </c>
      <c r="G3709" s="6" t="s">
        <v>3725</v>
      </c>
      <c r="H3709" s="7"/>
      <c r="I3709" s="5" t="s">
        <v>48</v>
      </c>
      <c r="J3709" s="5" t="s">
        <v>48</v>
      </c>
      <c r="AG3709" s="15" t="s">
        <v>55</v>
      </c>
      <c r="AH3709" s="15"/>
      <c r="AI3709" s="15"/>
    </row>
    <row r="3710" spans="1:35" s="6" customFormat="1">
      <c r="A3710" s="6" t="s">
        <v>15654</v>
      </c>
      <c r="B3710" s="6" t="s">
        <v>15655</v>
      </c>
      <c r="C3710" s="6" t="s">
        <v>14347</v>
      </c>
      <c r="D3710" s="6" t="s">
        <v>10937</v>
      </c>
      <c r="E3710" s="6" t="s">
        <v>10938</v>
      </c>
      <c r="F3710" s="6" t="s">
        <v>46</v>
      </c>
      <c r="G3710" s="6" t="s">
        <v>3315</v>
      </c>
      <c r="H3710" s="7"/>
      <c r="I3710" s="6" t="s">
        <v>48</v>
      </c>
      <c r="J3710" s="6" t="s">
        <v>48</v>
      </c>
      <c r="AG3710" s="15" t="s">
        <v>55</v>
      </c>
      <c r="AH3710" s="15"/>
      <c r="AI3710" s="15"/>
    </row>
    <row r="3711" spans="1:35" s="6" customFormat="1">
      <c r="A3711" s="6" t="s">
        <v>15656</v>
      </c>
      <c r="B3711" s="6" t="s">
        <v>15657</v>
      </c>
      <c r="C3711" s="6" t="s">
        <v>43</v>
      </c>
      <c r="D3711" s="6" t="s">
        <v>10937</v>
      </c>
      <c r="E3711" s="6" t="s">
        <v>10938</v>
      </c>
      <c r="F3711" s="6" t="s">
        <v>46</v>
      </c>
      <c r="G3711" s="6" t="s">
        <v>15658</v>
      </c>
      <c r="H3711" s="7"/>
      <c r="I3711" s="6" t="s">
        <v>48</v>
      </c>
      <c r="J3711" s="6" t="s">
        <v>48</v>
      </c>
      <c r="AG3711" s="15" t="s">
        <v>55</v>
      </c>
      <c r="AH3711" s="15"/>
      <c r="AI3711" s="15"/>
    </row>
    <row r="3712" spans="1:35" s="6" customFormat="1">
      <c r="A3712" s="6" t="s">
        <v>15659</v>
      </c>
      <c r="B3712" s="6" t="s">
        <v>15660</v>
      </c>
      <c r="C3712" s="6" t="s">
        <v>43</v>
      </c>
      <c r="D3712" s="6" t="s">
        <v>10937</v>
      </c>
      <c r="E3712" s="6" t="s">
        <v>10938</v>
      </c>
      <c r="F3712" s="6" t="s">
        <v>46</v>
      </c>
      <c r="G3712" s="6" t="s">
        <v>15661</v>
      </c>
      <c r="H3712" s="7"/>
      <c r="I3712" s="6" t="s">
        <v>48</v>
      </c>
      <c r="J3712" s="6" t="s">
        <v>48</v>
      </c>
      <c r="AG3712" s="15" t="s">
        <v>55</v>
      </c>
      <c r="AH3712" s="15"/>
      <c r="AI3712" s="15"/>
    </row>
    <row r="3713" spans="1:37" s="6" customFormat="1">
      <c r="A3713" s="6" t="s">
        <v>15662</v>
      </c>
      <c r="B3713" s="6" t="s">
        <v>15663</v>
      </c>
      <c r="C3713" s="6" t="s">
        <v>43</v>
      </c>
      <c r="D3713" s="6" t="s">
        <v>10937</v>
      </c>
      <c r="E3713" s="6" t="s">
        <v>10938</v>
      </c>
      <c r="F3713" s="6" t="s">
        <v>46</v>
      </c>
      <c r="G3713" s="6" t="s">
        <v>9029</v>
      </c>
      <c r="H3713" s="7"/>
      <c r="I3713" s="6" t="s">
        <v>48</v>
      </c>
      <c r="J3713" s="6" t="s">
        <v>48</v>
      </c>
      <c r="AG3713" s="15" t="s">
        <v>55</v>
      </c>
      <c r="AH3713" s="15"/>
      <c r="AI3713" s="15"/>
    </row>
    <row r="3714" spans="1:37" s="6" customFormat="1">
      <c r="A3714" s="6" t="s">
        <v>15664</v>
      </c>
      <c r="B3714" s="6" t="s">
        <v>15665</v>
      </c>
      <c r="C3714" s="6" t="s">
        <v>43</v>
      </c>
      <c r="D3714" s="6" t="s">
        <v>10937</v>
      </c>
      <c r="E3714" s="6" t="s">
        <v>10938</v>
      </c>
      <c r="F3714" s="6" t="s">
        <v>46</v>
      </c>
      <c r="G3714" s="6" t="s">
        <v>3315</v>
      </c>
      <c r="H3714" s="7"/>
      <c r="I3714" s="6" t="s">
        <v>48</v>
      </c>
      <c r="J3714" s="6" t="s">
        <v>48</v>
      </c>
      <c r="AG3714" s="15" t="s">
        <v>55</v>
      </c>
      <c r="AH3714" s="15"/>
      <c r="AI3714" s="15"/>
    </row>
    <row r="3715" spans="1:37" s="6" customFormat="1">
      <c r="A3715" s="6" t="s">
        <v>15666</v>
      </c>
      <c r="B3715" s="6" t="s">
        <v>15667</v>
      </c>
      <c r="C3715" s="6" t="s">
        <v>43</v>
      </c>
      <c r="D3715" s="6" t="s">
        <v>10937</v>
      </c>
      <c r="E3715" s="6" t="s">
        <v>10938</v>
      </c>
      <c r="F3715" s="6" t="s">
        <v>46</v>
      </c>
      <c r="G3715" s="6" t="s">
        <v>15460</v>
      </c>
      <c r="H3715" s="7"/>
      <c r="I3715" s="6" t="s">
        <v>48</v>
      </c>
      <c r="J3715" s="6" t="s">
        <v>48</v>
      </c>
      <c r="AG3715" s="15" t="s">
        <v>55</v>
      </c>
      <c r="AH3715" s="15"/>
      <c r="AI3715" s="15"/>
    </row>
    <row r="3716" spans="1:37" s="6" customFormat="1">
      <c r="A3716" s="6" t="s">
        <v>15668</v>
      </c>
      <c r="B3716" s="6" t="s">
        <v>15669</v>
      </c>
      <c r="C3716" s="6" t="s">
        <v>43</v>
      </c>
      <c r="D3716" s="6" t="s">
        <v>10937</v>
      </c>
      <c r="E3716" s="6" t="s">
        <v>10938</v>
      </c>
      <c r="F3716" s="6" t="s">
        <v>46</v>
      </c>
      <c r="G3716" s="6" t="s">
        <v>15142</v>
      </c>
      <c r="H3716" s="7"/>
      <c r="I3716" s="6" t="s">
        <v>48</v>
      </c>
      <c r="J3716" s="6" t="s">
        <v>48</v>
      </c>
      <c r="AG3716" s="15" t="s">
        <v>55</v>
      </c>
      <c r="AH3716" s="15"/>
      <c r="AI3716" s="15"/>
    </row>
    <row r="3717" spans="1:37" s="6" customFormat="1">
      <c r="A3717" s="6" t="s">
        <v>15670</v>
      </c>
      <c r="B3717" s="6" t="s">
        <v>15671</v>
      </c>
      <c r="C3717" s="6" t="s">
        <v>14347</v>
      </c>
      <c r="D3717" s="6" t="s">
        <v>10937</v>
      </c>
      <c r="E3717" s="6" t="s">
        <v>10938</v>
      </c>
      <c r="F3717" s="6" t="s">
        <v>46</v>
      </c>
      <c r="G3717" s="6" t="s">
        <v>3315</v>
      </c>
      <c r="H3717" s="7"/>
      <c r="I3717" s="5" t="s">
        <v>48</v>
      </c>
      <c r="J3717" s="5" t="s">
        <v>48</v>
      </c>
      <c r="AG3717" s="15" t="s">
        <v>55</v>
      </c>
      <c r="AH3717" s="15"/>
      <c r="AI3717" s="15"/>
    </row>
    <row r="3718" spans="1:37" s="6" customFormat="1">
      <c r="A3718" s="6" t="s">
        <v>15672</v>
      </c>
      <c r="B3718" s="6" t="s">
        <v>15673</v>
      </c>
      <c r="C3718" s="6" t="s">
        <v>43</v>
      </c>
      <c r="D3718" s="6" t="s">
        <v>10937</v>
      </c>
      <c r="E3718" s="6" t="s">
        <v>10938</v>
      </c>
      <c r="F3718" s="6" t="s">
        <v>46</v>
      </c>
      <c r="G3718" s="6" t="s">
        <v>8730</v>
      </c>
      <c r="H3718" s="7"/>
      <c r="I3718" s="6" t="s">
        <v>48</v>
      </c>
      <c r="J3718" s="6" t="s">
        <v>48</v>
      </c>
      <c r="AG3718" s="15" t="s">
        <v>55</v>
      </c>
      <c r="AH3718" s="15"/>
      <c r="AI3718" s="15"/>
    </row>
    <row r="3719" spans="1:37" s="6" customFormat="1">
      <c r="A3719" s="6" t="s">
        <v>15674</v>
      </c>
      <c r="B3719" s="6" t="s">
        <v>15675</v>
      </c>
      <c r="C3719" s="6" t="s">
        <v>43</v>
      </c>
      <c r="D3719" s="6" t="s">
        <v>10937</v>
      </c>
      <c r="E3719" s="6" t="s">
        <v>10938</v>
      </c>
      <c r="F3719" s="6" t="s">
        <v>46</v>
      </c>
      <c r="G3719" s="6" t="s">
        <v>2522</v>
      </c>
      <c r="H3719" s="7"/>
      <c r="I3719" s="5" t="s">
        <v>48</v>
      </c>
      <c r="J3719" s="5" t="s">
        <v>48</v>
      </c>
      <c r="AG3719" s="15" t="s">
        <v>55</v>
      </c>
      <c r="AH3719" s="15"/>
      <c r="AI3719" s="15"/>
    </row>
    <row r="3720" spans="1:37" s="6" customFormat="1">
      <c r="A3720" s="5" t="s">
        <v>15676</v>
      </c>
      <c r="B3720" s="5" t="s">
        <v>15677</v>
      </c>
      <c r="C3720" s="6" t="s">
        <v>43</v>
      </c>
      <c r="D3720" s="6" t="s">
        <v>10937</v>
      </c>
      <c r="E3720" s="6" t="s">
        <v>10938</v>
      </c>
      <c r="F3720" s="6" t="s">
        <v>46</v>
      </c>
      <c r="G3720" s="6" t="s">
        <v>2522</v>
      </c>
      <c r="H3720" s="18">
        <v>999</v>
      </c>
      <c r="I3720" s="19" t="s">
        <v>13662</v>
      </c>
      <c r="J3720" s="19" t="s">
        <v>14651</v>
      </c>
      <c r="K3720" s="6" t="s">
        <v>15678</v>
      </c>
      <c r="L3720" s="6" t="s">
        <v>15679</v>
      </c>
      <c r="M3720" s="6" t="s">
        <v>15680</v>
      </c>
      <c r="N3720" s="6" t="s">
        <v>15681</v>
      </c>
      <c r="O3720" s="6" t="s">
        <v>15682</v>
      </c>
      <c r="P3720" s="6" t="s">
        <v>15683</v>
      </c>
      <c r="Q3720" s="6" t="s">
        <v>15684</v>
      </c>
      <c r="R3720" s="6" t="s">
        <v>15685</v>
      </c>
      <c r="S3720" s="6" t="s">
        <v>13672</v>
      </c>
      <c r="T3720" s="6" t="s">
        <v>13697</v>
      </c>
      <c r="U3720" s="6" t="s">
        <v>13674</v>
      </c>
      <c r="V3720" s="6" t="s">
        <v>13675</v>
      </c>
      <c r="W3720" s="6" t="s">
        <v>13676</v>
      </c>
      <c r="X3720" s="6" t="s">
        <v>13677</v>
      </c>
      <c r="Y3720" s="6" t="s">
        <v>13678</v>
      </c>
      <c r="Z3720" s="6" t="s">
        <v>13679</v>
      </c>
      <c r="AA3720" s="6" t="s">
        <v>13680</v>
      </c>
      <c r="AB3720" s="6" t="s">
        <v>13681</v>
      </c>
      <c r="AC3720" s="6" t="s">
        <v>13682</v>
      </c>
      <c r="AD3720" s="6" t="s">
        <v>13683</v>
      </c>
      <c r="AE3720" s="5"/>
      <c r="AF3720" s="5"/>
      <c r="AG3720" s="14" t="s">
        <v>49</v>
      </c>
      <c r="AH3720" s="14" t="s">
        <v>1102</v>
      </c>
      <c r="AI3720" s="14" t="s">
        <v>13684</v>
      </c>
      <c r="AJ3720" s="5" t="s">
        <v>13685</v>
      </c>
      <c r="AK3720" s="5"/>
    </row>
    <row r="3721" spans="1:37">
      <c r="A3721" s="5" t="s">
        <v>15686</v>
      </c>
      <c r="B3721" s="5" t="s">
        <v>15687</v>
      </c>
      <c r="C3721" s="6" t="s">
        <v>14347</v>
      </c>
      <c r="D3721" s="6" t="s">
        <v>10937</v>
      </c>
      <c r="E3721" s="6" t="s">
        <v>10938</v>
      </c>
      <c r="F3721" s="6" t="s">
        <v>46</v>
      </c>
      <c r="G3721" s="6" t="s">
        <v>15688</v>
      </c>
      <c r="H3721" s="18">
        <v>999</v>
      </c>
      <c r="I3721" s="19" t="s">
        <v>13662</v>
      </c>
      <c r="J3721" s="19" t="s">
        <v>14651</v>
      </c>
      <c r="K3721" s="6" t="s">
        <v>15689</v>
      </c>
      <c r="L3721" s="6" t="s">
        <v>15690</v>
      </c>
      <c r="M3721" s="6" t="s">
        <v>15691</v>
      </c>
      <c r="N3721" s="6" t="s">
        <v>15692</v>
      </c>
      <c r="O3721" s="6" t="s">
        <v>15693</v>
      </c>
      <c r="P3721" s="6" t="s">
        <v>15694</v>
      </c>
      <c r="Q3721" s="6" t="s">
        <v>15695</v>
      </c>
      <c r="R3721" s="6" t="s">
        <v>15696</v>
      </c>
      <c r="S3721" s="6" t="s">
        <v>13672</v>
      </c>
      <c r="T3721" s="6" t="s">
        <v>13697</v>
      </c>
      <c r="U3721" s="6" t="s">
        <v>13674</v>
      </c>
      <c r="V3721" s="6" t="s">
        <v>13675</v>
      </c>
      <c r="W3721" s="6" t="s">
        <v>13676</v>
      </c>
      <c r="X3721" s="6" t="s">
        <v>13677</v>
      </c>
      <c r="Y3721" s="6" t="s">
        <v>13678</v>
      </c>
      <c r="Z3721" s="6" t="s">
        <v>13679</v>
      </c>
      <c r="AA3721" s="6" t="s">
        <v>13680</v>
      </c>
      <c r="AB3721" s="6" t="s">
        <v>13681</v>
      </c>
      <c r="AC3721" s="6" t="s">
        <v>13682</v>
      </c>
      <c r="AD3721" s="6" t="s">
        <v>13683</v>
      </c>
      <c r="AG3721" s="14" t="s">
        <v>49</v>
      </c>
      <c r="AH3721" s="14" t="s">
        <v>1102</v>
      </c>
      <c r="AI3721" s="14" t="s">
        <v>13684</v>
      </c>
      <c r="AJ3721" s="5" t="s">
        <v>13685</v>
      </c>
    </row>
    <row r="3722" spans="1:37">
      <c r="A3722" s="5" t="s">
        <v>15697</v>
      </c>
      <c r="B3722" s="5" t="s">
        <v>15698</v>
      </c>
      <c r="C3722" s="6" t="s">
        <v>43</v>
      </c>
      <c r="D3722" s="6" t="s">
        <v>10937</v>
      </c>
      <c r="E3722" s="6" t="s">
        <v>10938</v>
      </c>
      <c r="F3722" s="6" t="s">
        <v>46</v>
      </c>
      <c r="G3722" s="6" t="s">
        <v>2071</v>
      </c>
      <c r="H3722" s="18">
        <v>999</v>
      </c>
      <c r="I3722" s="19" t="s">
        <v>13662</v>
      </c>
      <c r="J3722" s="19" t="s">
        <v>14651</v>
      </c>
      <c r="K3722" s="6" t="s">
        <v>15699</v>
      </c>
      <c r="L3722" s="6" t="s">
        <v>15700</v>
      </c>
      <c r="M3722" s="6" t="s">
        <v>15701</v>
      </c>
      <c r="N3722" s="6" t="s">
        <v>15702</v>
      </c>
      <c r="O3722" s="6" t="s">
        <v>15703</v>
      </c>
      <c r="P3722" s="6" t="s">
        <v>15704</v>
      </c>
      <c r="Q3722" s="6" t="s">
        <v>15705</v>
      </c>
      <c r="R3722" s="6" t="s">
        <v>15706</v>
      </c>
      <c r="S3722" s="6" t="s">
        <v>13672</v>
      </c>
      <c r="T3722" s="6" t="s">
        <v>13697</v>
      </c>
      <c r="U3722" s="6" t="s">
        <v>13674</v>
      </c>
      <c r="V3722" s="6" t="s">
        <v>13675</v>
      </c>
      <c r="W3722" s="6" t="s">
        <v>13676</v>
      </c>
      <c r="X3722" s="6" t="s">
        <v>13677</v>
      </c>
      <c r="Y3722" s="6" t="s">
        <v>13678</v>
      </c>
      <c r="Z3722" s="6" t="s">
        <v>13679</v>
      </c>
      <c r="AA3722" s="6" t="s">
        <v>13680</v>
      </c>
      <c r="AB3722" s="6" t="s">
        <v>13681</v>
      </c>
      <c r="AC3722" s="6" t="s">
        <v>13682</v>
      </c>
      <c r="AD3722" s="6" t="s">
        <v>13683</v>
      </c>
      <c r="AG3722" s="14" t="s">
        <v>49</v>
      </c>
      <c r="AH3722" s="14" t="s">
        <v>1102</v>
      </c>
      <c r="AI3722" s="14" t="s">
        <v>13684</v>
      </c>
      <c r="AJ3722" s="5" t="s">
        <v>13685</v>
      </c>
    </row>
    <row r="3723" spans="1:37">
      <c r="A3723" s="6" t="s">
        <v>15707</v>
      </c>
      <c r="B3723" s="6" t="s">
        <v>15708</v>
      </c>
      <c r="C3723" s="6" t="s">
        <v>14347</v>
      </c>
      <c r="D3723" s="6" t="s">
        <v>10937</v>
      </c>
      <c r="E3723" s="6" t="s">
        <v>10938</v>
      </c>
      <c r="F3723" s="6" t="s">
        <v>46</v>
      </c>
      <c r="G3723" s="6" t="s">
        <v>4482</v>
      </c>
      <c r="I3723" s="6" t="s">
        <v>48</v>
      </c>
      <c r="J3723" s="6" t="s">
        <v>48</v>
      </c>
      <c r="K3723" s="6"/>
      <c r="L3723" s="6"/>
      <c r="M3723" s="6"/>
      <c r="N3723" s="6"/>
      <c r="O3723" s="6"/>
      <c r="P3723" s="6"/>
      <c r="Q3723" s="6"/>
      <c r="R3723" s="6"/>
      <c r="S3723" s="6"/>
      <c r="T3723" s="6"/>
      <c r="U3723" s="6"/>
      <c r="V3723" s="6"/>
      <c r="W3723" s="6"/>
      <c r="X3723" s="6"/>
      <c r="Y3723" s="6"/>
      <c r="Z3723" s="6"/>
      <c r="AA3723" s="6"/>
      <c r="AB3723" s="6"/>
      <c r="AC3723" s="6"/>
      <c r="AD3723" s="6"/>
      <c r="AE3723" s="6"/>
      <c r="AF3723" s="6"/>
      <c r="AG3723" s="15" t="s">
        <v>55</v>
      </c>
      <c r="AH3723" s="15"/>
      <c r="AI3723" s="15"/>
      <c r="AJ3723" s="6"/>
      <c r="AK3723" s="6"/>
    </row>
    <row r="3724" spans="1:37" s="6" customFormat="1">
      <c r="A3724" s="6" t="s">
        <v>15709</v>
      </c>
      <c r="B3724" s="6" t="s">
        <v>15710</v>
      </c>
      <c r="C3724" s="6" t="s">
        <v>14347</v>
      </c>
      <c r="D3724" s="6" t="s">
        <v>10937</v>
      </c>
      <c r="E3724" s="6" t="s">
        <v>10938</v>
      </c>
      <c r="F3724" s="6" t="s">
        <v>46</v>
      </c>
      <c r="G3724" s="6" t="s">
        <v>4482</v>
      </c>
      <c r="H3724" s="7"/>
      <c r="I3724" s="6" t="s">
        <v>48</v>
      </c>
      <c r="J3724" s="6" t="s">
        <v>48</v>
      </c>
      <c r="AG3724" s="15" t="s">
        <v>55</v>
      </c>
      <c r="AH3724" s="15"/>
      <c r="AI3724" s="15"/>
    </row>
    <row r="3725" spans="1:37" s="6" customFormat="1">
      <c r="A3725" s="6" t="s">
        <v>15711</v>
      </c>
      <c r="B3725" s="6" t="s">
        <v>15712</v>
      </c>
      <c r="C3725" s="6" t="s">
        <v>14347</v>
      </c>
      <c r="D3725" s="6" t="s">
        <v>10937</v>
      </c>
      <c r="E3725" s="6" t="s">
        <v>10938</v>
      </c>
      <c r="F3725" s="6" t="s">
        <v>46</v>
      </c>
      <c r="G3725" s="6" t="s">
        <v>2071</v>
      </c>
      <c r="H3725" s="7"/>
      <c r="I3725" s="6" t="s">
        <v>48</v>
      </c>
      <c r="J3725" s="6" t="s">
        <v>48</v>
      </c>
      <c r="AG3725" s="15" t="s">
        <v>55</v>
      </c>
      <c r="AH3725" s="15"/>
      <c r="AI3725" s="15"/>
    </row>
    <row r="3726" spans="1:37" s="6" customFormat="1">
      <c r="A3726" s="6" t="s">
        <v>15713</v>
      </c>
      <c r="B3726" s="6" t="s">
        <v>15714</v>
      </c>
      <c r="C3726" s="6" t="s">
        <v>43</v>
      </c>
      <c r="D3726" s="6" t="s">
        <v>10937</v>
      </c>
      <c r="E3726" s="6" t="s">
        <v>10938</v>
      </c>
      <c r="F3726" s="6" t="s">
        <v>46</v>
      </c>
      <c r="G3726" s="6" t="s">
        <v>3312</v>
      </c>
      <c r="H3726" s="7"/>
      <c r="I3726" s="5" t="s">
        <v>48</v>
      </c>
      <c r="J3726" s="5" t="s">
        <v>48</v>
      </c>
      <c r="AG3726" s="15" t="s">
        <v>55</v>
      </c>
      <c r="AH3726" s="15"/>
      <c r="AI3726" s="15"/>
    </row>
    <row r="3727" spans="1:37" s="6" customFormat="1">
      <c r="A3727" s="6" t="s">
        <v>15715</v>
      </c>
      <c r="B3727" s="6" t="s">
        <v>15716</v>
      </c>
      <c r="C3727" s="6" t="s">
        <v>14347</v>
      </c>
      <c r="D3727" s="6" t="s">
        <v>10937</v>
      </c>
      <c r="E3727" s="6" t="s">
        <v>10938</v>
      </c>
      <c r="F3727" s="6" t="s">
        <v>46</v>
      </c>
      <c r="G3727" s="6" t="s">
        <v>10734</v>
      </c>
      <c r="H3727" s="7"/>
      <c r="I3727" s="5" t="s">
        <v>48</v>
      </c>
      <c r="J3727" s="5" t="s">
        <v>48</v>
      </c>
      <c r="AG3727" s="15" t="s">
        <v>55</v>
      </c>
      <c r="AH3727" s="15"/>
      <c r="AI3727" s="15"/>
    </row>
    <row r="3728" spans="1:37" s="6" customFormat="1">
      <c r="A3728" s="6" t="s">
        <v>15717</v>
      </c>
      <c r="B3728" s="6" t="s">
        <v>15718</v>
      </c>
      <c r="C3728" s="6" t="s">
        <v>14347</v>
      </c>
      <c r="D3728" s="6" t="s">
        <v>10937</v>
      </c>
      <c r="E3728" s="6" t="s">
        <v>10938</v>
      </c>
      <c r="F3728" s="6" t="s">
        <v>46</v>
      </c>
      <c r="G3728" s="6" t="s">
        <v>15719</v>
      </c>
      <c r="H3728" s="7"/>
      <c r="I3728" s="5" t="s">
        <v>48</v>
      </c>
      <c r="J3728" s="5" t="s">
        <v>48</v>
      </c>
      <c r="AG3728" s="15" t="s">
        <v>55</v>
      </c>
      <c r="AH3728" s="15"/>
      <c r="AI3728" s="15"/>
    </row>
    <row r="3729" spans="1:35" s="6" customFormat="1">
      <c r="A3729" s="6" t="s">
        <v>15720</v>
      </c>
      <c r="B3729" s="6" t="s">
        <v>15721</v>
      </c>
      <c r="C3729" s="6" t="s">
        <v>43</v>
      </c>
      <c r="D3729" s="6" t="s">
        <v>10937</v>
      </c>
      <c r="E3729" s="6" t="s">
        <v>10938</v>
      </c>
      <c r="F3729" s="6" t="s">
        <v>46</v>
      </c>
      <c r="G3729" s="6" t="s">
        <v>15722</v>
      </c>
      <c r="H3729" s="7"/>
      <c r="I3729" s="6" t="s">
        <v>48</v>
      </c>
      <c r="J3729" s="6" t="s">
        <v>48</v>
      </c>
      <c r="AG3729" s="15" t="s">
        <v>55</v>
      </c>
      <c r="AH3729" s="15"/>
      <c r="AI3729" s="15"/>
    </row>
    <row r="3730" spans="1:35" s="6" customFormat="1">
      <c r="A3730" s="6" t="s">
        <v>15723</v>
      </c>
      <c r="B3730" s="6" t="s">
        <v>15724</v>
      </c>
      <c r="C3730" s="6" t="s">
        <v>43</v>
      </c>
      <c r="D3730" s="6" t="s">
        <v>10937</v>
      </c>
      <c r="E3730" s="6" t="s">
        <v>10938</v>
      </c>
      <c r="F3730" s="6" t="s">
        <v>46</v>
      </c>
      <c r="G3730" s="6" t="s">
        <v>15725</v>
      </c>
      <c r="H3730" s="7"/>
      <c r="I3730" s="6" t="s">
        <v>48</v>
      </c>
      <c r="J3730" s="6" t="s">
        <v>48</v>
      </c>
      <c r="AG3730" s="15" t="s">
        <v>55</v>
      </c>
      <c r="AH3730" s="15"/>
      <c r="AI3730" s="15"/>
    </row>
    <row r="3731" spans="1:35" s="6" customFormat="1">
      <c r="A3731" s="6" t="s">
        <v>15726</v>
      </c>
      <c r="B3731" s="6" t="s">
        <v>15727</v>
      </c>
      <c r="C3731" s="6" t="s">
        <v>43</v>
      </c>
      <c r="D3731" s="6" t="s">
        <v>10937</v>
      </c>
      <c r="E3731" s="6" t="s">
        <v>10938</v>
      </c>
      <c r="F3731" s="6" t="s">
        <v>46</v>
      </c>
      <c r="G3731" s="6" t="s">
        <v>15728</v>
      </c>
      <c r="H3731" s="7"/>
      <c r="I3731" s="6" t="s">
        <v>48</v>
      </c>
      <c r="J3731" s="6" t="s">
        <v>48</v>
      </c>
      <c r="AG3731" s="15" t="s">
        <v>55</v>
      </c>
      <c r="AH3731" s="15"/>
      <c r="AI3731" s="15"/>
    </row>
    <row r="3732" spans="1:35" s="6" customFormat="1">
      <c r="A3732" s="6" t="s">
        <v>15729</v>
      </c>
      <c r="B3732" s="6" t="s">
        <v>15730</v>
      </c>
      <c r="C3732" s="6" t="s">
        <v>43</v>
      </c>
      <c r="D3732" s="6" t="s">
        <v>10937</v>
      </c>
      <c r="E3732" s="6" t="s">
        <v>10938</v>
      </c>
      <c r="F3732" s="6" t="s">
        <v>46</v>
      </c>
      <c r="G3732" s="6" t="s">
        <v>2211</v>
      </c>
      <c r="H3732" s="7"/>
      <c r="I3732" s="6" t="s">
        <v>48</v>
      </c>
      <c r="J3732" s="6" t="s">
        <v>48</v>
      </c>
      <c r="AG3732" s="15" t="s">
        <v>55</v>
      </c>
      <c r="AH3732" s="15"/>
      <c r="AI3732" s="15"/>
    </row>
    <row r="3733" spans="1:35" s="6" customFormat="1">
      <c r="A3733" s="6" t="s">
        <v>15731</v>
      </c>
      <c r="B3733" s="6" t="s">
        <v>15732</v>
      </c>
      <c r="C3733" s="6" t="s">
        <v>43</v>
      </c>
      <c r="D3733" s="6" t="s">
        <v>10937</v>
      </c>
      <c r="E3733" s="6" t="s">
        <v>10938</v>
      </c>
      <c r="F3733" s="6" t="s">
        <v>46</v>
      </c>
      <c r="G3733" s="6" t="s">
        <v>15733</v>
      </c>
      <c r="H3733" s="7"/>
      <c r="I3733" s="6" t="s">
        <v>48</v>
      </c>
      <c r="J3733" s="6" t="s">
        <v>48</v>
      </c>
      <c r="AG3733" s="15" t="s">
        <v>55</v>
      </c>
      <c r="AH3733" s="15"/>
      <c r="AI3733" s="15"/>
    </row>
    <row r="3734" spans="1:35" s="6" customFormat="1">
      <c r="A3734" s="6" t="s">
        <v>15734</v>
      </c>
      <c r="B3734" s="6" t="s">
        <v>15735</v>
      </c>
      <c r="C3734" s="6" t="s">
        <v>43</v>
      </c>
      <c r="D3734" s="6" t="s">
        <v>10937</v>
      </c>
      <c r="E3734" s="6" t="s">
        <v>10938</v>
      </c>
      <c r="F3734" s="6" t="s">
        <v>46</v>
      </c>
      <c r="G3734" s="6" t="s">
        <v>15736</v>
      </c>
      <c r="H3734" s="7"/>
      <c r="I3734" s="6" t="s">
        <v>48</v>
      </c>
      <c r="J3734" s="6" t="s">
        <v>48</v>
      </c>
      <c r="AG3734" s="15" t="s">
        <v>55</v>
      </c>
      <c r="AH3734" s="15"/>
      <c r="AI3734" s="15"/>
    </row>
    <row r="3735" spans="1:35" s="6" customFormat="1">
      <c r="A3735" s="6" t="s">
        <v>15737</v>
      </c>
      <c r="B3735" s="6" t="s">
        <v>15738</v>
      </c>
      <c r="C3735" s="6" t="s">
        <v>43</v>
      </c>
      <c r="D3735" s="6" t="s">
        <v>10937</v>
      </c>
      <c r="E3735" s="6" t="s">
        <v>10938</v>
      </c>
      <c r="F3735" s="6" t="s">
        <v>46</v>
      </c>
      <c r="G3735" s="6" t="s">
        <v>8160</v>
      </c>
      <c r="H3735" s="7"/>
      <c r="I3735" s="5" t="s">
        <v>48</v>
      </c>
      <c r="J3735" s="5" t="s">
        <v>48</v>
      </c>
      <c r="AG3735" s="15" t="s">
        <v>55</v>
      </c>
      <c r="AH3735" s="15"/>
      <c r="AI3735" s="15"/>
    </row>
    <row r="3736" spans="1:35" s="6" customFormat="1">
      <c r="A3736" s="6" t="s">
        <v>15739</v>
      </c>
      <c r="B3736" s="6" t="s">
        <v>15740</v>
      </c>
      <c r="C3736" s="6" t="s">
        <v>43</v>
      </c>
      <c r="D3736" s="6" t="s">
        <v>10937</v>
      </c>
      <c r="E3736" s="6" t="s">
        <v>10938</v>
      </c>
      <c r="F3736" s="6" t="s">
        <v>46</v>
      </c>
      <c r="G3736" s="6" t="s">
        <v>8723</v>
      </c>
      <c r="H3736" s="7"/>
      <c r="I3736" s="6" t="s">
        <v>48</v>
      </c>
      <c r="J3736" s="6" t="s">
        <v>48</v>
      </c>
      <c r="AG3736" s="15" t="s">
        <v>55</v>
      </c>
      <c r="AH3736" s="15"/>
      <c r="AI3736" s="15"/>
    </row>
    <row r="3737" spans="1:35" s="6" customFormat="1">
      <c r="A3737" s="6" t="s">
        <v>15741</v>
      </c>
      <c r="B3737" s="6" t="s">
        <v>15742</v>
      </c>
      <c r="C3737" s="6" t="s">
        <v>43</v>
      </c>
      <c r="D3737" s="6" t="s">
        <v>10937</v>
      </c>
      <c r="E3737" s="6" t="s">
        <v>10938</v>
      </c>
      <c r="F3737" s="6" t="s">
        <v>46</v>
      </c>
      <c r="G3737" s="6" t="s">
        <v>15743</v>
      </c>
      <c r="H3737" s="7"/>
      <c r="I3737" s="6" t="s">
        <v>48</v>
      </c>
      <c r="J3737" s="6" t="s">
        <v>48</v>
      </c>
      <c r="AG3737" s="15" t="s">
        <v>55</v>
      </c>
      <c r="AH3737" s="15"/>
      <c r="AI3737" s="15"/>
    </row>
    <row r="3738" spans="1:35" s="6" customFormat="1">
      <c r="A3738" s="6" t="s">
        <v>15744</v>
      </c>
      <c r="B3738" s="6" t="s">
        <v>15745</v>
      </c>
      <c r="C3738" s="6" t="s">
        <v>43</v>
      </c>
      <c r="D3738" s="6" t="s">
        <v>10937</v>
      </c>
      <c r="E3738" s="6" t="s">
        <v>10938</v>
      </c>
      <c r="F3738" s="6" t="s">
        <v>46</v>
      </c>
      <c r="G3738" s="6" t="s">
        <v>15746</v>
      </c>
      <c r="H3738" s="7"/>
      <c r="I3738" s="6" t="s">
        <v>48</v>
      </c>
      <c r="J3738" s="6" t="s">
        <v>48</v>
      </c>
      <c r="AG3738" s="15" t="s">
        <v>55</v>
      </c>
      <c r="AH3738" s="15"/>
      <c r="AI3738" s="15"/>
    </row>
    <row r="3739" spans="1:35" s="6" customFormat="1">
      <c r="A3739" s="6" t="s">
        <v>15747</v>
      </c>
      <c r="B3739" s="6" t="s">
        <v>15748</v>
      </c>
      <c r="C3739" s="6" t="s">
        <v>43</v>
      </c>
      <c r="D3739" s="6" t="s">
        <v>10937</v>
      </c>
      <c r="E3739" s="6" t="s">
        <v>10938</v>
      </c>
      <c r="F3739" s="6" t="s">
        <v>46</v>
      </c>
      <c r="G3739" s="6" t="s">
        <v>2959</v>
      </c>
      <c r="H3739" s="7"/>
      <c r="I3739" s="6" t="s">
        <v>48</v>
      </c>
      <c r="J3739" s="6" t="s">
        <v>48</v>
      </c>
      <c r="AG3739" s="15" t="s">
        <v>55</v>
      </c>
      <c r="AH3739" s="15"/>
      <c r="AI3739" s="15"/>
    </row>
    <row r="3740" spans="1:35" s="6" customFormat="1">
      <c r="A3740" s="6" t="s">
        <v>15749</v>
      </c>
      <c r="B3740" s="6" t="s">
        <v>15750</v>
      </c>
      <c r="C3740" s="6" t="s">
        <v>43</v>
      </c>
      <c r="D3740" s="6" t="s">
        <v>10937</v>
      </c>
      <c r="E3740" s="6" t="s">
        <v>10938</v>
      </c>
      <c r="F3740" s="6" t="s">
        <v>46</v>
      </c>
      <c r="G3740" s="6" t="s">
        <v>9419</v>
      </c>
      <c r="H3740" s="7"/>
      <c r="I3740" s="6" t="s">
        <v>48</v>
      </c>
      <c r="J3740" s="6" t="s">
        <v>48</v>
      </c>
      <c r="AG3740" s="15" t="s">
        <v>55</v>
      </c>
      <c r="AH3740" s="15"/>
      <c r="AI3740" s="15"/>
    </row>
    <row r="3741" spans="1:35" s="6" customFormat="1">
      <c r="A3741" s="6" t="s">
        <v>15751</v>
      </c>
      <c r="B3741" s="6" t="s">
        <v>15752</v>
      </c>
      <c r="C3741" s="6" t="s">
        <v>43</v>
      </c>
      <c r="D3741" s="6" t="s">
        <v>10937</v>
      </c>
      <c r="E3741" s="6" t="s">
        <v>10938</v>
      </c>
      <c r="F3741" s="6" t="s">
        <v>46</v>
      </c>
      <c r="G3741" s="6" t="s">
        <v>15753</v>
      </c>
      <c r="H3741" s="7"/>
      <c r="I3741" s="6" t="s">
        <v>48</v>
      </c>
      <c r="J3741" s="6" t="s">
        <v>48</v>
      </c>
      <c r="AG3741" s="15" t="s">
        <v>55</v>
      </c>
      <c r="AH3741" s="15"/>
      <c r="AI3741" s="15"/>
    </row>
    <row r="3742" spans="1:35" s="6" customFormat="1">
      <c r="A3742" s="6" t="s">
        <v>15754</v>
      </c>
      <c r="B3742" s="6" t="s">
        <v>15755</v>
      </c>
      <c r="C3742" s="6" t="s">
        <v>43</v>
      </c>
      <c r="D3742" s="6" t="s">
        <v>10937</v>
      </c>
      <c r="E3742" s="6" t="s">
        <v>10938</v>
      </c>
      <c r="F3742" s="6" t="s">
        <v>46</v>
      </c>
      <c r="G3742" s="6" t="s">
        <v>15756</v>
      </c>
      <c r="H3742" s="7"/>
      <c r="I3742" s="6" t="s">
        <v>48</v>
      </c>
      <c r="J3742" s="6" t="s">
        <v>48</v>
      </c>
      <c r="AG3742" s="15" t="s">
        <v>55</v>
      </c>
      <c r="AH3742" s="15"/>
      <c r="AI3742" s="15"/>
    </row>
    <row r="3743" spans="1:35" s="6" customFormat="1">
      <c r="A3743" s="6" t="s">
        <v>15757</v>
      </c>
      <c r="B3743" s="6" t="s">
        <v>15758</v>
      </c>
      <c r="C3743" s="6" t="s">
        <v>43</v>
      </c>
      <c r="D3743" s="6" t="s">
        <v>10937</v>
      </c>
      <c r="E3743" s="6" t="s">
        <v>10938</v>
      </c>
      <c r="F3743" s="6" t="s">
        <v>46</v>
      </c>
      <c r="G3743" s="6" t="s">
        <v>15759</v>
      </c>
      <c r="H3743" s="7"/>
      <c r="I3743" s="6" t="s">
        <v>48</v>
      </c>
      <c r="J3743" s="6" t="s">
        <v>48</v>
      </c>
      <c r="AG3743" s="15" t="s">
        <v>55</v>
      </c>
      <c r="AH3743" s="15"/>
      <c r="AI3743" s="15"/>
    </row>
    <row r="3744" spans="1:35" s="6" customFormat="1">
      <c r="A3744" s="6" t="s">
        <v>15760</v>
      </c>
      <c r="B3744" s="6" t="s">
        <v>15761</v>
      </c>
      <c r="C3744" s="6" t="s">
        <v>43</v>
      </c>
      <c r="D3744" s="6" t="s">
        <v>10937</v>
      </c>
      <c r="E3744" s="6" t="s">
        <v>10938</v>
      </c>
      <c r="F3744" s="6" t="s">
        <v>46</v>
      </c>
      <c r="G3744" s="6" t="s">
        <v>3797</v>
      </c>
      <c r="H3744" s="7"/>
      <c r="I3744" s="6" t="s">
        <v>48</v>
      </c>
      <c r="J3744" s="6" t="s">
        <v>48</v>
      </c>
      <c r="AG3744" s="15" t="s">
        <v>55</v>
      </c>
      <c r="AH3744" s="15"/>
      <c r="AI3744" s="15"/>
    </row>
    <row r="3745" spans="1:35" s="6" customFormat="1">
      <c r="A3745" s="6" t="s">
        <v>15762</v>
      </c>
      <c r="B3745" s="6" t="s">
        <v>15763</v>
      </c>
      <c r="C3745" s="6" t="s">
        <v>15764</v>
      </c>
      <c r="D3745" s="6" t="s">
        <v>10937</v>
      </c>
      <c r="E3745" s="6" t="s">
        <v>10938</v>
      </c>
      <c r="F3745" s="6" t="s">
        <v>46</v>
      </c>
      <c r="G3745" s="6" t="s">
        <v>15765</v>
      </c>
      <c r="H3745" s="7"/>
      <c r="I3745" s="6" t="s">
        <v>48</v>
      </c>
      <c r="J3745" s="6" t="s">
        <v>48</v>
      </c>
      <c r="AG3745" s="15" t="s">
        <v>55</v>
      </c>
      <c r="AH3745" s="15"/>
      <c r="AI3745" s="15"/>
    </row>
    <row r="3746" spans="1:35" s="6" customFormat="1">
      <c r="A3746" s="6" t="s">
        <v>15766</v>
      </c>
      <c r="B3746" s="6" t="s">
        <v>15767</v>
      </c>
      <c r="C3746" s="6" t="s">
        <v>43</v>
      </c>
      <c r="D3746" s="6" t="s">
        <v>10937</v>
      </c>
      <c r="E3746" s="6" t="s">
        <v>10938</v>
      </c>
      <c r="F3746" s="6" t="s">
        <v>46</v>
      </c>
      <c r="G3746" s="6" t="s">
        <v>2983</v>
      </c>
      <c r="H3746" s="7"/>
      <c r="I3746" s="6" t="s">
        <v>48</v>
      </c>
      <c r="J3746" s="6" t="s">
        <v>48</v>
      </c>
      <c r="AG3746" s="15" t="s">
        <v>55</v>
      </c>
      <c r="AH3746" s="15"/>
      <c r="AI3746" s="15"/>
    </row>
    <row r="3747" spans="1:35" s="6" customFormat="1">
      <c r="A3747" s="6" t="s">
        <v>15768</v>
      </c>
      <c r="B3747" s="6" t="s">
        <v>15769</v>
      </c>
      <c r="C3747" s="6" t="s">
        <v>14193</v>
      </c>
      <c r="D3747" s="6" t="s">
        <v>10937</v>
      </c>
      <c r="E3747" s="6" t="s">
        <v>10938</v>
      </c>
      <c r="F3747" s="6" t="s">
        <v>46</v>
      </c>
      <c r="G3747" s="6" t="s">
        <v>3742</v>
      </c>
      <c r="H3747" s="7"/>
      <c r="I3747" s="5" t="s">
        <v>48</v>
      </c>
      <c r="J3747" s="5" t="s">
        <v>48</v>
      </c>
      <c r="AG3747" s="15" t="s">
        <v>55</v>
      </c>
      <c r="AH3747" s="15"/>
      <c r="AI3747" s="15"/>
    </row>
    <row r="3748" spans="1:35" s="6" customFormat="1">
      <c r="A3748" s="6" t="s">
        <v>15770</v>
      </c>
      <c r="B3748" s="6" t="s">
        <v>15771</v>
      </c>
      <c r="C3748" s="6" t="s">
        <v>43</v>
      </c>
      <c r="D3748" s="6" t="s">
        <v>10937</v>
      </c>
      <c r="E3748" s="6" t="s">
        <v>10938</v>
      </c>
      <c r="F3748" s="6" t="s">
        <v>46</v>
      </c>
      <c r="G3748" s="6" t="s">
        <v>15772</v>
      </c>
      <c r="H3748" s="7"/>
      <c r="I3748" s="5" t="s">
        <v>48</v>
      </c>
      <c r="J3748" s="5" t="s">
        <v>48</v>
      </c>
      <c r="AG3748" s="15" t="s">
        <v>55</v>
      </c>
      <c r="AH3748" s="15"/>
      <c r="AI3748" s="15"/>
    </row>
    <row r="3749" spans="1:35" s="6" customFormat="1">
      <c r="A3749" s="6" t="s">
        <v>15773</v>
      </c>
      <c r="B3749" s="6" t="s">
        <v>15774</v>
      </c>
      <c r="C3749" s="6" t="s">
        <v>15775</v>
      </c>
      <c r="D3749" s="6" t="s">
        <v>10937</v>
      </c>
      <c r="E3749" s="6" t="s">
        <v>10938</v>
      </c>
      <c r="F3749" s="6" t="s">
        <v>46</v>
      </c>
      <c r="G3749" s="6" t="s">
        <v>14313</v>
      </c>
      <c r="H3749" s="7"/>
      <c r="I3749" s="6" t="s">
        <v>48</v>
      </c>
      <c r="J3749" s="6" t="s">
        <v>48</v>
      </c>
      <c r="AG3749" s="15" t="s">
        <v>55</v>
      </c>
      <c r="AH3749" s="15"/>
      <c r="AI3749" s="15"/>
    </row>
    <row r="3750" spans="1:35" s="6" customFormat="1">
      <c r="A3750" s="6" t="s">
        <v>15776</v>
      </c>
      <c r="B3750" s="6" t="s">
        <v>15777</v>
      </c>
      <c r="C3750" s="6" t="s">
        <v>15775</v>
      </c>
      <c r="D3750" s="6" t="s">
        <v>10937</v>
      </c>
      <c r="E3750" s="6" t="s">
        <v>10938</v>
      </c>
      <c r="F3750" s="6" t="s">
        <v>46</v>
      </c>
      <c r="G3750" s="6" t="s">
        <v>9510</v>
      </c>
      <c r="H3750" s="7"/>
      <c r="I3750" s="6" t="s">
        <v>48</v>
      </c>
      <c r="J3750" s="6" t="s">
        <v>48</v>
      </c>
      <c r="AG3750" s="15" t="s">
        <v>55</v>
      </c>
      <c r="AH3750" s="15"/>
      <c r="AI3750" s="15"/>
    </row>
    <row r="3751" spans="1:35" s="6" customFormat="1">
      <c r="A3751" s="6" t="s">
        <v>15778</v>
      </c>
      <c r="B3751" s="6" t="s">
        <v>15779</v>
      </c>
      <c r="C3751" s="6" t="s">
        <v>15775</v>
      </c>
      <c r="D3751" s="6" t="s">
        <v>10937</v>
      </c>
      <c r="E3751" s="6" t="s">
        <v>10938</v>
      </c>
      <c r="F3751" s="6" t="s">
        <v>46</v>
      </c>
      <c r="G3751" s="6" t="s">
        <v>15780</v>
      </c>
      <c r="H3751" s="7"/>
      <c r="I3751" s="6" t="s">
        <v>48</v>
      </c>
      <c r="J3751" s="6" t="s">
        <v>48</v>
      </c>
      <c r="AG3751" s="15" t="s">
        <v>55</v>
      </c>
      <c r="AH3751" s="15"/>
      <c r="AI3751" s="15"/>
    </row>
    <row r="3752" spans="1:35" s="6" customFormat="1">
      <c r="A3752" s="6" t="s">
        <v>15781</v>
      </c>
      <c r="B3752" s="6" t="s">
        <v>15782</v>
      </c>
      <c r="C3752" s="6" t="s">
        <v>14193</v>
      </c>
      <c r="D3752" s="6" t="s">
        <v>10937</v>
      </c>
      <c r="E3752" s="6" t="s">
        <v>10938</v>
      </c>
      <c r="F3752" s="6" t="s">
        <v>46</v>
      </c>
      <c r="G3752" s="6" t="s">
        <v>8171</v>
      </c>
      <c r="H3752" s="7"/>
      <c r="I3752" s="5" t="s">
        <v>48</v>
      </c>
      <c r="J3752" s="5" t="s">
        <v>48</v>
      </c>
      <c r="AG3752" s="15" t="s">
        <v>55</v>
      </c>
      <c r="AH3752" s="15"/>
      <c r="AI3752" s="15"/>
    </row>
    <row r="3753" spans="1:35" s="6" customFormat="1">
      <c r="A3753" s="6" t="s">
        <v>15783</v>
      </c>
      <c r="B3753" s="6" t="s">
        <v>15784</v>
      </c>
      <c r="C3753" s="6" t="s">
        <v>15775</v>
      </c>
      <c r="D3753" s="6" t="s">
        <v>10937</v>
      </c>
      <c r="E3753" s="6" t="s">
        <v>10938</v>
      </c>
      <c r="F3753" s="6" t="s">
        <v>46</v>
      </c>
      <c r="G3753" s="6" t="s">
        <v>15785</v>
      </c>
      <c r="H3753" s="7"/>
      <c r="I3753" s="6" t="s">
        <v>48</v>
      </c>
      <c r="J3753" s="6" t="s">
        <v>48</v>
      </c>
      <c r="AG3753" s="15" t="s">
        <v>55</v>
      </c>
      <c r="AH3753" s="15"/>
      <c r="AI3753" s="15"/>
    </row>
    <row r="3754" spans="1:35" s="6" customFormat="1">
      <c r="A3754" s="6" t="s">
        <v>15786</v>
      </c>
      <c r="B3754" s="6" t="s">
        <v>15787</v>
      </c>
      <c r="C3754" s="6" t="s">
        <v>14193</v>
      </c>
      <c r="D3754" s="6" t="s">
        <v>10937</v>
      </c>
      <c r="E3754" s="6" t="s">
        <v>10938</v>
      </c>
      <c r="F3754" s="6" t="s">
        <v>46</v>
      </c>
      <c r="G3754" s="6" t="s">
        <v>2211</v>
      </c>
      <c r="H3754" s="7"/>
      <c r="I3754" s="5" t="s">
        <v>48</v>
      </c>
      <c r="J3754" s="5" t="s">
        <v>48</v>
      </c>
      <c r="AG3754" s="15" t="s">
        <v>55</v>
      </c>
      <c r="AH3754" s="15"/>
      <c r="AI3754" s="15"/>
    </row>
    <row r="3755" spans="1:35" s="6" customFormat="1">
      <c r="A3755" s="6" t="s">
        <v>15788</v>
      </c>
      <c r="B3755" s="6" t="s">
        <v>15789</v>
      </c>
      <c r="C3755" s="6" t="s">
        <v>14193</v>
      </c>
      <c r="D3755" s="6" t="s">
        <v>10937</v>
      </c>
      <c r="E3755" s="6" t="s">
        <v>10938</v>
      </c>
      <c r="F3755" s="6" t="s">
        <v>46</v>
      </c>
      <c r="G3755" s="6" t="s">
        <v>1071</v>
      </c>
      <c r="H3755" s="7"/>
      <c r="I3755" s="5" t="s">
        <v>48</v>
      </c>
      <c r="J3755" s="5" t="s">
        <v>48</v>
      </c>
      <c r="AG3755" s="15" t="s">
        <v>55</v>
      </c>
      <c r="AH3755" s="15"/>
      <c r="AI3755" s="15"/>
    </row>
    <row r="3756" spans="1:35" s="6" customFormat="1">
      <c r="A3756" s="6" t="s">
        <v>15790</v>
      </c>
      <c r="B3756" s="6" t="s">
        <v>15791</v>
      </c>
      <c r="C3756" s="6" t="s">
        <v>43</v>
      </c>
      <c r="D3756" s="6" t="s">
        <v>10937</v>
      </c>
      <c r="E3756" s="6" t="s">
        <v>10938</v>
      </c>
      <c r="F3756" s="6" t="s">
        <v>46</v>
      </c>
      <c r="G3756" s="6" t="s">
        <v>13892</v>
      </c>
      <c r="H3756" s="7"/>
      <c r="I3756" s="5" t="s">
        <v>48</v>
      </c>
      <c r="J3756" s="5" t="s">
        <v>48</v>
      </c>
      <c r="AG3756" s="15" t="s">
        <v>55</v>
      </c>
      <c r="AH3756" s="15"/>
      <c r="AI3756" s="15"/>
    </row>
    <row r="3757" spans="1:35" s="6" customFormat="1">
      <c r="A3757" s="6" t="s">
        <v>15792</v>
      </c>
      <c r="B3757" s="6" t="s">
        <v>15793</v>
      </c>
      <c r="C3757" s="6" t="s">
        <v>43</v>
      </c>
      <c r="D3757" s="6" t="s">
        <v>10937</v>
      </c>
      <c r="E3757" s="6" t="s">
        <v>10938</v>
      </c>
      <c r="F3757" s="6" t="s">
        <v>46</v>
      </c>
      <c r="G3757" s="6" t="s">
        <v>1071</v>
      </c>
      <c r="H3757" s="7"/>
      <c r="I3757" s="6" t="s">
        <v>48</v>
      </c>
      <c r="J3757" s="6" t="s">
        <v>48</v>
      </c>
      <c r="AG3757" s="15" t="s">
        <v>55</v>
      </c>
      <c r="AH3757" s="15"/>
      <c r="AI3757" s="15"/>
    </row>
    <row r="3758" spans="1:35" s="6" customFormat="1">
      <c r="A3758" s="6" t="s">
        <v>15794</v>
      </c>
      <c r="B3758" s="6" t="s">
        <v>15795</v>
      </c>
      <c r="C3758" s="6" t="s">
        <v>43</v>
      </c>
      <c r="D3758" s="6" t="s">
        <v>10937</v>
      </c>
      <c r="E3758" s="6" t="s">
        <v>10938</v>
      </c>
      <c r="F3758" s="6" t="s">
        <v>46</v>
      </c>
      <c r="G3758" s="6" t="s">
        <v>8553</v>
      </c>
      <c r="H3758" s="7"/>
      <c r="I3758" s="5" t="s">
        <v>48</v>
      </c>
      <c r="J3758" s="5" t="s">
        <v>48</v>
      </c>
      <c r="AG3758" s="15" t="s">
        <v>55</v>
      </c>
      <c r="AH3758" s="15"/>
      <c r="AI3758" s="15"/>
    </row>
    <row r="3759" spans="1:35" s="6" customFormat="1">
      <c r="A3759" s="6" t="s">
        <v>15796</v>
      </c>
      <c r="B3759" s="6" t="s">
        <v>15797</v>
      </c>
      <c r="C3759" s="6" t="s">
        <v>43</v>
      </c>
      <c r="D3759" s="6" t="s">
        <v>10937</v>
      </c>
      <c r="E3759" s="6" t="s">
        <v>10938</v>
      </c>
      <c r="F3759" s="6" t="s">
        <v>46</v>
      </c>
      <c r="G3759" s="6" t="s">
        <v>13532</v>
      </c>
      <c r="H3759" s="7"/>
      <c r="I3759" s="6" t="s">
        <v>48</v>
      </c>
      <c r="J3759" s="6" t="s">
        <v>48</v>
      </c>
      <c r="AG3759" s="15" t="s">
        <v>55</v>
      </c>
      <c r="AH3759" s="15"/>
      <c r="AI3759" s="15"/>
    </row>
    <row r="3760" spans="1:35" s="6" customFormat="1">
      <c r="A3760" s="6" t="s">
        <v>15798</v>
      </c>
      <c r="B3760" s="6" t="s">
        <v>15799</v>
      </c>
      <c r="C3760" s="6" t="s">
        <v>43</v>
      </c>
      <c r="D3760" s="6" t="s">
        <v>10937</v>
      </c>
      <c r="E3760" s="6" t="s">
        <v>10938</v>
      </c>
      <c r="F3760" s="6" t="s">
        <v>46</v>
      </c>
      <c r="G3760" s="6" t="s">
        <v>2834</v>
      </c>
      <c r="H3760" s="7"/>
      <c r="I3760" s="5" t="s">
        <v>48</v>
      </c>
      <c r="J3760" s="5" t="s">
        <v>48</v>
      </c>
      <c r="AG3760" s="15" t="s">
        <v>55</v>
      </c>
      <c r="AH3760" s="15"/>
      <c r="AI3760" s="15"/>
    </row>
    <row r="3761" spans="1:35" s="6" customFormat="1">
      <c r="A3761" s="6" t="s">
        <v>15800</v>
      </c>
      <c r="B3761" s="6" t="s">
        <v>15801</v>
      </c>
      <c r="C3761" s="6" t="s">
        <v>43</v>
      </c>
      <c r="D3761" s="6" t="s">
        <v>10937</v>
      </c>
      <c r="E3761" s="6" t="s">
        <v>10938</v>
      </c>
      <c r="F3761" s="6" t="s">
        <v>46</v>
      </c>
      <c r="G3761" s="6" t="s">
        <v>1071</v>
      </c>
      <c r="H3761" s="7"/>
      <c r="I3761" s="6" t="s">
        <v>48</v>
      </c>
      <c r="J3761" s="6" t="s">
        <v>48</v>
      </c>
      <c r="AG3761" s="15" t="s">
        <v>55</v>
      </c>
      <c r="AH3761" s="15"/>
      <c r="AI3761" s="15"/>
    </row>
    <row r="3762" spans="1:35" s="6" customFormat="1">
      <c r="A3762" s="6" t="s">
        <v>15802</v>
      </c>
      <c r="B3762" s="6" t="s">
        <v>15803</v>
      </c>
      <c r="C3762" s="6" t="s">
        <v>43</v>
      </c>
      <c r="D3762" s="6" t="s">
        <v>10937</v>
      </c>
      <c r="E3762" s="6" t="s">
        <v>10938</v>
      </c>
      <c r="F3762" s="6" t="s">
        <v>46</v>
      </c>
      <c r="G3762" s="6" t="s">
        <v>1071</v>
      </c>
      <c r="H3762" s="7"/>
      <c r="I3762" s="6" t="s">
        <v>48</v>
      </c>
      <c r="J3762" s="6" t="s">
        <v>48</v>
      </c>
      <c r="AG3762" s="15" t="s">
        <v>55</v>
      </c>
      <c r="AH3762" s="15"/>
      <c r="AI3762" s="15"/>
    </row>
    <row r="3763" spans="1:35" s="6" customFormat="1">
      <c r="A3763" s="6" t="s">
        <v>15804</v>
      </c>
      <c r="B3763" s="6" t="s">
        <v>15805</v>
      </c>
      <c r="C3763" s="6" t="s">
        <v>43</v>
      </c>
      <c r="D3763" s="6" t="s">
        <v>10937</v>
      </c>
      <c r="E3763" s="6" t="s">
        <v>10938</v>
      </c>
      <c r="F3763" s="6" t="s">
        <v>46</v>
      </c>
      <c r="G3763" s="6" t="s">
        <v>12977</v>
      </c>
      <c r="H3763" s="7"/>
      <c r="I3763" s="6" t="s">
        <v>48</v>
      </c>
      <c r="J3763" s="6" t="s">
        <v>48</v>
      </c>
      <c r="AG3763" s="15" t="s">
        <v>55</v>
      </c>
      <c r="AH3763" s="15"/>
      <c r="AI3763" s="15"/>
    </row>
    <row r="3764" spans="1:35" s="6" customFormat="1">
      <c r="A3764" s="6" t="s">
        <v>15806</v>
      </c>
      <c r="B3764" s="6" t="s">
        <v>15807</v>
      </c>
      <c r="C3764" s="6" t="s">
        <v>43</v>
      </c>
      <c r="D3764" s="6" t="s">
        <v>10937</v>
      </c>
      <c r="E3764" s="6" t="s">
        <v>10938</v>
      </c>
      <c r="F3764" s="6" t="s">
        <v>46</v>
      </c>
      <c r="G3764" s="6" t="s">
        <v>3033</v>
      </c>
      <c r="H3764" s="7"/>
      <c r="I3764" s="6" t="s">
        <v>48</v>
      </c>
      <c r="J3764" s="6" t="s">
        <v>48</v>
      </c>
      <c r="AG3764" s="15" t="s">
        <v>55</v>
      </c>
      <c r="AH3764" s="15"/>
      <c r="AI3764" s="15"/>
    </row>
    <row r="3765" spans="1:35" s="6" customFormat="1">
      <c r="A3765" s="6" t="s">
        <v>15808</v>
      </c>
      <c r="B3765" s="6" t="s">
        <v>15809</v>
      </c>
      <c r="C3765" s="6" t="s">
        <v>43</v>
      </c>
      <c r="D3765" s="6" t="s">
        <v>10937</v>
      </c>
      <c r="E3765" s="6" t="s">
        <v>10938</v>
      </c>
      <c r="F3765" s="6" t="s">
        <v>46</v>
      </c>
      <c r="G3765" s="6" t="s">
        <v>15810</v>
      </c>
      <c r="H3765" s="7"/>
      <c r="I3765" s="6" t="s">
        <v>48</v>
      </c>
      <c r="J3765" s="6" t="s">
        <v>48</v>
      </c>
      <c r="AG3765" s="15" t="s">
        <v>55</v>
      </c>
      <c r="AH3765" s="15"/>
      <c r="AI3765" s="15"/>
    </row>
    <row r="3766" spans="1:35" s="6" customFormat="1">
      <c r="A3766" s="6" t="s">
        <v>15811</v>
      </c>
      <c r="B3766" s="6" t="s">
        <v>15812</v>
      </c>
      <c r="C3766" s="6" t="s">
        <v>43</v>
      </c>
      <c r="D3766" s="6" t="s">
        <v>10937</v>
      </c>
      <c r="E3766" s="6" t="s">
        <v>10938</v>
      </c>
      <c r="F3766" s="6" t="s">
        <v>46</v>
      </c>
      <c r="G3766" s="6" t="s">
        <v>15813</v>
      </c>
      <c r="H3766" s="7"/>
      <c r="I3766" s="6" t="s">
        <v>48</v>
      </c>
      <c r="J3766" s="6" t="s">
        <v>48</v>
      </c>
      <c r="AG3766" s="15" t="s">
        <v>55</v>
      </c>
      <c r="AH3766" s="15"/>
      <c r="AI3766" s="15"/>
    </row>
    <row r="3767" spans="1:35" s="6" customFormat="1">
      <c r="A3767" s="6" t="s">
        <v>15814</v>
      </c>
      <c r="B3767" s="6" t="s">
        <v>15815</v>
      </c>
      <c r="C3767" s="6" t="s">
        <v>43</v>
      </c>
      <c r="D3767" s="6" t="s">
        <v>10937</v>
      </c>
      <c r="E3767" s="6" t="s">
        <v>10938</v>
      </c>
      <c r="F3767" s="6" t="s">
        <v>46</v>
      </c>
      <c r="G3767" s="6" t="s">
        <v>15816</v>
      </c>
      <c r="H3767" s="7"/>
      <c r="I3767" s="6" t="s">
        <v>48</v>
      </c>
      <c r="J3767" s="6" t="s">
        <v>48</v>
      </c>
      <c r="AG3767" s="15" t="s">
        <v>55</v>
      </c>
      <c r="AH3767" s="15"/>
      <c r="AI3767" s="15"/>
    </row>
    <row r="3768" spans="1:35" s="6" customFormat="1">
      <c r="A3768" s="6" t="s">
        <v>15817</v>
      </c>
      <c r="B3768" s="6" t="s">
        <v>15818</v>
      </c>
      <c r="C3768" s="6" t="s">
        <v>43</v>
      </c>
      <c r="D3768" s="6" t="s">
        <v>10937</v>
      </c>
      <c r="E3768" s="6" t="s">
        <v>10938</v>
      </c>
      <c r="F3768" s="6" t="s">
        <v>46</v>
      </c>
      <c r="G3768" s="6" t="s">
        <v>2567</v>
      </c>
      <c r="H3768" s="7"/>
      <c r="I3768" s="6" t="s">
        <v>48</v>
      </c>
      <c r="J3768" s="6" t="s">
        <v>48</v>
      </c>
      <c r="AG3768" s="15" t="s">
        <v>55</v>
      </c>
      <c r="AH3768" s="15"/>
      <c r="AI3768" s="15"/>
    </row>
    <row r="3769" spans="1:35" s="6" customFormat="1">
      <c r="A3769" s="6" t="s">
        <v>15819</v>
      </c>
      <c r="B3769" s="6" t="s">
        <v>15820</v>
      </c>
      <c r="C3769" s="6" t="s">
        <v>43</v>
      </c>
      <c r="D3769" s="6" t="s">
        <v>10937</v>
      </c>
      <c r="E3769" s="6" t="s">
        <v>10938</v>
      </c>
      <c r="F3769" s="6" t="s">
        <v>46</v>
      </c>
      <c r="G3769" s="6" t="s">
        <v>14396</v>
      </c>
      <c r="H3769" s="7"/>
      <c r="I3769" s="5" t="s">
        <v>48</v>
      </c>
      <c r="J3769" s="5" t="s">
        <v>48</v>
      </c>
      <c r="AG3769" s="15" t="s">
        <v>55</v>
      </c>
      <c r="AH3769" s="15"/>
      <c r="AI3769" s="15"/>
    </row>
    <row r="3770" spans="1:35" s="6" customFormat="1">
      <c r="A3770" s="6" t="s">
        <v>15821</v>
      </c>
      <c r="B3770" s="6" t="s">
        <v>15822</v>
      </c>
      <c r="C3770" s="6" t="s">
        <v>15823</v>
      </c>
      <c r="D3770" s="6" t="s">
        <v>10937</v>
      </c>
      <c r="E3770" s="6" t="s">
        <v>10938</v>
      </c>
      <c r="F3770" s="6" t="s">
        <v>46</v>
      </c>
      <c r="G3770" s="6" t="s">
        <v>15824</v>
      </c>
      <c r="H3770" s="7"/>
      <c r="I3770" s="6" t="s">
        <v>48</v>
      </c>
      <c r="J3770" s="6" t="s">
        <v>48</v>
      </c>
      <c r="AG3770" s="15" t="s">
        <v>55</v>
      </c>
      <c r="AH3770" s="15"/>
      <c r="AI3770" s="15"/>
    </row>
    <row r="3771" spans="1:35" s="6" customFormat="1">
      <c r="A3771" s="6" t="s">
        <v>15825</v>
      </c>
      <c r="B3771" s="6" t="s">
        <v>15826</v>
      </c>
      <c r="C3771" s="6" t="s">
        <v>15823</v>
      </c>
      <c r="D3771" s="6" t="s">
        <v>10937</v>
      </c>
      <c r="E3771" s="6" t="s">
        <v>10938</v>
      </c>
      <c r="F3771" s="6" t="s">
        <v>46</v>
      </c>
      <c r="G3771" s="6" t="s">
        <v>15827</v>
      </c>
      <c r="H3771" s="7"/>
      <c r="I3771" s="6" t="s">
        <v>48</v>
      </c>
      <c r="J3771" s="6" t="s">
        <v>48</v>
      </c>
      <c r="AG3771" s="15" t="s">
        <v>55</v>
      </c>
      <c r="AH3771" s="15"/>
      <c r="AI3771" s="15"/>
    </row>
    <row r="3772" spans="1:35" s="6" customFormat="1">
      <c r="A3772" s="6" t="s">
        <v>15828</v>
      </c>
      <c r="B3772" s="6" t="s">
        <v>15829</v>
      </c>
      <c r="C3772" s="6" t="s">
        <v>43</v>
      </c>
      <c r="D3772" s="6" t="s">
        <v>10937</v>
      </c>
      <c r="E3772" s="6" t="s">
        <v>10938</v>
      </c>
      <c r="F3772" s="6" t="s">
        <v>46</v>
      </c>
      <c r="G3772" s="6" t="s">
        <v>9937</v>
      </c>
      <c r="H3772" s="7"/>
      <c r="I3772" s="6" t="s">
        <v>48</v>
      </c>
      <c r="J3772" s="6" t="s">
        <v>48</v>
      </c>
      <c r="AG3772" s="15" t="s">
        <v>55</v>
      </c>
      <c r="AH3772" s="15"/>
      <c r="AI3772" s="15"/>
    </row>
    <row r="3773" spans="1:35" s="6" customFormat="1">
      <c r="A3773" s="6" t="s">
        <v>15830</v>
      </c>
      <c r="B3773" s="6" t="s">
        <v>15831</v>
      </c>
      <c r="C3773" s="6" t="s">
        <v>14193</v>
      </c>
      <c r="D3773" s="6" t="s">
        <v>10937</v>
      </c>
      <c r="E3773" s="6" t="s">
        <v>10938</v>
      </c>
      <c r="F3773" s="6" t="s">
        <v>46</v>
      </c>
      <c r="G3773" s="6" t="s">
        <v>14420</v>
      </c>
      <c r="H3773" s="7"/>
      <c r="I3773" s="5" t="s">
        <v>48</v>
      </c>
      <c r="J3773" s="5" t="s">
        <v>48</v>
      </c>
      <c r="AG3773" s="15" t="s">
        <v>55</v>
      </c>
      <c r="AH3773" s="15"/>
      <c r="AI3773" s="15"/>
    </row>
    <row r="3774" spans="1:35" s="6" customFormat="1">
      <c r="A3774" s="6" t="s">
        <v>15832</v>
      </c>
      <c r="B3774" s="6" t="s">
        <v>15833</v>
      </c>
      <c r="C3774" s="6" t="s">
        <v>15823</v>
      </c>
      <c r="D3774" s="6" t="s">
        <v>10937</v>
      </c>
      <c r="E3774" s="6" t="s">
        <v>10938</v>
      </c>
      <c r="F3774" s="6" t="s">
        <v>46</v>
      </c>
      <c r="G3774" s="6" t="s">
        <v>15816</v>
      </c>
      <c r="H3774" s="7"/>
      <c r="I3774" s="5" t="s">
        <v>48</v>
      </c>
      <c r="J3774" s="5" t="s">
        <v>48</v>
      </c>
      <c r="AG3774" s="15" t="s">
        <v>55</v>
      </c>
      <c r="AH3774" s="15"/>
      <c r="AI3774" s="15"/>
    </row>
    <row r="3775" spans="1:35" s="6" customFormat="1">
      <c r="A3775" s="6" t="s">
        <v>15834</v>
      </c>
      <c r="B3775" s="6" t="s">
        <v>15835</v>
      </c>
      <c r="C3775" s="6" t="s">
        <v>15823</v>
      </c>
      <c r="D3775" s="6" t="s">
        <v>10937</v>
      </c>
      <c r="E3775" s="6" t="s">
        <v>10938</v>
      </c>
      <c r="F3775" s="6" t="s">
        <v>46</v>
      </c>
      <c r="G3775" s="6" t="s">
        <v>2837</v>
      </c>
      <c r="H3775" s="7"/>
      <c r="I3775" s="5" t="s">
        <v>48</v>
      </c>
      <c r="J3775" s="5" t="s">
        <v>48</v>
      </c>
      <c r="AG3775" s="15" t="s">
        <v>55</v>
      </c>
      <c r="AH3775" s="15"/>
      <c r="AI3775" s="15"/>
    </row>
    <row r="3776" spans="1:35" s="6" customFormat="1">
      <c r="A3776" s="6" t="s">
        <v>15836</v>
      </c>
      <c r="B3776" s="6" t="s">
        <v>15837</v>
      </c>
      <c r="C3776" s="6" t="s">
        <v>14119</v>
      </c>
      <c r="D3776" s="6" t="s">
        <v>10937</v>
      </c>
      <c r="E3776" s="6" t="s">
        <v>10938</v>
      </c>
      <c r="F3776" s="6" t="s">
        <v>46</v>
      </c>
      <c r="G3776" s="6" t="s">
        <v>15838</v>
      </c>
      <c r="H3776" s="7"/>
      <c r="I3776" s="6" t="s">
        <v>48</v>
      </c>
      <c r="J3776" s="6" t="s">
        <v>48</v>
      </c>
      <c r="AG3776" s="15" t="s">
        <v>55</v>
      </c>
      <c r="AH3776" s="15"/>
      <c r="AI3776" s="15"/>
    </row>
    <row r="3777" spans="1:37" s="6" customFormat="1">
      <c r="A3777" s="6" t="s">
        <v>15839</v>
      </c>
      <c r="B3777" s="6" t="s">
        <v>15840</v>
      </c>
      <c r="C3777" s="6" t="s">
        <v>14672</v>
      </c>
      <c r="D3777" s="6" t="s">
        <v>10937</v>
      </c>
      <c r="E3777" s="6" t="s">
        <v>10938</v>
      </c>
      <c r="F3777" s="6" t="s">
        <v>46</v>
      </c>
      <c r="G3777" s="6" t="s">
        <v>15097</v>
      </c>
      <c r="H3777" s="7"/>
      <c r="I3777" s="6" t="s">
        <v>48</v>
      </c>
      <c r="J3777" s="6" t="s">
        <v>48</v>
      </c>
      <c r="AG3777" s="15" t="s">
        <v>55</v>
      </c>
      <c r="AH3777" s="15"/>
      <c r="AI3777" s="15"/>
    </row>
    <row r="3778" spans="1:37" s="6" customFormat="1">
      <c r="A3778" s="6" t="s">
        <v>15841</v>
      </c>
      <c r="B3778" s="6" t="s">
        <v>15842</v>
      </c>
      <c r="C3778" s="6" t="s">
        <v>15823</v>
      </c>
      <c r="D3778" s="6" t="s">
        <v>10937</v>
      </c>
      <c r="E3778" s="6" t="s">
        <v>10938</v>
      </c>
      <c r="F3778" s="6" t="s">
        <v>46</v>
      </c>
      <c r="G3778" s="6" t="s">
        <v>15816</v>
      </c>
      <c r="H3778" s="7"/>
      <c r="I3778" s="5" t="s">
        <v>48</v>
      </c>
      <c r="J3778" s="5" t="s">
        <v>48</v>
      </c>
      <c r="AG3778" s="15" t="s">
        <v>55</v>
      </c>
      <c r="AH3778" s="15"/>
      <c r="AI3778" s="15"/>
    </row>
    <row r="3779" spans="1:37" s="6" customFormat="1">
      <c r="A3779" s="6" t="s">
        <v>15843</v>
      </c>
      <c r="B3779" s="6" t="s">
        <v>15844</v>
      </c>
      <c r="C3779" s="6" t="s">
        <v>43</v>
      </c>
      <c r="D3779" s="6" t="s">
        <v>10937</v>
      </c>
      <c r="E3779" s="6" t="s">
        <v>10938</v>
      </c>
      <c r="F3779" s="6" t="s">
        <v>46</v>
      </c>
      <c r="G3779" s="6" t="s">
        <v>15845</v>
      </c>
      <c r="H3779" s="7"/>
      <c r="I3779" s="6" t="s">
        <v>48</v>
      </c>
      <c r="J3779" s="6" t="s">
        <v>48</v>
      </c>
      <c r="AG3779" s="15" t="s">
        <v>55</v>
      </c>
      <c r="AH3779" s="15"/>
      <c r="AI3779" s="15"/>
    </row>
    <row r="3780" spans="1:37" s="6" customFormat="1">
      <c r="A3780" s="6" t="s">
        <v>15846</v>
      </c>
      <c r="B3780" s="6" t="s">
        <v>15847</v>
      </c>
      <c r="C3780" s="6" t="s">
        <v>43</v>
      </c>
      <c r="D3780" s="6" t="s">
        <v>10937</v>
      </c>
      <c r="E3780" s="6" t="s">
        <v>10938</v>
      </c>
      <c r="F3780" s="6" t="s">
        <v>46</v>
      </c>
      <c r="G3780" s="6" t="s">
        <v>15848</v>
      </c>
      <c r="H3780" s="7"/>
      <c r="I3780" s="6" t="s">
        <v>48</v>
      </c>
      <c r="J3780" s="6" t="s">
        <v>48</v>
      </c>
      <c r="AG3780" s="15" t="s">
        <v>55</v>
      </c>
      <c r="AH3780" s="15"/>
      <c r="AI3780" s="15"/>
    </row>
    <row r="3781" spans="1:37" s="6" customFormat="1">
      <c r="A3781" s="6" t="s">
        <v>15849</v>
      </c>
      <c r="B3781" s="6" t="s">
        <v>15850</v>
      </c>
      <c r="C3781" s="6" t="s">
        <v>43</v>
      </c>
      <c r="D3781" s="6" t="s">
        <v>10937</v>
      </c>
      <c r="E3781" s="6" t="s">
        <v>10938</v>
      </c>
      <c r="F3781" s="6" t="s">
        <v>46</v>
      </c>
      <c r="G3781" s="6" t="s">
        <v>4576</v>
      </c>
      <c r="H3781" s="7"/>
      <c r="I3781" s="6" t="s">
        <v>48</v>
      </c>
      <c r="J3781" s="6" t="s">
        <v>48</v>
      </c>
      <c r="AG3781" s="15" t="s">
        <v>55</v>
      </c>
      <c r="AH3781" s="15"/>
      <c r="AI3781" s="15"/>
    </row>
    <row r="3782" spans="1:37" s="6" customFormat="1">
      <c r="A3782" s="6" t="s">
        <v>15851</v>
      </c>
      <c r="B3782" s="6" t="s">
        <v>15852</v>
      </c>
      <c r="C3782" s="6" t="s">
        <v>43</v>
      </c>
      <c r="D3782" s="6" t="s">
        <v>10937</v>
      </c>
      <c r="E3782" s="6" t="s">
        <v>10938</v>
      </c>
      <c r="F3782" s="6" t="s">
        <v>46</v>
      </c>
      <c r="G3782" s="6" t="s">
        <v>1766</v>
      </c>
      <c r="H3782" s="7"/>
      <c r="I3782" s="6" t="s">
        <v>48</v>
      </c>
      <c r="J3782" s="6" t="s">
        <v>48</v>
      </c>
      <c r="AG3782" s="15" t="s">
        <v>55</v>
      </c>
      <c r="AH3782" s="15"/>
      <c r="AI3782" s="15"/>
    </row>
    <row r="3783" spans="1:37" s="6" customFormat="1">
      <c r="A3783" s="6" t="s">
        <v>15853</v>
      </c>
      <c r="B3783" s="6" t="s">
        <v>15852</v>
      </c>
      <c r="C3783" s="6" t="s">
        <v>43</v>
      </c>
      <c r="D3783" s="6" t="s">
        <v>10937</v>
      </c>
      <c r="E3783" s="6" t="s">
        <v>10938</v>
      </c>
      <c r="F3783" s="6" t="s">
        <v>46</v>
      </c>
      <c r="G3783" s="6" t="s">
        <v>15854</v>
      </c>
      <c r="H3783" s="7"/>
      <c r="I3783" s="6" t="s">
        <v>48</v>
      </c>
      <c r="J3783" s="6" t="s">
        <v>48</v>
      </c>
      <c r="AG3783" s="15" t="s">
        <v>55</v>
      </c>
      <c r="AH3783" s="15"/>
      <c r="AI3783" s="15"/>
    </row>
    <row r="3784" spans="1:37" s="6" customFormat="1">
      <c r="A3784" s="6" t="s">
        <v>15855</v>
      </c>
      <c r="B3784" s="6" t="s">
        <v>15856</v>
      </c>
      <c r="C3784" s="6" t="s">
        <v>14193</v>
      </c>
      <c r="D3784" s="6" t="s">
        <v>10937</v>
      </c>
      <c r="E3784" s="6" t="s">
        <v>10938</v>
      </c>
      <c r="F3784" s="6" t="s">
        <v>46</v>
      </c>
      <c r="G3784" s="6" t="s">
        <v>14129</v>
      </c>
      <c r="H3784" s="7"/>
      <c r="I3784" s="5" t="s">
        <v>48</v>
      </c>
      <c r="J3784" s="5" t="s">
        <v>48</v>
      </c>
      <c r="AG3784" s="15" t="s">
        <v>55</v>
      </c>
      <c r="AH3784" s="15"/>
      <c r="AI3784" s="15"/>
    </row>
    <row r="3785" spans="1:37" s="6" customFormat="1">
      <c r="A3785" s="6" t="s">
        <v>15857</v>
      </c>
      <c r="B3785" s="6" t="s">
        <v>15858</v>
      </c>
      <c r="C3785" s="6" t="s">
        <v>15823</v>
      </c>
      <c r="D3785" s="6" t="s">
        <v>10937</v>
      </c>
      <c r="E3785" s="6" t="s">
        <v>10938</v>
      </c>
      <c r="F3785" s="6" t="s">
        <v>46</v>
      </c>
      <c r="G3785" s="6" t="s">
        <v>15816</v>
      </c>
      <c r="H3785" s="7"/>
      <c r="I3785" s="6" t="s">
        <v>48</v>
      </c>
      <c r="J3785" s="6" t="s">
        <v>48</v>
      </c>
      <c r="AG3785" s="15" t="s">
        <v>55</v>
      </c>
      <c r="AH3785" s="15"/>
      <c r="AI3785" s="15"/>
    </row>
    <row r="3786" spans="1:37" s="6" customFormat="1">
      <c r="A3786" s="6" t="s">
        <v>15859</v>
      </c>
      <c r="B3786" s="6" t="s">
        <v>15860</v>
      </c>
      <c r="C3786" s="6" t="s">
        <v>43</v>
      </c>
      <c r="D3786" s="6" t="s">
        <v>10937</v>
      </c>
      <c r="E3786" s="6" t="s">
        <v>10938</v>
      </c>
      <c r="F3786" s="6" t="s">
        <v>46</v>
      </c>
      <c r="G3786" s="6" t="s">
        <v>8900</v>
      </c>
      <c r="H3786" s="7"/>
      <c r="I3786" s="6" t="s">
        <v>48</v>
      </c>
      <c r="J3786" s="6" t="s">
        <v>48</v>
      </c>
      <c r="AG3786" s="15" t="s">
        <v>55</v>
      </c>
      <c r="AH3786" s="15"/>
      <c r="AI3786" s="15"/>
    </row>
    <row r="3787" spans="1:37" s="6" customFormat="1">
      <c r="A3787" s="6" t="s">
        <v>15861</v>
      </c>
      <c r="B3787" s="6" t="s">
        <v>15862</v>
      </c>
      <c r="C3787" s="6" t="s">
        <v>14672</v>
      </c>
      <c r="D3787" s="6" t="s">
        <v>10937</v>
      </c>
      <c r="E3787" s="6" t="s">
        <v>10938</v>
      </c>
      <c r="F3787" s="6" t="s">
        <v>46</v>
      </c>
      <c r="G3787" s="6" t="s">
        <v>15863</v>
      </c>
      <c r="H3787" s="7"/>
      <c r="I3787" s="6" t="s">
        <v>48</v>
      </c>
      <c r="J3787" s="6" t="s">
        <v>48</v>
      </c>
      <c r="AG3787" s="15" t="s">
        <v>55</v>
      </c>
      <c r="AH3787" s="15"/>
      <c r="AI3787" s="15"/>
    </row>
    <row r="3788" spans="1:37" s="6" customFormat="1">
      <c r="A3788" s="6" t="s">
        <v>15864</v>
      </c>
      <c r="B3788" s="6" t="s">
        <v>15865</v>
      </c>
      <c r="C3788" s="6" t="s">
        <v>43</v>
      </c>
      <c r="D3788" s="6" t="s">
        <v>10937</v>
      </c>
      <c r="E3788" s="6" t="s">
        <v>10938</v>
      </c>
      <c r="F3788" s="6" t="s">
        <v>46</v>
      </c>
      <c r="G3788" s="6" t="s">
        <v>15866</v>
      </c>
      <c r="H3788" s="7"/>
      <c r="I3788" s="5" t="s">
        <v>48</v>
      </c>
      <c r="J3788" s="5" t="s">
        <v>48</v>
      </c>
      <c r="AG3788" s="15" t="s">
        <v>55</v>
      </c>
      <c r="AH3788" s="15"/>
      <c r="AI3788" s="15"/>
    </row>
    <row r="3789" spans="1:37" s="6" customFormat="1">
      <c r="A3789" s="6" t="s">
        <v>15867</v>
      </c>
      <c r="B3789" s="6" t="s">
        <v>15868</v>
      </c>
      <c r="C3789" s="6" t="s">
        <v>43</v>
      </c>
      <c r="D3789" s="6" t="s">
        <v>10937</v>
      </c>
      <c r="E3789" s="6" t="s">
        <v>10938</v>
      </c>
      <c r="F3789" s="6" t="s">
        <v>46</v>
      </c>
      <c r="G3789" s="6" t="s">
        <v>15869</v>
      </c>
      <c r="H3789" s="7"/>
      <c r="I3789" s="6" t="s">
        <v>48</v>
      </c>
      <c r="J3789" s="6" t="s">
        <v>48</v>
      </c>
      <c r="AG3789" s="15" t="s">
        <v>55</v>
      </c>
      <c r="AH3789" s="15"/>
      <c r="AI3789" s="15"/>
    </row>
    <row r="3790" spans="1:37" s="6" customFormat="1">
      <c r="A3790" s="6" t="s">
        <v>15870</v>
      </c>
      <c r="B3790" s="6" t="s">
        <v>15871</v>
      </c>
      <c r="C3790" s="6" t="s">
        <v>14193</v>
      </c>
      <c r="D3790" s="6" t="s">
        <v>10937</v>
      </c>
      <c r="E3790" s="6" t="s">
        <v>10938</v>
      </c>
      <c r="F3790" s="6" t="s">
        <v>46</v>
      </c>
      <c r="G3790" s="6" t="s">
        <v>15816</v>
      </c>
      <c r="H3790" s="7"/>
      <c r="I3790" s="5" t="s">
        <v>48</v>
      </c>
      <c r="J3790" s="5" t="s">
        <v>48</v>
      </c>
      <c r="AG3790" s="15" t="s">
        <v>55</v>
      </c>
      <c r="AH3790" s="15"/>
      <c r="AI3790" s="15"/>
    </row>
    <row r="3791" spans="1:37" s="6" customFormat="1">
      <c r="A3791" s="5" t="s">
        <v>15872</v>
      </c>
      <c r="B3791" s="5" t="s">
        <v>15873</v>
      </c>
      <c r="C3791" s="6" t="s">
        <v>15823</v>
      </c>
      <c r="D3791" s="6" t="s">
        <v>10937</v>
      </c>
      <c r="E3791" s="6" t="s">
        <v>10938</v>
      </c>
      <c r="F3791" s="6" t="s">
        <v>46</v>
      </c>
      <c r="G3791" s="6" t="s">
        <v>14129</v>
      </c>
      <c r="H3791" s="18">
        <v>999</v>
      </c>
      <c r="I3791" s="19" t="s">
        <v>13662</v>
      </c>
      <c r="J3791" s="19" t="s">
        <v>14651</v>
      </c>
      <c r="K3791" s="6" t="s">
        <v>15874</v>
      </c>
      <c r="L3791" s="6" t="s">
        <v>15875</v>
      </c>
      <c r="M3791" s="6" t="s">
        <v>15876</v>
      </c>
      <c r="N3791" s="6" t="s">
        <v>15877</v>
      </c>
      <c r="O3791" s="6" t="s">
        <v>15878</v>
      </c>
      <c r="P3791" s="6" t="s">
        <v>15879</v>
      </c>
      <c r="Q3791" s="6" t="s">
        <v>15880</v>
      </c>
      <c r="R3791" s="6" t="s">
        <v>15881</v>
      </c>
      <c r="S3791" s="6" t="s">
        <v>13672</v>
      </c>
      <c r="T3791" s="6" t="s">
        <v>13697</v>
      </c>
      <c r="U3791" s="6" t="s">
        <v>13674</v>
      </c>
      <c r="V3791" s="6" t="s">
        <v>13675</v>
      </c>
      <c r="W3791" s="6" t="s">
        <v>13676</v>
      </c>
      <c r="X3791" s="6" t="s">
        <v>13677</v>
      </c>
      <c r="Y3791" s="6" t="s">
        <v>13678</v>
      </c>
      <c r="Z3791" s="6" t="s">
        <v>13679</v>
      </c>
      <c r="AA3791" s="6" t="s">
        <v>13680</v>
      </c>
      <c r="AB3791" s="6" t="s">
        <v>13681</v>
      </c>
      <c r="AC3791" s="6" t="s">
        <v>13682</v>
      </c>
      <c r="AD3791" s="6" t="s">
        <v>13683</v>
      </c>
      <c r="AE3791" s="5"/>
      <c r="AF3791" s="5"/>
      <c r="AG3791" s="14" t="s">
        <v>49</v>
      </c>
      <c r="AH3791" s="14" t="s">
        <v>1102</v>
      </c>
      <c r="AI3791" s="14" t="s">
        <v>13684</v>
      </c>
      <c r="AJ3791" s="5" t="s">
        <v>13685</v>
      </c>
      <c r="AK3791" s="5"/>
    </row>
    <row r="3792" spans="1:37">
      <c r="A3792" s="6" t="s">
        <v>15882</v>
      </c>
      <c r="B3792" s="6" t="s">
        <v>15883</v>
      </c>
      <c r="C3792" s="6" t="s">
        <v>43</v>
      </c>
      <c r="D3792" s="6" t="s">
        <v>10937</v>
      </c>
      <c r="E3792" s="6" t="s">
        <v>10938</v>
      </c>
      <c r="F3792" s="6" t="s">
        <v>46</v>
      </c>
      <c r="G3792" s="6" t="s">
        <v>15884</v>
      </c>
      <c r="I3792" s="6" t="s">
        <v>48</v>
      </c>
      <c r="J3792" s="6" t="s">
        <v>48</v>
      </c>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15" t="s">
        <v>55</v>
      </c>
      <c r="AH3792" s="15"/>
      <c r="AI3792" s="15"/>
      <c r="AJ3792" s="6"/>
      <c r="AK3792" s="6"/>
    </row>
    <row r="3793" spans="1:37" s="6" customFormat="1">
      <c r="A3793" s="6" t="s">
        <v>15885</v>
      </c>
      <c r="B3793" s="6" t="s">
        <v>15886</v>
      </c>
      <c r="C3793" s="6" t="s">
        <v>43</v>
      </c>
      <c r="D3793" s="6" t="s">
        <v>10937</v>
      </c>
      <c r="E3793" s="6" t="s">
        <v>10938</v>
      </c>
      <c r="F3793" s="6" t="s">
        <v>46</v>
      </c>
      <c r="G3793" s="6" t="s">
        <v>7499</v>
      </c>
      <c r="H3793" s="7"/>
      <c r="I3793" s="6" t="s">
        <v>48</v>
      </c>
      <c r="J3793" s="6" t="s">
        <v>48</v>
      </c>
      <c r="AG3793" s="15" t="s">
        <v>55</v>
      </c>
      <c r="AH3793" s="15"/>
      <c r="AI3793" s="15"/>
    </row>
    <row r="3794" spans="1:37" s="6" customFormat="1">
      <c r="A3794" s="6" t="s">
        <v>15887</v>
      </c>
      <c r="B3794" s="6" t="s">
        <v>15888</v>
      </c>
      <c r="C3794" s="6" t="s">
        <v>43</v>
      </c>
      <c r="D3794" s="6" t="s">
        <v>10937</v>
      </c>
      <c r="E3794" s="6" t="s">
        <v>10938</v>
      </c>
      <c r="F3794" s="6" t="s">
        <v>46</v>
      </c>
      <c r="G3794" s="6" t="s">
        <v>15889</v>
      </c>
      <c r="H3794" s="7"/>
      <c r="I3794" s="6" t="s">
        <v>48</v>
      </c>
      <c r="J3794" s="6" t="s">
        <v>48</v>
      </c>
      <c r="AG3794" s="15" t="s">
        <v>55</v>
      </c>
      <c r="AH3794" s="15"/>
      <c r="AI3794" s="15"/>
    </row>
    <row r="3795" spans="1:37" s="6" customFormat="1">
      <c r="A3795" s="6" t="s">
        <v>15890</v>
      </c>
      <c r="B3795" s="6" t="s">
        <v>15891</v>
      </c>
      <c r="C3795" s="6" t="s">
        <v>43</v>
      </c>
      <c r="D3795" s="6" t="s">
        <v>10937</v>
      </c>
      <c r="E3795" s="6" t="s">
        <v>10938</v>
      </c>
      <c r="F3795" s="6" t="s">
        <v>46</v>
      </c>
      <c r="G3795" s="6" t="s">
        <v>8253</v>
      </c>
      <c r="H3795" s="7"/>
      <c r="I3795" s="6" t="s">
        <v>48</v>
      </c>
      <c r="J3795" s="6" t="s">
        <v>48</v>
      </c>
      <c r="AG3795" s="15" t="s">
        <v>55</v>
      </c>
      <c r="AH3795" s="15"/>
      <c r="AI3795" s="15"/>
    </row>
    <row r="3796" spans="1:37" s="6" customFormat="1">
      <c r="A3796" s="6" t="s">
        <v>15892</v>
      </c>
      <c r="B3796" s="6" t="s">
        <v>15893</v>
      </c>
      <c r="C3796" s="6" t="s">
        <v>43</v>
      </c>
      <c r="D3796" s="6" t="s">
        <v>10937</v>
      </c>
      <c r="E3796" s="6" t="s">
        <v>10938</v>
      </c>
      <c r="F3796" s="6" t="s">
        <v>46</v>
      </c>
      <c r="G3796" s="6" t="s">
        <v>15894</v>
      </c>
      <c r="H3796" s="7"/>
      <c r="I3796" s="6" t="s">
        <v>48</v>
      </c>
      <c r="J3796" s="6" t="s">
        <v>48</v>
      </c>
      <c r="AG3796" s="15" t="s">
        <v>55</v>
      </c>
      <c r="AH3796" s="15"/>
      <c r="AI3796" s="15"/>
    </row>
    <row r="3797" spans="1:37" s="6" customFormat="1">
      <c r="A3797" s="6" t="s">
        <v>15895</v>
      </c>
      <c r="B3797" s="6" t="s">
        <v>15896</v>
      </c>
      <c r="C3797" s="6" t="s">
        <v>43</v>
      </c>
      <c r="D3797" s="6" t="s">
        <v>10937</v>
      </c>
      <c r="E3797" s="6" t="s">
        <v>10938</v>
      </c>
      <c r="F3797" s="6" t="s">
        <v>46</v>
      </c>
      <c r="G3797" s="6" t="s">
        <v>15897</v>
      </c>
      <c r="H3797" s="7"/>
      <c r="I3797" s="6" t="s">
        <v>48</v>
      </c>
      <c r="J3797" s="6" t="s">
        <v>48</v>
      </c>
      <c r="AG3797" s="15" t="s">
        <v>55</v>
      </c>
      <c r="AH3797" s="15"/>
      <c r="AI3797" s="15"/>
    </row>
    <row r="3798" spans="1:37" s="6" customFormat="1">
      <c r="A3798" s="6" t="s">
        <v>15898</v>
      </c>
      <c r="B3798" s="6" t="s">
        <v>15899</v>
      </c>
      <c r="C3798" s="6" t="s">
        <v>43</v>
      </c>
      <c r="D3798" s="6" t="s">
        <v>10985</v>
      </c>
      <c r="E3798" s="6" t="s">
        <v>10938</v>
      </c>
      <c r="F3798" s="6" t="s">
        <v>46</v>
      </c>
      <c r="G3798" s="6" t="s">
        <v>15900</v>
      </c>
      <c r="H3798" s="7"/>
      <c r="I3798" s="6" t="s">
        <v>48</v>
      </c>
      <c r="J3798" s="6" t="s">
        <v>48</v>
      </c>
      <c r="AG3798" s="15" t="s">
        <v>55</v>
      </c>
      <c r="AH3798" s="15"/>
      <c r="AI3798" s="15"/>
    </row>
    <row r="3799" spans="1:37" s="6" customFormat="1">
      <c r="A3799" s="5" t="s">
        <v>15901</v>
      </c>
      <c r="B3799" s="5" t="s">
        <v>15902</v>
      </c>
      <c r="C3799" s="6" t="s">
        <v>2842</v>
      </c>
      <c r="D3799" s="6" t="s">
        <v>10937</v>
      </c>
      <c r="E3799" s="6" t="s">
        <v>10938</v>
      </c>
      <c r="F3799" s="6" t="s">
        <v>46</v>
      </c>
      <c r="G3799" s="6" t="s">
        <v>1969</v>
      </c>
      <c r="H3799" s="7"/>
      <c r="I3799" s="19"/>
      <c r="J3799" s="5"/>
      <c r="K3799" s="5"/>
      <c r="L3799" s="5"/>
      <c r="M3799" s="5"/>
      <c r="N3799" s="5"/>
      <c r="O3799" s="5"/>
      <c r="P3799" s="5"/>
      <c r="Q3799" s="5"/>
      <c r="R3799" s="5"/>
      <c r="S3799" s="5"/>
      <c r="T3799" s="5"/>
      <c r="U3799" s="5"/>
      <c r="V3799" s="5"/>
      <c r="W3799" s="5"/>
      <c r="X3799" s="5"/>
      <c r="Y3799" s="5"/>
      <c r="Z3799" s="5"/>
      <c r="AA3799" s="5"/>
      <c r="AB3799" s="5"/>
      <c r="AC3799" s="5"/>
      <c r="AD3799" s="5"/>
      <c r="AE3799" s="5"/>
      <c r="AF3799" s="5"/>
      <c r="AG3799" s="14" t="s">
        <v>49</v>
      </c>
      <c r="AH3799" s="14" t="s">
        <v>1102</v>
      </c>
      <c r="AI3799" s="14" t="s">
        <v>13684</v>
      </c>
      <c r="AJ3799" s="5" t="s">
        <v>13685</v>
      </c>
      <c r="AK3799" s="5"/>
    </row>
    <row r="3800" spans="1:37">
      <c r="A3800" s="6" t="s">
        <v>15903</v>
      </c>
      <c r="B3800" s="6" t="s">
        <v>15904</v>
      </c>
      <c r="C3800" s="6" t="s">
        <v>43</v>
      </c>
      <c r="D3800" s="6" t="s">
        <v>10937</v>
      </c>
      <c r="E3800" s="6" t="s">
        <v>10938</v>
      </c>
      <c r="F3800" s="6" t="s">
        <v>46</v>
      </c>
      <c r="G3800" s="6" t="s">
        <v>15905</v>
      </c>
      <c r="I3800" s="6" t="s">
        <v>48</v>
      </c>
      <c r="J3800" s="6" t="s">
        <v>48</v>
      </c>
      <c r="K3800" s="6"/>
      <c r="L3800" s="6"/>
      <c r="M3800" s="6"/>
      <c r="N3800" s="6"/>
      <c r="O3800" s="6"/>
      <c r="P3800" s="6"/>
      <c r="Q3800" s="6"/>
      <c r="R3800" s="6"/>
      <c r="S3800" s="6"/>
      <c r="T3800" s="6"/>
      <c r="U3800" s="6"/>
      <c r="V3800" s="6"/>
      <c r="W3800" s="6"/>
      <c r="X3800" s="6"/>
      <c r="Y3800" s="6"/>
      <c r="Z3800" s="6"/>
      <c r="AA3800" s="6"/>
      <c r="AB3800" s="6"/>
      <c r="AC3800" s="6"/>
      <c r="AD3800" s="6"/>
      <c r="AE3800" s="6"/>
      <c r="AF3800" s="6"/>
      <c r="AG3800" s="15" t="s">
        <v>55</v>
      </c>
      <c r="AH3800" s="15"/>
      <c r="AI3800" s="15"/>
      <c r="AJ3800" s="6"/>
      <c r="AK3800" s="6"/>
    </row>
    <row r="3801" spans="1:37" s="6" customFormat="1">
      <c r="A3801" s="6" t="s">
        <v>15906</v>
      </c>
      <c r="B3801" s="6" t="s">
        <v>15907</v>
      </c>
      <c r="C3801" s="6" t="s">
        <v>43</v>
      </c>
      <c r="D3801" s="6" t="s">
        <v>10937</v>
      </c>
      <c r="E3801" s="6" t="s">
        <v>10938</v>
      </c>
      <c r="F3801" s="6" t="s">
        <v>46</v>
      </c>
      <c r="G3801" s="6" t="s">
        <v>15905</v>
      </c>
      <c r="H3801" s="7"/>
      <c r="I3801" s="6" t="s">
        <v>48</v>
      </c>
      <c r="J3801" s="6" t="s">
        <v>48</v>
      </c>
      <c r="AG3801" s="15" t="s">
        <v>55</v>
      </c>
      <c r="AH3801" s="15"/>
      <c r="AI3801" s="15"/>
    </row>
    <row r="3802" spans="1:37" s="6" customFormat="1">
      <c r="A3802" s="6" t="s">
        <v>15908</v>
      </c>
      <c r="B3802" s="6" t="s">
        <v>15909</v>
      </c>
      <c r="C3802" s="6" t="s">
        <v>43</v>
      </c>
      <c r="D3802" s="6" t="s">
        <v>10937</v>
      </c>
      <c r="E3802" s="6" t="s">
        <v>10938</v>
      </c>
      <c r="F3802" s="6" t="s">
        <v>46</v>
      </c>
      <c r="G3802" s="6" t="s">
        <v>15910</v>
      </c>
      <c r="H3802" s="7"/>
      <c r="I3802" s="6" t="s">
        <v>48</v>
      </c>
      <c r="J3802" s="6" t="s">
        <v>48</v>
      </c>
      <c r="AG3802" s="15" t="s">
        <v>55</v>
      </c>
      <c r="AH3802" s="15"/>
      <c r="AI3802" s="15"/>
    </row>
    <row r="3803" spans="1:37" s="6" customFormat="1">
      <c r="A3803" s="6" t="s">
        <v>15911</v>
      </c>
      <c r="B3803" s="6" t="s">
        <v>15912</v>
      </c>
      <c r="C3803" s="6" t="s">
        <v>43</v>
      </c>
      <c r="D3803" s="6" t="s">
        <v>10937</v>
      </c>
      <c r="E3803" s="6" t="s">
        <v>10938</v>
      </c>
      <c r="F3803" s="6" t="s">
        <v>46</v>
      </c>
      <c r="G3803" s="6" t="s">
        <v>15913</v>
      </c>
      <c r="H3803" s="7"/>
      <c r="I3803" s="6" t="s">
        <v>48</v>
      </c>
      <c r="J3803" s="6" t="s">
        <v>48</v>
      </c>
      <c r="AG3803" s="15" t="s">
        <v>55</v>
      </c>
      <c r="AH3803" s="15"/>
      <c r="AI3803" s="15"/>
    </row>
    <row r="3804" spans="1:37" s="6" customFormat="1">
      <c r="A3804" s="6" t="s">
        <v>15914</v>
      </c>
      <c r="B3804" s="6" t="s">
        <v>15915</v>
      </c>
      <c r="C3804" s="6" t="s">
        <v>43</v>
      </c>
      <c r="D3804" s="6" t="s">
        <v>10937</v>
      </c>
      <c r="E3804" s="6" t="s">
        <v>10938</v>
      </c>
      <c r="F3804" s="6" t="s">
        <v>46</v>
      </c>
      <c r="G3804" s="6" t="s">
        <v>15913</v>
      </c>
      <c r="H3804" s="7"/>
      <c r="I3804" s="6" t="s">
        <v>48</v>
      </c>
      <c r="J3804" s="6" t="s">
        <v>48</v>
      </c>
      <c r="AG3804" s="15" t="s">
        <v>55</v>
      </c>
      <c r="AH3804" s="15"/>
      <c r="AI3804" s="15"/>
    </row>
    <row r="3805" spans="1:37" s="6" customFormat="1">
      <c r="A3805" s="6" t="s">
        <v>15916</v>
      </c>
      <c r="B3805" s="6" t="s">
        <v>15917</v>
      </c>
      <c r="C3805" s="6" t="s">
        <v>43</v>
      </c>
      <c r="D3805" s="6" t="s">
        <v>10937</v>
      </c>
      <c r="E3805" s="6" t="s">
        <v>10938</v>
      </c>
      <c r="F3805" s="6" t="s">
        <v>46</v>
      </c>
      <c r="G3805" s="6" t="s">
        <v>13595</v>
      </c>
      <c r="H3805" s="7"/>
      <c r="I3805" s="6" t="s">
        <v>48</v>
      </c>
      <c r="J3805" s="6" t="s">
        <v>48</v>
      </c>
      <c r="AG3805" s="15" t="s">
        <v>55</v>
      </c>
      <c r="AH3805" s="15"/>
      <c r="AI3805" s="15"/>
    </row>
    <row r="3806" spans="1:37" s="6" customFormat="1">
      <c r="A3806" s="6" t="s">
        <v>15918</v>
      </c>
      <c r="B3806" s="6" t="s">
        <v>15919</v>
      </c>
      <c r="C3806" s="6" t="s">
        <v>43</v>
      </c>
      <c r="D3806" s="6" t="s">
        <v>10937</v>
      </c>
      <c r="E3806" s="6" t="s">
        <v>10938</v>
      </c>
      <c r="F3806" s="6" t="s">
        <v>46</v>
      </c>
      <c r="G3806" s="6" t="s">
        <v>15920</v>
      </c>
      <c r="H3806" s="7"/>
      <c r="I3806" s="6" t="s">
        <v>48</v>
      </c>
      <c r="J3806" s="6" t="s">
        <v>48</v>
      </c>
      <c r="AG3806" s="15" t="s">
        <v>55</v>
      </c>
      <c r="AH3806" s="15"/>
      <c r="AI3806" s="15"/>
    </row>
    <row r="3807" spans="1:37" s="6" customFormat="1">
      <c r="A3807" s="6" t="s">
        <v>15921</v>
      </c>
      <c r="B3807" s="6" t="s">
        <v>15922</v>
      </c>
      <c r="C3807" s="6" t="s">
        <v>43</v>
      </c>
      <c r="D3807" s="6" t="s">
        <v>10937</v>
      </c>
      <c r="E3807" s="6" t="s">
        <v>10938</v>
      </c>
      <c r="F3807" s="6" t="s">
        <v>46</v>
      </c>
      <c r="G3807" s="6" t="s">
        <v>13595</v>
      </c>
      <c r="H3807" s="7"/>
      <c r="I3807" s="6" t="s">
        <v>48</v>
      </c>
      <c r="J3807" s="6" t="s">
        <v>48</v>
      </c>
      <c r="AG3807" s="15" t="s">
        <v>49</v>
      </c>
      <c r="AH3807" s="15"/>
      <c r="AI3807" s="15"/>
    </row>
    <row r="3808" spans="1:37" s="6" customFormat="1">
      <c r="A3808" s="6" t="s">
        <v>15923</v>
      </c>
      <c r="B3808" s="6" t="s">
        <v>15924</v>
      </c>
      <c r="C3808" s="6" t="s">
        <v>43</v>
      </c>
      <c r="D3808" s="6" t="s">
        <v>10937</v>
      </c>
      <c r="E3808" s="6" t="s">
        <v>10938</v>
      </c>
      <c r="F3808" s="6" t="s">
        <v>46</v>
      </c>
      <c r="G3808" s="6" t="s">
        <v>15920</v>
      </c>
      <c r="H3808" s="7"/>
      <c r="I3808" s="6" t="s">
        <v>48</v>
      </c>
      <c r="J3808" s="6" t="s">
        <v>48</v>
      </c>
      <c r="AG3808" s="15" t="s">
        <v>49</v>
      </c>
      <c r="AH3808" s="15"/>
      <c r="AI3808" s="15"/>
    </row>
    <row r="3809" spans="1:37" s="6" customFormat="1">
      <c r="A3809" s="6" t="s">
        <v>15925</v>
      </c>
      <c r="B3809" s="6" t="s">
        <v>15926</v>
      </c>
      <c r="C3809" s="6" t="s">
        <v>43</v>
      </c>
      <c r="D3809" s="6" t="s">
        <v>10937</v>
      </c>
      <c r="E3809" s="6" t="s">
        <v>10938</v>
      </c>
      <c r="F3809" s="6" t="s">
        <v>46</v>
      </c>
      <c r="G3809" s="6" t="s">
        <v>15927</v>
      </c>
      <c r="H3809" s="7"/>
      <c r="I3809" s="6" t="s">
        <v>48</v>
      </c>
      <c r="J3809" s="6" t="s">
        <v>48</v>
      </c>
      <c r="AG3809" s="15" t="s">
        <v>55</v>
      </c>
      <c r="AH3809" s="15"/>
      <c r="AI3809" s="15"/>
    </row>
    <row r="3810" spans="1:37" s="6" customFormat="1">
      <c r="A3810" s="6" t="s">
        <v>15928</v>
      </c>
      <c r="B3810" s="6" t="s">
        <v>15929</v>
      </c>
      <c r="C3810" s="6" t="s">
        <v>15930</v>
      </c>
      <c r="D3810" s="6" t="s">
        <v>1040</v>
      </c>
      <c r="E3810" s="6" t="s">
        <v>53</v>
      </c>
      <c r="F3810" s="6" t="s">
        <v>46</v>
      </c>
      <c r="G3810" s="6" t="s">
        <v>15931</v>
      </c>
      <c r="H3810" s="7"/>
      <c r="I3810" s="19" t="s">
        <v>48</v>
      </c>
      <c r="J3810" s="19" t="s">
        <v>48</v>
      </c>
      <c r="AG3810" s="15" t="s">
        <v>55</v>
      </c>
      <c r="AH3810" s="15"/>
      <c r="AI3810" s="15"/>
    </row>
    <row r="3811" spans="1:37" s="6" customFormat="1">
      <c r="A3811" s="6" t="s">
        <v>15932</v>
      </c>
      <c r="B3811" s="6" t="s">
        <v>15933</v>
      </c>
      <c r="C3811" s="6" t="s">
        <v>15934</v>
      </c>
      <c r="D3811" s="6" t="s">
        <v>1040</v>
      </c>
      <c r="E3811" s="6" t="s">
        <v>218</v>
      </c>
      <c r="F3811" s="6" t="s">
        <v>46</v>
      </c>
      <c r="G3811" s="6" t="s">
        <v>15935</v>
      </c>
      <c r="H3811" s="7"/>
      <c r="I3811" s="19" t="s">
        <v>48</v>
      </c>
      <c r="J3811" s="19" t="s">
        <v>48</v>
      </c>
      <c r="AG3811" s="15" t="s">
        <v>49</v>
      </c>
      <c r="AH3811" s="15"/>
      <c r="AI3811" s="15"/>
    </row>
    <row r="3812" spans="1:37" s="6" customFormat="1">
      <c r="A3812" s="6" t="s">
        <v>15936</v>
      </c>
      <c r="B3812" s="6" t="s">
        <v>15937</v>
      </c>
      <c r="C3812" s="6" t="s">
        <v>15938</v>
      </c>
      <c r="D3812" s="6" t="s">
        <v>1040</v>
      </c>
      <c r="E3812" s="6" t="s">
        <v>11106</v>
      </c>
      <c r="F3812" s="6" t="s">
        <v>46</v>
      </c>
      <c r="G3812" s="6" t="s">
        <v>15939</v>
      </c>
      <c r="H3812" s="7"/>
      <c r="I3812" s="19" t="s">
        <v>48</v>
      </c>
      <c r="J3812" s="19" t="s">
        <v>48</v>
      </c>
      <c r="AG3812" s="15" t="s">
        <v>55</v>
      </c>
      <c r="AH3812" s="15"/>
      <c r="AI3812" s="15"/>
    </row>
    <row r="3813" spans="1:37" s="6" customFormat="1">
      <c r="A3813" s="6" t="s">
        <v>15940</v>
      </c>
      <c r="B3813" s="6" t="s">
        <v>15937</v>
      </c>
      <c r="C3813" s="6" t="s">
        <v>15938</v>
      </c>
      <c r="D3813" s="6" t="s">
        <v>1040</v>
      </c>
      <c r="E3813" s="6" t="s">
        <v>218</v>
      </c>
      <c r="F3813" s="6" t="s">
        <v>46</v>
      </c>
      <c r="G3813" s="6" t="s">
        <v>15941</v>
      </c>
      <c r="H3813" s="7"/>
      <c r="I3813" s="19" t="s">
        <v>48</v>
      </c>
      <c r="J3813" s="19" t="s">
        <v>48</v>
      </c>
      <c r="AG3813" s="15" t="s">
        <v>49</v>
      </c>
      <c r="AH3813" s="15"/>
      <c r="AI3813" s="15"/>
    </row>
    <row r="3814" spans="1:37" s="6" customFormat="1">
      <c r="A3814" s="5" t="s">
        <v>15942</v>
      </c>
      <c r="B3814" s="5" t="s">
        <v>15943</v>
      </c>
      <c r="C3814" s="6" t="s">
        <v>15938</v>
      </c>
      <c r="D3814" s="6" t="s">
        <v>1040</v>
      </c>
      <c r="E3814" s="6" t="s">
        <v>11106</v>
      </c>
      <c r="F3814" s="6" t="s">
        <v>46</v>
      </c>
      <c r="G3814" s="6" t="s">
        <v>15944</v>
      </c>
      <c r="H3814" s="7">
        <v>108</v>
      </c>
      <c r="I3814" s="19" t="s">
        <v>1888</v>
      </c>
      <c r="J3814" s="19" t="s">
        <v>15945</v>
      </c>
      <c r="K3814" s="17" t="s">
        <v>15946</v>
      </c>
      <c r="L3814" s="5" t="s">
        <v>15947</v>
      </c>
      <c r="M3814" s="5" t="s">
        <v>15948</v>
      </c>
      <c r="N3814" s="5" t="s">
        <v>15949</v>
      </c>
      <c r="O3814" s="5" t="s">
        <v>15950</v>
      </c>
      <c r="P3814" s="6" t="s">
        <v>15951</v>
      </c>
      <c r="Q3814" s="6" t="s">
        <v>15952</v>
      </c>
      <c r="R3814" s="6" t="s">
        <v>15953</v>
      </c>
      <c r="S3814" s="5"/>
      <c r="T3814" s="5"/>
      <c r="U3814" s="5" t="s">
        <v>15954</v>
      </c>
      <c r="V3814" s="5"/>
      <c r="W3814" s="5"/>
      <c r="X3814" s="5"/>
      <c r="Y3814" s="5"/>
      <c r="Z3814" s="5"/>
      <c r="AA3814" s="5"/>
      <c r="AB3814" s="5"/>
      <c r="AC3814" s="5" t="s">
        <v>15955</v>
      </c>
      <c r="AD3814" s="5"/>
      <c r="AE3814" s="5"/>
      <c r="AF3814" s="5"/>
      <c r="AG3814" s="14" t="s">
        <v>55</v>
      </c>
      <c r="AH3814" s="14" t="s">
        <v>49</v>
      </c>
      <c r="AI3814" s="14" t="s">
        <v>1836</v>
      </c>
      <c r="AJ3814" s="5" t="s">
        <v>15956</v>
      </c>
      <c r="AK3814" s="5"/>
    </row>
    <row r="3815" spans="1:37">
      <c r="A3815" s="5" t="s">
        <v>15957</v>
      </c>
      <c r="B3815" s="5" t="s">
        <v>15943</v>
      </c>
      <c r="C3815" s="6" t="s">
        <v>499</v>
      </c>
      <c r="D3815" s="6" t="s">
        <v>1040</v>
      </c>
      <c r="E3815" s="6" t="s">
        <v>218</v>
      </c>
      <c r="F3815" s="6" t="s">
        <v>46</v>
      </c>
      <c r="G3815" s="6" t="s">
        <v>15958</v>
      </c>
      <c r="H3815" s="7">
        <v>108</v>
      </c>
      <c r="I3815" s="19" t="s">
        <v>1888</v>
      </c>
      <c r="J3815" s="19" t="s">
        <v>15945</v>
      </c>
      <c r="K3815" s="5" t="s">
        <v>15946</v>
      </c>
      <c r="L3815" s="5" t="s">
        <v>15947</v>
      </c>
      <c r="M3815" s="5" t="s">
        <v>15959</v>
      </c>
      <c r="N3815" s="5" t="s">
        <v>15949</v>
      </c>
      <c r="O3815" s="6" t="s">
        <v>15950</v>
      </c>
      <c r="P3815" s="6" t="s">
        <v>15951</v>
      </c>
      <c r="Q3815" s="6" t="s">
        <v>15952</v>
      </c>
      <c r="R3815" s="5" t="s">
        <v>15953</v>
      </c>
      <c r="U3815" s="6" t="s">
        <v>15954</v>
      </c>
      <c r="AG3815" s="14" t="s">
        <v>49</v>
      </c>
      <c r="AH3815" s="14" t="s">
        <v>49</v>
      </c>
      <c r="AI3815" s="14" t="s">
        <v>1985</v>
      </c>
      <c r="AJ3815" s="5" t="s">
        <v>1986</v>
      </c>
    </row>
    <row r="3816" spans="1:37">
      <c r="A3816" s="5" t="s">
        <v>15960</v>
      </c>
      <c r="B3816" s="5" t="s">
        <v>15943</v>
      </c>
      <c r="C3816" s="6" t="s">
        <v>499</v>
      </c>
      <c r="D3816" s="6" t="s">
        <v>1040</v>
      </c>
      <c r="E3816" s="6" t="s">
        <v>10152</v>
      </c>
      <c r="F3816" s="6" t="s">
        <v>46</v>
      </c>
      <c r="G3816" s="6" t="s">
        <v>15961</v>
      </c>
      <c r="H3816" s="7">
        <v>108</v>
      </c>
      <c r="I3816" s="19" t="s">
        <v>1888</v>
      </c>
      <c r="J3816" s="19" t="s">
        <v>15945</v>
      </c>
      <c r="K3816" s="5" t="s">
        <v>15946</v>
      </c>
      <c r="L3816" s="5" t="s">
        <v>15947</v>
      </c>
      <c r="M3816" s="5" t="s">
        <v>15948</v>
      </c>
      <c r="N3816" s="5" t="s">
        <v>15949</v>
      </c>
      <c r="O3816" s="6" t="s">
        <v>15950</v>
      </c>
      <c r="P3816" s="6" t="s">
        <v>15951</v>
      </c>
      <c r="Q3816" s="6" t="s">
        <v>15952</v>
      </c>
      <c r="R3816" s="5" t="s">
        <v>15953</v>
      </c>
      <c r="U3816" s="6" t="s">
        <v>15954</v>
      </c>
      <c r="AG3816" s="14" t="s">
        <v>55</v>
      </c>
      <c r="AH3816" s="14" t="s">
        <v>49</v>
      </c>
      <c r="AI3816" s="14" t="s">
        <v>1836</v>
      </c>
      <c r="AJ3816" s="5" t="s">
        <v>15956</v>
      </c>
    </row>
    <row r="3817" spans="1:37">
      <c r="A3817" s="5" t="s">
        <v>15962</v>
      </c>
      <c r="B3817" s="5" t="s">
        <v>15963</v>
      </c>
      <c r="C3817" s="6" t="s">
        <v>15938</v>
      </c>
      <c r="D3817" s="6" t="s">
        <v>1040</v>
      </c>
      <c r="E3817" s="6" t="s">
        <v>11106</v>
      </c>
      <c r="F3817" s="6" t="s">
        <v>46</v>
      </c>
      <c r="G3817" s="6" t="s">
        <v>15964</v>
      </c>
      <c r="H3817" s="7">
        <v>134</v>
      </c>
      <c r="I3817" s="19" t="s">
        <v>1888</v>
      </c>
      <c r="J3817" s="19" t="s">
        <v>15945</v>
      </c>
      <c r="K3817" s="5" t="s">
        <v>15965</v>
      </c>
      <c r="L3817" s="5" t="s">
        <v>15966</v>
      </c>
      <c r="M3817" s="5" t="s">
        <v>15967</v>
      </c>
      <c r="N3817" s="5" t="s">
        <v>15968</v>
      </c>
      <c r="O3817" s="6" t="s">
        <v>15969</v>
      </c>
      <c r="P3817" s="6" t="s">
        <v>15970</v>
      </c>
      <c r="Q3817" s="6" t="s">
        <v>15971</v>
      </c>
      <c r="R3817" s="5" t="s">
        <v>15972</v>
      </c>
      <c r="U3817" s="6" t="s">
        <v>15954</v>
      </c>
      <c r="AG3817" s="14" t="s">
        <v>55</v>
      </c>
      <c r="AH3817" s="14" t="s">
        <v>49</v>
      </c>
      <c r="AI3817" s="14" t="s">
        <v>1836</v>
      </c>
      <c r="AJ3817" s="5" t="s">
        <v>15956</v>
      </c>
    </row>
    <row r="3818" spans="1:37">
      <c r="A3818" s="5" t="s">
        <v>15973</v>
      </c>
      <c r="B3818" s="5" t="s">
        <v>15963</v>
      </c>
      <c r="C3818" s="6" t="s">
        <v>15974</v>
      </c>
      <c r="D3818" s="6" t="s">
        <v>1040</v>
      </c>
      <c r="E3818" s="6" t="s">
        <v>218</v>
      </c>
      <c r="F3818" s="6" t="s">
        <v>46</v>
      </c>
      <c r="G3818" s="6" t="s">
        <v>15975</v>
      </c>
      <c r="H3818" s="7">
        <v>134</v>
      </c>
      <c r="I3818" s="19" t="s">
        <v>1888</v>
      </c>
      <c r="J3818" s="19" t="s">
        <v>15945</v>
      </c>
      <c r="K3818" s="5" t="s">
        <v>15965</v>
      </c>
      <c r="L3818" s="5" t="s">
        <v>15966</v>
      </c>
      <c r="M3818" s="5" t="s">
        <v>15976</v>
      </c>
      <c r="N3818" s="5" t="s">
        <v>15968</v>
      </c>
      <c r="O3818" s="6" t="s">
        <v>15969</v>
      </c>
      <c r="P3818" s="6" t="s">
        <v>15970</v>
      </c>
      <c r="Q3818" s="6" t="s">
        <v>15971</v>
      </c>
      <c r="R3818" s="5" t="s">
        <v>15972</v>
      </c>
      <c r="U3818" s="6" t="s">
        <v>15954</v>
      </c>
      <c r="AG3818" s="14" t="s">
        <v>49</v>
      </c>
      <c r="AH3818" s="14" t="s">
        <v>49</v>
      </c>
      <c r="AI3818" s="14" t="s">
        <v>1985</v>
      </c>
      <c r="AJ3818" s="5" t="s">
        <v>1986</v>
      </c>
    </row>
    <row r="3819" spans="1:37">
      <c r="A3819" s="5" t="s">
        <v>15977</v>
      </c>
      <c r="B3819" s="5" t="s">
        <v>15978</v>
      </c>
      <c r="C3819" s="6" t="s">
        <v>15938</v>
      </c>
      <c r="D3819" s="6" t="s">
        <v>1040</v>
      </c>
      <c r="E3819" s="6" t="s">
        <v>11106</v>
      </c>
      <c r="F3819" s="6" t="s">
        <v>46</v>
      </c>
      <c r="G3819" s="6" t="s">
        <v>15979</v>
      </c>
      <c r="H3819" s="7">
        <v>159</v>
      </c>
      <c r="I3819" s="19" t="s">
        <v>1888</v>
      </c>
      <c r="J3819" s="19" t="s">
        <v>15945</v>
      </c>
      <c r="K3819" s="5" t="s">
        <v>15980</v>
      </c>
      <c r="L3819" s="5" t="s">
        <v>15981</v>
      </c>
      <c r="M3819" s="5" t="s">
        <v>15982</v>
      </c>
      <c r="N3819" s="5" t="s">
        <v>15983</v>
      </c>
      <c r="O3819" s="6" t="s">
        <v>15984</v>
      </c>
      <c r="P3819" s="6" t="s">
        <v>15985</v>
      </c>
      <c r="Q3819" s="6" t="s">
        <v>15986</v>
      </c>
      <c r="R3819" s="5" t="s">
        <v>15987</v>
      </c>
      <c r="U3819" s="6" t="s">
        <v>15954</v>
      </c>
      <c r="AG3819" s="14" t="s">
        <v>55</v>
      </c>
      <c r="AH3819" s="14" t="s">
        <v>49</v>
      </c>
      <c r="AI3819" s="14" t="s">
        <v>1836</v>
      </c>
      <c r="AJ3819" s="5" t="s">
        <v>15956</v>
      </c>
    </row>
    <row r="3820" spans="1:37">
      <c r="A3820" s="5" t="s">
        <v>15988</v>
      </c>
      <c r="B3820" s="5" t="s">
        <v>15978</v>
      </c>
      <c r="C3820" s="6" t="s">
        <v>15930</v>
      </c>
      <c r="D3820" s="6" t="s">
        <v>1040</v>
      </c>
      <c r="E3820" s="6" t="s">
        <v>218</v>
      </c>
      <c r="F3820" s="6" t="s">
        <v>46</v>
      </c>
      <c r="G3820" s="6" t="s">
        <v>15989</v>
      </c>
      <c r="H3820" s="7">
        <v>159</v>
      </c>
      <c r="I3820" s="19" t="s">
        <v>1888</v>
      </c>
      <c r="J3820" s="19" t="s">
        <v>15945</v>
      </c>
      <c r="K3820" s="5" t="s">
        <v>15980</v>
      </c>
      <c r="L3820" s="5" t="s">
        <v>15981</v>
      </c>
      <c r="M3820" s="5" t="s">
        <v>15982</v>
      </c>
      <c r="N3820" s="5" t="s">
        <v>15983</v>
      </c>
      <c r="O3820" s="6" t="s">
        <v>15984</v>
      </c>
      <c r="P3820" s="6" t="s">
        <v>15985</v>
      </c>
      <c r="Q3820" s="6" t="s">
        <v>15986</v>
      </c>
      <c r="R3820" s="5" t="s">
        <v>15987</v>
      </c>
      <c r="U3820" s="6" t="s">
        <v>15954</v>
      </c>
      <c r="AG3820" s="14" t="s">
        <v>49</v>
      </c>
      <c r="AH3820" s="14" t="s">
        <v>49</v>
      </c>
      <c r="AI3820" s="14" t="s">
        <v>1985</v>
      </c>
      <c r="AJ3820" s="5" t="s">
        <v>1986</v>
      </c>
    </row>
    <row r="3821" spans="1:37">
      <c r="A3821" s="6" t="s">
        <v>15990</v>
      </c>
      <c r="B3821" s="6" t="s">
        <v>15991</v>
      </c>
      <c r="C3821" s="6" t="s">
        <v>15938</v>
      </c>
      <c r="D3821" s="6" t="s">
        <v>1040</v>
      </c>
      <c r="E3821" s="6" t="s">
        <v>11106</v>
      </c>
      <c r="F3821" s="6" t="s">
        <v>46</v>
      </c>
      <c r="G3821" s="6" t="s">
        <v>15974</v>
      </c>
      <c r="I3821" s="19" t="s">
        <v>48</v>
      </c>
      <c r="J3821" s="19" t="s">
        <v>48</v>
      </c>
      <c r="K3821" s="6"/>
      <c r="L3821" s="6"/>
      <c r="M3821" s="6"/>
      <c r="N3821" s="6"/>
      <c r="O3821" s="6"/>
      <c r="P3821" s="6"/>
      <c r="Q3821" s="6"/>
      <c r="R3821" s="6"/>
      <c r="S3821" s="6"/>
      <c r="T3821" s="6"/>
      <c r="U3821" s="6"/>
      <c r="V3821" s="6"/>
      <c r="W3821" s="6"/>
      <c r="X3821" s="6"/>
      <c r="Y3821" s="6"/>
      <c r="Z3821" s="6"/>
      <c r="AA3821" s="6"/>
      <c r="AB3821" s="6"/>
      <c r="AC3821" s="6"/>
      <c r="AD3821" s="6"/>
      <c r="AE3821" s="6"/>
      <c r="AF3821" s="6"/>
      <c r="AG3821" s="15" t="s">
        <v>55</v>
      </c>
      <c r="AH3821" s="15"/>
      <c r="AI3821" s="15"/>
      <c r="AJ3821" s="6"/>
      <c r="AK3821" s="6"/>
    </row>
    <row r="3822" spans="1:37" s="6" customFormat="1">
      <c r="A3822" s="5" t="s">
        <v>15992</v>
      </c>
      <c r="B3822" s="5" t="s">
        <v>15993</v>
      </c>
      <c r="C3822" s="6" t="s">
        <v>15938</v>
      </c>
      <c r="D3822" s="6" t="s">
        <v>1040</v>
      </c>
      <c r="E3822" s="6" t="s">
        <v>11106</v>
      </c>
      <c r="F3822" s="6" t="s">
        <v>46</v>
      </c>
      <c r="G3822" s="6" t="s">
        <v>15994</v>
      </c>
      <c r="H3822" s="7">
        <v>201</v>
      </c>
      <c r="I3822" s="19" t="s">
        <v>1888</v>
      </c>
      <c r="J3822" s="19" t="s">
        <v>15945</v>
      </c>
      <c r="K3822" s="5" t="s">
        <v>15995</v>
      </c>
      <c r="L3822" s="5" t="s">
        <v>15996</v>
      </c>
      <c r="M3822" s="5" t="s">
        <v>15997</v>
      </c>
      <c r="N3822" s="5" t="s">
        <v>15998</v>
      </c>
      <c r="O3822" s="6" t="s">
        <v>15999</v>
      </c>
      <c r="P3822" s="6" t="s">
        <v>16000</v>
      </c>
      <c r="Q3822" s="6" t="s">
        <v>16001</v>
      </c>
      <c r="R3822" s="5" t="s">
        <v>16002</v>
      </c>
      <c r="S3822" s="5"/>
      <c r="T3822" s="5"/>
      <c r="U3822" s="6" t="s">
        <v>15954</v>
      </c>
      <c r="V3822" s="5"/>
      <c r="W3822" s="5"/>
      <c r="X3822" s="5"/>
      <c r="Y3822" s="5"/>
      <c r="Z3822" s="5"/>
      <c r="AA3822" s="5"/>
      <c r="AB3822" s="5"/>
      <c r="AC3822" s="5"/>
      <c r="AD3822" s="5"/>
      <c r="AE3822" s="5"/>
      <c r="AF3822" s="5"/>
      <c r="AG3822" s="14" t="s">
        <v>55</v>
      </c>
      <c r="AH3822" s="14" t="s">
        <v>49</v>
      </c>
      <c r="AI3822" s="14" t="s">
        <v>1836</v>
      </c>
      <c r="AJ3822" s="5" t="s">
        <v>15956</v>
      </c>
      <c r="AK3822" s="5"/>
    </row>
    <row r="3823" spans="1:37">
      <c r="A3823" s="5" t="s">
        <v>16003</v>
      </c>
      <c r="B3823" s="5" t="s">
        <v>15993</v>
      </c>
      <c r="C3823" s="6" t="s">
        <v>16004</v>
      </c>
      <c r="D3823" s="6" t="s">
        <v>1040</v>
      </c>
      <c r="E3823" s="6" t="s">
        <v>218</v>
      </c>
      <c r="F3823" s="6" t="s">
        <v>46</v>
      </c>
      <c r="G3823" s="6" t="s">
        <v>16005</v>
      </c>
      <c r="H3823" s="7">
        <v>201</v>
      </c>
      <c r="I3823" s="19" t="s">
        <v>1888</v>
      </c>
      <c r="J3823" s="19" t="s">
        <v>15945</v>
      </c>
      <c r="K3823" s="5" t="s">
        <v>15995</v>
      </c>
      <c r="L3823" s="5" t="s">
        <v>15996</v>
      </c>
      <c r="M3823" s="5" t="s">
        <v>15997</v>
      </c>
      <c r="N3823" s="5" t="s">
        <v>15998</v>
      </c>
      <c r="O3823" s="6" t="s">
        <v>15999</v>
      </c>
      <c r="P3823" s="6" t="s">
        <v>16000</v>
      </c>
      <c r="Q3823" s="6" t="s">
        <v>16001</v>
      </c>
      <c r="R3823" s="5" t="s">
        <v>16002</v>
      </c>
      <c r="U3823" s="6" t="s">
        <v>15954</v>
      </c>
      <c r="AG3823" s="14" t="s">
        <v>49</v>
      </c>
      <c r="AH3823" s="14" t="s">
        <v>49</v>
      </c>
      <c r="AI3823" s="14" t="s">
        <v>1985</v>
      </c>
      <c r="AJ3823" s="5" t="s">
        <v>1986</v>
      </c>
    </row>
    <row r="3824" spans="1:37">
      <c r="A3824" s="5" t="s">
        <v>16006</v>
      </c>
      <c r="B3824" s="5" t="s">
        <v>16007</v>
      </c>
      <c r="C3824" s="6" t="s">
        <v>15938</v>
      </c>
      <c r="D3824" s="6" t="s">
        <v>1040</v>
      </c>
      <c r="E3824" s="6" t="s">
        <v>11106</v>
      </c>
      <c r="F3824" s="6" t="s">
        <v>46</v>
      </c>
      <c r="G3824" s="6" t="s">
        <v>16008</v>
      </c>
      <c r="H3824" s="7">
        <v>267</v>
      </c>
      <c r="I3824" s="19" t="s">
        <v>1888</v>
      </c>
      <c r="J3824" s="19" t="s">
        <v>15945</v>
      </c>
      <c r="K3824" s="5" t="s">
        <v>16009</v>
      </c>
      <c r="L3824" s="5" t="s">
        <v>16010</v>
      </c>
      <c r="M3824" s="5" t="s">
        <v>16011</v>
      </c>
      <c r="N3824" s="5" t="s">
        <v>16012</v>
      </c>
      <c r="O3824" s="6" t="s">
        <v>16013</v>
      </c>
      <c r="P3824" s="6" t="s">
        <v>16014</v>
      </c>
      <c r="Q3824" s="6" t="s">
        <v>16015</v>
      </c>
      <c r="R3824" s="5" t="s">
        <v>16016</v>
      </c>
      <c r="U3824" s="6" t="s">
        <v>15954</v>
      </c>
      <c r="AG3824" s="14" t="s">
        <v>55</v>
      </c>
      <c r="AH3824" s="14" t="s">
        <v>49</v>
      </c>
      <c r="AI3824" s="14" t="s">
        <v>1836</v>
      </c>
      <c r="AJ3824" s="5" t="s">
        <v>15956</v>
      </c>
    </row>
    <row r="3825" spans="1:37">
      <c r="A3825" s="5" t="s">
        <v>16017</v>
      </c>
      <c r="B3825" s="5" t="s">
        <v>16007</v>
      </c>
      <c r="C3825" s="6" t="s">
        <v>15934</v>
      </c>
      <c r="D3825" s="6" t="s">
        <v>1040</v>
      </c>
      <c r="E3825" s="6" t="s">
        <v>218</v>
      </c>
      <c r="F3825" s="6" t="s">
        <v>46</v>
      </c>
      <c r="G3825" s="6" t="s">
        <v>16018</v>
      </c>
      <c r="H3825" s="7">
        <v>267</v>
      </c>
      <c r="I3825" s="19" t="s">
        <v>1888</v>
      </c>
      <c r="J3825" s="19" t="s">
        <v>15945</v>
      </c>
      <c r="K3825" s="5" t="s">
        <v>16009</v>
      </c>
      <c r="L3825" s="5" t="s">
        <v>16010</v>
      </c>
      <c r="M3825" s="5" t="s">
        <v>16011</v>
      </c>
      <c r="N3825" s="5" t="s">
        <v>16012</v>
      </c>
      <c r="O3825" s="6" t="s">
        <v>16013</v>
      </c>
      <c r="P3825" s="6" t="s">
        <v>16014</v>
      </c>
      <c r="Q3825" s="6" t="s">
        <v>16015</v>
      </c>
      <c r="R3825" s="5" t="s">
        <v>16016</v>
      </c>
      <c r="U3825" s="6" t="s">
        <v>15954</v>
      </c>
      <c r="AG3825" s="14" t="s">
        <v>49</v>
      </c>
      <c r="AH3825" s="14" t="s">
        <v>49</v>
      </c>
      <c r="AI3825" s="14" t="s">
        <v>1985</v>
      </c>
      <c r="AJ3825" s="5" t="s">
        <v>1986</v>
      </c>
    </row>
    <row r="3826" spans="1:37">
      <c r="A3826" s="6" t="s">
        <v>16019</v>
      </c>
      <c r="B3826" s="6" t="s">
        <v>16020</v>
      </c>
      <c r="C3826" s="6" t="s">
        <v>15974</v>
      </c>
      <c r="D3826" s="6" t="s">
        <v>1040</v>
      </c>
      <c r="E3826" s="6" t="s">
        <v>218</v>
      </c>
      <c r="F3826" s="6" t="s">
        <v>46</v>
      </c>
      <c r="G3826" s="6" t="s">
        <v>16021</v>
      </c>
      <c r="I3826" s="16" t="s">
        <v>48</v>
      </c>
      <c r="J3826" s="16" t="s">
        <v>48</v>
      </c>
      <c r="K3826" s="6"/>
      <c r="L3826" s="6"/>
      <c r="M3826" s="6"/>
      <c r="N3826" s="6"/>
      <c r="O3826" s="6"/>
      <c r="P3826" s="6"/>
      <c r="Q3826" s="6"/>
      <c r="R3826" s="6"/>
      <c r="S3826" s="6"/>
      <c r="T3826" s="6"/>
      <c r="U3826" s="6"/>
      <c r="V3826" s="6"/>
      <c r="W3826" s="6"/>
      <c r="X3826" s="6"/>
      <c r="Y3826" s="6"/>
      <c r="Z3826" s="6"/>
      <c r="AA3826" s="6"/>
      <c r="AB3826" s="6"/>
      <c r="AC3826" s="6"/>
      <c r="AD3826" s="6"/>
      <c r="AE3826" s="6"/>
      <c r="AF3826" s="6"/>
      <c r="AG3826" s="15" t="s">
        <v>49</v>
      </c>
      <c r="AH3826" s="15"/>
      <c r="AI3826" s="15"/>
      <c r="AJ3826" s="6"/>
      <c r="AK3826" s="6"/>
    </row>
    <row r="3827" spans="1:37" s="6" customFormat="1">
      <c r="A3827" s="5" t="s">
        <v>16022</v>
      </c>
      <c r="B3827" s="5" t="s">
        <v>16023</v>
      </c>
      <c r="C3827" s="6" t="s">
        <v>43</v>
      </c>
      <c r="D3827" s="6" t="s">
        <v>850</v>
      </c>
      <c r="E3827" s="6" t="s">
        <v>218</v>
      </c>
      <c r="F3827" s="6" t="s">
        <v>46</v>
      </c>
      <c r="G3827" s="6" t="s">
        <v>9209</v>
      </c>
      <c r="H3827" s="7">
        <v>34</v>
      </c>
      <c r="I3827" s="19" t="s">
        <v>1888</v>
      </c>
      <c r="J3827" s="19" t="s">
        <v>16024</v>
      </c>
      <c r="K3827" s="5" t="s">
        <v>16025</v>
      </c>
      <c r="L3827" s="5" t="s">
        <v>16026</v>
      </c>
      <c r="M3827" s="5" t="s">
        <v>16027</v>
      </c>
      <c r="N3827" s="5" t="s">
        <v>16028</v>
      </c>
      <c r="O3827" s="5" t="s">
        <v>16029</v>
      </c>
      <c r="P3827" s="5" t="s">
        <v>16030</v>
      </c>
      <c r="Q3827" s="5" t="s">
        <v>16031</v>
      </c>
      <c r="R3827" s="5" t="s">
        <v>16032</v>
      </c>
      <c r="S3827" s="5" t="s">
        <v>16033</v>
      </c>
      <c r="T3827" s="5" t="s">
        <v>16034</v>
      </c>
      <c r="U3827" s="5" t="s">
        <v>16035</v>
      </c>
      <c r="V3827" s="5" t="s">
        <v>16036</v>
      </c>
      <c r="W3827" s="5"/>
      <c r="X3827" s="5"/>
      <c r="Y3827" s="5"/>
      <c r="Z3827" s="5"/>
      <c r="AA3827" s="5"/>
      <c r="AB3827" s="5"/>
      <c r="AC3827" s="5"/>
      <c r="AD3827" s="5"/>
      <c r="AE3827" s="5"/>
      <c r="AF3827" s="5"/>
      <c r="AG3827" s="14" t="s">
        <v>49</v>
      </c>
      <c r="AH3827" s="14" t="s">
        <v>12554</v>
      </c>
      <c r="AI3827" s="14" t="s">
        <v>149</v>
      </c>
      <c r="AJ3827" s="30" t="s">
        <v>16037</v>
      </c>
      <c r="AK3827" s="5"/>
    </row>
    <row r="3828" spans="1:37">
      <c r="A3828" s="5" t="s">
        <v>16038</v>
      </c>
      <c r="B3828" s="5" t="s">
        <v>16039</v>
      </c>
      <c r="C3828" s="6" t="s">
        <v>43</v>
      </c>
      <c r="D3828" s="6" t="s">
        <v>850</v>
      </c>
      <c r="E3828" s="6" t="s">
        <v>218</v>
      </c>
      <c r="F3828" s="6" t="s">
        <v>46</v>
      </c>
      <c r="G3828" s="6" t="s">
        <v>3607</v>
      </c>
      <c r="H3828" s="7">
        <v>41.65</v>
      </c>
      <c r="I3828" s="19" t="s">
        <v>1888</v>
      </c>
      <c r="J3828" s="19" t="s">
        <v>16024</v>
      </c>
      <c r="K3828" s="5" t="s">
        <v>16040</v>
      </c>
      <c r="L3828" s="5" t="s">
        <v>16041</v>
      </c>
      <c r="M3828" s="5" t="s">
        <v>16042</v>
      </c>
      <c r="N3828" s="5" t="s">
        <v>16043</v>
      </c>
      <c r="O3828" s="5" t="s">
        <v>16029</v>
      </c>
      <c r="P3828" s="5" t="s">
        <v>16030</v>
      </c>
      <c r="Q3828" s="5" t="s">
        <v>16031</v>
      </c>
      <c r="R3828" s="5" t="s">
        <v>16032</v>
      </c>
      <c r="S3828" s="5" t="s">
        <v>16033</v>
      </c>
      <c r="T3828" s="5" t="s">
        <v>16044</v>
      </c>
      <c r="U3828" s="5" t="s">
        <v>16035</v>
      </c>
      <c r="V3828" s="5" t="s">
        <v>16036</v>
      </c>
      <c r="AG3828" s="14" t="s">
        <v>49</v>
      </c>
      <c r="AH3828" s="14" t="s">
        <v>12554</v>
      </c>
      <c r="AI3828" s="14" t="s">
        <v>149</v>
      </c>
      <c r="AJ3828" s="30" t="s">
        <v>16037</v>
      </c>
    </row>
    <row r="3829" spans="1:37">
      <c r="A3829" s="5" t="s">
        <v>16045</v>
      </c>
      <c r="B3829" s="5" t="s">
        <v>16046</v>
      </c>
      <c r="C3829" s="6" t="s">
        <v>43</v>
      </c>
      <c r="D3829" s="6" t="s">
        <v>850</v>
      </c>
      <c r="E3829" s="6" t="s">
        <v>218</v>
      </c>
      <c r="F3829" s="6" t="s">
        <v>46</v>
      </c>
      <c r="G3829" s="6" t="s">
        <v>16047</v>
      </c>
      <c r="H3829" s="7">
        <v>44.95</v>
      </c>
      <c r="I3829" s="19" t="s">
        <v>1888</v>
      </c>
      <c r="J3829" s="19" t="s">
        <v>16024</v>
      </c>
      <c r="K3829" s="5" t="s">
        <v>16048</v>
      </c>
      <c r="L3829" s="5" t="s">
        <v>16049</v>
      </c>
      <c r="M3829" s="5" t="s">
        <v>16050</v>
      </c>
      <c r="N3829" s="5" t="s">
        <v>16051</v>
      </c>
      <c r="O3829" s="5" t="s">
        <v>16029</v>
      </c>
      <c r="P3829" s="5" t="s">
        <v>16030</v>
      </c>
      <c r="Q3829" s="5" t="s">
        <v>16031</v>
      </c>
      <c r="R3829" s="5" t="s">
        <v>16032</v>
      </c>
      <c r="S3829" s="5" t="s">
        <v>16033</v>
      </c>
      <c r="T3829" s="5" t="s">
        <v>16044</v>
      </c>
      <c r="U3829" s="5" t="s">
        <v>16035</v>
      </c>
      <c r="V3829" s="5" t="s">
        <v>16036</v>
      </c>
      <c r="AG3829" s="14" t="s">
        <v>49</v>
      </c>
      <c r="AH3829" s="14" t="s">
        <v>12554</v>
      </c>
      <c r="AI3829" s="14" t="s">
        <v>149</v>
      </c>
      <c r="AJ3829" s="30" t="s">
        <v>16037</v>
      </c>
    </row>
    <row r="3830" spans="1:37">
      <c r="A3830" s="5" t="s">
        <v>16052</v>
      </c>
      <c r="B3830" s="5" t="s">
        <v>16053</v>
      </c>
      <c r="C3830" s="6" t="s">
        <v>43</v>
      </c>
      <c r="D3830" s="6" t="s">
        <v>850</v>
      </c>
      <c r="E3830" s="6" t="s">
        <v>218</v>
      </c>
      <c r="F3830" s="6" t="s">
        <v>46</v>
      </c>
      <c r="G3830" s="6" t="s">
        <v>16054</v>
      </c>
      <c r="H3830" s="7">
        <v>46.8</v>
      </c>
      <c r="I3830" s="19" t="s">
        <v>1888</v>
      </c>
      <c r="J3830" s="19" t="s">
        <v>16024</v>
      </c>
      <c r="K3830" s="5" t="s">
        <v>16055</v>
      </c>
      <c r="L3830" s="5" t="s">
        <v>16056</v>
      </c>
      <c r="M3830" s="5" t="s">
        <v>16057</v>
      </c>
      <c r="N3830" s="5" t="s">
        <v>16058</v>
      </c>
      <c r="O3830" s="5" t="s">
        <v>16029</v>
      </c>
      <c r="P3830" s="5" t="s">
        <v>16030</v>
      </c>
      <c r="Q3830" s="5" t="s">
        <v>16031</v>
      </c>
      <c r="R3830" s="5" t="s">
        <v>16032</v>
      </c>
      <c r="S3830" s="5" t="s">
        <v>16033</v>
      </c>
      <c r="T3830" s="5" t="s">
        <v>16044</v>
      </c>
      <c r="U3830" s="5" t="s">
        <v>16035</v>
      </c>
      <c r="V3830" s="5" t="s">
        <v>16036</v>
      </c>
      <c r="AG3830" s="14" t="s">
        <v>49</v>
      </c>
      <c r="AH3830" s="14" t="s">
        <v>12554</v>
      </c>
      <c r="AI3830" s="14" t="s">
        <v>149</v>
      </c>
      <c r="AJ3830" s="30" t="s">
        <v>16037</v>
      </c>
    </row>
    <row r="3831" spans="1:37">
      <c r="A3831" s="5" t="s">
        <v>16059</v>
      </c>
      <c r="B3831" s="5" t="s">
        <v>16060</v>
      </c>
      <c r="C3831" s="6" t="s">
        <v>43</v>
      </c>
      <c r="D3831" s="6" t="s">
        <v>850</v>
      </c>
      <c r="E3831" s="6" t="s">
        <v>218</v>
      </c>
      <c r="F3831" s="6" t="s">
        <v>46</v>
      </c>
      <c r="G3831" s="6" t="s">
        <v>4228</v>
      </c>
      <c r="H3831" s="7">
        <v>58.2</v>
      </c>
      <c r="I3831" s="19" t="s">
        <v>1888</v>
      </c>
      <c r="J3831" s="19" t="s">
        <v>16024</v>
      </c>
      <c r="K3831" s="5" t="s">
        <v>16061</v>
      </c>
      <c r="L3831" s="5" t="s">
        <v>16062</v>
      </c>
      <c r="M3831" s="5" t="s">
        <v>16063</v>
      </c>
      <c r="N3831" s="5" t="s">
        <v>16064</v>
      </c>
      <c r="O3831" s="5" t="s">
        <v>16029</v>
      </c>
      <c r="P3831" s="5" t="s">
        <v>16030</v>
      </c>
      <c r="Q3831" s="5" t="s">
        <v>16031</v>
      </c>
      <c r="R3831" s="5" t="s">
        <v>16032</v>
      </c>
      <c r="S3831" s="5" t="s">
        <v>16033</v>
      </c>
      <c r="T3831" s="5" t="s">
        <v>16044</v>
      </c>
      <c r="U3831" s="5" t="s">
        <v>16035</v>
      </c>
      <c r="V3831" s="5" t="s">
        <v>16036</v>
      </c>
      <c r="AG3831" s="14" t="s">
        <v>49</v>
      </c>
      <c r="AH3831" s="14" t="s">
        <v>12554</v>
      </c>
      <c r="AI3831" s="14" t="s">
        <v>149</v>
      </c>
      <c r="AJ3831" s="30" t="s">
        <v>16037</v>
      </c>
    </row>
    <row r="3832" spans="1:37">
      <c r="A3832" s="5" t="s">
        <v>16065</v>
      </c>
      <c r="B3832" s="5" t="s">
        <v>16060</v>
      </c>
      <c r="C3832" s="6" t="s">
        <v>43</v>
      </c>
      <c r="D3832" s="6" t="s">
        <v>850</v>
      </c>
      <c r="E3832" s="6" t="s">
        <v>10152</v>
      </c>
      <c r="F3832" s="6" t="s">
        <v>46</v>
      </c>
      <c r="G3832" s="6" t="s">
        <v>16066</v>
      </c>
      <c r="H3832" s="7">
        <v>58.2</v>
      </c>
      <c r="I3832" s="19" t="s">
        <v>1888</v>
      </c>
      <c r="J3832" s="19" t="s">
        <v>16024</v>
      </c>
      <c r="K3832" s="5" t="s">
        <v>16061</v>
      </c>
      <c r="L3832" s="5" t="s">
        <v>16062</v>
      </c>
      <c r="M3832" s="5" t="s">
        <v>16063</v>
      </c>
      <c r="N3832" s="5" t="s">
        <v>16064</v>
      </c>
      <c r="O3832" s="5" t="s">
        <v>16029</v>
      </c>
      <c r="P3832" s="5" t="s">
        <v>16030</v>
      </c>
      <c r="Q3832" s="5" t="s">
        <v>16031</v>
      </c>
      <c r="R3832" s="5" t="s">
        <v>16032</v>
      </c>
      <c r="S3832" s="5" t="s">
        <v>16033</v>
      </c>
      <c r="T3832" s="5" t="s">
        <v>16044</v>
      </c>
      <c r="U3832" s="5" t="s">
        <v>16035</v>
      </c>
      <c r="V3832" s="5" t="s">
        <v>16036</v>
      </c>
      <c r="AG3832" s="14" t="s">
        <v>55</v>
      </c>
      <c r="AH3832" s="14" t="s">
        <v>9768</v>
      </c>
      <c r="AI3832" s="14" t="s">
        <v>9965</v>
      </c>
      <c r="AJ3832" s="5" t="s">
        <v>16067</v>
      </c>
    </row>
    <row r="3833" spans="1:37">
      <c r="A3833" s="5" t="s">
        <v>16068</v>
      </c>
      <c r="B3833" s="5" t="s">
        <v>16069</v>
      </c>
      <c r="C3833" s="6" t="s">
        <v>43</v>
      </c>
      <c r="D3833" s="6" t="s">
        <v>850</v>
      </c>
      <c r="E3833" s="6" t="s">
        <v>218</v>
      </c>
      <c r="F3833" s="6" t="s">
        <v>46</v>
      </c>
      <c r="G3833" s="6" t="s">
        <v>16070</v>
      </c>
      <c r="H3833" s="7">
        <v>71.150000000000006</v>
      </c>
      <c r="I3833" s="19" t="s">
        <v>1888</v>
      </c>
      <c r="J3833" s="19" t="s">
        <v>16024</v>
      </c>
      <c r="K3833" s="5" t="s">
        <v>16071</v>
      </c>
      <c r="L3833" s="5" t="s">
        <v>16072</v>
      </c>
      <c r="M3833" s="5" t="s">
        <v>16073</v>
      </c>
      <c r="N3833" s="5" t="s">
        <v>16074</v>
      </c>
      <c r="O3833" s="5" t="s">
        <v>16029</v>
      </c>
      <c r="P3833" s="5" t="s">
        <v>16030</v>
      </c>
      <c r="Q3833" s="5" t="s">
        <v>16031</v>
      </c>
      <c r="R3833" s="5" t="s">
        <v>16032</v>
      </c>
      <c r="S3833" s="5" t="s">
        <v>16033</v>
      </c>
      <c r="T3833" s="5" t="s">
        <v>16044</v>
      </c>
      <c r="U3833" s="5" t="s">
        <v>16035</v>
      </c>
      <c r="V3833" s="5" t="s">
        <v>16036</v>
      </c>
      <c r="AG3833" s="14" t="s">
        <v>49</v>
      </c>
      <c r="AH3833" s="14" t="s">
        <v>12554</v>
      </c>
      <c r="AI3833" s="14" t="s">
        <v>149</v>
      </c>
      <c r="AJ3833" s="30" t="s">
        <v>16037</v>
      </c>
    </row>
    <row r="3834" spans="1:37">
      <c r="A3834" s="5" t="s">
        <v>16075</v>
      </c>
      <c r="B3834" s="5" t="s">
        <v>16069</v>
      </c>
      <c r="C3834" s="6" t="s">
        <v>43</v>
      </c>
      <c r="D3834" s="6" t="s">
        <v>850</v>
      </c>
      <c r="E3834" s="6" t="s">
        <v>10152</v>
      </c>
      <c r="F3834" s="6" t="s">
        <v>46</v>
      </c>
      <c r="G3834" s="6" t="s">
        <v>11985</v>
      </c>
      <c r="H3834" s="7">
        <v>71.150000000000006</v>
      </c>
      <c r="I3834" s="19" t="s">
        <v>1888</v>
      </c>
      <c r="J3834" s="19" t="s">
        <v>16024</v>
      </c>
      <c r="K3834" s="5" t="s">
        <v>16071</v>
      </c>
      <c r="L3834" s="5" t="s">
        <v>16072</v>
      </c>
      <c r="M3834" s="5" t="s">
        <v>16073</v>
      </c>
      <c r="N3834" s="5" t="s">
        <v>16074</v>
      </c>
      <c r="O3834" s="5" t="s">
        <v>16029</v>
      </c>
      <c r="P3834" s="5" t="s">
        <v>16030</v>
      </c>
      <c r="Q3834" s="5" t="s">
        <v>16031</v>
      </c>
      <c r="R3834" s="5" t="s">
        <v>16032</v>
      </c>
      <c r="S3834" s="5" t="s">
        <v>16033</v>
      </c>
      <c r="T3834" s="5" t="s">
        <v>16044</v>
      </c>
      <c r="U3834" s="5" t="s">
        <v>16035</v>
      </c>
      <c r="V3834" s="5" t="s">
        <v>16036</v>
      </c>
      <c r="AG3834" s="14" t="s">
        <v>55</v>
      </c>
      <c r="AH3834" s="14" t="s">
        <v>9768</v>
      </c>
      <c r="AI3834" s="14" t="s">
        <v>9965</v>
      </c>
      <c r="AJ3834" s="5" t="s">
        <v>16067</v>
      </c>
    </row>
    <row r="3835" spans="1:37">
      <c r="A3835" s="5" t="s">
        <v>16076</v>
      </c>
      <c r="B3835" s="5" t="s">
        <v>16077</v>
      </c>
      <c r="C3835" s="6" t="s">
        <v>43</v>
      </c>
      <c r="D3835" s="6" t="s">
        <v>850</v>
      </c>
      <c r="E3835" s="6" t="s">
        <v>218</v>
      </c>
      <c r="F3835" s="6" t="s">
        <v>46</v>
      </c>
      <c r="G3835" s="6" t="s">
        <v>16078</v>
      </c>
      <c r="H3835" s="7">
        <v>84.65</v>
      </c>
      <c r="I3835" s="19" t="s">
        <v>1888</v>
      </c>
      <c r="J3835" s="19" t="s">
        <v>16024</v>
      </c>
      <c r="K3835" s="5" t="s">
        <v>16079</v>
      </c>
      <c r="L3835" s="5" t="s">
        <v>16080</v>
      </c>
      <c r="M3835" s="5" t="s">
        <v>16081</v>
      </c>
      <c r="N3835" s="5" t="s">
        <v>16082</v>
      </c>
      <c r="O3835" s="5" t="s">
        <v>16029</v>
      </c>
      <c r="P3835" s="5" t="s">
        <v>16030</v>
      </c>
      <c r="Q3835" s="5" t="s">
        <v>16031</v>
      </c>
      <c r="R3835" s="5" t="s">
        <v>16032</v>
      </c>
      <c r="S3835" s="5" t="s">
        <v>16033</v>
      </c>
      <c r="T3835" s="5" t="s">
        <v>16044</v>
      </c>
      <c r="U3835" s="5" t="s">
        <v>16035</v>
      </c>
      <c r="V3835" s="5" t="s">
        <v>16036</v>
      </c>
      <c r="AG3835" s="14" t="s">
        <v>49</v>
      </c>
      <c r="AH3835" s="14" t="s">
        <v>12554</v>
      </c>
      <c r="AI3835" s="14" t="s">
        <v>149</v>
      </c>
      <c r="AJ3835" s="30" t="s">
        <v>16037</v>
      </c>
    </row>
    <row r="3836" spans="1:37">
      <c r="A3836" s="5" t="s">
        <v>16083</v>
      </c>
      <c r="B3836" s="5" t="s">
        <v>16084</v>
      </c>
      <c r="C3836" s="6" t="s">
        <v>43</v>
      </c>
      <c r="D3836" s="6" t="s">
        <v>850</v>
      </c>
      <c r="E3836" s="6" t="s">
        <v>218</v>
      </c>
      <c r="F3836" s="6" t="s">
        <v>46</v>
      </c>
      <c r="G3836" s="6" t="s">
        <v>16085</v>
      </c>
      <c r="H3836" s="7">
        <v>71.150000000000006</v>
      </c>
      <c r="I3836" s="19" t="s">
        <v>1888</v>
      </c>
      <c r="J3836" s="19" t="s">
        <v>16024</v>
      </c>
      <c r="K3836" s="5" t="s">
        <v>16071</v>
      </c>
      <c r="L3836" s="5" t="s">
        <v>16072</v>
      </c>
      <c r="M3836" s="5" t="s">
        <v>16073</v>
      </c>
      <c r="N3836" s="5" t="s">
        <v>16074</v>
      </c>
      <c r="O3836" s="5" t="s">
        <v>16029</v>
      </c>
      <c r="P3836" s="5" t="s">
        <v>16030</v>
      </c>
      <c r="Q3836" s="5" t="s">
        <v>16031</v>
      </c>
      <c r="R3836" s="5" t="s">
        <v>16032</v>
      </c>
      <c r="S3836" s="5" t="s">
        <v>16033</v>
      </c>
      <c r="T3836" s="5" t="s">
        <v>16044</v>
      </c>
      <c r="U3836" s="5" t="s">
        <v>16035</v>
      </c>
      <c r="V3836" s="5" t="s">
        <v>16036</v>
      </c>
      <c r="AG3836" s="14" t="s">
        <v>49</v>
      </c>
      <c r="AH3836" s="14" t="s">
        <v>12554</v>
      </c>
      <c r="AI3836" s="14" t="s">
        <v>149</v>
      </c>
      <c r="AJ3836" s="30" t="s">
        <v>16037</v>
      </c>
    </row>
    <row r="3837" spans="1:37">
      <c r="A3837" s="5" t="s">
        <v>16086</v>
      </c>
      <c r="B3837" s="5" t="s">
        <v>16087</v>
      </c>
      <c r="C3837" s="6" t="s">
        <v>43</v>
      </c>
      <c r="D3837" s="6" t="s">
        <v>850</v>
      </c>
      <c r="E3837" s="6" t="s">
        <v>218</v>
      </c>
      <c r="F3837" s="6" t="s">
        <v>46</v>
      </c>
      <c r="G3837" s="6" t="s">
        <v>16088</v>
      </c>
      <c r="H3837" s="7">
        <v>130.9</v>
      </c>
      <c r="I3837" s="19" t="s">
        <v>1888</v>
      </c>
      <c r="J3837" s="19" t="s">
        <v>16024</v>
      </c>
      <c r="K3837" s="5" t="s">
        <v>16089</v>
      </c>
      <c r="L3837" s="5" t="s">
        <v>16090</v>
      </c>
      <c r="M3837" s="5" t="s">
        <v>16091</v>
      </c>
      <c r="N3837" s="5" t="s">
        <v>16092</v>
      </c>
      <c r="O3837" s="5" t="s">
        <v>16029</v>
      </c>
      <c r="P3837" s="5" t="s">
        <v>16030</v>
      </c>
      <c r="Q3837" s="5" t="s">
        <v>16031</v>
      </c>
      <c r="R3837" s="5" t="s">
        <v>16032</v>
      </c>
      <c r="S3837" s="5" t="s">
        <v>16033</v>
      </c>
      <c r="T3837" s="5" t="s">
        <v>16044</v>
      </c>
      <c r="U3837" s="5" t="s">
        <v>16035</v>
      </c>
      <c r="V3837" s="5" t="s">
        <v>16036</v>
      </c>
      <c r="AG3837" s="14" t="s">
        <v>49</v>
      </c>
      <c r="AH3837" s="14" t="s">
        <v>12554</v>
      </c>
      <c r="AI3837" s="14" t="s">
        <v>149</v>
      </c>
      <c r="AJ3837" s="30" t="s">
        <v>16037</v>
      </c>
    </row>
    <row r="3838" spans="1:37">
      <c r="A3838" s="5" t="s">
        <v>16093</v>
      </c>
      <c r="B3838" s="5" t="s">
        <v>16094</v>
      </c>
      <c r="C3838" s="6" t="s">
        <v>43</v>
      </c>
      <c r="D3838" s="6" t="s">
        <v>850</v>
      </c>
      <c r="E3838" s="6" t="s">
        <v>218</v>
      </c>
      <c r="F3838" s="6" t="s">
        <v>46</v>
      </c>
      <c r="G3838" s="6" t="s">
        <v>16095</v>
      </c>
      <c r="H3838" s="7">
        <v>100.6</v>
      </c>
      <c r="I3838" s="19" t="s">
        <v>1888</v>
      </c>
      <c r="J3838" s="19" t="s">
        <v>16024</v>
      </c>
      <c r="K3838" s="5" t="s">
        <v>16096</v>
      </c>
      <c r="L3838" s="5" t="s">
        <v>16097</v>
      </c>
      <c r="M3838" s="5" t="s">
        <v>16098</v>
      </c>
      <c r="N3838" s="5" t="s">
        <v>16099</v>
      </c>
      <c r="O3838" s="5" t="s">
        <v>16029</v>
      </c>
      <c r="P3838" s="5" t="s">
        <v>16030</v>
      </c>
      <c r="Q3838" s="5" t="s">
        <v>16031</v>
      </c>
      <c r="R3838" s="5" t="s">
        <v>16032</v>
      </c>
      <c r="S3838" s="5" t="s">
        <v>16033</v>
      </c>
      <c r="T3838" s="5" t="s">
        <v>16044</v>
      </c>
      <c r="U3838" s="5" t="s">
        <v>16035</v>
      </c>
      <c r="V3838" s="5" t="s">
        <v>16036</v>
      </c>
      <c r="AG3838" s="14" t="s">
        <v>49</v>
      </c>
      <c r="AH3838" s="14" t="s">
        <v>12554</v>
      </c>
      <c r="AI3838" s="14" t="s">
        <v>149</v>
      </c>
      <c r="AJ3838" s="30" t="s">
        <v>16037</v>
      </c>
    </row>
    <row r="3839" spans="1:37">
      <c r="A3839" s="5" t="s">
        <v>16100</v>
      </c>
      <c r="B3839" s="5" t="s">
        <v>16101</v>
      </c>
      <c r="C3839" s="6" t="s">
        <v>43</v>
      </c>
      <c r="D3839" s="6" t="s">
        <v>850</v>
      </c>
      <c r="E3839" s="6" t="s">
        <v>218</v>
      </c>
      <c r="F3839" s="6" t="s">
        <v>46</v>
      </c>
      <c r="G3839" s="6" t="s">
        <v>16102</v>
      </c>
      <c r="H3839" s="7">
        <v>130.9</v>
      </c>
      <c r="I3839" s="19" t="s">
        <v>1888</v>
      </c>
      <c r="J3839" s="19" t="s">
        <v>16024</v>
      </c>
      <c r="K3839" s="5" t="s">
        <v>16089</v>
      </c>
      <c r="L3839" s="5" t="s">
        <v>16090</v>
      </c>
      <c r="M3839" s="5" t="s">
        <v>16091</v>
      </c>
      <c r="N3839" s="5" t="s">
        <v>16092</v>
      </c>
      <c r="O3839" s="5" t="s">
        <v>16029</v>
      </c>
      <c r="P3839" s="5" t="s">
        <v>16030</v>
      </c>
      <c r="Q3839" s="5" t="s">
        <v>16031</v>
      </c>
      <c r="R3839" s="5" t="s">
        <v>16032</v>
      </c>
      <c r="S3839" s="5" t="s">
        <v>16033</v>
      </c>
      <c r="T3839" s="5" t="s">
        <v>16044</v>
      </c>
      <c r="U3839" s="5" t="s">
        <v>16035</v>
      </c>
      <c r="V3839" s="5" t="s">
        <v>16036</v>
      </c>
      <c r="AG3839" s="14" t="s">
        <v>49</v>
      </c>
      <c r="AH3839" s="14" t="s">
        <v>12554</v>
      </c>
      <c r="AI3839" s="14" t="s">
        <v>149</v>
      </c>
      <c r="AJ3839" s="30" t="s">
        <v>16037</v>
      </c>
    </row>
    <row r="3840" spans="1:37">
      <c r="A3840" s="5" t="s">
        <v>16103</v>
      </c>
      <c r="B3840" s="5" t="s">
        <v>16101</v>
      </c>
      <c r="C3840" s="6" t="s">
        <v>43</v>
      </c>
      <c r="D3840" s="6" t="s">
        <v>850</v>
      </c>
      <c r="E3840" s="6" t="s">
        <v>10152</v>
      </c>
      <c r="F3840" s="6" t="s">
        <v>46</v>
      </c>
      <c r="G3840" s="6" t="s">
        <v>16104</v>
      </c>
      <c r="H3840" s="7">
        <v>130.9</v>
      </c>
      <c r="I3840" s="19" t="s">
        <v>1888</v>
      </c>
      <c r="J3840" s="19" t="s">
        <v>16024</v>
      </c>
      <c r="K3840" s="5" t="s">
        <v>16089</v>
      </c>
      <c r="L3840" s="5" t="s">
        <v>16090</v>
      </c>
      <c r="M3840" s="5" t="s">
        <v>16091</v>
      </c>
      <c r="N3840" s="5" t="s">
        <v>16092</v>
      </c>
      <c r="O3840" s="5" t="s">
        <v>16029</v>
      </c>
      <c r="P3840" s="5" t="s">
        <v>16030</v>
      </c>
      <c r="Q3840" s="5" t="s">
        <v>16031</v>
      </c>
      <c r="R3840" s="5" t="s">
        <v>16032</v>
      </c>
      <c r="S3840" s="5" t="s">
        <v>16033</v>
      </c>
      <c r="T3840" s="5" t="s">
        <v>16044</v>
      </c>
      <c r="U3840" s="5" t="s">
        <v>16035</v>
      </c>
      <c r="V3840" s="5" t="s">
        <v>16036</v>
      </c>
      <c r="AG3840" s="14" t="s">
        <v>55</v>
      </c>
      <c r="AH3840" s="14" t="s">
        <v>9768</v>
      </c>
      <c r="AI3840" s="14" t="s">
        <v>9965</v>
      </c>
      <c r="AJ3840" s="5" t="s">
        <v>16067</v>
      </c>
    </row>
    <row r="3841" spans="1:37">
      <c r="A3841" s="5" t="s">
        <v>16105</v>
      </c>
      <c r="B3841" s="5" t="s">
        <v>16106</v>
      </c>
      <c r="C3841" s="6" t="s">
        <v>43</v>
      </c>
      <c r="D3841" s="6" t="s">
        <v>850</v>
      </c>
      <c r="E3841" s="6" t="s">
        <v>10152</v>
      </c>
      <c r="F3841" s="6" t="s">
        <v>46</v>
      </c>
      <c r="G3841" s="6" t="s">
        <v>16107</v>
      </c>
      <c r="H3841" s="7">
        <v>160.9</v>
      </c>
      <c r="I3841" s="19" t="s">
        <v>1888</v>
      </c>
      <c r="J3841" s="19" t="s">
        <v>16024</v>
      </c>
      <c r="K3841" s="5" t="s">
        <v>16108</v>
      </c>
      <c r="L3841" s="5" t="s">
        <v>16109</v>
      </c>
      <c r="M3841" s="5" t="s">
        <v>16110</v>
      </c>
      <c r="N3841" s="5" t="s">
        <v>16111</v>
      </c>
      <c r="O3841" s="5" t="s">
        <v>16029</v>
      </c>
      <c r="P3841" s="5" t="s">
        <v>16030</v>
      </c>
      <c r="Q3841" s="5" t="s">
        <v>16031</v>
      </c>
      <c r="R3841" s="5" t="s">
        <v>16032</v>
      </c>
      <c r="S3841" s="5" t="s">
        <v>16033</v>
      </c>
      <c r="T3841" s="5" t="s">
        <v>16044</v>
      </c>
      <c r="U3841" s="5" t="s">
        <v>16035</v>
      </c>
      <c r="V3841" s="5" t="s">
        <v>16036</v>
      </c>
      <c r="AG3841" s="14" t="s">
        <v>55</v>
      </c>
      <c r="AH3841" s="14" t="s">
        <v>12554</v>
      </c>
      <c r="AI3841" s="14" t="s">
        <v>49</v>
      </c>
      <c r="AJ3841" s="30" t="s">
        <v>16112</v>
      </c>
    </row>
    <row r="3842" spans="1:37">
      <c r="A3842" s="6" t="s">
        <v>16113</v>
      </c>
      <c r="B3842" s="6" t="s">
        <v>16114</v>
      </c>
      <c r="C3842" s="6" t="s">
        <v>43</v>
      </c>
      <c r="D3842" s="6" t="s">
        <v>850</v>
      </c>
      <c r="E3842" s="6" t="s">
        <v>16115</v>
      </c>
      <c r="F3842" s="6" t="s">
        <v>46</v>
      </c>
      <c r="G3842" s="6" t="s">
        <v>3862</v>
      </c>
      <c r="I3842" s="19" t="s">
        <v>48</v>
      </c>
      <c r="J3842" s="19" t="s">
        <v>48</v>
      </c>
      <c r="K3842" s="6"/>
      <c r="L3842" s="6"/>
      <c r="M3842" s="6"/>
      <c r="N3842" s="6"/>
      <c r="O3842" s="6"/>
      <c r="P3842" s="6"/>
      <c r="Q3842" s="6"/>
      <c r="R3842" s="6"/>
      <c r="S3842" s="6"/>
      <c r="T3842" s="6"/>
      <c r="U3842" s="6"/>
      <c r="V3842" s="6"/>
      <c r="W3842" s="6"/>
      <c r="X3842" s="6"/>
      <c r="Y3842" s="6"/>
      <c r="Z3842" s="6"/>
      <c r="AA3842" s="6"/>
      <c r="AB3842" s="6"/>
      <c r="AC3842" s="6"/>
      <c r="AD3842" s="6"/>
      <c r="AE3842" s="6"/>
      <c r="AF3842" s="6"/>
      <c r="AG3842" s="15" t="s">
        <v>55</v>
      </c>
      <c r="AH3842" s="15"/>
      <c r="AI3842" s="15"/>
      <c r="AJ3842" s="6"/>
      <c r="AK3842" s="6"/>
    </row>
    <row r="3843" spans="1:37" s="6" customFormat="1">
      <c r="A3843" s="6" t="s">
        <v>16116</v>
      </c>
      <c r="B3843" s="6" t="s">
        <v>16117</v>
      </c>
      <c r="C3843" s="6" t="s">
        <v>43</v>
      </c>
      <c r="D3843" s="6" t="s">
        <v>850</v>
      </c>
      <c r="E3843" s="6" t="s">
        <v>218</v>
      </c>
      <c r="F3843" s="6" t="s">
        <v>46</v>
      </c>
      <c r="G3843" s="6" t="s">
        <v>16118</v>
      </c>
      <c r="H3843" s="7"/>
      <c r="I3843" s="19" t="s">
        <v>48</v>
      </c>
      <c r="J3843" s="19" t="s">
        <v>48</v>
      </c>
      <c r="AG3843" s="15" t="s">
        <v>49</v>
      </c>
      <c r="AH3843" s="15"/>
      <c r="AI3843" s="15"/>
    </row>
    <row r="3844" spans="1:37" s="6" customFormat="1">
      <c r="A3844" s="5" t="s">
        <v>16119</v>
      </c>
      <c r="B3844" s="5" t="s">
        <v>16120</v>
      </c>
      <c r="C3844" s="6" t="s">
        <v>43</v>
      </c>
      <c r="D3844" s="6" t="s">
        <v>850</v>
      </c>
      <c r="E3844" s="6" t="s">
        <v>218</v>
      </c>
      <c r="F3844" s="6" t="s">
        <v>46</v>
      </c>
      <c r="G3844" s="6" t="s">
        <v>3761</v>
      </c>
      <c r="H3844" s="7">
        <v>38.799999999999997</v>
      </c>
      <c r="I3844" s="19" t="s">
        <v>1888</v>
      </c>
      <c r="J3844" s="19" t="s">
        <v>16121</v>
      </c>
      <c r="K3844" s="5" t="s">
        <v>16122</v>
      </c>
      <c r="L3844" s="5" t="s">
        <v>16123</v>
      </c>
      <c r="M3844" s="5" t="s">
        <v>16124</v>
      </c>
      <c r="N3844" s="5" t="s">
        <v>16125</v>
      </c>
      <c r="O3844" s="5" t="s">
        <v>16126</v>
      </c>
      <c r="P3844" s="5" t="s">
        <v>16127</v>
      </c>
      <c r="Q3844" s="5" t="s">
        <v>16128</v>
      </c>
      <c r="R3844" s="5" t="s">
        <v>16129</v>
      </c>
      <c r="S3844" s="5" t="s">
        <v>16130</v>
      </c>
      <c r="T3844" s="5" t="s">
        <v>16131</v>
      </c>
      <c r="U3844" s="5" t="s">
        <v>16132</v>
      </c>
      <c r="V3844" s="5" t="s">
        <v>16133</v>
      </c>
      <c r="W3844" s="5"/>
      <c r="X3844" s="5"/>
      <c r="Y3844" s="5"/>
      <c r="Z3844" s="5"/>
      <c r="AA3844" s="5"/>
      <c r="AB3844" s="5"/>
      <c r="AC3844" s="5"/>
      <c r="AD3844" s="5"/>
      <c r="AE3844" s="5"/>
      <c r="AF3844" s="5"/>
      <c r="AG3844" s="14" t="s">
        <v>49</v>
      </c>
      <c r="AH3844" s="14" t="s">
        <v>12554</v>
      </c>
      <c r="AI3844" s="14" t="s">
        <v>49</v>
      </c>
      <c r="AJ3844" s="30" t="s">
        <v>16112</v>
      </c>
      <c r="AK3844" s="5"/>
    </row>
    <row r="3845" spans="1:37">
      <c r="A3845" s="5" t="s">
        <v>16134</v>
      </c>
      <c r="B3845" s="5" t="s">
        <v>16135</v>
      </c>
      <c r="C3845" s="6" t="s">
        <v>43</v>
      </c>
      <c r="D3845" s="6" t="s">
        <v>850</v>
      </c>
      <c r="E3845" s="6" t="s">
        <v>218</v>
      </c>
      <c r="F3845" s="6" t="s">
        <v>46</v>
      </c>
      <c r="G3845" s="6" t="s">
        <v>7499</v>
      </c>
      <c r="H3845" s="7">
        <v>50.6</v>
      </c>
      <c r="I3845" s="19" t="s">
        <v>1888</v>
      </c>
      <c r="J3845" s="19" t="s">
        <v>16121</v>
      </c>
      <c r="K3845" s="5" t="s">
        <v>16136</v>
      </c>
      <c r="L3845" s="5" t="s">
        <v>16137</v>
      </c>
      <c r="M3845" s="5" t="s">
        <v>16138</v>
      </c>
      <c r="N3845" s="5" t="s">
        <v>16139</v>
      </c>
      <c r="O3845" s="5" t="s">
        <v>16126</v>
      </c>
      <c r="P3845" s="5" t="s">
        <v>16127</v>
      </c>
      <c r="Q3845" s="5" t="s">
        <v>16128</v>
      </c>
      <c r="R3845" s="5" t="s">
        <v>16129</v>
      </c>
      <c r="S3845" s="5" t="s">
        <v>16130</v>
      </c>
      <c r="T3845" s="5" t="s">
        <v>16131</v>
      </c>
      <c r="U3845" s="5" t="s">
        <v>16132</v>
      </c>
      <c r="V3845" s="5" t="s">
        <v>16133</v>
      </c>
      <c r="AG3845" s="14" t="s">
        <v>49</v>
      </c>
      <c r="AH3845" s="14" t="s">
        <v>12554</v>
      </c>
      <c r="AI3845" s="14" t="s">
        <v>49</v>
      </c>
      <c r="AJ3845" s="30" t="s">
        <v>16112</v>
      </c>
    </row>
    <row r="3846" spans="1:37">
      <c r="A3846" s="5" t="s">
        <v>16140</v>
      </c>
      <c r="B3846" s="5" t="s">
        <v>16141</v>
      </c>
      <c r="C3846" s="6" t="s">
        <v>43</v>
      </c>
      <c r="D3846" s="6" t="s">
        <v>850</v>
      </c>
      <c r="E3846" s="6" t="s">
        <v>218</v>
      </c>
      <c r="F3846" s="6" t="s">
        <v>46</v>
      </c>
      <c r="G3846" s="6" t="s">
        <v>16142</v>
      </c>
      <c r="H3846" s="7">
        <v>61.5</v>
      </c>
      <c r="I3846" s="19" t="s">
        <v>1888</v>
      </c>
      <c r="J3846" s="19" t="s">
        <v>16121</v>
      </c>
      <c r="K3846" s="5" t="s">
        <v>16143</v>
      </c>
      <c r="L3846" s="5" t="s">
        <v>16144</v>
      </c>
      <c r="M3846" s="5" t="s">
        <v>16145</v>
      </c>
      <c r="N3846" s="5" t="s">
        <v>16146</v>
      </c>
      <c r="O3846" s="5" t="s">
        <v>16126</v>
      </c>
      <c r="P3846" s="5" t="s">
        <v>16127</v>
      </c>
      <c r="Q3846" s="5" t="s">
        <v>16128</v>
      </c>
      <c r="R3846" s="5" t="s">
        <v>16129</v>
      </c>
      <c r="S3846" s="5" t="s">
        <v>16130</v>
      </c>
      <c r="T3846" s="5" t="s">
        <v>16131</v>
      </c>
      <c r="U3846" s="5" t="s">
        <v>16132</v>
      </c>
      <c r="V3846" s="5" t="s">
        <v>16133</v>
      </c>
      <c r="AG3846" s="14" t="s">
        <v>49</v>
      </c>
      <c r="AH3846" s="14" t="s">
        <v>12554</v>
      </c>
      <c r="AI3846" s="14" t="s">
        <v>49</v>
      </c>
      <c r="AJ3846" s="30" t="s">
        <v>16112</v>
      </c>
    </row>
    <row r="3847" spans="1:37">
      <c r="A3847" s="5" t="s">
        <v>16147</v>
      </c>
      <c r="B3847" s="5" t="s">
        <v>16141</v>
      </c>
      <c r="C3847" s="6" t="s">
        <v>43</v>
      </c>
      <c r="D3847" s="6" t="s">
        <v>850</v>
      </c>
      <c r="E3847" s="6" t="s">
        <v>10152</v>
      </c>
      <c r="F3847" s="6" t="s">
        <v>46</v>
      </c>
      <c r="G3847" s="6" t="s">
        <v>16148</v>
      </c>
      <c r="H3847" s="7">
        <v>61.5</v>
      </c>
      <c r="I3847" s="19" t="s">
        <v>1888</v>
      </c>
      <c r="J3847" s="19" t="s">
        <v>16121</v>
      </c>
      <c r="K3847" s="5" t="s">
        <v>16143</v>
      </c>
      <c r="L3847" s="5" t="s">
        <v>16144</v>
      </c>
      <c r="M3847" s="5" t="s">
        <v>16145</v>
      </c>
      <c r="N3847" s="5" t="s">
        <v>16146</v>
      </c>
      <c r="O3847" s="5" t="s">
        <v>16126</v>
      </c>
      <c r="P3847" s="5" t="s">
        <v>16127</v>
      </c>
      <c r="Q3847" s="5" t="s">
        <v>16128</v>
      </c>
      <c r="R3847" s="5" t="s">
        <v>16129</v>
      </c>
      <c r="S3847" s="5" t="s">
        <v>16130</v>
      </c>
      <c r="T3847" s="5" t="s">
        <v>16131</v>
      </c>
      <c r="U3847" s="5" t="s">
        <v>16132</v>
      </c>
      <c r="V3847" s="5" t="s">
        <v>16133</v>
      </c>
      <c r="AG3847" s="14" t="s">
        <v>55</v>
      </c>
      <c r="AH3847" s="14" t="s">
        <v>9768</v>
      </c>
      <c r="AI3847" s="14" t="s">
        <v>9965</v>
      </c>
      <c r="AJ3847" s="5" t="s">
        <v>16067</v>
      </c>
    </row>
    <row r="3848" spans="1:37">
      <c r="A3848" s="5" t="s">
        <v>16149</v>
      </c>
      <c r="B3848" s="5" t="s">
        <v>16150</v>
      </c>
      <c r="C3848" s="6" t="s">
        <v>43</v>
      </c>
      <c r="D3848" s="6" t="s">
        <v>850</v>
      </c>
      <c r="E3848" s="6" t="s">
        <v>218</v>
      </c>
      <c r="F3848" s="6" t="s">
        <v>46</v>
      </c>
      <c r="G3848" s="6" t="s">
        <v>7704</v>
      </c>
      <c r="H3848" s="7">
        <v>20.7</v>
      </c>
      <c r="I3848" s="19" t="s">
        <v>1888</v>
      </c>
      <c r="J3848" s="19" t="s">
        <v>16121</v>
      </c>
      <c r="K3848" s="5" t="s">
        <v>16151</v>
      </c>
      <c r="L3848" s="5" t="s">
        <v>16152</v>
      </c>
      <c r="M3848" s="5" t="s">
        <v>16153</v>
      </c>
      <c r="N3848" s="5" t="s">
        <v>16154</v>
      </c>
      <c r="O3848" s="5" t="s">
        <v>16126</v>
      </c>
      <c r="P3848" s="5" t="s">
        <v>16155</v>
      </c>
      <c r="Q3848" s="5" t="s">
        <v>16156</v>
      </c>
      <c r="R3848" s="5" t="s">
        <v>16157</v>
      </c>
      <c r="S3848" s="5" t="s">
        <v>16130</v>
      </c>
      <c r="T3848" s="5" t="s">
        <v>16131</v>
      </c>
      <c r="U3848" s="5" t="s">
        <v>16132</v>
      </c>
      <c r="V3848" s="5" t="s">
        <v>16133</v>
      </c>
      <c r="AG3848" s="14" t="s">
        <v>49</v>
      </c>
      <c r="AH3848" s="14" t="s">
        <v>12554</v>
      </c>
      <c r="AI3848" s="14" t="s">
        <v>49</v>
      </c>
      <c r="AJ3848" s="30" t="s">
        <v>16112</v>
      </c>
    </row>
    <row r="3849" spans="1:37">
      <c r="A3849" s="5" t="s">
        <v>16158</v>
      </c>
      <c r="B3849" s="5" t="s">
        <v>16159</v>
      </c>
      <c r="C3849" s="6" t="s">
        <v>43</v>
      </c>
      <c r="D3849" s="6" t="s">
        <v>850</v>
      </c>
      <c r="E3849" s="6" t="s">
        <v>218</v>
      </c>
      <c r="F3849" s="6" t="s">
        <v>46</v>
      </c>
      <c r="G3849" s="6" t="s">
        <v>8061</v>
      </c>
      <c r="H3849" s="7">
        <v>30.6</v>
      </c>
      <c r="I3849" s="19" t="s">
        <v>1888</v>
      </c>
      <c r="J3849" s="19" t="s">
        <v>16121</v>
      </c>
      <c r="K3849" s="5" t="s">
        <v>16160</v>
      </c>
      <c r="L3849" s="5" t="s">
        <v>16161</v>
      </c>
      <c r="M3849" s="5" t="s">
        <v>16162</v>
      </c>
      <c r="N3849" s="5" t="s">
        <v>16163</v>
      </c>
      <c r="O3849" s="5" t="s">
        <v>16164</v>
      </c>
      <c r="P3849" s="5" t="s">
        <v>16155</v>
      </c>
      <c r="Q3849" s="5" t="s">
        <v>16156</v>
      </c>
      <c r="R3849" s="5" t="s">
        <v>16157</v>
      </c>
      <c r="S3849" s="5" t="s">
        <v>16130</v>
      </c>
      <c r="T3849" s="5" t="s">
        <v>16131</v>
      </c>
      <c r="U3849" s="5" t="s">
        <v>16132</v>
      </c>
      <c r="V3849" s="5" t="s">
        <v>16133</v>
      </c>
      <c r="AG3849" s="14" t="s">
        <v>49</v>
      </c>
      <c r="AH3849" s="14" t="s">
        <v>12554</v>
      </c>
      <c r="AI3849" s="14" t="s">
        <v>49</v>
      </c>
      <c r="AJ3849" s="30" t="s">
        <v>16112</v>
      </c>
    </row>
    <row r="3850" spans="1:37">
      <c r="A3850" s="5" t="s">
        <v>16165</v>
      </c>
      <c r="B3850" s="5" t="s">
        <v>16159</v>
      </c>
      <c r="C3850" s="6" t="s">
        <v>43</v>
      </c>
      <c r="D3850" s="6" t="s">
        <v>850</v>
      </c>
      <c r="E3850" s="6" t="s">
        <v>10152</v>
      </c>
      <c r="F3850" s="6" t="s">
        <v>46</v>
      </c>
      <c r="G3850" s="6" t="s">
        <v>16166</v>
      </c>
      <c r="H3850" s="7">
        <v>30.6</v>
      </c>
      <c r="I3850" s="19" t="s">
        <v>1888</v>
      </c>
      <c r="J3850" s="19" t="s">
        <v>16121</v>
      </c>
      <c r="K3850" s="5" t="s">
        <v>16160</v>
      </c>
      <c r="L3850" s="5" t="s">
        <v>16161</v>
      </c>
      <c r="M3850" s="5" t="s">
        <v>16162</v>
      </c>
      <c r="N3850" s="5" t="s">
        <v>16163</v>
      </c>
      <c r="O3850" s="5" t="s">
        <v>16164</v>
      </c>
      <c r="P3850" s="5" t="s">
        <v>16155</v>
      </c>
      <c r="Q3850" s="5" t="s">
        <v>16156</v>
      </c>
      <c r="R3850" s="5" t="s">
        <v>16157</v>
      </c>
      <c r="S3850" s="5" t="s">
        <v>16130</v>
      </c>
      <c r="T3850" s="5" t="s">
        <v>16131</v>
      </c>
      <c r="U3850" s="5" t="s">
        <v>16132</v>
      </c>
      <c r="V3850" s="5" t="s">
        <v>16133</v>
      </c>
      <c r="AG3850" s="14" t="s">
        <v>55</v>
      </c>
      <c r="AH3850" s="14" t="s">
        <v>9768</v>
      </c>
      <c r="AI3850" s="14" t="s">
        <v>9965</v>
      </c>
      <c r="AJ3850" s="5" t="s">
        <v>16067</v>
      </c>
    </row>
    <row r="3851" spans="1:37">
      <c r="A3851" s="5" t="s">
        <v>16167</v>
      </c>
      <c r="B3851" s="5" t="s">
        <v>16168</v>
      </c>
      <c r="C3851" s="6" t="s">
        <v>43</v>
      </c>
      <c r="D3851" s="6" t="s">
        <v>850</v>
      </c>
      <c r="E3851" s="6" t="s">
        <v>218</v>
      </c>
      <c r="F3851" s="6" t="s">
        <v>46</v>
      </c>
      <c r="G3851" s="6" t="s">
        <v>8253</v>
      </c>
      <c r="H3851" s="7">
        <v>33.6</v>
      </c>
      <c r="I3851" s="19" t="s">
        <v>1888</v>
      </c>
      <c r="J3851" s="19" t="s">
        <v>16121</v>
      </c>
      <c r="K3851" s="5" t="s">
        <v>16169</v>
      </c>
      <c r="L3851" s="5" t="s">
        <v>16170</v>
      </c>
      <c r="M3851" s="5" t="s">
        <v>16171</v>
      </c>
      <c r="N3851" s="5" t="s">
        <v>16172</v>
      </c>
      <c r="O3851" s="5" t="s">
        <v>16164</v>
      </c>
      <c r="P3851" s="5" t="s">
        <v>16155</v>
      </c>
      <c r="Q3851" s="5" t="s">
        <v>16156</v>
      </c>
      <c r="R3851" s="5" t="s">
        <v>16157</v>
      </c>
      <c r="S3851" s="5" t="s">
        <v>16130</v>
      </c>
      <c r="T3851" s="5" t="s">
        <v>16131</v>
      </c>
      <c r="U3851" s="5" t="s">
        <v>16132</v>
      </c>
      <c r="V3851" s="5" t="s">
        <v>16133</v>
      </c>
      <c r="AG3851" s="14" t="s">
        <v>49</v>
      </c>
      <c r="AH3851" s="14" t="s">
        <v>12554</v>
      </c>
      <c r="AI3851" s="14" t="s">
        <v>49</v>
      </c>
      <c r="AJ3851" s="30" t="s">
        <v>16112</v>
      </c>
    </row>
    <row r="3852" spans="1:37">
      <c r="A3852" s="5" t="s">
        <v>16173</v>
      </c>
      <c r="B3852" s="5" t="s">
        <v>16174</v>
      </c>
      <c r="C3852" s="6" t="s">
        <v>43</v>
      </c>
      <c r="D3852" s="6" t="s">
        <v>850</v>
      </c>
      <c r="E3852" s="6" t="s">
        <v>218</v>
      </c>
      <c r="F3852" s="6" t="s">
        <v>46</v>
      </c>
      <c r="G3852" s="6" t="s">
        <v>16175</v>
      </c>
      <c r="H3852" s="7">
        <v>38.799999999999997</v>
      </c>
      <c r="I3852" s="19" t="s">
        <v>1888</v>
      </c>
      <c r="J3852" s="19" t="s">
        <v>16121</v>
      </c>
      <c r="K3852" s="5" t="s">
        <v>16176</v>
      </c>
      <c r="L3852" s="5" t="s">
        <v>16177</v>
      </c>
      <c r="M3852" s="5" t="s">
        <v>16178</v>
      </c>
      <c r="N3852" s="5" t="s">
        <v>16179</v>
      </c>
      <c r="O3852" s="5" t="s">
        <v>16164</v>
      </c>
      <c r="P3852" s="5" t="s">
        <v>16155</v>
      </c>
      <c r="Q3852" s="5" t="s">
        <v>16156</v>
      </c>
      <c r="R3852" s="5" t="s">
        <v>16157</v>
      </c>
      <c r="S3852" s="5" t="s">
        <v>16130</v>
      </c>
      <c r="T3852" s="5" t="s">
        <v>16131</v>
      </c>
      <c r="U3852" s="5" t="s">
        <v>16132</v>
      </c>
      <c r="V3852" s="5" t="s">
        <v>16133</v>
      </c>
      <c r="AG3852" s="14" t="s">
        <v>49</v>
      </c>
      <c r="AH3852" s="14" t="s">
        <v>12554</v>
      </c>
      <c r="AI3852" s="14" t="s">
        <v>49</v>
      </c>
      <c r="AJ3852" s="30" t="s">
        <v>16112</v>
      </c>
    </row>
    <row r="3853" spans="1:37">
      <c r="A3853" s="5" t="s">
        <v>16180</v>
      </c>
      <c r="B3853" s="5" t="s">
        <v>16174</v>
      </c>
      <c r="C3853" s="6" t="s">
        <v>43</v>
      </c>
      <c r="D3853" s="6" t="s">
        <v>850</v>
      </c>
      <c r="E3853" s="6" t="s">
        <v>757</v>
      </c>
      <c r="F3853" s="6" t="s">
        <v>46</v>
      </c>
      <c r="G3853" s="6" t="s">
        <v>13628</v>
      </c>
      <c r="H3853" s="7">
        <v>38.799999999999997</v>
      </c>
      <c r="I3853" s="19" t="s">
        <v>1888</v>
      </c>
      <c r="J3853" s="19" t="s">
        <v>16121</v>
      </c>
      <c r="K3853" s="5" t="s">
        <v>16176</v>
      </c>
      <c r="L3853" s="5" t="s">
        <v>16177</v>
      </c>
      <c r="M3853" s="5" t="s">
        <v>16178</v>
      </c>
      <c r="N3853" s="5" t="s">
        <v>16179</v>
      </c>
      <c r="O3853" s="5" t="s">
        <v>16164</v>
      </c>
      <c r="P3853" s="5" t="s">
        <v>16155</v>
      </c>
      <c r="Q3853" s="5" t="s">
        <v>16156</v>
      </c>
      <c r="R3853" s="5" t="s">
        <v>16157</v>
      </c>
      <c r="S3853" s="5" t="s">
        <v>16130</v>
      </c>
      <c r="T3853" s="5" t="s">
        <v>16131</v>
      </c>
      <c r="U3853" s="5" t="s">
        <v>16132</v>
      </c>
      <c r="V3853" s="5" t="s">
        <v>16133</v>
      </c>
      <c r="AG3853" s="14" t="s">
        <v>49</v>
      </c>
      <c r="AH3853" s="14" t="s">
        <v>12554</v>
      </c>
      <c r="AI3853" s="14" t="s">
        <v>49</v>
      </c>
      <c r="AJ3853" s="30" t="s">
        <v>16112</v>
      </c>
    </row>
    <row r="3854" spans="1:37">
      <c r="A3854" s="5" t="s">
        <v>16181</v>
      </c>
      <c r="B3854" s="5" t="s">
        <v>16174</v>
      </c>
      <c r="C3854" s="6" t="s">
        <v>43</v>
      </c>
      <c r="D3854" s="6" t="s">
        <v>850</v>
      </c>
      <c r="E3854" s="6" t="s">
        <v>10152</v>
      </c>
      <c r="F3854" s="6" t="s">
        <v>46</v>
      </c>
      <c r="G3854" s="6" t="s">
        <v>16182</v>
      </c>
      <c r="H3854" s="7">
        <v>38.799999999999997</v>
      </c>
      <c r="I3854" s="19" t="s">
        <v>1888</v>
      </c>
      <c r="J3854" s="19" t="s">
        <v>16121</v>
      </c>
      <c r="K3854" s="5" t="s">
        <v>16176</v>
      </c>
      <c r="L3854" s="5" t="s">
        <v>16177</v>
      </c>
      <c r="M3854" s="5" t="s">
        <v>16178</v>
      </c>
      <c r="N3854" s="5" t="s">
        <v>16179</v>
      </c>
      <c r="O3854" s="5" t="s">
        <v>16164</v>
      </c>
      <c r="P3854" s="5" t="s">
        <v>16155</v>
      </c>
      <c r="Q3854" s="5" t="s">
        <v>16156</v>
      </c>
      <c r="R3854" s="5" t="s">
        <v>16157</v>
      </c>
      <c r="S3854" s="5" t="s">
        <v>16130</v>
      </c>
      <c r="T3854" s="5" t="s">
        <v>16131</v>
      </c>
      <c r="U3854" s="5" t="s">
        <v>16132</v>
      </c>
      <c r="V3854" s="5" t="s">
        <v>16133</v>
      </c>
      <c r="AG3854" s="14" t="s">
        <v>55</v>
      </c>
      <c r="AH3854" s="14" t="s">
        <v>9768</v>
      </c>
      <c r="AI3854" s="14" t="s">
        <v>9965</v>
      </c>
      <c r="AJ3854" s="5" t="s">
        <v>16067</v>
      </c>
    </row>
    <row r="3855" spans="1:37">
      <c r="A3855" s="5" t="s">
        <v>16183</v>
      </c>
      <c r="B3855" s="5" t="s">
        <v>16184</v>
      </c>
      <c r="C3855" s="6" t="s">
        <v>43</v>
      </c>
      <c r="D3855" s="6" t="s">
        <v>850</v>
      </c>
      <c r="E3855" s="6" t="s">
        <v>218</v>
      </c>
      <c r="F3855" s="6" t="s">
        <v>46</v>
      </c>
      <c r="G3855" s="6" t="s">
        <v>16185</v>
      </c>
      <c r="H3855" s="7">
        <v>50.6</v>
      </c>
      <c r="I3855" s="19" t="s">
        <v>1888</v>
      </c>
      <c r="J3855" s="19" t="s">
        <v>16121</v>
      </c>
      <c r="K3855" s="5" t="s">
        <v>16186</v>
      </c>
      <c r="L3855" s="5" t="s">
        <v>16187</v>
      </c>
      <c r="M3855" s="5" t="s">
        <v>16188</v>
      </c>
      <c r="N3855" s="5" t="s">
        <v>16189</v>
      </c>
      <c r="O3855" s="5" t="s">
        <v>16164</v>
      </c>
      <c r="P3855" s="5" t="s">
        <v>16155</v>
      </c>
      <c r="Q3855" s="5" t="s">
        <v>16156</v>
      </c>
      <c r="R3855" s="5" t="s">
        <v>16157</v>
      </c>
      <c r="S3855" s="5" t="s">
        <v>16130</v>
      </c>
      <c r="T3855" s="5" t="s">
        <v>16131</v>
      </c>
      <c r="U3855" s="5" t="s">
        <v>16132</v>
      </c>
      <c r="V3855" s="5" t="s">
        <v>16133</v>
      </c>
      <c r="AG3855" s="14" t="s">
        <v>49</v>
      </c>
      <c r="AH3855" s="14" t="s">
        <v>12554</v>
      </c>
      <c r="AI3855" s="14" t="s">
        <v>49</v>
      </c>
      <c r="AJ3855" s="30" t="s">
        <v>16112</v>
      </c>
    </row>
    <row r="3856" spans="1:37">
      <c r="A3856" s="5" t="s">
        <v>16190</v>
      </c>
      <c r="B3856" s="5" t="s">
        <v>16184</v>
      </c>
      <c r="C3856" s="6" t="s">
        <v>43</v>
      </c>
      <c r="D3856" s="6" t="s">
        <v>850</v>
      </c>
      <c r="E3856" s="6" t="s">
        <v>16191</v>
      </c>
      <c r="F3856" s="6" t="s">
        <v>46</v>
      </c>
      <c r="G3856" s="6" t="s">
        <v>16192</v>
      </c>
      <c r="H3856" s="7">
        <v>50.6</v>
      </c>
      <c r="I3856" s="19" t="s">
        <v>1888</v>
      </c>
      <c r="J3856" s="19" t="s">
        <v>16121</v>
      </c>
      <c r="K3856" s="5" t="s">
        <v>16186</v>
      </c>
      <c r="L3856" s="5" t="s">
        <v>16187</v>
      </c>
      <c r="M3856" s="5" t="s">
        <v>16188</v>
      </c>
      <c r="N3856" s="5" t="s">
        <v>16189</v>
      </c>
      <c r="O3856" s="5" t="s">
        <v>16164</v>
      </c>
      <c r="P3856" s="5" t="s">
        <v>16155</v>
      </c>
      <c r="Q3856" s="5" t="s">
        <v>16156</v>
      </c>
      <c r="R3856" s="5" t="s">
        <v>16157</v>
      </c>
      <c r="S3856" s="5" t="s">
        <v>16130</v>
      </c>
      <c r="T3856" s="5" t="s">
        <v>16131</v>
      </c>
      <c r="U3856" s="5" t="s">
        <v>16132</v>
      </c>
      <c r="V3856" s="5" t="s">
        <v>16133</v>
      </c>
      <c r="AG3856" s="14" t="s">
        <v>55</v>
      </c>
      <c r="AH3856" s="14" t="s">
        <v>9768</v>
      </c>
      <c r="AI3856" s="14" t="s">
        <v>9965</v>
      </c>
      <c r="AJ3856" s="5" t="s">
        <v>16067</v>
      </c>
    </row>
    <row r="3857" spans="1:36">
      <c r="A3857" s="5" t="s">
        <v>16193</v>
      </c>
      <c r="B3857" s="5" t="s">
        <v>16184</v>
      </c>
      <c r="C3857" s="6" t="s">
        <v>43</v>
      </c>
      <c r="D3857" s="6" t="s">
        <v>850</v>
      </c>
      <c r="E3857" s="6" t="s">
        <v>757</v>
      </c>
      <c r="F3857" s="6" t="s">
        <v>46</v>
      </c>
      <c r="G3857" s="6" t="s">
        <v>16194</v>
      </c>
      <c r="H3857" s="7">
        <v>50.6</v>
      </c>
      <c r="I3857" s="19" t="s">
        <v>1888</v>
      </c>
      <c r="J3857" s="19" t="s">
        <v>16121</v>
      </c>
      <c r="K3857" s="5" t="s">
        <v>16186</v>
      </c>
      <c r="L3857" s="5" t="s">
        <v>16187</v>
      </c>
      <c r="M3857" s="5" t="s">
        <v>16188</v>
      </c>
      <c r="N3857" s="5" t="s">
        <v>16189</v>
      </c>
      <c r="O3857" s="5" t="s">
        <v>16164</v>
      </c>
      <c r="P3857" s="5" t="s">
        <v>16155</v>
      </c>
      <c r="Q3857" s="5" t="s">
        <v>16156</v>
      </c>
      <c r="R3857" s="5" t="s">
        <v>16157</v>
      </c>
      <c r="S3857" s="5" t="s">
        <v>16130</v>
      </c>
      <c r="T3857" s="5" t="s">
        <v>16131</v>
      </c>
      <c r="U3857" s="5" t="s">
        <v>16132</v>
      </c>
      <c r="V3857" s="5" t="s">
        <v>16133</v>
      </c>
      <c r="AG3857" s="14" t="s">
        <v>49</v>
      </c>
      <c r="AH3857" s="14" t="s">
        <v>12554</v>
      </c>
      <c r="AI3857" s="14" t="s">
        <v>49</v>
      </c>
      <c r="AJ3857" s="30" t="s">
        <v>16112</v>
      </c>
    </row>
    <row r="3858" spans="1:36">
      <c r="A3858" s="5" t="s">
        <v>16195</v>
      </c>
      <c r="B3858" s="5" t="s">
        <v>16184</v>
      </c>
      <c r="C3858" s="6" t="s">
        <v>43</v>
      </c>
      <c r="D3858" s="6" t="s">
        <v>850</v>
      </c>
      <c r="E3858" s="6" t="s">
        <v>10152</v>
      </c>
      <c r="F3858" s="6" t="s">
        <v>46</v>
      </c>
      <c r="G3858" s="6" t="s">
        <v>8041</v>
      </c>
      <c r="H3858" s="7">
        <v>50.6</v>
      </c>
      <c r="I3858" s="19" t="s">
        <v>1888</v>
      </c>
      <c r="J3858" s="19" t="s">
        <v>16121</v>
      </c>
      <c r="K3858" s="5" t="s">
        <v>16186</v>
      </c>
      <c r="L3858" s="5" t="s">
        <v>16187</v>
      </c>
      <c r="M3858" s="5" t="s">
        <v>16188</v>
      </c>
      <c r="N3858" s="5" t="s">
        <v>16189</v>
      </c>
      <c r="O3858" s="5" t="s">
        <v>16164</v>
      </c>
      <c r="P3858" s="5" t="s">
        <v>16155</v>
      </c>
      <c r="Q3858" s="5" t="s">
        <v>16156</v>
      </c>
      <c r="R3858" s="5" t="s">
        <v>16157</v>
      </c>
      <c r="S3858" s="5" t="s">
        <v>16130</v>
      </c>
      <c r="T3858" s="5" t="s">
        <v>16131</v>
      </c>
      <c r="U3858" s="5" t="s">
        <v>16132</v>
      </c>
      <c r="V3858" s="5" t="s">
        <v>16133</v>
      </c>
      <c r="AG3858" s="14" t="s">
        <v>55</v>
      </c>
      <c r="AH3858" s="14" t="s">
        <v>9768</v>
      </c>
      <c r="AI3858" s="14" t="s">
        <v>9965</v>
      </c>
      <c r="AJ3858" s="5" t="s">
        <v>16067</v>
      </c>
    </row>
    <row r="3859" spans="1:36">
      <c r="A3859" s="5" t="s">
        <v>16196</v>
      </c>
      <c r="B3859" s="5" t="s">
        <v>16197</v>
      </c>
      <c r="C3859" s="6" t="s">
        <v>43</v>
      </c>
      <c r="D3859" s="6" t="s">
        <v>850</v>
      </c>
      <c r="E3859" s="6" t="s">
        <v>218</v>
      </c>
      <c r="F3859" s="6" t="s">
        <v>46</v>
      </c>
      <c r="G3859" s="6" t="s">
        <v>16198</v>
      </c>
      <c r="H3859" s="7">
        <v>61.5</v>
      </c>
      <c r="I3859" s="19" t="s">
        <v>1888</v>
      </c>
      <c r="J3859" s="19" t="s">
        <v>16121</v>
      </c>
      <c r="K3859" s="5" t="s">
        <v>16199</v>
      </c>
      <c r="L3859" s="5" t="s">
        <v>16200</v>
      </c>
      <c r="M3859" s="5" t="s">
        <v>16201</v>
      </c>
      <c r="N3859" s="5" t="s">
        <v>16202</v>
      </c>
      <c r="O3859" s="5" t="s">
        <v>16164</v>
      </c>
      <c r="P3859" s="5" t="s">
        <v>16155</v>
      </c>
      <c r="Q3859" s="5" t="s">
        <v>16156</v>
      </c>
      <c r="R3859" s="5" t="s">
        <v>16157</v>
      </c>
      <c r="S3859" s="5" t="s">
        <v>16130</v>
      </c>
      <c r="T3859" s="5" t="s">
        <v>16131</v>
      </c>
      <c r="U3859" s="5" t="s">
        <v>16132</v>
      </c>
      <c r="V3859" s="5" t="s">
        <v>16133</v>
      </c>
      <c r="AG3859" s="14" t="s">
        <v>49</v>
      </c>
      <c r="AH3859" s="14" t="s">
        <v>12554</v>
      </c>
      <c r="AI3859" s="14" t="s">
        <v>49</v>
      </c>
      <c r="AJ3859" s="30" t="s">
        <v>16112</v>
      </c>
    </row>
    <row r="3860" spans="1:36">
      <c r="A3860" s="5" t="s">
        <v>16203</v>
      </c>
      <c r="B3860" s="5" t="s">
        <v>16197</v>
      </c>
      <c r="C3860" s="6" t="s">
        <v>43</v>
      </c>
      <c r="D3860" s="6" t="s">
        <v>850</v>
      </c>
      <c r="E3860" s="6" t="s">
        <v>757</v>
      </c>
      <c r="F3860" s="6" t="s">
        <v>46</v>
      </c>
      <c r="G3860" s="6" t="s">
        <v>13717</v>
      </c>
      <c r="H3860" s="7">
        <v>61.5</v>
      </c>
      <c r="I3860" s="19" t="s">
        <v>1888</v>
      </c>
      <c r="J3860" s="19" t="s">
        <v>16121</v>
      </c>
      <c r="K3860" s="5" t="s">
        <v>16199</v>
      </c>
      <c r="L3860" s="5" t="s">
        <v>16200</v>
      </c>
      <c r="M3860" s="5" t="s">
        <v>16201</v>
      </c>
      <c r="N3860" s="5" t="s">
        <v>16202</v>
      </c>
      <c r="O3860" s="5" t="s">
        <v>16164</v>
      </c>
      <c r="P3860" s="5" t="s">
        <v>16155</v>
      </c>
      <c r="Q3860" s="5" t="s">
        <v>16156</v>
      </c>
      <c r="R3860" s="5" t="s">
        <v>16157</v>
      </c>
      <c r="S3860" s="5" t="s">
        <v>16130</v>
      </c>
      <c r="T3860" s="5" t="s">
        <v>16131</v>
      </c>
      <c r="U3860" s="5" t="s">
        <v>16132</v>
      </c>
      <c r="V3860" s="5" t="s">
        <v>16133</v>
      </c>
      <c r="AG3860" s="14" t="s">
        <v>49</v>
      </c>
      <c r="AH3860" s="14" t="s">
        <v>12554</v>
      </c>
      <c r="AI3860" s="14" t="s">
        <v>49</v>
      </c>
      <c r="AJ3860" s="30" t="s">
        <v>16112</v>
      </c>
    </row>
    <row r="3861" spans="1:36">
      <c r="A3861" s="5" t="s">
        <v>16204</v>
      </c>
      <c r="B3861" s="5" t="s">
        <v>16197</v>
      </c>
      <c r="C3861" s="6" t="s">
        <v>43</v>
      </c>
      <c r="D3861" s="6" t="s">
        <v>850</v>
      </c>
      <c r="E3861" s="6" t="s">
        <v>10152</v>
      </c>
      <c r="F3861" s="6" t="s">
        <v>46</v>
      </c>
      <c r="G3861" s="6" t="s">
        <v>1871</v>
      </c>
      <c r="H3861" s="7">
        <v>61.5</v>
      </c>
      <c r="I3861" s="19" t="s">
        <v>1888</v>
      </c>
      <c r="J3861" s="19" t="s">
        <v>16121</v>
      </c>
      <c r="K3861" s="5" t="s">
        <v>16199</v>
      </c>
      <c r="L3861" s="5" t="s">
        <v>16200</v>
      </c>
      <c r="M3861" s="5" t="s">
        <v>16201</v>
      </c>
      <c r="N3861" s="5" t="s">
        <v>16202</v>
      </c>
      <c r="O3861" s="5" t="s">
        <v>16164</v>
      </c>
      <c r="P3861" s="5" t="s">
        <v>16155</v>
      </c>
      <c r="Q3861" s="5" t="s">
        <v>16156</v>
      </c>
      <c r="R3861" s="5" t="s">
        <v>16157</v>
      </c>
      <c r="S3861" s="5" t="s">
        <v>16130</v>
      </c>
      <c r="T3861" s="5" t="s">
        <v>16131</v>
      </c>
      <c r="U3861" s="5" t="s">
        <v>16132</v>
      </c>
      <c r="V3861" s="5" t="s">
        <v>16133</v>
      </c>
      <c r="AG3861" s="14" t="s">
        <v>55</v>
      </c>
      <c r="AH3861" s="14" t="s">
        <v>9768</v>
      </c>
      <c r="AI3861" s="14" t="s">
        <v>9965</v>
      </c>
      <c r="AJ3861" s="5" t="s">
        <v>16067</v>
      </c>
    </row>
    <row r="3862" spans="1:36">
      <c r="A3862" s="5" t="s">
        <v>16205</v>
      </c>
      <c r="B3862" s="5" t="s">
        <v>16206</v>
      </c>
      <c r="C3862" s="6" t="s">
        <v>43</v>
      </c>
      <c r="D3862" s="6" t="s">
        <v>850</v>
      </c>
      <c r="E3862" s="6" t="s">
        <v>218</v>
      </c>
      <c r="F3862" s="6" t="s">
        <v>46</v>
      </c>
      <c r="G3862" s="6" t="s">
        <v>16207</v>
      </c>
      <c r="H3862" s="7">
        <v>72.5</v>
      </c>
      <c r="I3862" s="19" t="s">
        <v>1888</v>
      </c>
      <c r="J3862" s="19" t="s">
        <v>16121</v>
      </c>
      <c r="K3862" s="5" t="s">
        <v>16208</v>
      </c>
      <c r="L3862" s="5" t="s">
        <v>16209</v>
      </c>
      <c r="M3862" s="5" t="s">
        <v>16210</v>
      </c>
      <c r="N3862" s="5" t="s">
        <v>16211</v>
      </c>
      <c r="O3862" s="5" t="s">
        <v>16164</v>
      </c>
      <c r="P3862" s="5" t="s">
        <v>16155</v>
      </c>
      <c r="Q3862" s="5" t="s">
        <v>16156</v>
      </c>
      <c r="R3862" s="5" t="s">
        <v>16157</v>
      </c>
      <c r="S3862" s="5" t="s">
        <v>16130</v>
      </c>
      <c r="T3862" s="5" t="s">
        <v>16131</v>
      </c>
      <c r="U3862" s="5" t="s">
        <v>16132</v>
      </c>
      <c r="V3862" s="5" t="s">
        <v>16133</v>
      </c>
      <c r="AG3862" s="14" t="s">
        <v>49</v>
      </c>
      <c r="AH3862" s="14" t="s">
        <v>12554</v>
      </c>
      <c r="AI3862" s="14" t="s">
        <v>49</v>
      </c>
      <c r="AJ3862" s="30" t="s">
        <v>16112</v>
      </c>
    </row>
    <row r="3863" spans="1:36">
      <c r="A3863" s="5" t="s">
        <v>16212</v>
      </c>
      <c r="B3863" s="5" t="s">
        <v>16213</v>
      </c>
      <c r="C3863" s="6" t="s">
        <v>43</v>
      </c>
      <c r="D3863" s="6" t="s">
        <v>850</v>
      </c>
      <c r="E3863" s="6" t="s">
        <v>218</v>
      </c>
      <c r="F3863" s="6" t="s">
        <v>46</v>
      </c>
      <c r="G3863" s="6" t="s">
        <v>3923</v>
      </c>
      <c r="H3863" s="7">
        <v>61.5</v>
      </c>
      <c r="I3863" s="19" t="s">
        <v>1888</v>
      </c>
      <c r="J3863" s="19" t="s">
        <v>16121</v>
      </c>
      <c r="K3863" s="5" t="s">
        <v>16199</v>
      </c>
      <c r="L3863" s="5" t="s">
        <v>16200</v>
      </c>
      <c r="M3863" s="5" t="s">
        <v>16201</v>
      </c>
      <c r="N3863" s="5" t="s">
        <v>16202</v>
      </c>
      <c r="O3863" s="5" t="s">
        <v>16164</v>
      </c>
      <c r="P3863" s="5" t="s">
        <v>16155</v>
      </c>
      <c r="Q3863" s="5" t="s">
        <v>16156</v>
      </c>
      <c r="R3863" s="5" t="s">
        <v>16157</v>
      </c>
      <c r="S3863" s="5" t="s">
        <v>16130</v>
      </c>
      <c r="T3863" s="5" t="s">
        <v>16131</v>
      </c>
      <c r="U3863" s="5" t="s">
        <v>16132</v>
      </c>
      <c r="V3863" s="5" t="s">
        <v>16133</v>
      </c>
      <c r="AG3863" s="14" t="s">
        <v>49</v>
      </c>
      <c r="AH3863" s="14" t="s">
        <v>12554</v>
      </c>
      <c r="AI3863" s="14" t="s">
        <v>49</v>
      </c>
      <c r="AJ3863" s="30" t="s">
        <v>16112</v>
      </c>
    </row>
    <row r="3864" spans="1:36">
      <c r="A3864" s="5" t="s">
        <v>16214</v>
      </c>
      <c r="B3864" s="5" t="s">
        <v>16215</v>
      </c>
      <c r="C3864" s="6" t="s">
        <v>43</v>
      </c>
      <c r="D3864" s="6" t="s">
        <v>850</v>
      </c>
      <c r="E3864" s="6" t="s">
        <v>218</v>
      </c>
      <c r="F3864" s="6" t="s">
        <v>46</v>
      </c>
      <c r="G3864" s="6" t="s">
        <v>16216</v>
      </c>
      <c r="H3864" s="7">
        <v>121.2</v>
      </c>
      <c r="I3864" s="19" t="s">
        <v>1888</v>
      </c>
      <c r="J3864" s="19" t="s">
        <v>16121</v>
      </c>
      <c r="K3864" s="5" t="s">
        <v>16217</v>
      </c>
      <c r="L3864" s="5" t="s">
        <v>16218</v>
      </c>
      <c r="M3864" s="5" t="s">
        <v>16219</v>
      </c>
      <c r="N3864" s="5" t="s">
        <v>16220</v>
      </c>
      <c r="O3864" s="5" t="s">
        <v>16164</v>
      </c>
      <c r="P3864" s="5" t="s">
        <v>16155</v>
      </c>
      <c r="Q3864" s="5" t="s">
        <v>16156</v>
      </c>
      <c r="R3864" s="5" t="s">
        <v>16157</v>
      </c>
      <c r="S3864" s="5" t="s">
        <v>16130</v>
      </c>
      <c r="T3864" s="5" t="s">
        <v>16131</v>
      </c>
      <c r="U3864" s="5" t="s">
        <v>16132</v>
      </c>
      <c r="V3864" s="5" t="s">
        <v>16133</v>
      </c>
      <c r="AG3864" s="14" t="s">
        <v>49</v>
      </c>
      <c r="AH3864" s="14" t="s">
        <v>12554</v>
      </c>
      <c r="AI3864" s="14" t="s">
        <v>49</v>
      </c>
      <c r="AJ3864" s="30" t="s">
        <v>16112</v>
      </c>
    </row>
    <row r="3865" spans="1:36">
      <c r="A3865" s="5" t="s">
        <v>16221</v>
      </c>
      <c r="B3865" s="5" t="s">
        <v>16222</v>
      </c>
      <c r="C3865" s="6" t="s">
        <v>43</v>
      </c>
      <c r="D3865" s="6" t="s">
        <v>850</v>
      </c>
      <c r="E3865" s="6" t="s">
        <v>218</v>
      </c>
      <c r="F3865" s="6" t="s">
        <v>46</v>
      </c>
      <c r="G3865" s="6" t="s">
        <v>16223</v>
      </c>
      <c r="H3865" s="7">
        <v>90.95</v>
      </c>
      <c r="I3865" s="19" t="s">
        <v>1888</v>
      </c>
      <c r="J3865" s="19" t="s">
        <v>16121</v>
      </c>
      <c r="K3865" s="5" t="s">
        <v>16224</v>
      </c>
      <c r="L3865" s="5" t="s">
        <v>16225</v>
      </c>
      <c r="M3865" s="5" t="s">
        <v>16226</v>
      </c>
      <c r="N3865" s="5" t="s">
        <v>16227</v>
      </c>
      <c r="O3865" s="5" t="s">
        <v>16164</v>
      </c>
      <c r="P3865" s="5" t="s">
        <v>16155</v>
      </c>
      <c r="Q3865" s="5" t="s">
        <v>16156</v>
      </c>
      <c r="R3865" s="5" t="s">
        <v>16157</v>
      </c>
      <c r="S3865" s="5" t="s">
        <v>16130</v>
      </c>
      <c r="T3865" s="5" t="s">
        <v>16131</v>
      </c>
      <c r="U3865" s="5" t="s">
        <v>16132</v>
      </c>
      <c r="V3865" s="5" t="s">
        <v>16133</v>
      </c>
      <c r="AG3865" s="14" t="s">
        <v>49</v>
      </c>
      <c r="AH3865" s="14" t="s">
        <v>12554</v>
      </c>
      <c r="AI3865" s="14" t="s">
        <v>49</v>
      </c>
      <c r="AJ3865" s="30" t="s">
        <v>16112</v>
      </c>
    </row>
    <row r="3866" spans="1:36">
      <c r="A3866" s="5" t="s">
        <v>16228</v>
      </c>
      <c r="B3866" s="5" t="s">
        <v>16222</v>
      </c>
      <c r="C3866" s="6" t="s">
        <v>43</v>
      </c>
      <c r="D3866" s="6" t="s">
        <v>850</v>
      </c>
      <c r="E3866" s="6" t="s">
        <v>10152</v>
      </c>
      <c r="F3866" s="6" t="s">
        <v>46</v>
      </c>
      <c r="G3866" s="6" t="s">
        <v>16229</v>
      </c>
      <c r="H3866" s="7">
        <v>90.95</v>
      </c>
      <c r="I3866" s="19" t="s">
        <v>1888</v>
      </c>
      <c r="J3866" s="19" t="s">
        <v>16121</v>
      </c>
      <c r="K3866" s="5" t="s">
        <v>16224</v>
      </c>
      <c r="L3866" s="5" t="s">
        <v>16225</v>
      </c>
      <c r="M3866" s="5" t="s">
        <v>16226</v>
      </c>
      <c r="N3866" s="5" t="s">
        <v>16227</v>
      </c>
      <c r="O3866" s="5" t="s">
        <v>16164</v>
      </c>
      <c r="P3866" s="5" t="s">
        <v>16155</v>
      </c>
      <c r="Q3866" s="5" t="s">
        <v>16156</v>
      </c>
      <c r="R3866" s="5" t="s">
        <v>16157</v>
      </c>
      <c r="S3866" s="5" t="s">
        <v>16130</v>
      </c>
      <c r="T3866" s="5" t="s">
        <v>16131</v>
      </c>
      <c r="U3866" s="5" t="s">
        <v>16132</v>
      </c>
      <c r="V3866" s="5" t="s">
        <v>16133</v>
      </c>
      <c r="AG3866" s="14" t="s">
        <v>55</v>
      </c>
      <c r="AH3866" s="14" t="s">
        <v>9768</v>
      </c>
      <c r="AI3866" s="14" t="s">
        <v>9965</v>
      </c>
      <c r="AJ3866" s="5" t="s">
        <v>16067</v>
      </c>
    </row>
    <row r="3867" spans="1:36">
      <c r="A3867" s="5" t="s">
        <v>16230</v>
      </c>
      <c r="B3867" s="5" t="s">
        <v>16231</v>
      </c>
      <c r="C3867" s="6" t="s">
        <v>43</v>
      </c>
      <c r="D3867" s="6" t="s">
        <v>850</v>
      </c>
      <c r="E3867" s="6" t="s">
        <v>218</v>
      </c>
      <c r="F3867" s="6" t="s">
        <v>46</v>
      </c>
      <c r="G3867" s="6" t="s">
        <v>16232</v>
      </c>
      <c r="H3867" s="7">
        <v>121.2</v>
      </c>
      <c r="I3867" s="19" t="s">
        <v>1888</v>
      </c>
      <c r="J3867" s="19" t="s">
        <v>16121</v>
      </c>
      <c r="K3867" s="5" t="s">
        <v>16217</v>
      </c>
      <c r="L3867" s="5" t="s">
        <v>16218</v>
      </c>
      <c r="M3867" s="5" t="s">
        <v>16219</v>
      </c>
      <c r="N3867" s="5" t="s">
        <v>16220</v>
      </c>
      <c r="O3867" s="5" t="s">
        <v>16164</v>
      </c>
      <c r="P3867" s="5" t="s">
        <v>16155</v>
      </c>
      <c r="Q3867" s="5" t="s">
        <v>16156</v>
      </c>
      <c r="R3867" s="5" t="s">
        <v>16157</v>
      </c>
      <c r="S3867" s="5" t="s">
        <v>16130</v>
      </c>
      <c r="T3867" s="5" t="s">
        <v>16131</v>
      </c>
      <c r="U3867" s="5" t="s">
        <v>16132</v>
      </c>
      <c r="V3867" s="5" t="s">
        <v>16133</v>
      </c>
      <c r="AG3867" s="14" t="s">
        <v>49</v>
      </c>
      <c r="AH3867" s="14" t="s">
        <v>12554</v>
      </c>
      <c r="AI3867" s="14" t="s">
        <v>49</v>
      </c>
      <c r="AJ3867" s="30" t="s">
        <v>16112</v>
      </c>
    </row>
    <row r="3868" spans="1:36">
      <c r="A3868" s="5" t="s">
        <v>16233</v>
      </c>
      <c r="B3868" s="5" t="s">
        <v>16231</v>
      </c>
      <c r="C3868" s="6" t="s">
        <v>43</v>
      </c>
      <c r="D3868" s="6" t="s">
        <v>850</v>
      </c>
      <c r="E3868" s="6" t="s">
        <v>10152</v>
      </c>
      <c r="F3868" s="6" t="s">
        <v>46</v>
      </c>
      <c r="G3868" s="6" t="s">
        <v>16234</v>
      </c>
      <c r="H3868" s="7">
        <v>121.2</v>
      </c>
      <c r="I3868" s="19" t="s">
        <v>1888</v>
      </c>
      <c r="J3868" s="19" t="s">
        <v>16121</v>
      </c>
      <c r="K3868" s="5" t="s">
        <v>16217</v>
      </c>
      <c r="L3868" s="5" t="s">
        <v>16218</v>
      </c>
      <c r="M3868" s="5" t="s">
        <v>16219</v>
      </c>
      <c r="N3868" s="5" t="s">
        <v>16220</v>
      </c>
      <c r="O3868" s="5" t="s">
        <v>16164</v>
      </c>
      <c r="P3868" s="5" t="s">
        <v>16155</v>
      </c>
      <c r="Q3868" s="5" t="s">
        <v>16156</v>
      </c>
      <c r="R3868" s="5" t="s">
        <v>16157</v>
      </c>
      <c r="S3868" s="5" t="s">
        <v>16130</v>
      </c>
      <c r="T3868" s="5" t="s">
        <v>16131</v>
      </c>
      <c r="U3868" s="5" t="s">
        <v>16132</v>
      </c>
      <c r="V3868" s="5" t="s">
        <v>16133</v>
      </c>
      <c r="AG3868" s="14" t="s">
        <v>55</v>
      </c>
      <c r="AH3868" s="14" t="s">
        <v>9768</v>
      </c>
      <c r="AI3868" s="14" t="s">
        <v>9965</v>
      </c>
      <c r="AJ3868" s="5" t="s">
        <v>16067</v>
      </c>
    </row>
    <row r="3869" spans="1:36">
      <c r="A3869" s="5" t="s">
        <v>16235</v>
      </c>
      <c r="B3869" s="5" t="s">
        <v>16236</v>
      </c>
      <c r="C3869" s="6" t="s">
        <v>43</v>
      </c>
      <c r="D3869" s="6" t="s">
        <v>850</v>
      </c>
      <c r="E3869" s="6" t="s">
        <v>218</v>
      </c>
      <c r="F3869" s="6" t="s">
        <v>46</v>
      </c>
      <c r="G3869" s="6" t="s">
        <v>16237</v>
      </c>
      <c r="H3869" s="7">
        <v>147.9</v>
      </c>
      <c r="I3869" s="19" t="s">
        <v>1888</v>
      </c>
      <c r="J3869" s="19" t="s">
        <v>16121</v>
      </c>
      <c r="K3869" s="5" t="s">
        <v>16238</v>
      </c>
      <c r="L3869" s="5" t="s">
        <v>16239</v>
      </c>
      <c r="M3869" s="5" t="s">
        <v>16240</v>
      </c>
      <c r="N3869" s="5" t="s">
        <v>16241</v>
      </c>
      <c r="O3869" s="5" t="s">
        <v>16164</v>
      </c>
      <c r="P3869" s="5" t="s">
        <v>16155</v>
      </c>
      <c r="Q3869" s="5" t="s">
        <v>16156</v>
      </c>
      <c r="R3869" s="5" t="s">
        <v>16157</v>
      </c>
      <c r="S3869" s="5" t="s">
        <v>16130</v>
      </c>
      <c r="T3869" s="5" t="s">
        <v>16131</v>
      </c>
      <c r="U3869" s="5" t="s">
        <v>16132</v>
      </c>
      <c r="V3869" s="5" t="s">
        <v>16133</v>
      </c>
      <c r="AG3869" s="14" t="s">
        <v>49</v>
      </c>
      <c r="AH3869" s="14" t="s">
        <v>12554</v>
      </c>
      <c r="AI3869" s="14" t="s">
        <v>49</v>
      </c>
      <c r="AJ3869" s="30" t="s">
        <v>16112</v>
      </c>
    </row>
    <row r="3870" spans="1:36">
      <c r="A3870" s="5" t="s">
        <v>16242</v>
      </c>
      <c r="B3870" s="5" t="s">
        <v>16243</v>
      </c>
      <c r="C3870" s="6" t="s">
        <v>43</v>
      </c>
      <c r="D3870" s="6" t="s">
        <v>850</v>
      </c>
      <c r="E3870" s="6" t="s">
        <v>10152</v>
      </c>
      <c r="F3870" s="6" t="s">
        <v>46</v>
      </c>
      <c r="G3870" s="6" t="s">
        <v>16244</v>
      </c>
      <c r="H3870" s="7">
        <v>21.05</v>
      </c>
      <c r="I3870" s="19" t="s">
        <v>1888</v>
      </c>
      <c r="J3870" s="19" t="s">
        <v>16245</v>
      </c>
      <c r="K3870" s="5" t="s">
        <v>16246</v>
      </c>
      <c r="L3870" s="5" t="s">
        <v>16247</v>
      </c>
      <c r="M3870" s="5" t="s">
        <v>16248</v>
      </c>
      <c r="N3870" s="5" t="s">
        <v>16249</v>
      </c>
      <c r="O3870" s="5" t="s">
        <v>16250</v>
      </c>
      <c r="P3870" s="5" t="s">
        <v>16251</v>
      </c>
      <c r="Q3870" s="5" t="s">
        <v>16252</v>
      </c>
      <c r="R3870" s="5" t="s">
        <v>16253</v>
      </c>
      <c r="S3870" s="5" t="s">
        <v>16254</v>
      </c>
      <c r="T3870" s="5" t="s">
        <v>16255</v>
      </c>
      <c r="U3870" s="5" t="s">
        <v>16256</v>
      </c>
      <c r="V3870" s="5" t="s">
        <v>16257</v>
      </c>
      <c r="AG3870" s="14" t="s">
        <v>55</v>
      </c>
      <c r="AH3870" s="14" t="s">
        <v>9768</v>
      </c>
      <c r="AI3870" s="14" t="s">
        <v>9965</v>
      </c>
      <c r="AJ3870" s="5" t="s">
        <v>16067</v>
      </c>
    </row>
    <row r="3871" spans="1:36">
      <c r="A3871" s="5" t="s">
        <v>16258</v>
      </c>
      <c r="B3871" s="5" t="s">
        <v>16259</v>
      </c>
      <c r="C3871" s="6" t="s">
        <v>43</v>
      </c>
      <c r="D3871" s="6" t="s">
        <v>850</v>
      </c>
      <c r="E3871" s="6" t="s">
        <v>218</v>
      </c>
      <c r="F3871" s="6" t="s">
        <v>46</v>
      </c>
      <c r="G3871" s="6" t="s">
        <v>16260</v>
      </c>
      <c r="H3871" s="7">
        <v>22.6</v>
      </c>
      <c r="I3871" s="19" t="s">
        <v>1888</v>
      </c>
      <c r="J3871" s="19" t="s">
        <v>16245</v>
      </c>
      <c r="K3871" s="5" t="s">
        <v>16261</v>
      </c>
      <c r="L3871" s="5" t="s">
        <v>16262</v>
      </c>
      <c r="M3871" s="5" t="s">
        <v>16263</v>
      </c>
      <c r="N3871" s="5" t="s">
        <v>16264</v>
      </c>
      <c r="O3871" s="5" t="s">
        <v>16250</v>
      </c>
      <c r="P3871" s="5" t="s">
        <v>16251</v>
      </c>
      <c r="Q3871" s="5" t="s">
        <v>16252</v>
      </c>
      <c r="R3871" s="5" t="s">
        <v>16253</v>
      </c>
      <c r="S3871" s="5" t="s">
        <v>16265</v>
      </c>
      <c r="T3871" s="5" t="s">
        <v>16266</v>
      </c>
      <c r="U3871" s="5" t="s">
        <v>16267</v>
      </c>
      <c r="V3871" s="5" t="s">
        <v>16268</v>
      </c>
      <c r="AG3871" s="14" t="s">
        <v>49</v>
      </c>
      <c r="AH3871" s="14" t="s">
        <v>9768</v>
      </c>
      <c r="AI3871" s="14" t="s">
        <v>49</v>
      </c>
      <c r="AJ3871" s="5" t="s">
        <v>16269</v>
      </c>
    </row>
    <row r="3872" spans="1:36">
      <c r="A3872" s="5" t="s">
        <v>16270</v>
      </c>
      <c r="B3872" s="5" t="s">
        <v>16259</v>
      </c>
      <c r="C3872" s="6" t="s">
        <v>43</v>
      </c>
      <c r="D3872" s="6" t="s">
        <v>850</v>
      </c>
      <c r="E3872" s="6" t="s">
        <v>10152</v>
      </c>
      <c r="F3872" s="6" t="s">
        <v>46</v>
      </c>
      <c r="G3872" s="6" t="s">
        <v>1957</v>
      </c>
      <c r="H3872" s="7">
        <v>22.6</v>
      </c>
      <c r="I3872" s="19" t="s">
        <v>1888</v>
      </c>
      <c r="J3872" s="19" t="s">
        <v>16245</v>
      </c>
      <c r="K3872" s="5" t="s">
        <v>16261</v>
      </c>
      <c r="L3872" s="5" t="s">
        <v>16262</v>
      </c>
      <c r="M3872" s="5" t="s">
        <v>16263</v>
      </c>
      <c r="N3872" s="5" t="s">
        <v>16264</v>
      </c>
      <c r="O3872" s="5" t="s">
        <v>16250</v>
      </c>
      <c r="P3872" s="5" t="s">
        <v>16251</v>
      </c>
      <c r="Q3872" s="5" t="s">
        <v>16252</v>
      </c>
      <c r="R3872" s="5" t="s">
        <v>16253</v>
      </c>
      <c r="S3872" s="5" t="s">
        <v>16265</v>
      </c>
      <c r="T3872" s="5" t="s">
        <v>16266</v>
      </c>
      <c r="U3872" s="5" t="s">
        <v>16267</v>
      </c>
      <c r="V3872" s="5" t="s">
        <v>16268</v>
      </c>
      <c r="AG3872" s="14" t="s">
        <v>55</v>
      </c>
      <c r="AH3872" s="14" t="s">
        <v>9768</v>
      </c>
      <c r="AI3872" s="14" t="s">
        <v>9965</v>
      </c>
      <c r="AJ3872" s="5" t="s">
        <v>16067</v>
      </c>
    </row>
    <row r="3873" spans="1:36">
      <c r="A3873" s="5" t="s">
        <v>16271</v>
      </c>
      <c r="B3873" s="5" t="s">
        <v>16272</v>
      </c>
      <c r="C3873" s="6" t="s">
        <v>43</v>
      </c>
      <c r="D3873" s="6" t="s">
        <v>850</v>
      </c>
      <c r="E3873" s="6" t="s">
        <v>218</v>
      </c>
      <c r="F3873" s="6" t="s">
        <v>46</v>
      </c>
      <c r="G3873" s="6" t="s">
        <v>16273</v>
      </c>
      <c r="H3873" s="7">
        <v>30.6</v>
      </c>
      <c r="I3873" s="19" t="s">
        <v>1888</v>
      </c>
      <c r="J3873" s="19" t="s">
        <v>16245</v>
      </c>
      <c r="K3873" s="5" t="s">
        <v>16274</v>
      </c>
      <c r="L3873" s="5" t="s">
        <v>16275</v>
      </c>
      <c r="M3873" s="5" t="s">
        <v>16276</v>
      </c>
      <c r="N3873" s="5" t="s">
        <v>16277</v>
      </c>
      <c r="O3873" s="5" t="s">
        <v>16250</v>
      </c>
      <c r="P3873" s="5" t="s">
        <v>16251</v>
      </c>
      <c r="Q3873" s="5" t="s">
        <v>16252</v>
      </c>
      <c r="R3873" s="5" t="s">
        <v>16253</v>
      </c>
      <c r="S3873" s="5" t="s">
        <v>16265</v>
      </c>
      <c r="T3873" s="5" t="s">
        <v>16266</v>
      </c>
      <c r="U3873" s="5" t="s">
        <v>16267</v>
      </c>
      <c r="V3873" s="5" t="s">
        <v>16268</v>
      </c>
      <c r="AG3873" s="14" t="s">
        <v>49</v>
      </c>
      <c r="AH3873" s="14" t="s">
        <v>9768</v>
      </c>
      <c r="AI3873" s="14" t="s">
        <v>49</v>
      </c>
      <c r="AJ3873" s="5" t="s">
        <v>16269</v>
      </c>
    </row>
    <row r="3874" spans="1:36">
      <c r="A3874" s="5" t="s">
        <v>16278</v>
      </c>
      <c r="B3874" s="5" t="s">
        <v>16272</v>
      </c>
      <c r="C3874" s="6" t="s">
        <v>43</v>
      </c>
      <c r="D3874" s="6" t="s">
        <v>850</v>
      </c>
      <c r="E3874" s="6" t="s">
        <v>10152</v>
      </c>
      <c r="F3874" s="6" t="s">
        <v>46</v>
      </c>
      <c r="G3874" s="6" t="s">
        <v>16279</v>
      </c>
      <c r="H3874" s="7">
        <v>30.6</v>
      </c>
      <c r="I3874" s="19" t="s">
        <v>1888</v>
      </c>
      <c r="J3874" s="19" t="s">
        <v>16245</v>
      </c>
      <c r="K3874" s="5" t="s">
        <v>16274</v>
      </c>
      <c r="L3874" s="5" t="s">
        <v>16275</v>
      </c>
      <c r="M3874" s="5" t="s">
        <v>16276</v>
      </c>
      <c r="N3874" s="5" t="s">
        <v>16277</v>
      </c>
      <c r="O3874" s="5" t="s">
        <v>16250</v>
      </c>
      <c r="P3874" s="5" t="s">
        <v>16251</v>
      </c>
      <c r="Q3874" s="5" t="s">
        <v>16252</v>
      </c>
      <c r="R3874" s="5" t="s">
        <v>16253</v>
      </c>
      <c r="S3874" s="5" t="s">
        <v>16265</v>
      </c>
      <c r="T3874" s="5" t="s">
        <v>16266</v>
      </c>
      <c r="U3874" s="5" t="s">
        <v>16267</v>
      </c>
      <c r="V3874" s="5" t="s">
        <v>16268</v>
      </c>
      <c r="AG3874" s="14" t="s">
        <v>55</v>
      </c>
      <c r="AH3874" s="14" t="s">
        <v>9768</v>
      </c>
      <c r="AI3874" s="14" t="s">
        <v>9965</v>
      </c>
      <c r="AJ3874" s="5" t="s">
        <v>16067</v>
      </c>
    </row>
    <row r="3875" spans="1:36">
      <c r="A3875" s="5" t="s">
        <v>16280</v>
      </c>
      <c r="B3875" s="5" t="s">
        <v>16281</v>
      </c>
      <c r="C3875" s="6" t="s">
        <v>43</v>
      </c>
      <c r="D3875" s="6" t="s">
        <v>850</v>
      </c>
      <c r="E3875" s="6" t="s">
        <v>218</v>
      </c>
      <c r="F3875" s="6" t="s">
        <v>46</v>
      </c>
      <c r="G3875" s="6" t="s">
        <v>2829</v>
      </c>
      <c r="H3875" s="7">
        <v>33.6</v>
      </c>
      <c r="I3875" s="19" t="s">
        <v>1888</v>
      </c>
      <c r="J3875" s="19" t="s">
        <v>16245</v>
      </c>
      <c r="K3875" s="5" t="s">
        <v>16282</v>
      </c>
      <c r="L3875" s="5" t="s">
        <v>16283</v>
      </c>
      <c r="M3875" s="5" t="s">
        <v>16284</v>
      </c>
      <c r="N3875" s="5" t="s">
        <v>16285</v>
      </c>
      <c r="O3875" s="5" t="s">
        <v>16250</v>
      </c>
      <c r="P3875" s="5" t="s">
        <v>16251</v>
      </c>
      <c r="Q3875" s="5" t="s">
        <v>16252</v>
      </c>
      <c r="R3875" s="5" t="s">
        <v>16253</v>
      </c>
      <c r="S3875" s="5" t="s">
        <v>16265</v>
      </c>
      <c r="T3875" s="5" t="s">
        <v>16266</v>
      </c>
      <c r="U3875" s="5" t="s">
        <v>16267</v>
      </c>
      <c r="V3875" s="5" t="s">
        <v>16268</v>
      </c>
      <c r="AG3875" s="14" t="s">
        <v>49</v>
      </c>
      <c r="AH3875" s="14" t="s">
        <v>9768</v>
      </c>
      <c r="AI3875" s="14" t="s">
        <v>49</v>
      </c>
      <c r="AJ3875" s="5" t="s">
        <v>16269</v>
      </c>
    </row>
    <row r="3876" spans="1:36">
      <c r="A3876" s="5" t="s">
        <v>16286</v>
      </c>
      <c r="B3876" s="5" t="s">
        <v>16281</v>
      </c>
      <c r="C3876" s="6" t="s">
        <v>43</v>
      </c>
      <c r="D3876" s="6" t="s">
        <v>850</v>
      </c>
      <c r="E3876" s="6" t="s">
        <v>10152</v>
      </c>
      <c r="F3876" s="6" t="s">
        <v>46</v>
      </c>
      <c r="G3876" s="6" t="s">
        <v>16287</v>
      </c>
      <c r="H3876" s="7">
        <v>33.6</v>
      </c>
      <c r="I3876" s="19" t="s">
        <v>1888</v>
      </c>
      <c r="J3876" s="19" t="s">
        <v>16245</v>
      </c>
      <c r="K3876" s="5" t="s">
        <v>16282</v>
      </c>
      <c r="L3876" s="5" t="s">
        <v>16283</v>
      </c>
      <c r="M3876" s="5" t="s">
        <v>16284</v>
      </c>
      <c r="N3876" s="5" t="s">
        <v>16285</v>
      </c>
      <c r="O3876" s="5" t="s">
        <v>16250</v>
      </c>
      <c r="P3876" s="5" t="s">
        <v>16251</v>
      </c>
      <c r="Q3876" s="5" t="s">
        <v>16252</v>
      </c>
      <c r="R3876" s="5" t="s">
        <v>16253</v>
      </c>
      <c r="S3876" s="5" t="s">
        <v>16265</v>
      </c>
      <c r="T3876" s="5" t="s">
        <v>16266</v>
      </c>
      <c r="U3876" s="5" t="s">
        <v>16267</v>
      </c>
      <c r="V3876" s="5" t="s">
        <v>16268</v>
      </c>
      <c r="AG3876" s="14" t="s">
        <v>55</v>
      </c>
      <c r="AH3876" s="14" t="s">
        <v>9768</v>
      </c>
      <c r="AI3876" s="14" t="s">
        <v>9965</v>
      </c>
      <c r="AJ3876" s="5" t="s">
        <v>16067</v>
      </c>
    </row>
    <row r="3877" spans="1:36">
      <c r="A3877" s="5" t="s">
        <v>16288</v>
      </c>
      <c r="B3877" s="5" t="s">
        <v>16289</v>
      </c>
      <c r="C3877" s="6" t="s">
        <v>43</v>
      </c>
      <c r="D3877" s="6" t="s">
        <v>850</v>
      </c>
      <c r="E3877" s="6" t="s">
        <v>218</v>
      </c>
      <c r="F3877" s="6" t="s">
        <v>46</v>
      </c>
      <c r="G3877" s="6" t="s">
        <v>16290</v>
      </c>
      <c r="H3877" s="7">
        <v>38.799999999999997</v>
      </c>
      <c r="I3877" s="19" t="s">
        <v>1888</v>
      </c>
      <c r="J3877" s="19" t="s">
        <v>16245</v>
      </c>
      <c r="K3877" s="5" t="s">
        <v>16291</v>
      </c>
      <c r="L3877" s="5" t="s">
        <v>16292</v>
      </c>
      <c r="M3877" s="5" t="s">
        <v>16293</v>
      </c>
      <c r="N3877" s="5" t="s">
        <v>16294</v>
      </c>
      <c r="O3877" s="5" t="s">
        <v>16250</v>
      </c>
      <c r="P3877" s="5" t="s">
        <v>16251</v>
      </c>
      <c r="Q3877" s="5" t="s">
        <v>16252</v>
      </c>
      <c r="R3877" s="5" t="s">
        <v>16253</v>
      </c>
      <c r="S3877" s="5" t="s">
        <v>16265</v>
      </c>
      <c r="T3877" s="5" t="s">
        <v>16266</v>
      </c>
      <c r="U3877" s="5" t="s">
        <v>16267</v>
      </c>
      <c r="V3877" s="5" t="s">
        <v>16268</v>
      </c>
      <c r="AG3877" s="14" t="s">
        <v>49</v>
      </c>
      <c r="AH3877" s="14" t="s">
        <v>9768</v>
      </c>
      <c r="AI3877" s="14" t="s">
        <v>49</v>
      </c>
      <c r="AJ3877" s="5" t="s">
        <v>16269</v>
      </c>
    </row>
    <row r="3878" spans="1:36">
      <c r="A3878" s="5" t="s">
        <v>16295</v>
      </c>
      <c r="B3878" s="5" t="s">
        <v>16289</v>
      </c>
      <c r="C3878" s="6" t="s">
        <v>43</v>
      </c>
      <c r="D3878" s="6" t="s">
        <v>850</v>
      </c>
      <c r="E3878" s="6" t="s">
        <v>10152</v>
      </c>
      <c r="F3878" s="6" t="s">
        <v>46</v>
      </c>
      <c r="G3878" s="6" t="s">
        <v>16296</v>
      </c>
      <c r="H3878" s="7">
        <v>38.799999999999997</v>
      </c>
      <c r="I3878" s="19" t="s">
        <v>1888</v>
      </c>
      <c r="J3878" s="19" t="s">
        <v>16245</v>
      </c>
      <c r="K3878" s="5" t="s">
        <v>16291</v>
      </c>
      <c r="L3878" s="5" t="s">
        <v>16292</v>
      </c>
      <c r="M3878" s="5" t="s">
        <v>16293</v>
      </c>
      <c r="N3878" s="5" t="s">
        <v>16294</v>
      </c>
      <c r="O3878" s="5" t="s">
        <v>16250</v>
      </c>
      <c r="P3878" s="5" t="s">
        <v>16251</v>
      </c>
      <c r="Q3878" s="5" t="s">
        <v>16252</v>
      </c>
      <c r="R3878" s="5" t="s">
        <v>16253</v>
      </c>
      <c r="S3878" s="5" t="s">
        <v>16265</v>
      </c>
      <c r="T3878" s="5" t="s">
        <v>16266</v>
      </c>
      <c r="U3878" s="5" t="s">
        <v>16267</v>
      </c>
      <c r="V3878" s="5" t="s">
        <v>16268</v>
      </c>
      <c r="AG3878" s="14" t="s">
        <v>55</v>
      </c>
      <c r="AH3878" s="14" t="s">
        <v>9768</v>
      </c>
      <c r="AI3878" s="14" t="s">
        <v>9965</v>
      </c>
      <c r="AJ3878" s="5" t="s">
        <v>16067</v>
      </c>
    </row>
    <row r="3879" spans="1:36">
      <c r="A3879" s="5" t="s">
        <v>16297</v>
      </c>
      <c r="B3879" s="5" t="s">
        <v>16298</v>
      </c>
      <c r="C3879" s="6" t="s">
        <v>43</v>
      </c>
      <c r="D3879" s="6" t="s">
        <v>850</v>
      </c>
      <c r="E3879" s="6" t="s">
        <v>218</v>
      </c>
      <c r="F3879" s="6" t="s">
        <v>46</v>
      </c>
      <c r="G3879" s="6" t="s">
        <v>16299</v>
      </c>
      <c r="H3879" s="7">
        <v>53.15</v>
      </c>
      <c r="I3879" s="19" t="s">
        <v>1888</v>
      </c>
      <c r="J3879" s="19" t="s">
        <v>16245</v>
      </c>
      <c r="K3879" s="5" t="s">
        <v>16300</v>
      </c>
      <c r="L3879" s="5" t="s">
        <v>16301</v>
      </c>
      <c r="M3879" s="5" t="s">
        <v>16302</v>
      </c>
      <c r="N3879" s="5" t="s">
        <v>16303</v>
      </c>
      <c r="O3879" s="5" t="s">
        <v>16250</v>
      </c>
      <c r="P3879" s="5" t="s">
        <v>16251</v>
      </c>
      <c r="Q3879" s="5" t="s">
        <v>16252</v>
      </c>
      <c r="R3879" s="5" t="s">
        <v>16253</v>
      </c>
      <c r="S3879" s="5" t="s">
        <v>16265</v>
      </c>
      <c r="T3879" s="5" t="s">
        <v>16266</v>
      </c>
      <c r="U3879" s="5" t="s">
        <v>16267</v>
      </c>
      <c r="V3879" s="5" t="s">
        <v>16268</v>
      </c>
      <c r="AG3879" s="14" t="s">
        <v>49</v>
      </c>
      <c r="AH3879" s="14" t="s">
        <v>9768</v>
      </c>
      <c r="AI3879" s="14" t="s">
        <v>49</v>
      </c>
      <c r="AJ3879" s="5" t="s">
        <v>16269</v>
      </c>
    </row>
    <row r="3880" spans="1:36">
      <c r="A3880" s="5" t="s">
        <v>16304</v>
      </c>
      <c r="B3880" s="5" t="s">
        <v>16298</v>
      </c>
      <c r="C3880" s="6" t="s">
        <v>43</v>
      </c>
      <c r="D3880" s="6" t="s">
        <v>850</v>
      </c>
      <c r="E3880" s="6" t="s">
        <v>10152</v>
      </c>
      <c r="F3880" s="6" t="s">
        <v>46</v>
      </c>
      <c r="G3880" s="6" t="s">
        <v>16305</v>
      </c>
      <c r="H3880" s="7">
        <v>53.15</v>
      </c>
      <c r="I3880" s="19" t="s">
        <v>1888</v>
      </c>
      <c r="J3880" s="19" t="s">
        <v>16245</v>
      </c>
      <c r="K3880" s="5" t="s">
        <v>16300</v>
      </c>
      <c r="L3880" s="5" t="s">
        <v>16301</v>
      </c>
      <c r="M3880" s="5" t="s">
        <v>16302</v>
      </c>
      <c r="N3880" s="5" t="s">
        <v>16303</v>
      </c>
      <c r="O3880" s="5" t="s">
        <v>16250</v>
      </c>
      <c r="P3880" s="5" t="s">
        <v>16251</v>
      </c>
      <c r="Q3880" s="5" t="s">
        <v>16252</v>
      </c>
      <c r="R3880" s="5" t="s">
        <v>16253</v>
      </c>
      <c r="S3880" s="5" t="s">
        <v>16265</v>
      </c>
      <c r="T3880" s="5" t="s">
        <v>16266</v>
      </c>
      <c r="U3880" s="5" t="s">
        <v>16267</v>
      </c>
      <c r="V3880" s="5" t="s">
        <v>16268</v>
      </c>
      <c r="AG3880" s="14" t="s">
        <v>55</v>
      </c>
      <c r="AH3880" s="14" t="s">
        <v>9768</v>
      </c>
      <c r="AI3880" s="14" t="s">
        <v>9965</v>
      </c>
      <c r="AJ3880" s="5" t="s">
        <v>16067</v>
      </c>
    </row>
    <row r="3881" spans="1:36">
      <c r="A3881" s="5" t="s">
        <v>16306</v>
      </c>
      <c r="B3881" s="5" t="s">
        <v>16307</v>
      </c>
      <c r="C3881" s="6" t="s">
        <v>43</v>
      </c>
      <c r="D3881" s="6" t="s">
        <v>850</v>
      </c>
      <c r="E3881" s="6" t="s">
        <v>218</v>
      </c>
      <c r="F3881" s="6" t="s">
        <v>46</v>
      </c>
      <c r="G3881" s="6" t="s">
        <v>16308</v>
      </c>
      <c r="H3881" s="7">
        <v>65.400000000000006</v>
      </c>
      <c r="I3881" s="19" t="s">
        <v>1888</v>
      </c>
      <c r="J3881" s="19" t="s">
        <v>16245</v>
      </c>
      <c r="K3881" s="5" t="s">
        <v>16309</v>
      </c>
      <c r="L3881" s="5" t="s">
        <v>16310</v>
      </c>
      <c r="M3881" s="5" t="s">
        <v>16311</v>
      </c>
      <c r="N3881" s="5" t="s">
        <v>16312</v>
      </c>
      <c r="O3881" s="5" t="s">
        <v>16250</v>
      </c>
      <c r="P3881" s="5" t="s">
        <v>16251</v>
      </c>
      <c r="Q3881" s="5" t="s">
        <v>16252</v>
      </c>
      <c r="R3881" s="5" t="s">
        <v>16253</v>
      </c>
      <c r="S3881" s="5" t="s">
        <v>16265</v>
      </c>
      <c r="T3881" s="5" t="s">
        <v>16266</v>
      </c>
      <c r="U3881" s="5" t="s">
        <v>16267</v>
      </c>
      <c r="V3881" s="5" t="s">
        <v>16268</v>
      </c>
      <c r="AG3881" s="14" t="s">
        <v>49</v>
      </c>
      <c r="AH3881" s="14" t="s">
        <v>9768</v>
      </c>
      <c r="AI3881" s="14" t="s">
        <v>49</v>
      </c>
      <c r="AJ3881" s="5" t="s">
        <v>16269</v>
      </c>
    </row>
    <row r="3882" spans="1:36">
      <c r="A3882" s="5" t="s">
        <v>16313</v>
      </c>
      <c r="B3882" s="5" t="s">
        <v>16307</v>
      </c>
      <c r="C3882" s="6" t="s">
        <v>43</v>
      </c>
      <c r="D3882" s="6" t="s">
        <v>850</v>
      </c>
      <c r="E3882" s="6" t="s">
        <v>10152</v>
      </c>
      <c r="F3882" s="6" t="s">
        <v>46</v>
      </c>
      <c r="G3882" s="6" t="s">
        <v>16314</v>
      </c>
      <c r="H3882" s="7">
        <v>65.400000000000006</v>
      </c>
      <c r="I3882" s="19" t="s">
        <v>1888</v>
      </c>
      <c r="J3882" s="19" t="s">
        <v>16245</v>
      </c>
      <c r="K3882" s="5" t="s">
        <v>16309</v>
      </c>
      <c r="L3882" s="5" t="s">
        <v>16310</v>
      </c>
      <c r="M3882" s="5" t="s">
        <v>16311</v>
      </c>
      <c r="N3882" s="5" t="s">
        <v>16312</v>
      </c>
      <c r="O3882" s="5" t="s">
        <v>16250</v>
      </c>
      <c r="P3882" s="5" t="s">
        <v>16251</v>
      </c>
      <c r="Q3882" s="5" t="s">
        <v>16252</v>
      </c>
      <c r="R3882" s="5" t="s">
        <v>16253</v>
      </c>
      <c r="S3882" s="5" t="s">
        <v>16265</v>
      </c>
      <c r="T3882" s="5" t="s">
        <v>16266</v>
      </c>
      <c r="U3882" s="5" t="s">
        <v>16267</v>
      </c>
      <c r="V3882" s="5" t="s">
        <v>16268</v>
      </c>
      <c r="AG3882" s="14" t="s">
        <v>55</v>
      </c>
      <c r="AH3882" s="14" t="s">
        <v>9768</v>
      </c>
      <c r="AI3882" s="14" t="s">
        <v>9965</v>
      </c>
      <c r="AJ3882" s="5" t="s">
        <v>16067</v>
      </c>
    </row>
    <row r="3883" spans="1:36">
      <c r="A3883" s="5" t="s">
        <v>16315</v>
      </c>
      <c r="B3883" s="5" t="s">
        <v>16316</v>
      </c>
      <c r="C3883" s="6" t="s">
        <v>43</v>
      </c>
      <c r="D3883" s="6" t="s">
        <v>909</v>
      </c>
      <c r="E3883" s="6" t="s">
        <v>218</v>
      </c>
      <c r="F3883" s="6" t="s">
        <v>46</v>
      </c>
      <c r="G3883" s="6" t="s">
        <v>16317</v>
      </c>
      <c r="H3883" s="7">
        <v>165</v>
      </c>
      <c r="I3883" s="19" t="s">
        <v>1888</v>
      </c>
      <c r="J3883" s="19" t="s">
        <v>16318</v>
      </c>
      <c r="K3883" s="5" t="s">
        <v>16319</v>
      </c>
      <c r="L3883" s="5" t="s">
        <v>16320</v>
      </c>
      <c r="M3883" s="5" t="s">
        <v>16321</v>
      </c>
      <c r="N3883" s="5" t="s">
        <v>16322</v>
      </c>
      <c r="O3883" s="6" t="s">
        <v>16323</v>
      </c>
      <c r="P3883" s="5" t="s">
        <v>16324</v>
      </c>
      <c r="Q3883" s="5" t="s">
        <v>16325</v>
      </c>
      <c r="R3883" s="5" t="s">
        <v>16326</v>
      </c>
      <c r="U3883" s="6" t="s">
        <v>16327</v>
      </c>
      <c r="AG3883" s="14" t="s">
        <v>49</v>
      </c>
      <c r="AH3883" s="14" t="s">
        <v>49</v>
      </c>
      <c r="AI3883" s="14" t="s">
        <v>1985</v>
      </c>
      <c r="AJ3883" s="5" t="s">
        <v>1986</v>
      </c>
    </row>
    <row r="3884" spans="1:36">
      <c r="A3884" s="5" t="s">
        <v>16328</v>
      </c>
      <c r="B3884" s="5" t="s">
        <v>16329</v>
      </c>
      <c r="C3884" s="6" t="s">
        <v>43</v>
      </c>
      <c r="D3884" s="6" t="s">
        <v>909</v>
      </c>
      <c r="E3884" s="6" t="s">
        <v>218</v>
      </c>
      <c r="F3884" s="6" t="s">
        <v>46</v>
      </c>
      <c r="G3884" s="6" t="s">
        <v>16330</v>
      </c>
      <c r="H3884" s="7">
        <v>195</v>
      </c>
      <c r="I3884" s="19" t="s">
        <v>1888</v>
      </c>
      <c r="J3884" s="19" t="s">
        <v>16318</v>
      </c>
      <c r="K3884" s="5" t="s">
        <v>16331</v>
      </c>
      <c r="L3884" s="5" t="s">
        <v>16332</v>
      </c>
      <c r="M3884" s="5" t="s">
        <v>16333</v>
      </c>
      <c r="N3884" s="5" t="s">
        <v>16334</v>
      </c>
      <c r="O3884" s="6" t="s">
        <v>16335</v>
      </c>
      <c r="P3884" s="5" t="s">
        <v>16336</v>
      </c>
      <c r="Q3884" s="5" t="s">
        <v>16337</v>
      </c>
      <c r="R3884" s="5" t="s">
        <v>16338</v>
      </c>
      <c r="U3884" s="5" t="s">
        <v>16327</v>
      </c>
      <c r="AG3884" s="14" t="s">
        <v>49</v>
      </c>
      <c r="AH3884" s="14" t="s">
        <v>49</v>
      </c>
      <c r="AI3884" s="14" t="s">
        <v>1985</v>
      </c>
      <c r="AJ3884" s="5" t="s">
        <v>1986</v>
      </c>
    </row>
    <row r="3885" spans="1:36">
      <c r="A3885" s="5" t="s">
        <v>16339</v>
      </c>
      <c r="B3885" s="5" t="s">
        <v>16340</v>
      </c>
      <c r="C3885" s="6" t="s">
        <v>43</v>
      </c>
      <c r="D3885" s="6" t="s">
        <v>909</v>
      </c>
      <c r="E3885" s="6" t="s">
        <v>218</v>
      </c>
      <c r="F3885" s="6" t="s">
        <v>46</v>
      </c>
      <c r="G3885" s="6" t="s">
        <v>16341</v>
      </c>
      <c r="H3885" s="7">
        <v>248</v>
      </c>
      <c r="I3885" s="19" t="s">
        <v>1888</v>
      </c>
      <c r="J3885" s="19" t="s">
        <v>16318</v>
      </c>
      <c r="K3885" s="5" t="s">
        <v>16342</v>
      </c>
      <c r="L3885" s="5" t="s">
        <v>16343</v>
      </c>
      <c r="M3885" s="5" t="s">
        <v>16344</v>
      </c>
      <c r="N3885" s="5" t="s">
        <v>16345</v>
      </c>
      <c r="O3885" s="6" t="s">
        <v>16346</v>
      </c>
      <c r="P3885" s="5" t="s">
        <v>16347</v>
      </c>
      <c r="Q3885" s="5" t="s">
        <v>16348</v>
      </c>
      <c r="R3885" s="5" t="s">
        <v>16349</v>
      </c>
      <c r="U3885" s="5" t="s">
        <v>16327</v>
      </c>
      <c r="AG3885" s="14" t="s">
        <v>49</v>
      </c>
      <c r="AH3885" s="14" t="s">
        <v>49</v>
      </c>
      <c r="AI3885" s="14" t="s">
        <v>1985</v>
      </c>
      <c r="AJ3885" s="5" t="s">
        <v>1986</v>
      </c>
    </row>
    <row r="3886" spans="1:36">
      <c r="A3886" s="5" t="s">
        <v>16350</v>
      </c>
      <c r="B3886" s="5" t="s">
        <v>16351</v>
      </c>
      <c r="C3886" s="6" t="s">
        <v>43</v>
      </c>
      <c r="D3886" s="6" t="s">
        <v>909</v>
      </c>
      <c r="E3886" s="6" t="s">
        <v>218</v>
      </c>
      <c r="F3886" s="6" t="s">
        <v>46</v>
      </c>
      <c r="G3886" s="6" t="s">
        <v>16352</v>
      </c>
      <c r="H3886" s="7">
        <v>330</v>
      </c>
      <c r="I3886" s="19" t="s">
        <v>1888</v>
      </c>
      <c r="J3886" s="19" t="s">
        <v>16318</v>
      </c>
      <c r="K3886" s="5" t="s">
        <v>16353</v>
      </c>
      <c r="L3886" s="5" t="s">
        <v>16354</v>
      </c>
      <c r="M3886" s="5" t="s">
        <v>16355</v>
      </c>
      <c r="N3886" s="5" t="s">
        <v>16356</v>
      </c>
      <c r="O3886" s="6" t="s">
        <v>16357</v>
      </c>
      <c r="P3886" s="5" t="s">
        <v>16358</v>
      </c>
      <c r="Q3886" s="5" t="s">
        <v>16359</v>
      </c>
      <c r="R3886" s="5" t="s">
        <v>16360</v>
      </c>
      <c r="U3886" s="5" t="s">
        <v>16327</v>
      </c>
      <c r="AG3886" s="14" t="s">
        <v>49</v>
      </c>
      <c r="AH3886" s="14" t="s">
        <v>49</v>
      </c>
      <c r="AI3886" s="14" t="s">
        <v>1985</v>
      </c>
      <c r="AJ3886" s="5" t="s">
        <v>1986</v>
      </c>
    </row>
    <row r="3887" spans="1:36">
      <c r="A3887" s="5" t="s">
        <v>16361</v>
      </c>
      <c r="B3887" s="5" t="s">
        <v>16362</v>
      </c>
      <c r="C3887" s="6" t="s">
        <v>43</v>
      </c>
      <c r="D3887" s="6" t="s">
        <v>850</v>
      </c>
      <c r="E3887" s="6" t="s">
        <v>10152</v>
      </c>
      <c r="F3887" s="6" t="s">
        <v>46</v>
      </c>
      <c r="G3887" s="6" t="s">
        <v>16363</v>
      </c>
      <c r="I3887" s="19" t="s">
        <v>1888</v>
      </c>
      <c r="J3887" s="19" t="s">
        <v>16364</v>
      </c>
      <c r="K3887" s="5" t="s">
        <v>16365</v>
      </c>
      <c r="L3887" s="5" t="s">
        <v>16366</v>
      </c>
      <c r="M3887" s="5" t="s">
        <v>16367</v>
      </c>
      <c r="N3887" s="5" t="s">
        <v>16368</v>
      </c>
      <c r="O3887" s="5" t="s">
        <v>16369</v>
      </c>
      <c r="P3887" s="5" t="s">
        <v>16370</v>
      </c>
      <c r="Q3887" s="5" t="s">
        <v>16371</v>
      </c>
      <c r="R3887" s="5" t="s">
        <v>16372</v>
      </c>
      <c r="S3887" s="5" t="s">
        <v>16373</v>
      </c>
      <c r="T3887" s="5" t="s">
        <v>16374</v>
      </c>
      <c r="U3887" s="5" t="s">
        <v>16375</v>
      </c>
      <c r="V3887" s="5" t="s">
        <v>16376</v>
      </c>
      <c r="AG3887" s="14" t="s">
        <v>55</v>
      </c>
      <c r="AH3887" s="14" t="s">
        <v>12554</v>
      </c>
      <c r="AI3887" s="14" t="s">
        <v>1836</v>
      </c>
      <c r="AJ3887" s="5" t="s">
        <v>16377</v>
      </c>
    </row>
    <row r="3888" spans="1:36">
      <c r="A3888" s="5" t="s">
        <v>16378</v>
      </c>
      <c r="B3888" s="5" t="s">
        <v>16379</v>
      </c>
      <c r="C3888" s="6" t="s">
        <v>43</v>
      </c>
      <c r="D3888" s="6" t="s">
        <v>850</v>
      </c>
      <c r="E3888" s="6" t="s">
        <v>218</v>
      </c>
      <c r="F3888" s="6" t="s">
        <v>46</v>
      </c>
      <c r="G3888" s="6" t="s">
        <v>16380</v>
      </c>
      <c r="H3888" s="7">
        <v>32.15</v>
      </c>
      <c r="I3888" s="19" t="s">
        <v>1888</v>
      </c>
      <c r="J3888" s="19" t="s">
        <v>16364</v>
      </c>
      <c r="K3888" s="5" t="s">
        <v>16381</v>
      </c>
      <c r="L3888" s="5" t="s">
        <v>16382</v>
      </c>
      <c r="M3888" s="5" t="s">
        <v>16383</v>
      </c>
      <c r="N3888" s="5" t="s">
        <v>16384</v>
      </c>
      <c r="O3888" s="5" t="s">
        <v>16369</v>
      </c>
      <c r="P3888" s="5" t="s">
        <v>16370</v>
      </c>
      <c r="Q3888" s="5" t="s">
        <v>16371</v>
      </c>
      <c r="R3888" s="5" t="s">
        <v>16372</v>
      </c>
      <c r="S3888" s="5" t="s">
        <v>16373</v>
      </c>
      <c r="T3888" s="5" t="s">
        <v>16385</v>
      </c>
      <c r="U3888" s="5" t="s">
        <v>16375</v>
      </c>
      <c r="V3888" s="5" t="s">
        <v>16376</v>
      </c>
      <c r="AG3888" s="14" t="s">
        <v>49</v>
      </c>
      <c r="AH3888" s="14" t="s">
        <v>12554</v>
      </c>
      <c r="AI3888" s="14" t="s">
        <v>16386</v>
      </c>
      <c r="AJ3888" s="5" t="s">
        <v>16387</v>
      </c>
    </row>
    <row r="3889" spans="1:37">
      <c r="A3889" s="5" t="s">
        <v>16388</v>
      </c>
      <c r="B3889" s="5" t="s">
        <v>16389</v>
      </c>
      <c r="C3889" s="6" t="s">
        <v>43</v>
      </c>
      <c r="D3889" s="6" t="s">
        <v>850</v>
      </c>
      <c r="E3889" s="6" t="s">
        <v>218</v>
      </c>
      <c r="F3889" s="6" t="s">
        <v>46</v>
      </c>
      <c r="G3889" s="6" t="s">
        <v>16390</v>
      </c>
      <c r="H3889" s="7">
        <v>48.15</v>
      </c>
      <c r="I3889" s="19" t="s">
        <v>1888</v>
      </c>
      <c r="J3889" s="19" t="s">
        <v>16364</v>
      </c>
      <c r="K3889" s="5" t="s">
        <v>16391</v>
      </c>
      <c r="L3889" s="5" t="s">
        <v>16392</v>
      </c>
      <c r="M3889" s="5" t="s">
        <v>16393</v>
      </c>
      <c r="N3889" s="5" t="s">
        <v>16394</v>
      </c>
      <c r="O3889" s="5" t="s">
        <v>16369</v>
      </c>
      <c r="P3889" s="5" t="s">
        <v>16370</v>
      </c>
      <c r="Q3889" s="5" t="s">
        <v>16371</v>
      </c>
      <c r="R3889" s="5" t="s">
        <v>16372</v>
      </c>
      <c r="S3889" s="5" t="s">
        <v>16373</v>
      </c>
      <c r="T3889" s="5" t="s">
        <v>16385</v>
      </c>
      <c r="U3889" s="5" t="s">
        <v>16375</v>
      </c>
      <c r="V3889" s="5" t="s">
        <v>16376</v>
      </c>
      <c r="AG3889" s="14" t="s">
        <v>49</v>
      </c>
      <c r="AH3889" s="14" t="s">
        <v>12554</v>
      </c>
      <c r="AI3889" s="14" t="s">
        <v>16386</v>
      </c>
      <c r="AJ3889" s="5" t="s">
        <v>16387</v>
      </c>
    </row>
    <row r="3890" spans="1:37">
      <c r="A3890" s="5" t="s">
        <v>16395</v>
      </c>
      <c r="B3890" s="5" t="s">
        <v>16396</v>
      </c>
      <c r="C3890" s="6" t="s">
        <v>43</v>
      </c>
      <c r="D3890" s="6" t="s">
        <v>850</v>
      </c>
      <c r="E3890" s="6" t="s">
        <v>218</v>
      </c>
      <c r="F3890" s="6" t="s">
        <v>46</v>
      </c>
      <c r="G3890" s="6" t="s">
        <v>16397</v>
      </c>
      <c r="H3890" s="7">
        <v>56.25</v>
      </c>
      <c r="I3890" s="19" t="s">
        <v>1888</v>
      </c>
      <c r="J3890" s="19" t="s">
        <v>16364</v>
      </c>
      <c r="K3890" s="5" t="s">
        <v>16398</v>
      </c>
      <c r="L3890" s="5" t="s">
        <v>16399</v>
      </c>
      <c r="M3890" s="5" t="s">
        <v>16400</v>
      </c>
      <c r="N3890" s="5" t="s">
        <v>16401</v>
      </c>
      <c r="O3890" s="5" t="s">
        <v>16369</v>
      </c>
      <c r="P3890" s="5" t="s">
        <v>16370</v>
      </c>
      <c r="Q3890" s="5" t="s">
        <v>16371</v>
      </c>
      <c r="R3890" s="5" t="s">
        <v>16372</v>
      </c>
      <c r="S3890" s="5" t="s">
        <v>16373</v>
      </c>
      <c r="T3890" s="5" t="s">
        <v>16385</v>
      </c>
      <c r="U3890" s="5" t="s">
        <v>16375</v>
      </c>
      <c r="V3890" s="5" t="s">
        <v>16376</v>
      </c>
      <c r="AG3890" s="14" t="s">
        <v>49</v>
      </c>
      <c r="AH3890" s="14" t="s">
        <v>12554</v>
      </c>
      <c r="AI3890" s="14" t="s">
        <v>16386</v>
      </c>
      <c r="AJ3890" s="5" t="s">
        <v>16387</v>
      </c>
    </row>
    <row r="3891" spans="1:37">
      <c r="A3891" s="5" t="s">
        <v>16402</v>
      </c>
      <c r="B3891" s="5" t="s">
        <v>16403</v>
      </c>
      <c r="C3891" s="6" t="s">
        <v>43</v>
      </c>
      <c r="D3891" s="6" t="s">
        <v>850</v>
      </c>
      <c r="E3891" s="6" t="s">
        <v>218</v>
      </c>
      <c r="F3891" s="6" t="s">
        <v>46</v>
      </c>
      <c r="G3891" s="6" t="s">
        <v>5411</v>
      </c>
      <c r="H3891" s="7">
        <v>71.900000000000006</v>
      </c>
      <c r="I3891" s="19" t="s">
        <v>1888</v>
      </c>
      <c r="J3891" s="19" t="s">
        <v>16364</v>
      </c>
      <c r="K3891" s="5" t="s">
        <v>16404</v>
      </c>
      <c r="L3891" s="5" t="s">
        <v>16405</v>
      </c>
      <c r="M3891" s="5" t="s">
        <v>16406</v>
      </c>
      <c r="N3891" s="5" t="s">
        <v>16407</v>
      </c>
      <c r="O3891" s="5" t="s">
        <v>16369</v>
      </c>
      <c r="P3891" s="5" t="s">
        <v>16370</v>
      </c>
      <c r="Q3891" s="5" t="s">
        <v>16371</v>
      </c>
      <c r="R3891" s="5" t="s">
        <v>16372</v>
      </c>
      <c r="S3891" s="5" t="s">
        <v>16373</v>
      </c>
      <c r="T3891" s="5" t="s">
        <v>16385</v>
      </c>
      <c r="U3891" s="5" t="s">
        <v>16375</v>
      </c>
      <c r="V3891" s="5" t="s">
        <v>16376</v>
      </c>
      <c r="AG3891" s="14" t="s">
        <v>49</v>
      </c>
      <c r="AH3891" s="14" t="s">
        <v>12554</v>
      </c>
      <c r="AI3891" s="14" t="s">
        <v>16386</v>
      </c>
      <c r="AJ3891" s="5" t="s">
        <v>16387</v>
      </c>
    </row>
    <row r="3892" spans="1:37">
      <c r="A3892" s="5" t="s">
        <v>16408</v>
      </c>
      <c r="B3892" s="5" t="s">
        <v>16409</v>
      </c>
      <c r="C3892" s="6" t="s">
        <v>43</v>
      </c>
      <c r="D3892" s="6" t="s">
        <v>850</v>
      </c>
      <c r="E3892" s="6" t="s">
        <v>218</v>
      </c>
      <c r="F3892" s="6" t="s">
        <v>46</v>
      </c>
      <c r="G3892" s="6" t="s">
        <v>16410</v>
      </c>
      <c r="H3892" s="7">
        <v>87.2</v>
      </c>
      <c r="I3892" s="19" t="s">
        <v>1888</v>
      </c>
      <c r="J3892" s="19" t="s">
        <v>16364</v>
      </c>
      <c r="K3892" s="5" t="s">
        <v>16411</v>
      </c>
      <c r="L3892" s="5" t="s">
        <v>16412</v>
      </c>
      <c r="M3892" s="5" t="s">
        <v>16413</v>
      </c>
      <c r="N3892" s="5" t="s">
        <v>16414</v>
      </c>
      <c r="O3892" s="5" t="s">
        <v>16369</v>
      </c>
      <c r="P3892" s="5" t="s">
        <v>16370</v>
      </c>
      <c r="Q3892" s="5" t="s">
        <v>16371</v>
      </c>
      <c r="R3892" s="5" t="s">
        <v>16372</v>
      </c>
      <c r="S3892" s="5" t="s">
        <v>16373</v>
      </c>
      <c r="T3892" s="5" t="s">
        <v>16385</v>
      </c>
      <c r="U3892" s="5" t="s">
        <v>16375</v>
      </c>
      <c r="V3892" s="5" t="s">
        <v>16376</v>
      </c>
      <c r="AG3892" s="14" t="s">
        <v>49</v>
      </c>
      <c r="AH3892" s="14" t="s">
        <v>12554</v>
      </c>
      <c r="AI3892" s="14" t="s">
        <v>16386</v>
      </c>
      <c r="AJ3892" s="5" t="s">
        <v>16387</v>
      </c>
    </row>
    <row r="3893" spans="1:37">
      <c r="A3893" s="5" t="s">
        <v>16415</v>
      </c>
      <c r="B3893" s="5" t="s">
        <v>16416</v>
      </c>
      <c r="C3893" s="6" t="s">
        <v>43</v>
      </c>
      <c r="D3893" s="6" t="s">
        <v>850</v>
      </c>
      <c r="E3893" s="6" t="s">
        <v>218</v>
      </c>
      <c r="F3893" s="6" t="s">
        <v>46</v>
      </c>
      <c r="G3893" s="6" t="s">
        <v>16417</v>
      </c>
      <c r="H3893" s="7">
        <v>107.05</v>
      </c>
      <c r="I3893" s="19" t="s">
        <v>1888</v>
      </c>
      <c r="J3893" s="19" t="s">
        <v>16364</v>
      </c>
      <c r="K3893" s="5" t="s">
        <v>16418</v>
      </c>
      <c r="L3893" s="5" t="s">
        <v>16419</v>
      </c>
      <c r="M3893" s="5" t="s">
        <v>16420</v>
      </c>
      <c r="N3893" s="5" t="s">
        <v>16421</v>
      </c>
      <c r="O3893" s="5" t="s">
        <v>16369</v>
      </c>
      <c r="P3893" s="5" t="s">
        <v>16370</v>
      </c>
      <c r="Q3893" s="5" t="s">
        <v>16371</v>
      </c>
      <c r="R3893" s="5" t="s">
        <v>16372</v>
      </c>
      <c r="S3893" s="5" t="s">
        <v>16373</v>
      </c>
      <c r="T3893" s="5" t="s">
        <v>16385</v>
      </c>
      <c r="U3893" s="5" t="s">
        <v>16375</v>
      </c>
      <c r="V3893" s="5" t="s">
        <v>16376</v>
      </c>
      <c r="AG3893" s="14" t="s">
        <v>49</v>
      </c>
      <c r="AH3893" s="14" t="s">
        <v>12554</v>
      </c>
      <c r="AI3893" s="14" t="s">
        <v>16386</v>
      </c>
      <c r="AJ3893" s="5" t="s">
        <v>16387</v>
      </c>
    </row>
    <row r="3894" spans="1:37">
      <c r="A3894" s="5" t="s">
        <v>16422</v>
      </c>
      <c r="B3894" s="5" t="s">
        <v>16423</v>
      </c>
      <c r="C3894" s="6" t="s">
        <v>43</v>
      </c>
      <c r="D3894" s="6" t="s">
        <v>850</v>
      </c>
      <c r="E3894" s="6" t="s">
        <v>218</v>
      </c>
      <c r="F3894" s="6" t="s">
        <v>46</v>
      </c>
      <c r="G3894" s="6" t="s">
        <v>16424</v>
      </c>
      <c r="H3894" s="7">
        <v>126.95</v>
      </c>
      <c r="I3894" s="19" t="s">
        <v>1888</v>
      </c>
      <c r="J3894" s="19" t="s">
        <v>16364</v>
      </c>
      <c r="K3894" s="5" t="s">
        <v>16425</v>
      </c>
      <c r="L3894" s="5" t="s">
        <v>16426</v>
      </c>
      <c r="M3894" s="5" t="s">
        <v>16427</v>
      </c>
      <c r="N3894" s="5" t="s">
        <v>16428</v>
      </c>
      <c r="O3894" s="5" t="s">
        <v>16369</v>
      </c>
      <c r="P3894" s="5" t="s">
        <v>16370</v>
      </c>
      <c r="Q3894" s="5" t="s">
        <v>16371</v>
      </c>
      <c r="R3894" s="5" t="s">
        <v>16372</v>
      </c>
      <c r="S3894" s="5" t="s">
        <v>16373</v>
      </c>
      <c r="T3894" s="5" t="s">
        <v>16385</v>
      </c>
      <c r="U3894" s="5" t="s">
        <v>16375</v>
      </c>
      <c r="V3894" s="5" t="s">
        <v>16376</v>
      </c>
      <c r="AG3894" s="14" t="s">
        <v>49</v>
      </c>
      <c r="AH3894" s="14" t="s">
        <v>12554</v>
      </c>
      <c r="AI3894" s="14" t="s">
        <v>16386</v>
      </c>
      <c r="AJ3894" s="5" t="s">
        <v>16387</v>
      </c>
    </row>
    <row r="3895" spans="1:37">
      <c r="A3895" s="5" t="s">
        <v>16429</v>
      </c>
      <c r="B3895" s="5" t="s">
        <v>16430</v>
      </c>
      <c r="C3895" s="6" t="s">
        <v>43</v>
      </c>
      <c r="D3895" s="6" t="s">
        <v>850</v>
      </c>
      <c r="E3895" s="6" t="s">
        <v>218</v>
      </c>
      <c r="F3895" s="6" t="s">
        <v>46</v>
      </c>
      <c r="G3895" s="6" t="s">
        <v>16431</v>
      </c>
      <c r="H3895" s="7">
        <v>22.45</v>
      </c>
      <c r="I3895" s="19" t="s">
        <v>1888</v>
      </c>
      <c r="J3895" s="19" t="s">
        <v>16432</v>
      </c>
      <c r="K3895" s="5" t="s">
        <v>16433</v>
      </c>
      <c r="L3895" s="5" t="s">
        <v>16434</v>
      </c>
      <c r="M3895" s="5" t="s">
        <v>16435</v>
      </c>
      <c r="N3895" s="5" t="s">
        <v>16436</v>
      </c>
      <c r="O3895" s="5" t="s">
        <v>16437</v>
      </c>
      <c r="P3895" s="5" t="s">
        <v>16438</v>
      </c>
      <c r="Q3895" s="5" t="s">
        <v>16439</v>
      </c>
      <c r="R3895" s="5" t="s">
        <v>16440</v>
      </c>
      <c r="S3895" s="5" t="s">
        <v>16441</v>
      </c>
      <c r="T3895" s="5" t="s">
        <v>16442</v>
      </c>
      <c r="U3895" s="5" t="s">
        <v>16443</v>
      </c>
      <c r="V3895" s="5" t="s">
        <v>16444</v>
      </c>
      <c r="AG3895" s="14" t="s">
        <v>49</v>
      </c>
      <c r="AH3895" s="14" t="s">
        <v>12554</v>
      </c>
      <c r="AI3895" s="14" t="s">
        <v>16445</v>
      </c>
      <c r="AJ3895" s="5" t="s">
        <v>16446</v>
      </c>
    </row>
    <row r="3896" spans="1:37">
      <c r="A3896" s="5" t="s">
        <v>16447</v>
      </c>
      <c r="B3896" s="5" t="s">
        <v>16448</v>
      </c>
      <c r="C3896" s="6" t="s">
        <v>43</v>
      </c>
      <c r="D3896" s="6" t="s">
        <v>850</v>
      </c>
      <c r="E3896" s="6" t="s">
        <v>218</v>
      </c>
      <c r="F3896" s="6" t="s">
        <v>46</v>
      </c>
      <c r="G3896" s="6" t="s">
        <v>16449</v>
      </c>
      <c r="H3896" s="7">
        <v>44.55</v>
      </c>
      <c r="I3896" s="19" t="s">
        <v>1888</v>
      </c>
      <c r="J3896" s="19" t="s">
        <v>16432</v>
      </c>
      <c r="K3896" s="5" t="s">
        <v>16450</v>
      </c>
      <c r="L3896" s="5" t="s">
        <v>16451</v>
      </c>
      <c r="M3896" s="5" t="s">
        <v>16452</v>
      </c>
      <c r="N3896" s="5" t="s">
        <v>16453</v>
      </c>
      <c r="O3896" s="5" t="s">
        <v>16437</v>
      </c>
      <c r="P3896" s="5" t="s">
        <v>16438</v>
      </c>
      <c r="Q3896" s="5" t="s">
        <v>16439</v>
      </c>
      <c r="R3896" s="5" t="s">
        <v>16440</v>
      </c>
      <c r="S3896" s="5" t="s">
        <v>16441</v>
      </c>
      <c r="T3896" s="5" t="s">
        <v>16442</v>
      </c>
      <c r="U3896" s="5" t="s">
        <v>16443</v>
      </c>
      <c r="V3896" s="5" t="s">
        <v>16444</v>
      </c>
      <c r="AG3896" s="14" t="s">
        <v>49</v>
      </c>
      <c r="AH3896" s="14" t="s">
        <v>12554</v>
      </c>
      <c r="AI3896" s="14" t="s">
        <v>16445</v>
      </c>
      <c r="AJ3896" s="5" t="s">
        <v>16446</v>
      </c>
    </row>
    <row r="3897" spans="1:37">
      <c r="A3897" s="5" t="s">
        <v>16454</v>
      </c>
      <c r="B3897" s="5" t="s">
        <v>16455</v>
      </c>
      <c r="C3897" s="6" t="s">
        <v>43</v>
      </c>
      <c r="D3897" s="6" t="s">
        <v>850</v>
      </c>
      <c r="E3897" s="6" t="s">
        <v>218</v>
      </c>
      <c r="F3897" s="6" t="s">
        <v>46</v>
      </c>
      <c r="G3897" s="6" t="s">
        <v>12365</v>
      </c>
      <c r="H3897" s="7">
        <v>58.9</v>
      </c>
      <c r="I3897" s="19" t="s">
        <v>1888</v>
      </c>
      <c r="J3897" s="19" t="s">
        <v>16432</v>
      </c>
      <c r="K3897" s="5" t="s">
        <v>16456</v>
      </c>
      <c r="L3897" s="5" t="s">
        <v>16457</v>
      </c>
      <c r="M3897" s="5" t="s">
        <v>16458</v>
      </c>
      <c r="N3897" s="5" t="s">
        <v>16459</v>
      </c>
      <c r="O3897" s="5" t="s">
        <v>16437</v>
      </c>
      <c r="P3897" s="5" t="s">
        <v>16438</v>
      </c>
      <c r="Q3897" s="5" t="s">
        <v>16439</v>
      </c>
      <c r="R3897" s="5" t="s">
        <v>16440</v>
      </c>
      <c r="S3897" s="5" t="s">
        <v>16441</v>
      </c>
      <c r="T3897" s="5" t="s">
        <v>16442</v>
      </c>
      <c r="U3897" s="5" t="s">
        <v>16443</v>
      </c>
      <c r="V3897" s="5" t="s">
        <v>16444</v>
      </c>
      <c r="AG3897" s="14" t="s">
        <v>49</v>
      </c>
      <c r="AH3897" s="14" t="s">
        <v>12554</v>
      </c>
      <c r="AI3897" s="14" t="s">
        <v>16445</v>
      </c>
      <c r="AJ3897" s="5" t="s">
        <v>16446</v>
      </c>
    </row>
    <row r="3898" spans="1:37">
      <c r="A3898" s="5" t="s">
        <v>16460</v>
      </c>
      <c r="B3898" s="5" t="s">
        <v>16455</v>
      </c>
      <c r="C3898" s="6" t="s">
        <v>43</v>
      </c>
      <c r="D3898" s="6" t="s">
        <v>850</v>
      </c>
      <c r="E3898" s="6" t="s">
        <v>2461</v>
      </c>
      <c r="F3898" s="6" t="s">
        <v>46</v>
      </c>
      <c r="G3898" s="6" t="s">
        <v>16461</v>
      </c>
      <c r="H3898" s="7">
        <v>58.9</v>
      </c>
      <c r="I3898" s="19" t="s">
        <v>1888</v>
      </c>
      <c r="J3898" s="19" t="s">
        <v>16432</v>
      </c>
      <c r="K3898" s="5" t="s">
        <v>16456</v>
      </c>
      <c r="L3898" s="5" t="s">
        <v>16457</v>
      </c>
      <c r="M3898" s="5" t="s">
        <v>16458</v>
      </c>
      <c r="N3898" s="5" t="s">
        <v>16459</v>
      </c>
      <c r="O3898" s="5" t="s">
        <v>16437</v>
      </c>
      <c r="P3898" s="5" t="s">
        <v>16438</v>
      </c>
      <c r="Q3898" s="5" t="s">
        <v>16439</v>
      </c>
      <c r="R3898" s="5" t="s">
        <v>16440</v>
      </c>
      <c r="S3898" s="5" t="s">
        <v>16441</v>
      </c>
      <c r="T3898" s="5" t="s">
        <v>16442</v>
      </c>
      <c r="U3898" s="5" t="s">
        <v>16443</v>
      </c>
      <c r="V3898" s="5" t="s">
        <v>16444</v>
      </c>
      <c r="AG3898" s="14" t="s">
        <v>55</v>
      </c>
      <c r="AH3898" s="14" t="s">
        <v>12554</v>
      </c>
      <c r="AI3898" s="14" t="s">
        <v>1836</v>
      </c>
      <c r="AJ3898" s="5" t="s">
        <v>16377</v>
      </c>
    </row>
    <row r="3899" spans="1:37">
      <c r="A3899" s="5" t="s">
        <v>16462</v>
      </c>
      <c r="B3899" s="5" t="s">
        <v>16455</v>
      </c>
      <c r="C3899" s="6" t="s">
        <v>43</v>
      </c>
      <c r="D3899" s="6" t="s">
        <v>850</v>
      </c>
      <c r="E3899" s="6" t="s">
        <v>10152</v>
      </c>
      <c r="F3899" s="6" t="s">
        <v>46</v>
      </c>
      <c r="G3899" s="6" t="s">
        <v>16463</v>
      </c>
      <c r="H3899" s="7">
        <v>58.9</v>
      </c>
      <c r="I3899" s="19" t="s">
        <v>1888</v>
      </c>
      <c r="J3899" s="19" t="s">
        <v>16432</v>
      </c>
      <c r="K3899" s="5" t="s">
        <v>16456</v>
      </c>
      <c r="L3899" s="5" t="s">
        <v>16457</v>
      </c>
      <c r="M3899" s="5" t="s">
        <v>16458</v>
      </c>
      <c r="N3899" s="5" t="s">
        <v>16459</v>
      </c>
      <c r="O3899" s="5" t="s">
        <v>16437</v>
      </c>
      <c r="P3899" s="5" t="s">
        <v>16438</v>
      </c>
      <c r="Q3899" s="5" t="s">
        <v>16439</v>
      </c>
      <c r="R3899" s="5" t="s">
        <v>16440</v>
      </c>
      <c r="S3899" s="5" t="s">
        <v>16441</v>
      </c>
      <c r="T3899" s="5" t="s">
        <v>16442</v>
      </c>
      <c r="U3899" s="5" t="s">
        <v>16443</v>
      </c>
      <c r="V3899" s="5" t="s">
        <v>16444</v>
      </c>
      <c r="AG3899" s="14" t="s">
        <v>55</v>
      </c>
      <c r="AH3899" s="14" t="s">
        <v>12554</v>
      </c>
      <c r="AI3899" s="14" t="s">
        <v>1836</v>
      </c>
      <c r="AJ3899" s="5" t="s">
        <v>16377</v>
      </c>
    </row>
    <row r="3900" spans="1:37">
      <c r="A3900" s="5" t="s">
        <v>16464</v>
      </c>
      <c r="B3900" s="5" t="s">
        <v>16465</v>
      </c>
      <c r="C3900" s="6" t="s">
        <v>43</v>
      </c>
      <c r="D3900" s="6" t="s">
        <v>850</v>
      </c>
      <c r="E3900" s="6" t="s">
        <v>218</v>
      </c>
      <c r="F3900" s="6" t="s">
        <v>46</v>
      </c>
      <c r="G3900" s="6" t="s">
        <v>16466</v>
      </c>
      <c r="H3900" s="7">
        <v>73.150000000000006</v>
      </c>
      <c r="I3900" s="19" t="s">
        <v>1888</v>
      </c>
      <c r="J3900" s="19" t="s">
        <v>16432</v>
      </c>
      <c r="K3900" s="5" t="s">
        <v>16467</v>
      </c>
      <c r="L3900" s="5" t="s">
        <v>16468</v>
      </c>
      <c r="M3900" s="5" t="s">
        <v>16469</v>
      </c>
      <c r="N3900" s="5" t="s">
        <v>16470</v>
      </c>
      <c r="O3900" s="5" t="s">
        <v>16437</v>
      </c>
      <c r="P3900" s="5" t="s">
        <v>16438</v>
      </c>
      <c r="Q3900" s="5" t="s">
        <v>16439</v>
      </c>
      <c r="R3900" s="5" t="s">
        <v>16440</v>
      </c>
      <c r="S3900" s="5" t="s">
        <v>16441</v>
      </c>
      <c r="T3900" s="5" t="s">
        <v>16442</v>
      </c>
      <c r="U3900" s="5" t="s">
        <v>16443</v>
      </c>
      <c r="V3900" s="5" t="s">
        <v>16444</v>
      </c>
      <c r="AG3900" s="14" t="s">
        <v>49</v>
      </c>
      <c r="AH3900" s="14" t="s">
        <v>12554</v>
      </c>
      <c r="AI3900" s="14" t="s">
        <v>16445</v>
      </c>
      <c r="AJ3900" s="5" t="s">
        <v>16446</v>
      </c>
    </row>
    <row r="3901" spans="1:37">
      <c r="A3901" s="5" t="s">
        <v>16471</v>
      </c>
      <c r="B3901" s="5" t="s">
        <v>16472</v>
      </c>
      <c r="C3901" s="6" t="s">
        <v>43</v>
      </c>
      <c r="D3901" s="6" t="s">
        <v>850</v>
      </c>
      <c r="E3901" s="6" t="s">
        <v>218</v>
      </c>
      <c r="F3901" s="6" t="s">
        <v>46</v>
      </c>
      <c r="G3901" s="6" t="s">
        <v>16473</v>
      </c>
      <c r="H3901" s="7">
        <v>88.1</v>
      </c>
      <c r="I3901" s="19" t="s">
        <v>1888</v>
      </c>
      <c r="J3901" s="19" t="s">
        <v>16432</v>
      </c>
      <c r="K3901" s="5" t="s">
        <v>16474</v>
      </c>
      <c r="L3901" s="5" t="s">
        <v>16475</v>
      </c>
      <c r="M3901" s="5" t="s">
        <v>16476</v>
      </c>
      <c r="N3901" s="5" t="s">
        <v>16477</v>
      </c>
      <c r="O3901" s="5" t="s">
        <v>16437</v>
      </c>
      <c r="P3901" s="5" t="s">
        <v>16438</v>
      </c>
      <c r="Q3901" s="5" t="s">
        <v>16439</v>
      </c>
      <c r="R3901" s="5" t="s">
        <v>16440</v>
      </c>
      <c r="S3901" s="5" t="s">
        <v>16441</v>
      </c>
      <c r="T3901" s="5" t="s">
        <v>16442</v>
      </c>
      <c r="U3901" s="5" t="s">
        <v>16443</v>
      </c>
      <c r="V3901" s="5" t="s">
        <v>16444</v>
      </c>
      <c r="AG3901" s="14" t="s">
        <v>49</v>
      </c>
      <c r="AH3901" s="14" t="s">
        <v>12554</v>
      </c>
      <c r="AI3901" s="14" t="s">
        <v>16445</v>
      </c>
      <c r="AJ3901" s="5" t="s">
        <v>16446</v>
      </c>
    </row>
    <row r="3902" spans="1:37">
      <c r="A3902" s="5" t="s">
        <v>16478</v>
      </c>
      <c r="B3902" s="5" t="s">
        <v>16479</v>
      </c>
      <c r="C3902" s="6" t="s">
        <v>43</v>
      </c>
      <c r="D3902" s="6" t="s">
        <v>850</v>
      </c>
      <c r="E3902" s="6" t="s">
        <v>218</v>
      </c>
      <c r="F3902" s="6" t="s">
        <v>46</v>
      </c>
      <c r="G3902" s="6" t="s">
        <v>16480</v>
      </c>
      <c r="H3902" s="7">
        <v>109.45</v>
      </c>
      <c r="I3902" s="19" t="s">
        <v>1888</v>
      </c>
      <c r="J3902" s="19" t="s">
        <v>16432</v>
      </c>
      <c r="K3902" s="5" t="s">
        <v>16481</v>
      </c>
      <c r="L3902" s="5" t="s">
        <v>16482</v>
      </c>
      <c r="M3902" s="5" t="s">
        <v>16483</v>
      </c>
      <c r="N3902" s="5" t="s">
        <v>16484</v>
      </c>
      <c r="O3902" s="5" t="s">
        <v>16437</v>
      </c>
      <c r="P3902" s="5" t="s">
        <v>16438</v>
      </c>
      <c r="Q3902" s="5" t="s">
        <v>16439</v>
      </c>
      <c r="R3902" s="5" t="s">
        <v>16440</v>
      </c>
      <c r="S3902" s="5" t="s">
        <v>16441</v>
      </c>
      <c r="T3902" s="5" t="s">
        <v>16442</v>
      </c>
      <c r="U3902" s="5" t="s">
        <v>16443</v>
      </c>
      <c r="V3902" s="5" t="s">
        <v>16444</v>
      </c>
      <c r="AG3902" s="14" t="s">
        <v>49</v>
      </c>
      <c r="AH3902" s="14" t="s">
        <v>12554</v>
      </c>
      <c r="AI3902" s="14" t="s">
        <v>16445</v>
      </c>
      <c r="AJ3902" s="5" t="s">
        <v>16446</v>
      </c>
    </row>
    <row r="3903" spans="1:37">
      <c r="A3903" s="6" t="s">
        <v>16485</v>
      </c>
      <c r="B3903" s="6" t="s">
        <v>16486</v>
      </c>
      <c r="C3903" s="6" t="s">
        <v>43</v>
      </c>
      <c r="D3903" s="6" t="s">
        <v>850</v>
      </c>
      <c r="E3903" s="6" t="s">
        <v>10152</v>
      </c>
      <c r="F3903" s="6" t="s">
        <v>46</v>
      </c>
      <c r="G3903" s="6" t="s">
        <v>16487</v>
      </c>
      <c r="I3903" s="6" t="s">
        <v>48</v>
      </c>
      <c r="J3903" s="6" t="s">
        <v>48</v>
      </c>
      <c r="K3903" s="6"/>
      <c r="L3903" s="6"/>
      <c r="M3903" s="6"/>
      <c r="N3903" s="6"/>
      <c r="O3903" s="6"/>
      <c r="P3903" s="6"/>
      <c r="Q3903" s="6"/>
      <c r="R3903" s="6"/>
      <c r="S3903" s="6"/>
      <c r="T3903" s="6"/>
      <c r="U3903" s="6"/>
      <c r="V3903" s="6"/>
      <c r="W3903" s="6"/>
      <c r="X3903" s="6"/>
      <c r="Y3903" s="6"/>
      <c r="Z3903" s="6"/>
      <c r="AA3903" s="6"/>
      <c r="AB3903" s="6"/>
      <c r="AC3903" s="6"/>
      <c r="AD3903" s="6"/>
      <c r="AE3903" s="6"/>
      <c r="AF3903" s="6"/>
      <c r="AG3903" s="15" t="s">
        <v>55</v>
      </c>
      <c r="AH3903" s="15"/>
      <c r="AI3903" s="15"/>
      <c r="AJ3903" s="6"/>
      <c r="AK3903" s="6"/>
    </row>
    <row r="3904" spans="1:37" s="6" customFormat="1">
      <c r="A3904" s="6" t="s">
        <v>16488</v>
      </c>
      <c r="B3904" s="6" t="s">
        <v>16489</v>
      </c>
      <c r="C3904" s="6" t="s">
        <v>43</v>
      </c>
      <c r="D3904" s="6" t="s">
        <v>850</v>
      </c>
      <c r="E3904" s="6" t="s">
        <v>10152</v>
      </c>
      <c r="F3904" s="6" t="s">
        <v>46</v>
      </c>
      <c r="G3904" s="6" t="s">
        <v>16490</v>
      </c>
      <c r="H3904" s="7"/>
      <c r="I3904" s="6" t="s">
        <v>48</v>
      </c>
      <c r="J3904" s="6" t="s">
        <v>48</v>
      </c>
      <c r="AG3904" s="15" t="s">
        <v>55</v>
      </c>
      <c r="AH3904" s="15"/>
      <c r="AI3904" s="15"/>
    </row>
    <row r="3905" spans="1:37" s="6" customFormat="1">
      <c r="A3905" s="6" t="s">
        <v>16491</v>
      </c>
      <c r="B3905" s="6" t="s">
        <v>16492</v>
      </c>
      <c r="C3905" s="6" t="s">
        <v>43</v>
      </c>
      <c r="D3905" s="6" t="s">
        <v>850</v>
      </c>
      <c r="E3905" s="6" t="s">
        <v>10152</v>
      </c>
      <c r="F3905" s="6" t="s">
        <v>46</v>
      </c>
      <c r="G3905" s="6" t="s">
        <v>16047</v>
      </c>
      <c r="H3905" s="7"/>
      <c r="I3905" s="6" t="s">
        <v>48</v>
      </c>
      <c r="J3905" s="6" t="s">
        <v>48</v>
      </c>
      <c r="AG3905" s="15" t="s">
        <v>55</v>
      </c>
      <c r="AH3905" s="15"/>
      <c r="AI3905" s="15"/>
    </row>
    <row r="3906" spans="1:37" s="6" customFormat="1">
      <c r="A3906" s="6" t="s">
        <v>16493</v>
      </c>
      <c r="B3906" s="6" t="s">
        <v>16494</v>
      </c>
      <c r="C3906" s="6" t="s">
        <v>43</v>
      </c>
      <c r="D3906" s="6" t="s">
        <v>1040</v>
      </c>
      <c r="E3906" s="6" t="s">
        <v>11106</v>
      </c>
      <c r="F3906" s="6" t="s">
        <v>46</v>
      </c>
      <c r="G3906" s="6" t="s">
        <v>16495</v>
      </c>
      <c r="H3906" s="7"/>
      <c r="I3906" s="5" t="s">
        <v>48</v>
      </c>
      <c r="J3906" s="5" t="s">
        <v>48</v>
      </c>
      <c r="AG3906" s="15" t="s">
        <v>55</v>
      </c>
      <c r="AH3906" s="15"/>
      <c r="AI3906" s="15"/>
    </row>
    <row r="3907" spans="1:37" s="6" customFormat="1">
      <c r="A3907" s="5" t="s">
        <v>16496</v>
      </c>
      <c r="B3907" s="5" t="s">
        <v>16497</v>
      </c>
      <c r="C3907" s="6" t="s">
        <v>43</v>
      </c>
      <c r="D3907" s="6" t="s">
        <v>1040</v>
      </c>
      <c r="E3907" s="6" t="s">
        <v>218</v>
      </c>
      <c r="F3907" s="6" t="s">
        <v>46</v>
      </c>
      <c r="G3907" s="6" t="s">
        <v>11460</v>
      </c>
      <c r="H3907" s="7">
        <v>83</v>
      </c>
      <c r="I3907" s="19" t="s">
        <v>1888</v>
      </c>
      <c r="J3907" s="19" t="s">
        <v>1889</v>
      </c>
      <c r="K3907" s="5" t="s">
        <v>16498</v>
      </c>
      <c r="L3907" s="5" t="s">
        <v>16499</v>
      </c>
      <c r="M3907" s="5" t="s">
        <v>16500</v>
      </c>
      <c r="N3907" s="5" t="s">
        <v>16501</v>
      </c>
      <c r="O3907" s="6" t="s">
        <v>16502</v>
      </c>
      <c r="P3907" s="5" t="s">
        <v>16503</v>
      </c>
      <c r="Q3907" s="5" t="s">
        <v>16504</v>
      </c>
      <c r="R3907" s="6" t="s">
        <v>16505</v>
      </c>
      <c r="S3907" s="5"/>
      <c r="T3907" s="5"/>
      <c r="U3907" s="5" t="s">
        <v>16506</v>
      </c>
      <c r="V3907" s="5"/>
      <c r="W3907" s="5"/>
      <c r="X3907" s="5"/>
      <c r="Y3907" s="5"/>
      <c r="Z3907" s="5"/>
      <c r="AA3907" s="5"/>
      <c r="AB3907" s="5"/>
      <c r="AC3907" s="5"/>
      <c r="AD3907" s="5"/>
      <c r="AE3907" s="5"/>
      <c r="AF3907" s="5"/>
      <c r="AG3907" s="14" t="s">
        <v>49</v>
      </c>
      <c r="AH3907" s="14" t="s">
        <v>49</v>
      </c>
      <c r="AI3907" s="14" t="s">
        <v>1985</v>
      </c>
      <c r="AJ3907" s="5" t="s">
        <v>1986</v>
      </c>
      <c r="AK3907" s="5"/>
    </row>
    <row r="3908" spans="1:37">
      <c r="A3908" s="5" t="s">
        <v>16507</v>
      </c>
      <c r="B3908" s="5" t="s">
        <v>16508</v>
      </c>
      <c r="C3908" s="6" t="s">
        <v>43</v>
      </c>
      <c r="D3908" s="6" t="s">
        <v>1040</v>
      </c>
      <c r="E3908" s="6" t="s">
        <v>11106</v>
      </c>
      <c r="F3908" s="6" t="s">
        <v>46</v>
      </c>
      <c r="G3908" s="6" t="s">
        <v>16509</v>
      </c>
      <c r="H3908" s="7">
        <v>166</v>
      </c>
      <c r="I3908" s="19" t="s">
        <v>1888</v>
      </c>
      <c r="J3908" s="19" t="s">
        <v>1889</v>
      </c>
      <c r="K3908" s="5" t="s">
        <v>16510</v>
      </c>
      <c r="L3908" s="5" t="s">
        <v>16511</v>
      </c>
      <c r="M3908" s="5" t="s">
        <v>16512</v>
      </c>
      <c r="N3908" s="5" t="s">
        <v>16513</v>
      </c>
      <c r="O3908" s="6" t="s">
        <v>16502</v>
      </c>
      <c r="P3908" s="5" t="s">
        <v>16514</v>
      </c>
      <c r="Q3908" s="5" t="s">
        <v>16504</v>
      </c>
      <c r="R3908" s="5" t="s">
        <v>16505</v>
      </c>
      <c r="U3908" s="5" t="s">
        <v>16506</v>
      </c>
      <c r="AG3908" s="14" t="s">
        <v>55</v>
      </c>
      <c r="AH3908" s="14" t="s">
        <v>49</v>
      </c>
      <c r="AI3908" s="14" t="s">
        <v>1985</v>
      </c>
      <c r="AJ3908" s="5" t="s">
        <v>1986</v>
      </c>
    </row>
    <row r="3909" spans="1:37">
      <c r="A3909" s="5" t="s">
        <v>16515</v>
      </c>
      <c r="B3909" s="5" t="s">
        <v>16516</v>
      </c>
      <c r="C3909" s="6" t="s">
        <v>43</v>
      </c>
      <c r="D3909" s="6" t="s">
        <v>1040</v>
      </c>
      <c r="E3909" s="6" t="s">
        <v>218</v>
      </c>
      <c r="F3909" s="6" t="s">
        <v>46</v>
      </c>
      <c r="G3909" s="6" t="s">
        <v>16517</v>
      </c>
      <c r="H3909" s="7">
        <v>104</v>
      </c>
      <c r="I3909" s="19" t="s">
        <v>1888</v>
      </c>
      <c r="J3909" s="19" t="s">
        <v>1889</v>
      </c>
      <c r="K3909" s="5" t="s">
        <v>16518</v>
      </c>
      <c r="L3909" s="5" t="s">
        <v>16519</v>
      </c>
      <c r="M3909" s="5" t="s">
        <v>16520</v>
      </c>
      <c r="N3909" s="5" t="s">
        <v>16521</v>
      </c>
      <c r="O3909" s="6" t="s">
        <v>16522</v>
      </c>
      <c r="P3909" s="5" t="s">
        <v>16523</v>
      </c>
      <c r="Q3909" s="5" t="s">
        <v>16524</v>
      </c>
      <c r="R3909" s="5" t="s">
        <v>16525</v>
      </c>
      <c r="U3909" s="5" t="s">
        <v>16506</v>
      </c>
      <c r="AG3909" s="14" t="s">
        <v>49</v>
      </c>
      <c r="AH3909" s="14" t="s">
        <v>49</v>
      </c>
      <c r="AI3909" s="14" t="s">
        <v>1985</v>
      </c>
      <c r="AJ3909" s="5" t="s">
        <v>1986</v>
      </c>
    </row>
    <row r="3910" spans="1:37">
      <c r="A3910" s="6" t="s">
        <v>16526</v>
      </c>
      <c r="B3910" s="6" t="s">
        <v>16527</v>
      </c>
      <c r="C3910" s="6" t="s">
        <v>43</v>
      </c>
      <c r="D3910" s="6" t="s">
        <v>1040</v>
      </c>
      <c r="E3910" s="6" t="s">
        <v>11106</v>
      </c>
      <c r="F3910" s="6" t="s">
        <v>46</v>
      </c>
      <c r="G3910" s="6" t="s">
        <v>16528</v>
      </c>
      <c r="I3910" s="19" t="s">
        <v>48</v>
      </c>
      <c r="J3910" s="19" t="s">
        <v>48</v>
      </c>
      <c r="K3910" s="6"/>
      <c r="L3910" s="6"/>
      <c r="M3910" s="6"/>
      <c r="N3910" s="6"/>
      <c r="O3910" s="6"/>
      <c r="P3910" s="6"/>
      <c r="Q3910" s="6"/>
      <c r="R3910" s="6"/>
      <c r="S3910" s="6"/>
      <c r="T3910" s="6"/>
      <c r="U3910" s="6"/>
      <c r="V3910" s="6"/>
      <c r="W3910" s="6"/>
      <c r="X3910" s="6"/>
      <c r="Y3910" s="6"/>
      <c r="Z3910" s="6"/>
      <c r="AA3910" s="6"/>
      <c r="AB3910" s="6"/>
      <c r="AC3910" s="6"/>
      <c r="AD3910" s="6"/>
      <c r="AE3910" s="6"/>
      <c r="AF3910" s="6"/>
      <c r="AG3910" s="15" t="s">
        <v>55</v>
      </c>
      <c r="AH3910" s="15"/>
      <c r="AI3910" s="15"/>
      <c r="AJ3910" s="6"/>
      <c r="AK3910" s="6"/>
    </row>
    <row r="3911" spans="1:37" s="6" customFormat="1">
      <c r="A3911" s="6" t="s">
        <v>16529</v>
      </c>
      <c r="B3911" s="6" t="s">
        <v>16530</v>
      </c>
      <c r="C3911" s="6" t="s">
        <v>43</v>
      </c>
      <c r="D3911" s="6" t="s">
        <v>1040</v>
      </c>
      <c r="E3911" s="6" t="s">
        <v>11106</v>
      </c>
      <c r="F3911" s="6" t="s">
        <v>46</v>
      </c>
      <c r="G3911" s="6" t="s">
        <v>16531</v>
      </c>
      <c r="H3911" s="7"/>
      <c r="I3911" s="19" t="s">
        <v>48</v>
      </c>
      <c r="J3911" s="19" t="s">
        <v>48</v>
      </c>
      <c r="AG3911" s="15" t="s">
        <v>55</v>
      </c>
      <c r="AH3911" s="15"/>
      <c r="AI3911" s="15"/>
    </row>
    <row r="3912" spans="1:37" s="6" customFormat="1">
      <c r="A3912" s="5" t="s">
        <v>16532</v>
      </c>
      <c r="B3912" s="5" t="s">
        <v>16533</v>
      </c>
      <c r="C3912" s="6" t="s">
        <v>43</v>
      </c>
      <c r="D3912" s="6" t="s">
        <v>1040</v>
      </c>
      <c r="E3912" s="6" t="s">
        <v>218</v>
      </c>
      <c r="F3912" s="6" t="s">
        <v>46</v>
      </c>
      <c r="G3912" s="6" t="s">
        <v>16480</v>
      </c>
      <c r="H3912" s="7">
        <v>124</v>
      </c>
      <c r="I3912" s="19" t="s">
        <v>1888</v>
      </c>
      <c r="J3912" s="19" t="s">
        <v>1889</v>
      </c>
      <c r="K3912" s="5" t="s">
        <v>16534</v>
      </c>
      <c r="L3912" s="5" t="s">
        <v>16535</v>
      </c>
      <c r="M3912" s="5" t="s">
        <v>16536</v>
      </c>
      <c r="N3912" s="5" t="s">
        <v>16537</v>
      </c>
      <c r="O3912" s="6" t="s">
        <v>16538</v>
      </c>
      <c r="P3912" s="5" t="s">
        <v>16539</v>
      </c>
      <c r="Q3912" s="5" t="s">
        <v>16540</v>
      </c>
      <c r="R3912" s="5" t="s">
        <v>16541</v>
      </c>
      <c r="S3912" s="5"/>
      <c r="T3912" s="5"/>
      <c r="U3912" s="5" t="s">
        <v>16506</v>
      </c>
      <c r="V3912" s="5"/>
      <c r="W3912" s="5"/>
      <c r="X3912" s="5"/>
      <c r="Y3912" s="5"/>
      <c r="Z3912" s="5"/>
      <c r="AA3912" s="5"/>
      <c r="AB3912" s="5"/>
      <c r="AC3912" s="5"/>
      <c r="AD3912" s="5"/>
      <c r="AE3912" s="5"/>
      <c r="AF3912" s="5"/>
      <c r="AG3912" s="14" t="s">
        <v>49</v>
      </c>
      <c r="AH3912" s="14" t="s">
        <v>49</v>
      </c>
      <c r="AI3912" s="14" t="s">
        <v>1985</v>
      </c>
      <c r="AJ3912" s="5" t="s">
        <v>1986</v>
      </c>
      <c r="AK3912" s="5"/>
    </row>
    <row r="3913" spans="1:37">
      <c r="A3913" s="5" t="s">
        <v>16542</v>
      </c>
      <c r="B3913" s="5" t="s">
        <v>16543</v>
      </c>
      <c r="C3913" s="6" t="s">
        <v>43</v>
      </c>
      <c r="D3913" s="6" t="s">
        <v>1040</v>
      </c>
      <c r="E3913" s="6" t="s">
        <v>11106</v>
      </c>
      <c r="F3913" s="6" t="s">
        <v>46</v>
      </c>
      <c r="G3913" s="6" t="s">
        <v>16544</v>
      </c>
      <c r="H3913" s="7">
        <v>156</v>
      </c>
      <c r="I3913" s="19" t="s">
        <v>1888</v>
      </c>
      <c r="J3913" s="19" t="s">
        <v>1889</v>
      </c>
      <c r="K3913" s="5" t="s">
        <v>16545</v>
      </c>
      <c r="L3913" s="5" t="s">
        <v>16546</v>
      </c>
      <c r="M3913" s="5" t="s">
        <v>16547</v>
      </c>
      <c r="N3913" s="5" t="s">
        <v>16548</v>
      </c>
      <c r="O3913" s="6" t="s">
        <v>16549</v>
      </c>
      <c r="P3913" s="5" t="s">
        <v>16550</v>
      </c>
      <c r="Q3913" s="5" t="s">
        <v>16551</v>
      </c>
      <c r="R3913" s="5" t="s">
        <v>16552</v>
      </c>
      <c r="U3913" s="5" t="s">
        <v>16506</v>
      </c>
      <c r="AG3913" s="14" t="s">
        <v>55</v>
      </c>
      <c r="AH3913" s="14" t="s">
        <v>49</v>
      </c>
      <c r="AI3913" s="14" t="s">
        <v>1985</v>
      </c>
      <c r="AJ3913" s="5" t="s">
        <v>1986</v>
      </c>
    </row>
    <row r="3914" spans="1:37">
      <c r="A3914" s="5" t="s">
        <v>16553</v>
      </c>
      <c r="B3914" s="5" t="s">
        <v>16543</v>
      </c>
      <c r="C3914" s="6" t="s">
        <v>43</v>
      </c>
      <c r="D3914" s="6" t="s">
        <v>1040</v>
      </c>
      <c r="E3914" s="6" t="s">
        <v>218</v>
      </c>
      <c r="F3914" s="6" t="s">
        <v>46</v>
      </c>
      <c r="G3914" s="6" t="s">
        <v>16554</v>
      </c>
      <c r="H3914" s="7">
        <v>156</v>
      </c>
      <c r="I3914" s="19" t="s">
        <v>1888</v>
      </c>
      <c r="J3914" s="19" t="s">
        <v>1889</v>
      </c>
      <c r="K3914" s="5" t="s">
        <v>16545</v>
      </c>
      <c r="L3914" s="5" t="s">
        <v>16546</v>
      </c>
      <c r="M3914" s="5" t="s">
        <v>16547</v>
      </c>
      <c r="N3914" s="5" t="s">
        <v>16548</v>
      </c>
      <c r="O3914" s="6" t="s">
        <v>16549</v>
      </c>
      <c r="P3914" s="5" t="s">
        <v>16550</v>
      </c>
      <c r="Q3914" s="5" t="s">
        <v>16551</v>
      </c>
      <c r="R3914" s="5" t="s">
        <v>16552</v>
      </c>
      <c r="U3914" s="5" t="s">
        <v>16506</v>
      </c>
      <c r="AG3914" s="14" t="s">
        <v>49</v>
      </c>
      <c r="AH3914" s="14" t="s">
        <v>49</v>
      </c>
      <c r="AI3914" s="14" t="s">
        <v>1985</v>
      </c>
      <c r="AJ3914" s="5" t="s">
        <v>1986</v>
      </c>
    </row>
    <row r="3915" spans="1:37">
      <c r="A3915" s="6" t="s">
        <v>16555</v>
      </c>
      <c r="B3915" s="6" t="s">
        <v>16556</v>
      </c>
      <c r="C3915" s="6" t="s">
        <v>43</v>
      </c>
      <c r="D3915" s="6" t="s">
        <v>1040</v>
      </c>
      <c r="E3915" s="6" t="s">
        <v>11106</v>
      </c>
      <c r="F3915" s="6" t="s">
        <v>46</v>
      </c>
      <c r="G3915" s="6" t="s">
        <v>16557</v>
      </c>
      <c r="I3915" s="19" t="s">
        <v>48</v>
      </c>
      <c r="J3915" s="19" t="s">
        <v>48</v>
      </c>
      <c r="K3915" s="6"/>
      <c r="L3915" s="6"/>
      <c r="M3915" s="6"/>
      <c r="N3915" s="6"/>
      <c r="O3915" s="6"/>
      <c r="P3915" s="6"/>
      <c r="Q3915" s="6"/>
      <c r="R3915" s="6"/>
      <c r="S3915" s="6"/>
      <c r="T3915" s="6"/>
      <c r="U3915" s="6"/>
      <c r="V3915" s="6"/>
      <c r="W3915" s="6"/>
      <c r="X3915" s="6"/>
      <c r="Y3915" s="6"/>
      <c r="Z3915" s="6"/>
      <c r="AA3915" s="6"/>
      <c r="AB3915" s="6"/>
      <c r="AC3915" s="6"/>
      <c r="AD3915" s="6"/>
      <c r="AE3915" s="6"/>
      <c r="AF3915" s="6"/>
      <c r="AG3915" s="15" t="s">
        <v>55</v>
      </c>
      <c r="AH3915" s="15"/>
      <c r="AI3915" s="15"/>
      <c r="AJ3915" s="6"/>
      <c r="AK3915" s="6"/>
    </row>
    <row r="3916" spans="1:37" s="6" customFormat="1">
      <c r="A3916" s="6" t="s">
        <v>16558</v>
      </c>
      <c r="B3916" s="6" t="s">
        <v>16559</v>
      </c>
      <c r="C3916" s="6" t="s">
        <v>43</v>
      </c>
      <c r="D3916" s="6" t="s">
        <v>1040</v>
      </c>
      <c r="E3916" s="6" t="s">
        <v>11106</v>
      </c>
      <c r="F3916" s="6" t="s">
        <v>46</v>
      </c>
      <c r="G3916" s="6" t="s">
        <v>16560</v>
      </c>
      <c r="H3916" s="7"/>
      <c r="I3916" s="19" t="s">
        <v>48</v>
      </c>
      <c r="J3916" s="19" t="s">
        <v>48</v>
      </c>
      <c r="AG3916" s="15" t="s">
        <v>55</v>
      </c>
      <c r="AH3916" s="15"/>
      <c r="AI3916" s="15"/>
    </row>
    <row r="3917" spans="1:37" s="6" customFormat="1">
      <c r="A3917" s="5" t="s">
        <v>16561</v>
      </c>
      <c r="B3917" s="5" t="s">
        <v>16562</v>
      </c>
      <c r="C3917" s="6" t="s">
        <v>43</v>
      </c>
      <c r="D3917" s="6" t="s">
        <v>1040</v>
      </c>
      <c r="E3917" s="6" t="s">
        <v>11106</v>
      </c>
      <c r="F3917" s="6" t="s">
        <v>46</v>
      </c>
      <c r="G3917" s="6" t="s">
        <v>16563</v>
      </c>
      <c r="H3917" s="7">
        <v>206</v>
      </c>
      <c r="I3917" s="19" t="s">
        <v>1888</v>
      </c>
      <c r="J3917" s="19" t="s">
        <v>1889</v>
      </c>
      <c r="K3917" s="5" t="s">
        <v>16564</v>
      </c>
      <c r="L3917" s="5" t="s">
        <v>16565</v>
      </c>
      <c r="M3917" s="5" t="s">
        <v>16566</v>
      </c>
      <c r="N3917" s="5" t="s">
        <v>16567</v>
      </c>
      <c r="O3917" s="6" t="s">
        <v>16568</v>
      </c>
      <c r="P3917" s="5" t="s">
        <v>16569</v>
      </c>
      <c r="Q3917" s="5" t="s">
        <v>16570</v>
      </c>
      <c r="R3917" s="5" t="s">
        <v>16571</v>
      </c>
      <c r="S3917" s="5"/>
      <c r="T3917" s="5"/>
      <c r="U3917" s="5" t="s">
        <v>16506</v>
      </c>
      <c r="V3917" s="5"/>
      <c r="W3917" s="5"/>
      <c r="X3917" s="5"/>
      <c r="Y3917" s="5"/>
      <c r="Z3917" s="5"/>
      <c r="AA3917" s="5"/>
      <c r="AB3917" s="5"/>
      <c r="AC3917" s="5"/>
      <c r="AD3917" s="5"/>
      <c r="AE3917" s="5"/>
      <c r="AF3917" s="5"/>
      <c r="AG3917" s="14" t="s">
        <v>55</v>
      </c>
      <c r="AH3917" s="14" t="s">
        <v>49</v>
      </c>
      <c r="AI3917" s="14" t="s">
        <v>1985</v>
      </c>
      <c r="AJ3917" s="5" t="s">
        <v>1986</v>
      </c>
      <c r="AK3917" s="5"/>
    </row>
    <row r="3918" spans="1:37">
      <c r="A3918" s="5" t="s">
        <v>16572</v>
      </c>
      <c r="B3918" s="5" t="s">
        <v>16562</v>
      </c>
      <c r="C3918" s="6" t="s">
        <v>43</v>
      </c>
      <c r="D3918" s="6" t="s">
        <v>1040</v>
      </c>
      <c r="E3918" s="6" t="s">
        <v>218</v>
      </c>
      <c r="F3918" s="6" t="s">
        <v>46</v>
      </c>
      <c r="G3918" s="6" t="s">
        <v>16573</v>
      </c>
      <c r="H3918" s="7">
        <v>206</v>
      </c>
      <c r="I3918" s="19" t="s">
        <v>1888</v>
      </c>
      <c r="J3918" s="19" t="s">
        <v>1889</v>
      </c>
      <c r="K3918" s="5" t="s">
        <v>16564</v>
      </c>
      <c r="L3918" s="5" t="s">
        <v>16565</v>
      </c>
      <c r="M3918" s="5" t="s">
        <v>16566</v>
      </c>
      <c r="N3918" s="5" t="s">
        <v>16567</v>
      </c>
      <c r="O3918" s="6" t="s">
        <v>16568</v>
      </c>
      <c r="P3918" s="5" t="s">
        <v>16569</v>
      </c>
      <c r="Q3918" s="5" t="s">
        <v>16570</v>
      </c>
      <c r="R3918" s="5" t="s">
        <v>16571</v>
      </c>
      <c r="U3918" s="5" t="s">
        <v>16506</v>
      </c>
      <c r="AG3918" s="14" t="s">
        <v>49</v>
      </c>
      <c r="AH3918" s="14" t="s">
        <v>49</v>
      </c>
      <c r="AI3918" s="14" t="s">
        <v>1985</v>
      </c>
      <c r="AJ3918" s="5" t="s">
        <v>1986</v>
      </c>
    </row>
    <row r="3919" spans="1:37">
      <c r="A3919" s="6" t="s">
        <v>16574</v>
      </c>
      <c r="B3919" s="6" t="s">
        <v>16575</v>
      </c>
      <c r="C3919" s="6" t="s">
        <v>43</v>
      </c>
      <c r="D3919" s="6" t="s">
        <v>1040</v>
      </c>
      <c r="E3919" s="6" t="s">
        <v>11106</v>
      </c>
      <c r="F3919" s="6" t="s">
        <v>46</v>
      </c>
      <c r="G3919" s="6" t="s">
        <v>16576</v>
      </c>
      <c r="I3919" s="19" t="s">
        <v>48</v>
      </c>
      <c r="J3919" s="19" t="s">
        <v>48</v>
      </c>
      <c r="K3919" s="6"/>
      <c r="L3919" s="6"/>
      <c r="M3919" s="6"/>
      <c r="N3919" s="6"/>
      <c r="O3919" s="6"/>
      <c r="P3919" s="6"/>
      <c r="Q3919" s="6"/>
      <c r="R3919" s="6"/>
      <c r="S3919" s="6"/>
      <c r="T3919" s="6"/>
      <c r="U3919" s="6"/>
      <c r="V3919" s="6"/>
      <c r="W3919" s="6"/>
      <c r="X3919" s="6"/>
      <c r="Y3919" s="6"/>
      <c r="Z3919" s="6"/>
      <c r="AA3919" s="6"/>
      <c r="AB3919" s="6"/>
      <c r="AC3919" s="6"/>
      <c r="AD3919" s="6"/>
      <c r="AE3919" s="6"/>
      <c r="AF3919" s="6"/>
      <c r="AG3919" s="15" t="s">
        <v>55</v>
      </c>
      <c r="AH3919" s="15"/>
      <c r="AI3919" s="15"/>
      <c r="AJ3919" s="6"/>
      <c r="AK3919" s="6"/>
    </row>
    <row r="3920" spans="1:37" s="6" customFormat="1">
      <c r="A3920" s="6" t="s">
        <v>16577</v>
      </c>
      <c r="B3920" s="6" t="s">
        <v>16578</v>
      </c>
      <c r="C3920" s="6" t="s">
        <v>43</v>
      </c>
      <c r="D3920" s="6" t="s">
        <v>1040</v>
      </c>
      <c r="E3920" s="6" t="s">
        <v>11106</v>
      </c>
      <c r="F3920" s="6" t="s">
        <v>46</v>
      </c>
      <c r="G3920" s="6" t="s">
        <v>16579</v>
      </c>
      <c r="H3920" s="7"/>
      <c r="I3920" s="19" t="s">
        <v>48</v>
      </c>
      <c r="J3920" s="19" t="s">
        <v>48</v>
      </c>
      <c r="AG3920" s="15" t="s">
        <v>55</v>
      </c>
      <c r="AH3920" s="15"/>
      <c r="AI3920" s="15"/>
    </row>
    <row r="3921" spans="1:37" s="6" customFormat="1">
      <c r="A3921" s="6" t="s">
        <v>16580</v>
      </c>
      <c r="B3921" s="6" t="s">
        <v>16581</v>
      </c>
      <c r="C3921" s="6" t="s">
        <v>43</v>
      </c>
      <c r="D3921" s="6" t="s">
        <v>1040</v>
      </c>
      <c r="E3921" s="6" t="s">
        <v>218</v>
      </c>
      <c r="F3921" s="6" t="s">
        <v>46</v>
      </c>
      <c r="G3921" s="6" t="s">
        <v>16582</v>
      </c>
      <c r="H3921" s="7"/>
      <c r="I3921" s="19" t="s">
        <v>48</v>
      </c>
      <c r="J3921" s="19" t="s">
        <v>48</v>
      </c>
      <c r="AG3921" s="15" t="s">
        <v>49</v>
      </c>
      <c r="AH3921" s="15"/>
      <c r="AI3921" s="15"/>
    </row>
    <row r="3922" spans="1:37" s="6" customFormat="1">
      <c r="A3922" s="5" t="s">
        <v>16583</v>
      </c>
      <c r="B3922" s="5" t="s">
        <v>16584</v>
      </c>
      <c r="C3922" s="6" t="s">
        <v>43</v>
      </c>
      <c r="D3922" s="6" t="s">
        <v>850</v>
      </c>
      <c r="E3922" s="6" t="s">
        <v>53</v>
      </c>
      <c r="F3922" s="6" t="s">
        <v>46</v>
      </c>
      <c r="G3922" s="6" t="s">
        <v>16585</v>
      </c>
      <c r="H3922" s="7">
        <v>119.15</v>
      </c>
      <c r="I3922" s="19" t="s">
        <v>1888</v>
      </c>
      <c r="J3922" s="19" t="s">
        <v>16586</v>
      </c>
      <c r="K3922" s="5" t="s">
        <v>16587</v>
      </c>
      <c r="L3922" s="5" t="s">
        <v>16588</v>
      </c>
      <c r="M3922" s="5" t="s">
        <v>16589</v>
      </c>
      <c r="N3922" s="5" t="s">
        <v>16590</v>
      </c>
      <c r="O3922" s="5" t="s">
        <v>16591</v>
      </c>
      <c r="P3922" s="5" t="s">
        <v>16592</v>
      </c>
      <c r="Q3922" s="5" t="s">
        <v>16593</v>
      </c>
      <c r="R3922" s="5" t="s">
        <v>16594</v>
      </c>
      <c r="S3922" s="5" t="s">
        <v>16595</v>
      </c>
      <c r="T3922" s="5" t="s">
        <v>16596</v>
      </c>
      <c r="U3922" s="5" t="s">
        <v>16597</v>
      </c>
      <c r="V3922" s="5" t="s">
        <v>16598</v>
      </c>
      <c r="W3922" s="5"/>
      <c r="X3922" s="5"/>
      <c r="Y3922" s="5"/>
      <c r="Z3922" s="5"/>
      <c r="AA3922" s="5"/>
      <c r="AB3922" s="5"/>
      <c r="AC3922" s="5"/>
      <c r="AD3922" s="5"/>
      <c r="AE3922" s="5"/>
      <c r="AF3922" s="5"/>
      <c r="AG3922" s="14" t="s">
        <v>55</v>
      </c>
      <c r="AH3922" s="14" t="s">
        <v>12554</v>
      </c>
      <c r="AI3922" s="14" t="s">
        <v>9965</v>
      </c>
      <c r="AJ3922" s="5" t="s">
        <v>16599</v>
      </c>
      <c r="AK3922" s="5"/>
    </row>
    <row r="3923" spans="1:37">
      <c r="A3923" s="5" t="s">
        <v>16600</v>
      </c>
      <c r="B3923" s="5" t="s">
        <v>16601</v>
      </c>
      <c r="C3923" s="6" t="s">
        <v>43</v>
      </c>
      <c r="D3923" s="6" t="s">
        <v>850</v>
      </c>
      <c r="E3923" s="6" t="s">
        <v>53</v>
      </c>
      <c r="F3923" s="6" t="s">
        <v>46</v>
      </c>
      <c r="G3923" s="6" t="s">
        <v>16602</v>
      </c>
      <c r="H3923" s="7">
        <v>119.15</v>
      </c>
      <c r="I3923" s="19" t="s">
        <v>1888</v>
      </c>
      <c r="J3923" s="19" t="s">
        <v>16586</v>
      </c>
      <c r="K3923" s="5" t="s">
        <v>16587</v>
      </c>
      <c r="L3923" s="5" t="s">
        <v>16588</v>
      </c>
      <c r="M3923" s="5" t="s">
        <v>16589</v>
      </c>
      <c r="N3923" s="5" t="s">
        <v>16590</v>
      </c>
      <c r="O3923" s="5" t="s">
        <v>16591</v>
      </c>
      <c r="P3923" s="5" t="s">
        <v>16592</v>
      </c>
      <c r="Q3923" s="5" t="s">
        <v>16593</v>
      </c>
      <c r="R3923" s="5" t="s">
        <v>16594</v>
      </c>
      <c r="S3923" s="5" t="s">
        <v>16595</v>
      </c>
      <c r="T3923" s="5" t="s">
        <v>16596</v>
      </c>
      <c r="U3923" s="5" t="s">
        <v>16597</v>
      </c>
      <c r="V3923" s="5" t="s">
        <v>16598</v>
      </c>
      <c r="AG3923" s="14" t="s">
        <v>55</v>
      </c>
      <c r="AH3923" s="14" t="s">
        <v>12554</v>
      </c>
      <c r="AI3923" s="14" t="s">
        <v>9965</v>
      </c>
      <c r="AJ3923" s="5" t="s">
        <v>16599</v>
      </c>
    </row>
    <row r="3924" spans="1:37">
      <c r="A3924" s="5" t="s">
        <v>16603</v>
      </c>
      <c r="B3924" s="5" t="s">
        <v>16604</v>
      </c>
      <c r="C3924" s="6" t="s">
        <v>43</v>
      </c>
      <c r="D3924" s="6" t="s">
        <v>850</v>
      </c>
      <c r="E3924" s="6" t="s">
        <v>218</v>
      </c>
      <c r="F3924" s="6" t="s">
        <v>46</v>
      </c>
      <c r="G3924" s="6" t="s">
        <v>16605</v>
      </c>
      <c r="H3924" s="7">
        <v>26.65</v>
      </c>
      <c r="I3924" s="19" t="s">
        <v>1888</v>
      </c>
      <c r="J3924" s="19" t="s">
        <v>16586</v>
      </c>
      <c r="K3924" s="5" t="s">
        <v>16606</v>
      </c>
      <c r="L3924" s="5" t="s">
        <v>16607</v>
      </c>
      <c r="M3924" s="5" t="s">
        <v>16608</v>
      </c>
      <c r="N3924" s="5" t="s">
        <v>16609</v>
      </c>
      <c r="O3924" s="5" t="s">
        <v>16591</v>
      </c>
      <c r="P3924" s="5" t="s">
        <v>16592</v>
      </c>
      <c r="Q3924" s="5" t="s">
        <v>16593</v>
      </c>
      <c r="R3924" s="5" t="s">
        <v>16594</v>
      </c>
      <c r="S3924" s="5" t="s">
        <v>16595</v>
      </c>
      <c r="T3924" s="5" t="s">
        <v>16596</v>
      </c>
      <c r="U3924" s="5" t="s">
        <v>16597</v>
      </c>
      <c r="V3924" s="5" t="s">
        <v>16598</v>
      </c>
      <c r="AG3924" s="14" t="s">
        <v>49</v>
      </c>
      <c r="AH3924" s="14" t="s">
        <v>12554</v>
      </c>
      <c r="AI3924" s="14" t="s">
        <v>13684</v>
      </c>
      <c r="AJ3924" s="5" t="s">
        <v>16610</v>
      </c>
    </row>
    <row r="3925" spans="1:37">
      <c r="A3925" s="5" t="s">
        <v>16611</v>
      </c>
      <c r="B3925" s="5" t="s">
        <v>16612</v>
      </c>
      <c r="C3925" s="6" t="s">
        <v>43</v>
      </c>
      <c r="D3925" s="6" t="s">
        <v>850</v>
      </c>
      <c r="E3925" s="6" t="s">
        <v>218</v>
      </c>
      <c r="F3925" s="6" t="s">
        <v>46</v>
      </c>
      <c r="G3925" s="6" t="s">
        <v>16613</v>
      </c>
      <c r="H3925" s="7">
        <v>30.95</v>
      </c>
      <c r="I3925" s="19" t="s">
        <v>1888</v>
      </c>
      <c r="J3925" s="19" t="s">
        <v>16586</v>
      </c>
      <c r="K3925" s="5" t="s">
        <v>16614</v>
      </c>
      <c r="L3925" s="5" t="s">
        <v>16615</v>
      </c>
      <c r="M3925" s="5" t="s">
        <v>16616</v>
      </c>
      <c r="N3925" s="5" t="s">
        <v>16617</v>
      </c>
      <c r="O3925" s="5" t="s">
        <v>16591</v>
      </c>
      <c r="P3925" s="5" t="s">
        <v>16592</v>
      </c>
      <c r="Q3925" s="5" t="s">
        <v>16593</v>
      </c>
      <c r="R3925" s="5" t="s">
        <v>16594</v>
      </c>
      <c r="S3925" s="5" t="s">
        <v>16595</v>
      </c>
      <c r="T3925" s="5" t="s">
        <v>16596</v>
      </c>
      <c r="U3925" s="5" t="s">
        <v>16597</v>
      </c>
      <c r="V3925" s="5" t="s">
        <v>16598</v>
      </c>
      <c r="AG3925" s="14" t="s">
        <v>49</v>
      </c>
      <c r="AH3925" s="14" t="s">
        <v>12554</v>
      </c>
      <c r="AI3925" s="14" t="s">
        <v>13684</v>
      </c>
      <c r="AJ3925" s="5" t="s">
        <v>16610</v>
      </c>
    </row>
    <row r="3926" spans="1:37">
      <c r="A3926" s="5" t="s">
        <v>16618</v>
      </c>
      <c r="B3926" s="5" t="s">
        <v>16619</v>
      </c>
      <c r="C3926" s="6" t="s">
        <v>43</v>
      </c>
      <c r="D3926" s="6" t="s">
        <v>850</v>
      </c>
      <c r="E3926" s="6" t="s">
        <v>218</v>
      </c>
      <c r="F3926" s="6" t="s">
        <v>46</v>
      </c>
      <c r="G3926" s="6" t="s">
        <v>16620</v>
      </c>
      <c r="H3926" s="7">
        <v>35.1</v>
      </c>
      <c r="I3926" s="19" t="s">
        <v>1888</v>
      </c>
      <c r="J3926" s="19" t="s">
        <v>16586</v>
      </c>
      <c r="K3926" s="5" t="s">
        <v>16621</v>
      </c>
      <c r="L3926" s="5" t="s">
        <v>16622</v>
      </c>
      <c r="M3926" s="5" t="s">
        <v>16623</v>
      </c>
      <c r="N3926" s="5" t="s">
        <v>16624</v>
      </c>
      <c r="O3926" s="5" t="s">
        <v>16591</v>
      </c>
      <c r="P3926" s="5" t="s">
        <v>16592</v>
      </c>
      <c r="Q3926" s="5" t="s">
        <v>16593</v>
      </c>
      <c r="R3926" s="5" t="s">
        <v>16594</v>
      </c>
      <c r="S3926" s="5" t="s">
        <v>16595</v>
      </c>
      <c r="T3926" s="5" t="s">
        <v>16596</v>
      </c>
      <c r="U3926" s="5" t="s">
        <v>16597</v>
      </c>
      <c r="V3926" s="5" t="s">
        <v>16598</v>
      </c>
      <c r="AG3926" s="14" t="s">
        <v>49</v>
      </c>
      <c r="AH3926" s="14" t="s">
        <v>12554</v>
      </c>
      <c r="AI3926" s="14" t="s">
        <v>13684</v>
      </c>
      <c r="AJ3926" s="5" t="s">
        <v>16610</v>
      </c>
    </row>
    <row r="3927" spans="1:37">
      <c r="A3927" s="6" t="s">
        <v>16625</v>
      </c>
      <c r="B3927" s="6" t="s">
        <v>16626</v>
      </c>
      <c r="C3927" s="6" t="s">
        <v>43</v>
      </c>
      <c r="D3927" s="6" t="s">
        <v>850</v>
      </c>
      <c r="E3927" s="6" t="s">
        <v>10152</v>
      </c>
      <c r="F3927" s="6" t="s">
        <v>46</v>
      </c>
      <c r="G3927" s="6" t="s">
        <v>16627</v>
      </c>
      <c r="I3927" s="16" t="s">
        <v>48</v>
      </c>
      <c r="J3927" s="16" t="s">
        <v>48</v>
      </c>
      <c r="K3927" s="6"/>
      <c r="L3927" s="6"/>
      <c r="M3927" s="6"/>
      <c r="N3927" s="6"/>
      <c r="O3927" s="6"/>
      <c r="P3927" s="6"/>
      <c r="Q3927" s="6"/>
      <c r="R3927" s="6"/>
      <c r="S3927" s="6"/>
      <c r="T3927" s="6"/>
      <c r="U3927" s="6"/>
      <c r="V3927" s="6"/>
      <c r="W3927" s="6"/>
      <c r="X3927" s="6"/>
      <c r="Y3927" s="6"/>
      <c r="Z3927" s="6"/>
      <c r="AA3927" s="6"/>
      <c r="AB3927" s="6"/>
      <c r="AC3927" s="6"/>
      <c r="AD3927" s="6"/>
      <c r="AE3927" s="6"/>
      <c r="AF3927" s="6"/>
      <c r="AG3927" s="15" t="s">
        <v>55</v>
      </c>
      <c r="AH3927" s="15"/>
      <c r="AI3927" s="15"/>
      <c r="AJ3927" s="6"/>
      <c r="AK3927" s="6"/>
    </row>
    <row r="3928" spans="1:37" s="6" customFormat="1">
      <c r="A3928" s="5" t="s">
        <v>16628</v>
      </c>
      <c r="B3928" s="5" t="s">
        <v>16619</v>
      </c>
      <c r="C3928" s="6" t="s">
        <v>43</v>
      </c>
      <c r="D3928" s="6" t="s">
        <v>850</v>
      </c>
      <c r="E3928" s="6" t="s">
        <v>10152</v>
      </c>
      <c r="F3928" s="6" t="s">
        <v>46</v>
      </c>
      <c r="G3928" s="6" t="s">
        <v>16629</v>
      </c>
      <c r="H3928" s="7">
        <v>35.1</v>
      </c>
      <c r="I3928" s="19" t="s">
        <v>1888</v>
      </c>
      <c r="J3928" s="19" t="s">
        <v>16586</v>
      </c>
      <c r="K3928" s="5" t="s">
        <v>16621</v>
      </c>
      <c r="L3928" s="5" t="s">
        <v>16622</v>
      </c>
      <c r="M3928" s="5" t="s">
        <v>16623</v>
      </c>
      <c r="N3928" s="5" t="s">
        <v>16624</v>
      </c>
      <c r="O3928" s="5" t="s">
        <v>16591</v>
      </c>
      <c r="P3928" s="5" t="s">
        <v>16592</v>
      </c>
      <c r="Q3928" s="5" t="s">
        <v>16593</v>
      </c>
      <c r="R3928" s="5" t="s">
        <v>16594</v>
      </c>
      <c r="S3928" s="5" t="s">
        <v>16595</v>
      </c>
      <c r="T3928" s="5" t="s">
        <v>16596</v>
      </c>
      <c r="U3928" s="5" t="s">
        <v>16597</v>
      </c>
      <c r="V3928" s="5" t="s">
        <v>16598</v>
      </c>
      <c r="W3928" s="5"/>
      <c r="X3928" s="5"/>
      <c r="Y3928" s="5"/>
      <c r="Z3928" s="5"/>
      <c r="AA3928" s="5"/>
      <c r="AB3928" s="5"/>
      <c r="AC3928" s="5"/>
      <c r="AD3928" s="5"/>
      <c r="AE3928" s="5"/>
      <c r="AF3928" s="5"/>
      <c r="AG3928" s="14" t="s">
        <v>55</v>
      </c>
      <c r="AH3928" s="14" t="s">
        <v>12554</v>
      </c>
      <c r="AI3928" s="14" t="s">
        <v>9965</v>
      </c>
      <c r="AJ3928" s="5" t="s">
        <v>16599</v>
      </c>
      <c r="AK3928" s="5"/>
    </row>
    <row r="3929" spans="1:37">
      <c r="A3929" s="5" t="s">
        <v>16630</v>
      </c>
      <c r="B3929" s="5" t="s">
        <v>16631</v>
      </c>
      <c r="C3929" s="6" t="s">
        <v>43</v>
      </c>
      <c r="D3929" s="6" t="s">
        <v>850</v>
      </c>
      <c r="E3929" s="6" t="s">
        <v>218</v>
      </c>
      <c r="F3929" s="6" t="s">
        <v>46</v>
      </c>
      <c r="G3929" s="6" t="s">
        <v>16632</v>
      </c>
      <c r="H3929" s="7">
        <v>40.65</v>
      </c>
      <c r="I3929" s="19" t="s">
        <v>1888</v>
      </c>
      <c r="J3929" s="19" t="s">
        <v>16586</v>
      </c>
      <c r="K3929" s="5" t="s">
        <v>16633</v>
      </c>
      <c r="L3929" s="5" t="s">
        <v>16634</v>
      </c>
      <c r="M3929" s="5" t="s">
        <v>16635</v>
      </c>
      <c r="N3929" s="5" t="s">
        <v>16636</v>
      </c>
      <c r="O3929" s="5" t="s">
        <v>16591</v>
      </c>
      <c r="P3929" s="5" t="s">
        <v>16592</v>
      </c>
      <c r="Q3929" s="5" t="s">
        <v>16593</v>
      </c>
      <c r="R3929" s="5" t="s">
        <v>16594</v>
      </c>
      <c r="S3929" s="5" t="s">
        <v>16595</v>
      </c>
      <c r="T3929" s="5" t="s">
        <v>16596</v>
      </c>
      <c r="U3929" s="5" t="s">
        <v>16597</v>
      </c>
      <c r="V3929" s="5" t="s">
        <v>16598</v>
      </c>
      <c r="AG3929" s="14" t="s">
        <v>49</v>
      </c>
      <c r="AH3929" s="14" t="s">
        <v>12554</v>
      </c>
      <c r="AI3929" s="14" t="s">
        <v>13684</v>
      </c>
      <c r="AJ3929" s="5" t="s">
        <v>16610</v>
      </c>
    </row>
    <row r="3930" spans="1:37">
      <c r="A3930" s="5" t="s">
        <v>16637</v>
      </c>
      <c r="B3930" s="5" t="s">
        <v>16631</v>
      </c>
      <c r="C3930" s="6" t="s">
        <v>43</v>
      </c>
      <c r="D3930" s="6" t="s">
        <v>850</v>
      </c>
      <c r="E3930" s="6" t="s">
        <v>10152</v>
      </c>
      <c r="F3930" s="6" t="s">
        <v>46</v>
      </c>
      <c r="G3930" s="6" t="s">
        <v>16638</v>
      </c>
      <c r="H3930" s="7">
        <v>40.65</v>
      </c>
      <c r="I3930" s="19" t="s">
        <v>1888</v>
      </c>
      <c r="J3930" s="19" t="s">
        <v>16586</v>
      </c>
      <c r="K3930" s="5" t="s">
        <v>16633</v>
      </c>
      <c r="L3930" s="5" t="s">
        <v>16634</v>
      </c>
      <c r="M3930" s="5" t="s">
        <v>16635</v>
      </c>
      <c r="N3930" s="5" t="s">
        <v>16636</v>
      </c>
      <c r="O3930" s="5" t="s">
        <v>16591</v>
      </c>
      <c r="P3930" s="5" t="s">
        <v>16592</v>
      </c>
      <c r="Q3930" s="5" t="s">
        <v>16593</v>
      </c>
      <c r="R3930" s="5" t="s">
        <v>16594</v>
      </c>
      <c r="S3930" s="5" t="s">
        <v>16595</v>
      </c>
      <c r="T3930" s="5" t="s">
        <v>16596</v>
      </c>
      <c r="U3930" s="5" t="s">
        <v>16597</v>
      </c>
      <c r="V3930" s="5" t="s">
        <v>16598</v>
      </c>
      <c r="AG3930" s="14" t="s">
        <v>55</v>
      </c>
      <c r="AH3930" s="14" t="s">
        <v>12554</v>
      </c>
      <c r="AI3930" s="14" t="s">
        <v>9965</v>
      </c>
      <c r="AJ3930" s="5" t="s">
        <v>16599</v>
      </c>
    </row>
    <row r="3931" spans="1:37">
      <c r="A3931" s="5" t="s">
        <v>16639</v>
      </c>
      <c r="B3931" s="5" t="s">
        <v>16640</v>
      </c>
      <c r="C3931" s="6" t="s">
        <v>43</v>
      </c>
      <c r="D3931" s="6" t="s">
        <v>850</v>
      </c>
      <c r="E3931" s="6" t="s">
        <v>218</v>
      </c>
      <c r="F3931" s="6" t="s">
        <v>46</v>
      </c>
      <c r="G3931" s="6" t="s">
        <v>4446</v>
      </c>
      <c r="H3931" s="7">
        <v>49.45</v>
      </c>
      <c r="I3931" s="19" t="s">
        <v>1888</v>
      </c>
      <c r="J3931" s="19" t="s">
        <v>16586</v>
      </c>
      <c r="K3931" s="5" t="s">
        <v>16641</v>
      </c>
      <c r="L3931" s="5" t="s">
        <v>16642</v>
      </c>
      <c r="M3931" s="5" t="s">
        <v>16643</v>
      </c>
      <c r="N3931" s="5" t="s">
        <v>16644</v>
      </c>
      <c r="O3931" s="5" t="s">
        <v>16591</v>
      </c>
      <c r="P3931" s="5" t="s">
        <v>16592</v>
      </c>
      <c r="Q3931" s="5" t="s">
        <v>16593</v>
      </c>
      <c r="R3931" s="5" t="s">
        <v>16594</v>
      </c>
      <c r="S3931" s="5" t="s">
        <v>16595</v>
      </c>
      <c r="T3931" s="5" t="s">
        <v>16596</v>
      </c>
      <c r="U3931" s="5" t="s">
        <v>16597</v>
      </c>
      <c r="V3931" s="5" t="s">
        <v>16598</v>
      </c>
      <c r="AG3931" s="14" t="s">
        <v>49</v>
      </c>
      <c r="AH3931" s="14" t="s">
        <v>12554</v>
      </c>
      <c r="AI3931" s="14" t="s">
        <v>13684</v>
      </c>
      <c r="AJ3931" s="5" t="s">
        <v>16610</v>
      </c>
    </row>
    <row r="3932" spans="1:37">
      <c r="A3932" s="6" t="s">
        <v>16645</v>
      </c>
      <c r="B3932" s="6" t="s">
        <v>16646</v>
      </c>
      <c r="C3932" s="6" t="s">
        <v>43</v>
      </c>
      <c r="D3932" s="6" t="s">
        <v>850</v>
      </c>
      <c r="E3932" s="6" t="s">
        <v>218</v>
      </c>
      <c r="F3932" s="6" t="s">
        <v>46</v>
      </c>
      <c r="G3932" s="6" t="s">
        <v>16647</v>
      </c>
      <c r="I3932" s="16" t="s">
        <v>48</v>
      </c>
      <c r="J3932" s="16" t="s">
        <v>48</v>
      </c>
      <c r="K3932" s="6"/>
      <c r="L3932" s="6"/>
      <c r="M3932" s="6"/>
      <c r="N3932" s="6"/>
      <c r="O3932" s="6"/>
      <c r="P3932" s="6"/>
      <c r="Q3932" s="6"/>
      <c r="R3932" s="6"/>
      <c r="S3932" s="6"/>
      <c r="T3932" s="6"/>
      <c r="U3932" s="6"/>
      <c r="V3932" s="6"/>
      <c r="W3932" s="6"/>
      <c r="X3932" s="6"/>
      <c r="Y3932" s="6"/>
      <c r="Z3932" s="6"/>
      <c r="AA3932" s="6"/>
      <c r="AB3932" s="6"/>
      <c r="AC3932" s="6"/>
      <c r="AD3932" s="6"/>
      <c r="AE3932" s="6"/>
      <c r="AF3932" s="6"/>
      <c r="AG3932" s="15" t="s">
        <v>49</v>
      </c>
      <c r="AH3932" s="15"/>
      <c r="AI3932" s="15"/>
      <c r="AJ3932" s="6"/>
      <c r="AK3932" s="6"/>
    </row>
    <row r="3933" spans="1:37" s="6" customFormat="1">
      <c r="A3933" s="5" t="s">
        <v>16648</v>
      </c>
      <c r="B3933" s="5" t="s">
        <v>16640</v>
      </c>
      <c r="C3933" s="6" t="s">
        <v>43</v>
      </c>
      <c r="D3933" s="6" t="s">
        <v>850</v>
      </c>
      <c r="E3933" s="6" t="s">
        <v>757</v>
      </c>
      <c r="F3933" s="6" t="s">
        <v>46</v>
      </c>
      <c r="G3933" s="6" t="s">
        <v>10803</v>
      </c>
      <c r="H3933" s="7">
        <v>49.45</v>
      </c>
      <c r="I3933" s="19" t="s">
        <v>1888</v>
      </c>
      <c r="J3933" s="19" t="s">
        <v>16586</v>
      </c>
      <c r="K3933" s="5" t="s">
        <v>16641</v>
      </c>
      <c r="L3933" s="5" t="s">
        <v>16642</v>
      </c>
      <c r="M3933" s="5" t="s">
        <v>16643</v>
      </c>
      <c r="N3933" s="5" t="s">
        <v>16644</v>
      </c>
      <c r="O3933" s="5" t="s">
        <v>16591</v>
      </c>
      <c r="P3933" s="5" t="s">
        <v>16592</v>
      </c>
      <c r="Q3933" s="5" t="s">
        <v>16593</v>
      </c>
      <c r="R3933" s="5" t="s">
        <v>16594</v>
      </c>
      <c r="S3933" s="5" t="s">
        <v>16595</v>
      </c>
      <c r="T3933" s="5" t="s">
        <v>16596</v>
      </c>
      <c r="U3933" s="5" t="s">
        <v>16597</v>
      </c>
      <c r="V3933" s="5" t="s">
        <v>16598</v>
      </c>
      <c r="W3933" s="5"/>
      <c r="X3933" s="5"/>
      <c r="Y3933" s="5"/>
      <c r="Z3933" s="5"/>
      <c r="AA3933" s="5"/>
      <c r="AB3933" s="5"/>
      <c r="AC3933" s="5"/>
      <c r="AD3933" s="5"/>
      <c r="AE3933" s="5"/>
      <c r="AF3933" s="5"/>
      <c r="AG3933" s="14" t="s">
        <v>49</v>
      </c>
      <c r="AH3933" s="14" t="s">
        <v>12554</v>
      </c>
      <c r="AI3933" s="14" t="s">
        <v>13684</v>
      </c>
      <c r="AJ3933" s="5" t="s">
        <v>16610</v>
      </c>
      <c r="AK3933" s="5"/>
    </row>
    <row r="3934" spans="1:37">
      <c r="A3934" s="5" t="s">
        <v>16649</v>
      </c>
      <c r="B3934" s="5" t="s">
        <v>16640</v>
      </c>
      <c r="C3934" s="6" t="s">
        <v>43</v>
      </c>
      <c r="D3934" s="6" t="s">
        <v>850</v>
      </c>
      <c r="E3934" s="6" t="s">
        <v>10152</v>
      </c>
      <c r="F3934" s="6" t="s">
        <v>46</v>
      </c>
      <c r="G3934" s="6" t="s">
        <v>16650</v>
      </c>
      <c r="H3934" s="7">
        <v>49.45</v>
      </c>
      <c r="I3934" s="19" t="s">
        <v>1888</v>
      </c>
      <c r="J3934" s="19" t="s">
        <v>16586</v>
      </c>
      <c r="K3934" s="5" t="s">
        <v>16641</v>
      </c>
      <c r="L3934" s="5" t="s">
        <v>16642</v>
      </c>
      <c r="M3934" s="5" t="s">
        <v>16643</v>
      </c>
      <c r="N3934" s="5" t="s">
        <v>16644</v>
      </c>
      <c r="O3934" s="5" t="s">
        <v>16591</v>
      </c>
      <c r="P3934" s="5" t="s">
        <v>16592</v>
      </c>
      <c r="Q3934" s="5" t="s">
        <v>16593</v>
      </c>
      <c r="R3934" s="5" t="s">
        <v>16594</v>
      </c>
      <c r="S3934" s="5" t="s">
        <v>16595</v>
      </c>
      <c r="T3934" s="5" t="s">
        <v>16596</v>
      </c>
      <c r="U3934" s="5" t="s">
        <v>16597</v>
      </c>
      <c r="V3934" s="5" t="s">
        <v>16598</v>
      </c>
      <c r="AG3934" s="14" t="s">
        <v>55</v>
      </c>
      <c r="AH3934" s="14" t="s">
        <v>12554</v>
      </c>
      <c r="AI3934" s="14" t="s">
        <v>9965</v>
      </c>
      <c r="AJ3934" s="5" t="s">
        <v>16599</v>
      </c>
    </row>
    <row r="3935" spans="1:37">
      <c r="A3935" s="5" t="s">
        <v>16651</v>
      </c>
      <c r="B3935" s="5" t="s">
        <v>16652</v>
      </c>
      <c r="C3935" s="6" t="s">
        <v>43</v>
      </c>
      <c r="D3935" s="6" t="s">
        <v>850</v>
      </c>
      <c r="E3935" s="6" t="s">
        <v>218</v>
      </c>
      <c r="F3935" s="6" t="s">
        <v>46</v>
      </c>
      <c r="G3935" s="6" t="s">
        <v>16653</v>
      </c>
      <c r="H3935" s="7">
        <v>56.95</v>
      </c>
      <c r="I3935" s="19" t="s">
        <v>1888</v>
      </c>
      <c r="J3935" s="19" t="s">
        <v>16586</v>
      </c>
      <c r="K3935" s="5" t="s">
        <v>16654</v>
      </c>
      <c r="L3935" s="5" t="s">
        <v>16655</v>
      </c>
      <c r="M3935" s="5" t="s">
        <v>16656</v>
      </c>
      <c r="N3935" s="5" t="s">
        <v>16657</v>
      </c>
      <c r="O3935" s="5" t="s">
        <v>16591</v>
      </c>
      <c r="P3935" s="5" t="s">
        <v>16592</v>
      </c>
      <c r="Q3935" s="5" t="s">
        <v>16593</v>
      </c>
      <c r="R3935" s="5" t="s">
        <v>16594</v>
      </c>
      <c r="S3935" s="5" t="s">
        <v>16595</v>
      </c>
      <c r="T3935" s="5" t="s">
        <v>16596</v>
      </c>
      <c r="U3935" s="5" t="s">
        <v>16597</v>
      </c>
      <c r="V3935" s="5" t="s">
        <v>16598</v>
      </c>
      <c r="AG3935" s="14" t="s">
        <v>49</v>
      </c>
      <c r="AH3935" s="14" t="s">
        <v>12554</v>
      </c>
      <c r="AI3935" s="14" t="s">
        <v>13684</v>
      </c>
      <c r="AJ3935" s="5" t="s">
        <v>16610</v>
      </c>
    </row>
    <row r="3936" spans="1:37">
      <c r="A3936" s="5" t="s">
        <v>16658</v>
      </c>
      <c r="B3936" s="5" t="s">
        <v>16652</v>
      </c>
      <c r="C3936" s="6" t="s">
        <v>43</v>
      </c>
      <c r="D3936" s="6" t="s">
        <v>850</v>
      </c>
      <c r="E3936" s="6" t="s">
        <v>757</v>
      </c>
      <c r="F3936" s="6" t="s">
        <v>46</v>
      </c>
      <c r="G3936" s="6" t="s">
        <v>10289</v>
      </c>
      <c r="H3936" s="7">
        <v>56.95</v>
      </c>
      <c r="I3936" s="19" t="s">
        <v>1888</v>
      </c>
      <c r="J3936" s="19" t="s">
        <v>16586</v>
      </c>
      <c r="K3936" s="5" t="s">
        <v>16654</v>
      </c>
      <c r="L3936" s="5" t="s">
        <v>16655</v>
      </c>
      <c r="M3936" s="5" t="s">
        <v>16656</v>
      </c>
      <c r="N3936" s="5" t="s">
        <v>16657</v>
      </c>
      <c r="O3936" s="5" t="s">
        <v>16591</v>
      </c>
      <c r="P3936" s="5" t="s">
        <v>16592</v>
      </c>
      <c r="Q3936" s="5" t="s">
        <v>16593</v>
      </c>
      <c r="R3936" s="5" t="s">
        <v>16594</v>
      </c>
      <c r="S3936" s="5" t="s">
        <v>16595</v>
      </c>
      <c r="T3936" s="5" t="s">
        <v>16596</v>
      </c>
      <c r="U3936" s="5" t="s">
        <v>16597</v>
      </c>
      <c r="V3936" s="5" t="s">
        <v>16598</v>
      </c>
      <c r="AG3936" s="14" t="s">
        <v>49</v>
      </c>
      <c r="AH3936" s="14" t="s">
        <v>12554</v>
      </c>
      <c r="AI3936" s="14" t="s">
        <v>13684</v>
      </c>
      <c r="AJ3936" s="5" t="s">
        <v>16610</v>
      </c>
    </row>
    <row r="3937" spans="1:37">
      <c r="A3937" s="5" t="s">
        <v>16659</v>
      </c>
      <c r="B3937" s="5" t="s">
        <v>16660</v>
      </c>
      <c r="C3937" s="6" t="s">
        <v>43</v>
      </c>
      <c r="D3937" s="6" t="s">
        <v>850</v>
      </c>
      <c r="E3937" s="6" t="s">
        <v>10152</v>
      </c>
      <c r="F3937" s="6" t="s">
        <v>46</v>
      </c>
      <c r="G3937" s="6" t="s">
        <v>16661</v>
      </c>
      <c r="H3937" s="7">
        <v>56.95</v>
      </c>
      <c r="I3937" s="19" t="s">
        <v>1888</v>
      </c>
      <c r="J3937" s="19" t="s">
        <v>16586</v>
      </c>
      <c r="K3937" s="5" t="s">
        <v>16654</v>
      </c>
      <c r="L3937" s="5" t="s">
        <v>16655</v>
      </c>
      <c r="M3937" s="5" t="s">
        <v>16656</v>
      </c>
      <c r="N3937" s="5" t="s">
        <v>16657</v>
      </c>
      <c r="O3937" s="5" t="s">
        <v>16591</v>
      </c>
      <c r="P3937" s="5" t="s">
        <v>16592</v>
      </c>
      <c r="Q3937" s="5" t="s">
        <v>16593</v>
      </c>
      <c r="R3937" s="5" t="s">
        <v>16594</v>
      </c>
      <c r="S3937" s="5" t="s">
        <v>16595</v>
      </c>
      <c r="T3937" s="5" t="s">
        <v>16596</v>
      </c>
      <c r="U3937" s="5" t="s">
        <v>16597</v>
      </c>
      <c r="V3937" s="5" t="s">
        <v>16598</v>
      </c>
      <c r="AG3937" s="14" t="s">
        <v>55</v>
      </c>
      <c r="AH3937" s="14" t="s">
        <v>12554</v>
      </c>
      <c r="AI3937" s="14" t="s">
        <v>9965</v>
      </c>
      <c r="AJ3937" s="5" t="s">
        <v>16599</v>
      </c>
    </row>
    <row r="3938" spans="1:37">
      <c r="A3938" s="5" t="s">
        <v>16662</v>
      </c>
      <c r="B3938" s="5" t="s">
        <v>16663</v>
      </c>
      <c r="C3938" s="6" t="s">
        <v>43</v>
      </c>
      <c r="D3938" s="6" t="s">
        <v>850</v>
      </c>
      <c r="E3938" s="6" t="s">
        <v>218</v>
      </c>
      <c r="F3938" s="6" t="s">
        <v>46</v>
      </c>
      <c r="G3938" s="6" t="s">
        <v>10688</v>
      </c>
      <c r="H3938" s="7">
        <v>65.900000000000006</v>
      </c>
      <c r="I3938" s="19" t="s">
        <v>1888</v>
      </c>
      <c r="J3938" s="19" t="s">
        <v>16586</v>
      </c>
      <c r="K3938" s="5" t="s">
        <v>16664</v>
      </c>
      <c r="L3938" s="5" t="s">
        <v>16665</v>
      </c>
      <c r="M3938" s="5" t="s">
        <v>16666</v>
      </c>
      <c r="N3938" s="5" t="s">
        <v>16667</v>
      </c>
      <c r="O3938" s="5" t="s">
        <v>16591</v>
      </c>
      <c r="P3938" s="5" t="s">
        <v>16592</v>
      </c>
      <c r="Q3938" s="5" t="s">
        <v>16593</v>
      </c>
      <c r="R3938" s="5" t="s">
        <v>16594</v>
      </c>
      <c r="S3938" s="5" t="s">
        <v>16595</v>
      </c>
      <c r="T3938" s="5" t="s">
        <v>16596</v>
      </c>
      <c r="U3938" s="5" t="s">
        <v>16597</v>
      </c>
      <c r="V3938" s="5" t="s">
        <v>16598</v>
      </c>
      <c r="AG3938" s="14" t="s">
        <v>49</v>
      </c>
      <c r="AH3938" s="14" t="s">
        <v>12554</v>
      </c>
      <c r="AI3938" s="14" t="s">
        <v>13684</v>
      </c>
      <c r="AJ3938" s="5" t="s">
        <v>16610</v>
      </c>
    </row>
    <row r="3939" spans="1:37">
      <c r="A3939" s="5" t="s">
        <v>16668</v>
      </c>
      <c r="B3939" s="5" t="s">
        <v>16669</v>
      </c>
      <c r="C3939" s="6" t="s">
        <v>43</v>
      </c>
      <c r="D3939" s="6" t="s">
        <v>850</v>
      </c>
      <c r="E3939" s="6" t="s">
        <v>218</v>
      </c>
      <c r="F3939" s="6" t="s">
        <v>46</v>
      </c>
      <c r="G3939" s="6" t="s">
        <v>16670</v>
      </c>
      <c r="H3939" s="7">
        <v>56.95</v>
      </c>
      <c r="I3939" s="19" t="s">
        <v>1888</v>
      </c>
      <c r="J3939" s="19" t="s">
        <v>16586</v>
      </c>
      <c r="K3939" s="5" t="s">
        <v>16654</v>
      </c>
      <c r="L3939" s="5" t="s">
        <v>16655</v>
      </c>
      <c r="M3939" s="5" t="s">
        <v>16656</v>
      </c>
      <c r="N3939" s="5" t="s">
        <v>16657</v>
      </c>
      <c r="O3939" s="5" t="s">
        <v>16591</v>
      </c>
      <c r="P3939" s="5" t="s">
        <v>16592</v>
      </c>
      <c r="Q3939" s="5" t="s">
        <v>16593</v>
      </c>
      <c r="R3939" s="5" t="s">
        <v>16594</v>
      </c>
      <c r="S3939" s="5" t="s">
        <v>16595</v>
      </c>
      <c r="T3939" s="5" t="s">
        <v>16596</v>
      </c>
      <c r="U3939" s="5" t="s">
        <v>16597</v>
      </c>
      <c r="V3939" s="5" t="s">
        <v>16598</v>
      </c>
      <c r="AG3939" s="14" t="s">
        <v>49</v>
      </c>
      <c r="AH3939" s="14" t="s">
        <v>12554</v>
      </c>
      <c r="AI3939" s="14" t="s">
        <v>13684</v>
      </c>
      <c r="AJ3939" s="5" t="s">
        <v>16610</v>
      </c>
    </row>
    <row r="3940" spans="1:37">
      <c r="A3940" s="5" t="s">
        <v>16671</v>
      </c>
      <c r="B3940" s="5" t="s">
        <v>16672</v>
      </c>
      <c r="C3940" s="6" t="s">
        <v>43</v>
      </c>
      <c r="D3940" s="6" t="s">
        <v>850</v>
      </c>
      <c r="E3940" s="6" t="s">
        <v>218</v>
      </c>
      <c r="F3940" s="6" t="s">
        <v>46</v>
      </c>
      <c r="G3940" s="6" t="s">
        <v>5119</v>
      </c>
      <c r="H3940" s="7">
        <v>76.8</v>
      </c>
      <c r="I3940" s="19" t="s">
        <v>1888</v>
      </c>
      <c r="J3940" s="19" t="s">
        <v>16586</v>
      </c>
      <c r="K3940" s="5" t="s">
        <v>16673</v>
      </c>
      <c r="L3940" s="5" t="s">
        <v>16674</v>
      </c>
      <c r="M3940" s="5" t="s">
        <v>16675</v>
      </c>
      <c r="N3940" s="5" t="s">
        <v>16676</v>
      </c>
      <c r="O3940" s="5" t="s">
        <v>16591</v>
      </c>
      <c r="P3940" s="5" t="s">
        <v>16592</v>
      </c>
      <c r="Q3940" s="5" t="s">
        <v>16593</v>
      </c>
      <c r="R3940" s="5" t="s">
        <v>16594</v>
      </c>
      <c r="S3940" s="5" t="s">
        <v>16595</v>
      </c>
      <c r="T3940" s="5" t="s">
        <v>16596</v>
      </c>
      <c r="U3940" s="5" t="s">
        <v>16597</v>
      </c>
      <c r="V3940" s="5" t="s">
        <v>16598</v>
      </c>
      <c r="AG3940" s="14" t="s">
        <v>49</v>
      </c>
      <c r="AH3940" s="14" t="s">
        <v>12554</v>
      </c>
      <c r="AI3940" s="14" t="s">
        <v>13684</v>
      </c>
      <c r="AJ3940" s="5" t="s">
        <v>16610</v>
      </c>
    </row>
    <row r="3941" spans="1:37">
      <c r="A3941" s="5" t="s">
        <v>16677</v>
      </c>
      <c r="B3941" s="5" t="s">
        <v>16678</v>
      </c>
      <c r="C3941" s="6" t="s">
        <v>43</v>
      </c>
      <c r="D3941" s="6" t="s">
        <v>850</v>
      </c>
      <c r="E3941" s="6" t="s">
        <v>218</v>
      </c>
      <c r="F3941" s="6" t="s">
        <v>46</v>
      </c>
      <c r="G3941" s="6" t="s">
        <v>16679</v>
      </c>
      <c r="H3941" s="7">
        <v>99.05</v>
      </c>
      <c r="I3941" s="19" t="s">
        <v>1888</v>
      </c>
      <c r="J3941" s="19" t="s">
        <v>16586</v>
      </c>
      <c r="K3941" s="5" t="s">
        <v>16680</v>
      </c>
      <c r="L3941" s="5" t="s">
        <v>16681</v>
      </c>
      <c r="M3941" s="5" t="s">
        <v>16682</v>
      </c>
      <c r="N3941" s="5" t="s">
        <v>16683</v>
      </c>
      <c r="O3941" s="5" t="s">
        <v>16591</v>
      </c>
      <c r="P3941" s="5" t="s">
        <v>16592</v>
      </c>
      <c r="Q3941" s="5" t="s">
        <v>16593</v>
      </c>
      <c r="R3941" s="5" t="s">
        <v>16594</v>
      </c>
      <c r="S3941" s="5" t="s">
        <v>16595</v>
      </c>
      <c r="T3941" s="5" t="s">
        <v>16596</v>
      </c>
      <c r="U3941" s="5" t="s">
        <v>16597</v>
      </c>
      <c r="V3941" s="5" t="s">
        <v>16598</v>
      </c>
      <c r="AG3941" s="14" t="s">
        <v>49</v>
      </c>
      <c r="AH3941" s="14" t="s">
        <v>12554</v>
      </c>
      <c r="AI3941" s="14" t="s">
        <v>13684</v>
      </c>
      <c r="AJ3941" s="5" t="s">
        <v>16610</v>
      </c>
    </row>
    <row r="3942" spans="1:37">
      <c r="A3942" s="5" t="s">
        <v>16684</v>
      </c>
      <c r="B3942" s="5" t="s">
        <v>16685</v>
      </c>
      <c r="C3942" s="6" t="s">
        <v>43</v>
      </c>
      <c r="D3942" s="6" t="s">
        <v>850</v>
      </c>
      <c r="E3942" s="6" t="s">
        <v>218</v>
      </c>
      <c r="F3942" s="6" t="s">
        <v>46</v>
      </c>
      <c r="G3942" s="6" t="s">
        <v>4446</v>
      </c>
      <c r="H3942" s="7">
        <v>49.45</v>
      </c>
      <c r="I3942" s="19" t="s">
        <v>1888</v>
      </c>
      <c r="J3942" s="19" t="s">
        <v>16586</v>
      </c>
      <c r="K3942" s="5" t="s">
        <v>16641</v>
      </c>
      <c r="L3942" s="5" t="s">
        <v>16642</v>
      </c>
      <c r="M3942" s="5" t="s">
        <v>16643</v>
      </c>
      <c r="N3942" s="5" t="s">
        <v>16644</v>
      </c>
      <c r="O3942" s="5" t="s">
        <v>16591</v>
      </c>
      <c r="P3942" s="5" t="s">
        <v>16592</v>
      </c>
      <c r="Q3942" s="5" t="s">
        <v>16593</v>
      </c>
      <c r="R3942" s="5" t="s">
        <v>16594</v>
      </c>
      <c r="S3942" s="5" t="s">
        <v>16595</v>
      </c>
      <c r="T3942" s="5" t="s">
        <v>16596</v>
      </c>
      <c r="U3942" s="5" t="s">
        <v>16597</v>
      </c>
      <c r="V3942" s="5" t="s">
        <v>16598</v>
      </c>
      <c r="AG3942" s="14" t="s">
        <v>49</v>
      </c>
      <c r="AH3942" s="14" t="s">
        <v>12554</v>
      </c>
      <c r="AI3942" s="14" t="s">
        <v>13684</v>
      </c>
      <c r="AJ3942" s="5" t="s">
        <v>16610</v>
      </c>
    </row>
    <row r="3943" spans="1:37">
      <c r="A3943" s="5" t="s">
        <v>16686</v>
      </c>
      <c r="B3943" s="5" t="s">
        <v>16687</v>
      </c>
      <c r="C3943" s="6" t="s">
        <v>43</v>
      </c>
      <c r="D3943" s="6" t="s">
        <v>850</v>
      </c>
      <c r="E3943" s="6" t="s">
        <v>218</v>
      </c>
      <c r="F3943" s="6" t="s">
        <v>46</v>
      </c>
      <c r="G3943" s="6" t="s">
        <v>16688</v>
      </c>
      <c r="H3943" s="7">
        <v>76.8</v>
      </c>
      <c r="I3943" s="19" t="s">
        <v>1888</v>
      </c>
      <c r="J3943" s="19" t="s">
        <v>16586</v>
      </c>
      <c r="K3943" s="5" t="s">
        <v>16673</v>
      </c>
      <c r="L3943" s="5" t="s">
        <v>16674</v>
      </c>
      <c r="M3943" s="5" t="s">
        <v>16675</v>
      </c>
      <c r="N3943" s="5" t="s">
        <v>16676</v>
      </c>
      <c r="O3943" s="5" t="s">
        <v>16591</v>
      </c>
      <c r="P3943" s="5" t="s">
        <v>16592</v>
      </c>
      <c r="Q3943" s="5" t="s">
        <v>16593</v>
      </c>
      <c r="R3943" s="5" t="s">
        <v>16594</v>
      </c>
      <c r="S3943" s="5" t="s">
        <v>16595</v>
      </c>
      <c r="T3943" s="5" t="s">
        <v>16596</v>
      </c>
      <c r="U3943" s="5" t="s">
        <v>16597</v>
      </c>
      <c r="V3943" s="5" t="s">
        <v>16598</v>
      </c>
      <c r="AG3943" s="14" t="s">
        <v>49</v>
      </c>
      <c r="AH3943" s="14" t="s">
        <v>12554</v>
      </c>
      <c r="AI3943" s="14" t="s">
        <v>13684</v>
      </c>
      <c r="AJ3943" s="5" t="s">
        <v>16610</v>
      </c>
    </row>
    <row r="3944" spans="1:37">
      <c r="A3944" s="5" t="s">
        <v>16689</v>
      </c>
      <c r="B3944" s="5" t="s">
        <v>16687</v>
      </c>
      <c r="C3944" s="6" t="s">
        <v>43</v>
      </c>
      <c r="D3944" s="6" t="s">
        <v>850</v>
      </c>
      <c r="E3944" s="6" t="s">
        <v>10152</v>
      </c>
      <c r="F3944" s="6" t="s">
        <v>46</v>
      </c>
      <c r="G3944" s="6" t="s">
        <v>16690</v>
      </c>
      <c r="H3944" s="7">
        <v>76.8</v>
      </c>
      <c r="I3944" s="19" t="s">
        <v>1888</v>
      </c>
      <c r="J3944" s="19" t="s">
        <v>16586</v>
      </c>
      <c r="K3944" s="5" t="s">
        <v>16673</v>
      </c>
      <c r="L3944" s="5" t="s">
        <v>16674</v>
      </c>
      <c r="M3944" s="5" t="s">
        <v>16675</v>
      </c>
      <c r="N3944" s="5" t="s">
        <v>16676</v>
      </c>
      <c r="O3944" s="5" t="s">
        <v>16591</v>
      </c>
      <c r="P3944" s="5" t="s">
        <v>16592</v>
      </c>
      <c r="Q3944" s="5" t="s">
        <v>16593</v>
      </c>
      <c r="R3944" s="5" t="s">
        <v>16594</v>
      </c>
      <c r="S3944" s="5" t="s">
        <v>16595</v>
      </c>
      <c r="T3944" s="5" t="s">
        <v>16596</v>
      </c>
      <c r="U3944" s="5" t="s">
        <v>16597</v>
      </c>
      <c r="V3944" s="5" t="s">
        <v>16598</v>
      </c>
      <c r="AG3944" s="14" t="s">
        <v>55</v>
      </c>
      <c r="AH3944" s="14" t="s">
        <v>12554</v>
      </c>
      <c r="AI3944" s="14" t="s">
        <v>9965</v>
      </c>
      <c r="AJ3944" s="5" t="s">
        <v>16599</v>
      </c>
    </row>
    <row r="3945" spans="1:37">
      <c r="A3945" s="5" t="s">
        <v>16691</v>
      </c>
      <c r="B3945" s="5" t="s">
        <v>16692</v>
      </c>
      <c r="C3945" s="6" t="s">
        <v>43</v>
      </c>
      <c r="D3945" s="6" t="s">
        <v>850</v>
      </c>
      <c r="E3945" s="6" t="s">
        <v>218</v>
      </c>
      <c r="F3945" s="6" t="s">
        <v>46</v>
      </c>
      <c r="G3945" s="6" t="s">
        <v>16693</v>
      </c>
      <c r="H3945" s="7">
        <v>99.05</v>
      </c>
      <c r="I3945" s="19" t="s">
        <v>1888</v>
      </c>
      <c r="J3945" s="19" t="s">
        <v>16586</v>
      </c>
      <c r="K3945" s="5" t="s">
        <v>16680</v>
      </c>
      <c r="L3945" s="5" t="s">
        <v>16681</v>
      </c>
      <c r="M3945" s="5" t="s">
        <v>16682</v>
      </c>
      <c r="N3945" s="5" t="s">
        <v>16683</v>
      </c>
      <c r="O3945" s="5" t="s">
        <v>16591</v>
      </c>
      <c r="P3945" s="5" t="s">
        <v>16592</v>
      </c>
      <c r="Q3945" s="5" t="s">
        <v>16593</v>
      </c>
      <c r="R3945" s="5" t="s">
        <v>16594</v>
      </c>
      <c r="S3945" s="5" t="s">
        <v>16595</v>
      </c>
      <c r="T3945" s="5" t="s">
        <v>16596</v>
      </c>
      <c r="U3945" s="5" t="s">
        <v>16597</v>
      </c>
      <c r="V3945" s="5" t="s">
        <v>16598</v>
      </c>
      <c r="AG3945" s="14" t="s">
        <v>49</v>
      </c>
      <c r="AH3945" s="14" t="s">
        <v>12554</v>
      </c>
      <c r="AI3945" s="14" t="s">
        <v>13684</v>
      </c>
      <c r="AJ3945" s="5" t="s">
        <v>16610</v>
      </c>
    </row>
    <row r="3946" spans="1:37">
      <c r="A3946" s="5" t="s">
        <v>16694</v>
      </c>
      <c r="B3946" s="5" t="s">
        <v>16692</v>
      </c>
      <c r="C3946" s="6" t="s">
        <v>43</v>
      </c>
      <c r="D3946" s="6" t="s">
        <v>850</v>
      </c>
      <c r="E3946" s="6" t="s">
        <v>465</v>
      </c>
      <c r="F3946" s="6" t="s">
        <v>46</v>
      </c>
      <c r="G3946" s="6" t="s">
        <v>1947</v>
      </c>
      <c r="H3946" s="7">
        <v>99.05</v>
      </c>
      <c r="I3946" s="19" t="s">
        <v>1888</v>
      </c>
      <c r="J3946" s="19" t="s">
        <v>16586</v>
      </c>
      <c r="K3946" s="5" t="s">
        <v>16680</v>
      </c>
      <c r="L3946" s="5" t="s">
        <v>16681</v>
      </c>
      <c r="M3946" s="5" t="s">
        <v>16682</v>
      </c>
      <c r="N3946" s="5" t="s">
        <v>16683</v>
      </c>
      <c r="O3946" s="5" t="s">
        <v>16591</v>
      </c>
      <c r="P3946" s="5" t="s">
        <v>16592</v>
      </c>
      <c r="Q3946" s="5" t="s">
        <v>16593</v>
      </c>
      <c r="R3946" s="5" t="s">
        <v>16594</v>
      </c>
      <c r="S3946" s="5" t="s">
        <v>16595</v>
      </c>
      <c r="T3946" s="5" t="s">
        <v>16596</v>
      </c>
      <c r="U3946" s="5" t="s">
        <v>16597</v>
      </c>
      <c r="V3946" s="5" t="s">
        <v>16598</v>
      </c>
      <c r="AG3946" s="14" t="s">
        <v>55</v>
      </c>
      <c r="AH3946" s="14" t="s">
        <v>12554</v>
      </c>
      <c r="AI3946" s="14" t="s">
        <v>9965</v>
      </c>
      <c r="AJ3946" s="5" t="s">
        <v>16599</v>
      </c>
    </row>
    <row r="3947" spans="1:37">
      <c r="A3947" s="6" t="s">
        <v>16695</v>
      </c>
      <c r="B3947" s="6" t="s">
        <v>16696</v>
      </c>
      <c r="C3947" s="6" t="s">
        <v>43</v>
      </c>
      <c r="D3947" s="6" t="s">
        <v>850</v>
      </c>
      <c r="E3947" s="6" t="s">
        <v>11106</v>
      </c>
      <c r="F3947" s="6" t="s">
        <v>46</v>
      </c>
      <c r="G3947" s="6" t="s">
        <v>16697</v>
      </c>
      <c r="I3947" s="19" t="s">
        <v>48</v>
      </c>
      <c r="J3947" s="19" t="s">
        <v>48</v>
      </c>
      <c r="K3947" s="6"/>
      <c r="L3947" s="6"/>
      <c r="M3947" s="6"/>
      <c r="N3947" s="6"/>
      <c r="O3947" s="6"/>
      <c r="P3947" s="6"/>
      <c r="Q3947" s="6"/>
      <c r="R3947" s="6"/>
      <c r="S3947" s="6"/>
      <c r="T3947" s="6"/>
      <c r="U3947" s="6"/>
      <c r="V3947" s="6"/>
      <c r="W3947" s="6"/>
      <c r="X3947" s="6"/>
      <c r="Y3947" s="6"/>
      <c r="Z3947" s="6"/>
      <c r="AA3947" s="6"/>
      <c r="AB3947" s="6"/>
      <c r="AC3947" s="6"/>
      <c r="AD3947" s="6"/>
      <c r="AE3947" s="6"/>
      <c r="AF3947" s="6"/>
      <c r="AG3947" s="15" t="s">
        <v>55</v>
      </c>
      <c r="AH3947" s="15"/>
      <c r="AI3947" s="15"/>
      <c r="AJ3947" s="6"/>
      <c r="AK3947" s="6"/>
    </row>
    <row r="3948" spans="1:37" s="6" customFormat="1">
      <c r="A3948" s="5" t="s">
        <v>16698</v>
      </c>
      <c r="B3948" s="5" t="s">
        <v>16692</v>
      </c>
      <c r="C3948" s="6" t="s">
        <v>43</v>
      </c>
      <c r="D3948" s="6" t="s">
        <v>850</v>
      </c>
      <c r="E3948" s="6" t="s">
        <v>10152</v>
      </c>
      <c r="F3948" s="6" t="s">
        <v>46</v>
      </c>
      <c r="G3948" s="6" t="s">
        <v>16699</v>
      </c>
      <c r="H3948" s="7">
        <v>99.05</v>
      </c>
      <c r="I3948" s="19" t="s">
        <v>1888</v>
      </c>
      <c r="J3948" s="19" t="s">
        <v>16586</v>
      </c>
      <c r="K3948" s="5" t="s">
        <v>16680</v>
      </c>
      <c r="L3948" s="5" t="s">
        <v>16681</v>
      </c>
      <c r="M3948" s="5" t="s">
        <v>16682</v>
      </c>
      <c r="N3948" s="5" t="s">
        <v>16683</v>
      </c>
      <c r="O3948" s="5" t="s">
        <v>16591</v>
      </c>
      <c r="P3948" s="5" t="s">
        <v>16592</v>
      </c>
      <c r="Q3948" s="5" t="s">
        <v>16593</v>
      </c>
      <c r="R3948" s="5" t="s">
        <v>16594</v>
      </c>
      <c r="S3948" s="5" t="s">
        <v>16595</v>
      </c>
      <c r="T3948" s="5" t="s">
        <v>16596</v>
      </c>
      <c r="U3948" s="5" t="s">
        <v>16597</v>
      </c>
      <c r="V3948" s="5" t="s">
        <v>16598</v>
      </c>
      <c r="W3948" s="5"/>
      <c r="X3948" s="5"/>
      <c r="Y3948" s="5"/>
      <c r="Z3948" s="5"/>
      <c r="AA3948" s="5"/>
      <c r="AB3948" s="5"/>
      <c r="AC3948" s="5"/>
      <c r="AD3948" s="5"/>
      <c r="AE3948" s="5"/>
      <c r="AF3948" s="5"/>
      <c r="AG3948" s="14" t="s">
        <v>55</v>
      </c>
      <c r="AH3948" s="14" t="s">
        <v>12554</v>
      </c>
      <c r="AI3948" s="14" t="s">
        <v>9965</v>
      </c>
      <c r="AJ3948" s="5" t="s">
        <v>16599</v>
      </c>
      <c r="AK3948" s="5"/>
    </row>
    <row r="3949" spans="1:37">
      <c r="A3949" s="5" t="s">
        <v>16700</v>
      </c>
      <c r="B3949" s="5" t="s">
        <v>16701</v>
      </c>
      <c r="C3949" s="6" t="s">
        <v>43</v>
      </c>
      <c r="D3949" s="6" t="s">
        <v>850</v>
      </c>
      <c r="E3949" s="6" t="s">
        <v>218</v>
      </c>
      <c r="F3949" s="6" t="s">
        <v>46</v>
      </c>
      <c r="G3949" s="6" t="s">
        <v>16702</v>
      </c>
      <c r="H3949" s="7">
        <v>119.15</v>
      </c>
      <c r="I3949" s="19" t="s">
        <v>1888</v>
      </c>
      <c r="J3949" s="19" t="s">
        <v>16586</v>
      </c>
      <c r="K3949" s="5" t="s">
        <v>16587</v>
      </c>
      <c r="L3949" s="5" t="s">
        <v>16588</v>
      </c>
      <c r="M3949" s="5" t="s">
        <v>16589</v>
      </c>
      <c r="N3949" s="5" t="s">
        <v>16590</v>
      </c>
      <c r="O3949" s="5" t="s">
        <v>16591</v>
      </c>
      <c r="P3949" s="5" t="s">
        <v>16592</v>
      </c>
      <c r="Q3949" s="5" t="s">
        <v>16593</v>
      </c>
      <c r="R3949" s="5" t="s">
        <v>16594</v>
      </c>
      <c r="S3949" s="5" t="s">
        <v>16595</v>
      </c>
      <c r="T3949" s="5" t="s">
        <v>16596</v>
      </c>
      <c r="U3949" s="5" t="s">
        <v>16597</v>
      </c>
      <c r="V3949" s="5" t="s">
        <v>16598</v>
      </c>
      <c r="AG3949" s="14" t="s">
        <v>49</v>
      </c>
      <c r="AH3949" s="14" t="s">
        <v>12554</v>
      </c>
      <c r="AI3949" s="14" t="s">
        <v>13684</v>
      </c>
      <c r="AJ3949" s="5" t="s">
        <v>16610</v>
      </c>
    </row>
    <row r="3950" spans="1:37">
      <c r="A3950" s="5" t="s">
        <v>16703</v>
      </c>
      <c r="B3950" s="5" t="s">
        <v>16701</v>
      </c>
      <c r="C3950" s="6" t="s">
        <v>43</v>
      </c>
      <c r="D3950" s="6" t="s">
        <v>850</v>
      </c>
      <c r="E3950" s="6" t="s">
        <v>2461</v>
      </c>
      <c r="F3950" s="6" t="s">
        <v>46</v>
      </c>
      <c r="G3950" s="6" t="s">
        <v>16704</v>
      </c>
      <c r="H3950" s="7">
        <v>119.15</v>
      </c>
      <c r="I3950" s="19" t="s">
        <v>1888</v>
      </c>
      <c r="J3950" s="19" t="s">
        <v>16586</v>
      </c>
      <c r="K3950" s="5" t="s">
        <v>16587</v>
      </c>
      <c r="L3950" s="5" t="s">
        <v>16588</v>
      </c>
      <c r="M3950" s="5" t="s">
        <v>16589</v>
      </c>
      <c r="N3950" s="5" t="s">
        <v>16590</v>
      </c>
      <c r="O3950" s="5" t="s">
        <v>16591</v>
      </c>
      <c r="P3950" s="5" t="s">
        <v>16592</v>
      </c>
      <c r="Q3950" s="5" t="s">
        <v>16593</v>
      </c>
      <c r="R3950" s="5" t="s">
        <v>16594</v>
      </c>
      <c r="S3950" s="5" t="s">
        <v>16595</v>
      </c>
      <c r="T3950" s="5" t="s">
        <v>16596</v>
      </c>
      <c r="U3950" s="5" t="s">
        <v>16597</v>
      </c>
      <c r="V3950" s="5" t="s">
        <v>16598</v>
      </c>
      <c r="AG3950" s="14" t="s">
        <v>55</v>
      </c>
      <c r="AH3950" s="14" t="s">
        <v>12554</v>
      </c>
      <c r="AI3950" s="14" t="s">
        <v>9965</v>
      </c>
      <c r="AJ3950" s="5" t="s">
        <v>16599</v>
      </c>
    </row>
    <row r="3951" spans="1:37">
      <c r="A3951" s="5" t="s">
        <v>16705</v>
      </c>
      <c r="B3951" s="5" t="s">
        <v>16701</v>
      </c>
      <c r="C3951" s="6" t="s">
        <v>43</v>
      </c>
      <c r="D3951" s="6" t="s">
        <v>850</v>
      </c>
      <c r="E3951" s="6" t="s">
        <v>10152</v>
      </c>
      <c r="F3951" s="6" t="s">
        <v>46</v>
      </c>
      <c r="G3951" s="6" t="s">
        <v>16706</v>
      </c>
      <c r="H3951" s="7">
        <v>119.15</v>
      </c>
      <c r="I3951" s="19" t="s">
        <v>1888</v>
      </c>
      <c r="J3951" s="19" t="s">
        <v>16586</v>
      </c>
      <c r="K3951" s="5" t="s">
        <v>16587</v>
      </c>
      <c r="L3951" s="5" t="s">
        <v>16588</v>
      </c>
      <c r="M3951" s="5" t="s">
        <v>16589</v>
      </c>
      <c r="N3951" s="5" t="s">
        <v>16590</v>
      </c>
      <c r="O3951" s="5" t="s">
        <v>16591</v>
      </c>
      <c r="P3951" s="5" t="s">
        <v>16592</v>
      </c>
      <c r="Q3951" s="5" t="s">
        <v>16593</v>
      </c>
      <c r="R3951" s="5" t="s">
        <v>16594</v>
      </c>
      <c r="S3951" s="5" t="s">
        <v>16595</v>
      </c>
      <c r="T3951" s="5" t="s">
        <v>16596</v>
      </c>
      <c r="U3951" s="5" t="s">
        <v>16597</v>
      </c>
      <c r="V3951" s="5" t="s">
        <v>16598</v>
      </c>
      <c r="AG3951" s="14" t="s">
        <v>55</v>
      </c>
      <c r="AH3951" s="14" t="s">
        <v>12554</v>
      </c>
      <c r="AI3951" s="14" t="s">
        <v>9965</v>
      </c>
      <c r="AJ3951" s="5" t="s">
        <v>16599</v>
      </c>
    </row>
    <row r="3952" spans="1:37">
      <c r="A3952" s="5" t="s">
        <v>16707</v>
      </c>
      <c r="B3952" s="5" t="s">
        <v>16708</v>
      </c>
      <c r="C3952" s="6" t="s">
        <v>43</v>
      </c>
      <c r="D3952" s="6" t="s">
        <v>850</v>
      </c>
      <c r="E3952" s="6" t="s">
        <v>218</v>
      </c>
      <c r="F3952" s="6" t="s">
        <v>46</v>
      </c>
      <c r="G3952" s="6" t="s">
        <v>16709</v>
      </c>
      <c r="H3952" s="7">
        <v>151.6</v>
      </c>
      <c r="I3952" s="19" t="s">
        <v>1888</v>
      </c>
      <c r="J3952" s="19" t="s">
        <v>16586</v>
      </c>
      <c r="K3952" s="5" t="s">
        <v>16710</v>
      </c>
      <c r="L3952" s="5" t="s">
        <v>16711</v>
      </c>
      <c r="M3952" s="5" t="s">
        <v>16712</v>
      </c>
      <c r="N3952" s="5" t="s">
        <v>16713</v>
      </c>
      <c r="O3952" s="5" t="s">
        <v>16591</v>
      </c>
      <c r="P3952" s="5" t="s">
        <v>16592</v>
      </c>
      <c r="Q3952" s="5" t="s">
        <v>16593</v>
      </c>
      <c r="R3952" s="5" t="s">
        <v>16594</v>
      </c>
      <c r="S3952" s="5" t="s">
        <v>16595</v>
      </c>
      <c r="T3952" s="5" t="s">
        <v>16596</v>
      </c>
      <c r="U3952" s="5" t="s">
        <v>16597</v>
      </c>
      <c r="V3952" s="5" t="s">
        <v>16598</v>
      </c>
      <c r="AG3952" s="14" t="s">
        <v>49</v>
      </c>
      <c r="AH3952" s="14" t="s">
        <v>12554</v>
      </c>
      <c r="AI3952" s="14" t="s">
        <v>13684</v>
      </c>
      <c r="AJ3952" s="5" t="s">
        <v>16610</v>
      </c>
    </row>
    <row r="3953" spans="1:36">
      <c r="A3953" s="5" t="s">
        <v>16714</v>
      </c>
      <c r="B3953" s="5" t="s">
        <v>16715</v>
      </c>
      <c r="C3953" s="6" t="s">
        <v>43</v>
      </c>
      <c r="D3953" s="6" t="s">
        <v>850</v>
      </c>
      <c r="E3953" s="6" t="s">
        <v>218</v>
      </c>
      <c r="F3953" s="6" t="s">
        <v>46</v>
      </c>
      <c r="G3953" s="6" t="s">
        <v>5789</v>
      </c>
      <c r="H3953" s="7">
        <v>22.5</v>
      </c>
      <c r="I3953" s="19" t="s">
        <v>1888</v>
      </c>
      <c r="J3953" s="19" t="s">
        <v>16716</v>
      </c>
      <c r="K3953" s="5" t="s">
        <v>16717</v>
      </c>
      <c r="L3953" s="5" t="s">
        <v>16718</v>
      </c>
      <c r="M3953" s="5" t="s">
        <v>16719</v>
      </c>
      <c r="N3953" s="5" t="s">
        <v>16720</v>
      </c>
      <c r="O3953" s="5" t="s">
        <v>16721</v>
      </c>
      <c r="P3953" s="5" t="s">
        <v>16722</v>
      </c>
      <c r="Q3953" s="5" t="s">
        <v>16439</v>
      </c>
      <c r="R3953" s="5" t="s">
        <v>16723</v>
      </c>
      <c r="S3953" s="5" t="s">
        <v>16724</v>
      </c>
      <c r="T3953" s="5" t="s">
        <v>16725</v>
      </c>
      <c r="U3953" s="5" t="s">
        <v>16726</v>
      </c>
      <c r="V3953" s="5" t="s">
        <v>16727</v>
      </c>
      <c r="AG3953" s="14" t="s">
        <v>49</v>
      </c>
      <c r="AH3953" s="14" t="s">
        <v>12554</v>
      </c>
      <c r="AI3953" s="14" t="s">
        <v>55</v>
      </c>
      <c r="AJ3953" s="5" t="s">
        <v>16728</v>
      </c>
    </row>
    <row r="3954" spans="1:36">
      <c r="A3954" s="5" t="s">
        <v>16729</v>
      </c>
      <c r="B3954" s="5" t="s">
        <v>16730</v>
      </c>
      <c r="C3954" s="6" t="s">
        <v>43</v>
      </c>
      <c r="D3954" s="6" t="s">
        <v>850</v>
      </c>
      <c r="E3954" s="6" t="s">
        <v>218</v>
      </c>
      <c r="F3954" s="6" t="s">
        <v>46</v>
      </c>
      <c r="G3954" s="6" t="s">
        <v>16731</v>
      </c>
      <c r="H3954" s="7">
        <v>25.85</v>
      </c>
      <c r="I3954" s="19" t="s">
        <v>1888</v>
      </c>
      <c r="J3954" s="19" t="s">
        <v>16716</v>
      </c>
      <c r="K3954" s="5" t="s">
        <v>16732</v>
      </c>
      <c r="L3954" s="5" t="s">
        <v>16733</v>
      </c>
      <c r="M3954" s="5" t="s">
        <v>16734</v>
      </c>
      <c r="N3954" s="5" t="s">
        <v>16735</v>
      </c>
      <c r="O3954" s="5" t="s">
        <v>16721</v>
      </c>
      <c r="P3954" s="5" t="s">
        <v>16722</v>
      </c>
      <c r="Q3954" s="5" t="s">
        <v>16439</v>
      </c>
      <c r="R3954" s="5" t="s">
        <v>16723</v>
      </c>
      <c r="S3954" s="5" t="s">
        <v>16724</v>
      </c>
      <c r="T3954" s="5" t="s">
        <v>16725</v>
      </c>
      <c r="U3954" s="5" t="s">
        <v>16726</v>
      </c>
      <c r="V3954" s="5" t="s">
        <v>16727</v>
      </c>
      <c r="AG3954" s="14" t="s">
        <v>49</v>
      </c>
      <c r="AH3954" s="14" t="s">
        <v>12554</v>
      </c>
      <c r="AI3954" s="14" t="s">
        <v>55</v>
      </c>
      <c r="AJ3954" s="5" t="s">
        <v>16728</v>
      </c>
    </row>
    <row r="3955" spans="1:36">
      <c r="A3955" s="5" t="s">
        <v>16736</v>
      </c>
      <c r="B3955" s="5" t="s">
        <v>16737</v>
      </c>
      <c r="C3955" s="6" t="s">
        <v>43</v>
      </c>
      <c r="D3955" s="6" t="s">
        <v>850</v>
      </c>
      <c r="E3955" s="6" t="s">
        <v>218</v>
      </c>
      <c r="F3955" s="6" t="s">
        <v>46</v>
      </c>
      <c r="G3955" s="6" t="s">
        <v>16738</v>
      </c>
      <c r="H3955" s="7">
        <v>28.35</v>
      </c>
      <c r="I3955" s="19" t="s">
        <v>1888</v>
      </c>
      <c r="J3955" s="19" t="s">
        <v>16716</v>
      </c>
      <c r="K3955" s="5" t="s">
        <v>16739</v>
      </c>
      <c r="L3955" s="5" t="s">
        <v>16740</v>
      </c>
      <c r="M3955" s="5" t="s">
        <v>16741</v>
      </c>
      <c r="N3955" s="5" t="s">
        <v>16742</v>
      </c>
      <c r="O3955" s="5" t="s">
        <v>16721</v>
      </c>
      <c r="P3955" s="5" t="s">
        <v>16722</v>
      </c>
      <c r="Q3955" s="5" t="s">
        <v>16439</v>
      </c>
      <c r="R3955" s="5" t="s">
        <v>16723</v>
      </c>
      <c r="S3955" s="5" t="s">
        <v>16724</v>
      </c>
      <c r="T3955" s="5" t="s">
        <v>16725</v>
      </c>
      <c r="U3955" s="5" t="s">
        <v>16726</v>
      </c>
      <c r="V3955" s="5" t="s">
        <v>16727</v>
      </c>
      <c r="AG3955" s="14" t="s">
        <v>49</v>
      </c>
      <c r="AH3955" s="14" t="s">
        <v>12554</v>
      </c>
      <c r="AI3955" s="14" t="s">
        <v>55</v>
      </c>
      <c r="AJ3955" s="5" t="s">
        <v>16728</v>
      </c>
    </row>
    <row r="3956" spans="1:36">
      <c r="A3956" s="5" t="s">
        <v>16743</v>
      </c>
      <c r="B3956" s="5" t="s">
        <v>16737</v>
      </c>
      <c r="C3956" s="6" t="s">
        <v>43</v>
      </c>
      <c r="D3956" s="6" t="s">
        <v>850</v>
      </c>
      <c r="E3956" s="6" t="s">
        <v>10152</v>
      </c>
      <c r="F3956" s="6" t="s">
        <v>46</v>
      </c>
      <c r="G3956" s="6" t="s">
        <v>16744</v>
      </c>
      <c r="H3956" s="7">
        <v>28.35</v>
      </c>
      <c r="I3956" s="19" t="s">
        <v>1888</v>
      </c>
      <c r="J3956" s="19" t="s">
        <v>16716</v>
      </c>
      <c r="K3956" s="5" t="s">
        <v>16739</v>
      </c>
      <c r="L3956" s="5" t="s">
        <v>16740</v>
      </c>
      <c r="M3956" s="5" t="s">
        <v>16741</v>
      </c>
      <c r="N3956" s="5" t="s">
        <v>16742</v>
      </c>
      <c r="O3956" s="5" t="s">
        <v>16721</v>
      </c>
      <c r="P3956" s="5" t="s">
        <v>16722</v>
      </c>
      <c r="Q3956" s="5" t="s">
        <v>16439</v>
      </c>
      <c r="R3956" s="5" t="s">
        <v>16723</v>
      </c>
      <c r="S3956" s="5" t="s">
        <v>16724</v>
      </c>
      <c r="T3956" s="5" t="s">
        <v>16725</v>
      </c>
      <c r="U3956" s="5" t="s">
        <v>16726</v>
      </c>
      <c r="V3956" s="5" t="s">
        <v>16727</v>
      </c>
      <c r="AG3956" s="14" t="s">
        <v>55</v>
      </c>
      <c r="AH3956" s="14" t="s">
        <v>12554</v>
      </c>
      <c r="AI3956" s="14" t="s">
        <v>9965</v>
      </c>
      <c r="AJ3956" s="5" t="s">
        <v>16599</v>
      </c>
    </row>
    <row r="3957" spans="1:36">
      <c r="A3957" s="5" t="s">
        <v>16745</v>
      </c>
      <c r="B3957" s="5" t="s">
        <v>16746</v>
      </c>
      <c r="C3957" s="6" t="s">
        <v>43</v>
      </c>
      <c r="D3957" s="6" t="s">
        <v>850</v>
      </c>
      <c r="E3957" s="6" t="s">
        <v>218</v>
      </c>
      <c r="F3957" s="6" t="s">
        <v>46</v>
      </c>
      <c r="G3957" s="6" t="s">
        <v>2731</v>
      </c>
      <c r="H3957" s="7">
        <v>29.55</v>
      </c>
      <c r="I3957" s="19" t="s">
        <v>1888</v>
      </c>
      <c r="J3957" s="19" t="s">
        <v>16716</v>
      </c>
      <c r="K3957" s="5" t="s">
        <v>16747</v>
      </c>
      <c r="L3957" s="5" t="s">
        <v>16748</v>
      </c>
      <c r="M3957" s="5" t="s">
        <v>16749</v>
      </c>
      <c r="N3957" s="5" t="s">
        <v>16750</v>
      </c>
      <c r="O3957" s="5" t="s">
        <v>16721</v>
      </c>
      <c r="P3957" s="5" t="s">
        <v>16722</v>
      </c>
      <c r="Q3957" s="5" t="s">
        <v>16439</v>
      </c>
      <c r="R3957" s="5" t="s">
        <v>16723</v>
      </c>
      <c r="S3957" s="5" t="s">
        <v>16724</v>
      </c>
      <c r="T3957" s="5" t="s">
        <v>16725</v>
      </c>
      <c r="U3957" s="5" t="s">
        <v>16726</v>
      </c>
      <c r="V3957" s="5" t="s">
        <v>16727</v>
      </c>
      <c r="AG3957" s="14" t="s">
        <v>49</v>
      </c>
      <c r="AH3957" s="14" t="s">
        <v>12554</v>
      </c>
      <c r="AI3957" s="14" t="s">
        <v>55</v>
      </c>
      <c r="AJ3957" s="5" t="s">
        <v>16728</v>
      </c>
    </row>
    <row r="3958" spans="1:36">
      <c r="A3958" s="5" t="s">
        <v>16751</v>
      </c>
      <c r="B3958" s="5" t="s">
        <v>16746</v>
      </c>
      <c r="C3958" s="6" t="s">
        <v>43</v>
      </c>
      <c r="D3958" s="6" t="s">
        <v>850</v>
      </c>
      <c r="E3958" s="6" t="s">
        <v>10152</v>
      </c>
      <c r="F3958" s="6" t="s">
        <v>46</v>
      </c>
      <c r="G3958" s="6" t="s">
        <v>1463</v>
      </c>
      <c r="H3958" s="7">
        <v>29.55</v>
      </c>
      <c r="I3958" s="19" t="s">
        <v>1888</v>
      </c>
      <c r="J3958" s="19" t="s">
        <v>16716</v>
      </c>
      <c r="K3958" s="5" t="s">
        <v>16747</v>
      </c>
      <c r="L3958" s="5" t="s">
        <v>16748</v>
      </c>
      <c r="M3958" s="5" t="s">
        <v>16749</v>
      </c>
      <c r="N3958" s="5" t="s">
        <v>16752</v>
      </c>
      <c r="O3958" s="5" t="s">
        <v>16721</v>
      </c>
      <c r="P3958" s="5" t="s">
        <v>16722</v>
      </c>
      <c r="Q3958" s="5" t="s">
        <v>16439</v>
      </c>
      <c r="R3958" s="5" t="s">
        <v>16723</v>
      </c>
      <c r="S3958" s="5" t="s">
        <v>16724</v>
      </c>
      <c r="T3958" s="5" t="s">
        <v>16725</v>
      </c>
      <c r="U3958" s="5" t="s">
        <v>16726</v>
      </c>
      <c r="V3958" s="5" t="s">
        <v>16727</v>
      </c>
      <c r="AG3958" s="14" t="s">
        <v>55</v>
      </c>
      <c r="AH3958" s="14" t="s">
        <v>12554</v>
      </c>
      <c r="AI3958" s="14" t="s">
        <v>9965</v>
      </c>
      <c r="AJ3958" s="5" t="s">
        <v>16599</v>
      </c>
    </row>
    <row r="3959" spans="1:36">
      <c r="A3959" s="5" t="s">
        <v>16753</v>
      </c>
      <c r="B3959" s="5" t="s">
        <v>16754</v>
      </c>
      <c r="C3959" s="6" t="s">
        <v>43</v>
      </c>
      <c r="D3959" s="6" t="s">
        <v>850</v>
      </c>
      <c r="E3959" s="6" t="s">
        <v>218</v>
      </c>
      <c r="F3959" s="6" t="s">
        <v>46</v>
      </c>
      <c r="G3959" s="6" t="s">
        <v>4439</v>
      </c>
      <c r="H3959" s="7">
        <v>38.25</v>
      </c>
      <c r="I3959" s="19" t="s">
        <v>1888</v>
      </c>
      <c r="J3959" s="19" t="s">
        <v>16716</v>
      </c>
      <c r="K3959" s="5" t="s">
        <v>16755</v>
      </c>
      <c r="L3959" s="5" t="s">
        <v>16756</v>
      </c>
      <c r="M3959" s="5" t="s">
        <v>16757</v>
      </c>
      <c r="N3959" s="5" t="s">
        <v>16752</v>
      </c>
      <c r="O3959" s="5" t="s">
        <v>16721</v>
      </c>
      <c r="P3959" s="5" t="s">
        <v>16722</v>
      </c>
      <c r="Q3959" s="5" t="s">
        <v>16439</v>
      </c>
      <c r="R3959" s="5" t="s">
        <v>16723</v>
      </c>
      <c r="S3959" s="5" t="s">
        <v>16724</v>
      </c>
      <c r="T3959" s="5" t="s">
        <v>16725</v>
      </c>
      <c r="U3959" s="5" t="s">
        <v>16726</v>
      </c>
      <c r="V3959" s="5" t="s">
        <v>16727</v>
      </c>
      <c r="AG3959" s="14" t="s">
        <v>49</v>
      </c>
      <c r="AH3959" s="14" t="s">
        <v>12554</v>
      </c>
      <c r="AI3959" s="14" t="s">
        <v>55</v>
      </c>
      <c r="AJ3959" s="5" t="s">
        <v>16728</v>
      </c>
    </row>
    <row r="3960" spans="1:36">
      <c r="A3960" s="5" t="s">
        <v>16758</v>
      </c>
      <c r="B3960" s="5" t="s">
        <v>16754</v>
      </c>
      <c r="C3960" s="6" t="s">
        <v>43</v>
      </c>
      <c r="D3960" s="6" t="s">
        <v>850</v>
      </c>
      <c r="E3960" s="6" t="s">
        <v>10152</v>
      </c>
      <c r="F3960" s="6" t="s">
        <v>46</v>
      </c>
      <c r="G3960" s="6" t="s">
        <v>16759</v>
      </c>
      <c r="H3960" s="7">
        <v>38.25</v>
      </c>
      <c r="I3960" s="19" t="s">
        <v>1888</v>
      </c>
      <c r="J3960" s="19" t="s">
        <v>16716</v>
      </c>
      <c r="K3960" s="5" t="s">
        <v>16755</v>
      </c>
      <c r="L3960" s="5" t="s">
        <v>16756</v>
      </c>
      <c r="M3960" s="5" t="s">
        <v>16757</v>
      </c>
      <c r="N3960" s="5" t="s">
        <v>16752</v>
      </c>
      <c r="O3960" s="5" t="s">
        <v>16721</v>
      </c>
      <c r="P3960" s="5" t="s">
        <v>16722</v>
      </c>
      <c r="Q3960" s="5" t="s">
        <v>16439</v>
      </c>
      <c r="R3960" s="5" t="s">
        <v>16723</v>
      </c>
      <c r="S3960" s="5" t="s">
        <v>16724</v>
      </c>
      <c r="T3960" s="5" t="s">
        <v>16725</v>
      </c>
      <c r="U3960" s="5" t="s">
        <v>16726</v>
      </c>
      <c r="V3960" s="5" t="s">
        <v>16727</v>
      </c>
      <c r="AG3960" s="14" t="s">
        <v>55</v>
      </c>
      <c r="AH3960" s="14" t="s">
        <v>12554</v>
      </c>
      <c r="AI3960" s="14" t="s">
        <v>9965</v>
      </c>
      <c r="AJ3960" s="5" t="s">
        <v>16599</v>
      </c>
    </row>
    <row r="3961" spans="1:36">
      <c r="A3961" s="5" t="s">
        <v>16760</v>
      </c>
      <c r="B3961" s="5" t="s">
        <v>16761</v>
      </c>
      <c r="C3961" s="6" t="s">
        <v>43</v>
      </c>
      <c r="D3961" s="6" t="s">
        <v>850</v>
      </c>
      <c r="E3961" s="6" t="s">
        <v>218</v>
      </c>
      <c r="F3961" s="6" t="s">
        <v>46</v>
      </c>
      <c r="G3961" s="6" t="s">
        <v>10671</v>
      </c>
      <c r="H3961" s="7">
        <v>44.95</v>
      </c>
      <c r="I3961" s="19" t="s">
        <v>1888</v>
      </c>
      <c r="J3961" s="19" t="s">
        <v>16716</v>
      </c>
      <c r="K3961" s="5" t="s">
        <v>16762</v>
      </c>
      <c r="L3961" s="5" t="s">
        <v>16763</v>
      </c>
      <c r="M3961" s="5" t="s">
        <v>16764</v>
      </c>
      <c r="N3961" s="5" t="s">
        <v>16765</v>
      </c>
      <c r="O3961" s="5" t="s">
        <v>16721</v>
      </c>
      <c r="P3961" s="5" t="s">
        <v>16722</v>
      </c>
      <c r="Q3961" s="5" t="s">
        <v>16439</v>
      </c>
      <c r="R3961" s="5" t="s">
        <v>16723</v>
      </c>
      <c r="S3961" s="5" t="s">
        <v>16724</v>
      </c>
      <c r="T3961" s="5" t="s">
        <v>16725</v>
      </c>
      <c r="U3961" s="5" t="s">
        <v>16726</v>
      </c>
      <c r="V3961" s="5" t="s">
        <v>16727</v>
      </c>
      <c r="AG3961" s="14" t="s">
        <v>49</v>
      </c>
      <c r="AH3961" s="14" t="s">
        <v>12554</v>
      </c>
      <c r="AI3961" s="14" t="s">
        <v>55</v>
      </c>
      <c r="AJ3961" s="5" t="s">
        <v>16728</v>
      </c>
    </row>
    <row r="3962" spans="1:36">
      <c r="A3962" s="5" t="s">
        <v>16766</v>
      </c>
      <c r="B3962" s="5" t="s">
        <v>16761</v>
      </c>
      <c r="C3962" s="6" t="s">
        <v>43</v>
      </c>
      <c r="D3962" s="6" t="s">
        <v>850</v>
      </c>
      <c r="E3962" s="6" t="s">
        <v>10152</v>
      </c>
      <c r="F3962" s="6" t="s">
        <v>46</v>
      </c>
      <c r="G3962" s="6" t="s">
        <v>16767</v>
      </c>
      <c r="H3962" s="7">
        <v>44.95</v>
      </c>
      <c r="I3962" s="19" t="s">
        <v>1888</v>
      </c>
      <c r="J3962" s="19" t="s">
        <v>16716</v>
      </c>
      <c r="K3962" s="5" t="s">
        <v>16762</v>
      </c>
      <c r="L3962" s="5" t="s">
        <v>16763</v>
      </c>
      <c r="M3962" s="5" t="s">
        <v>16764</v>
      </c>
      <c r="N3962" s="5" t="s">
        <v>16765</v>
      </c>
      <c r="O3962" s="5" t="s">
        <v>16721</v>
      </c>
      <c r="P3962" s="5" t="s">
        <v>16722</v>
      </c>
      <c r="Q3962" s="5" t="s">
        <v>16439</v>
      </c>
      <c r="R3962" s="5" t="s">
        <v>16723</v>
      </c>
      <c r="S3962" s="5" t="s">
        <v>16724</v>
      </c>
      <c r="T3962" s="5" t="s">
        <v>16725</v>
      </c>
      <c r="U3962" s="5" t="s">
        <v>16726</v>
      </c>
      <c r="V3962" s="5" t="s">
        <v>16727</v>
      </c>
      <c r="AG3962" s="14" t="s">
        <v>55</v>
      </c>
      <c r="AH3962" s="14" t="s">
        <v>12554</v>
      </c>
      <c r="AI3962" s="14" t="s">
        <v>9965</v>
      </c>
      <c r="AJ3962" s="5" t="s">
        <v>16599</v>
      </c>
    </row>
    <row r="3963" spans="1:36">
      <c r="A3963" s="5" t="s">
        <v>16768</v>
      </c>
      <c r="B3963" s="5" t="s">
        <v>16769</v>
      </c>
      <c r="C3963" s="6" t="s">
        <v>43</v>
      </c>
      <c r="D3963" s="6" t="s">
        <v>850</v>
      </c>
      <c r="E3963" s="6" t="s">
        <v>218</v>
      </c>
      <c r="F3963" s="6" t="s">
        <v>46</v>
      </c>
      <c r="G3963" s="6" t="s">
        <v>5017</v>
      </c>
      <c r="H3963" s="7">
        <v>54.75</v>
      </c>
      <c r="I3963" s="19" t="s">
        <v>1888</v>
      </c>
      <c r="J3963" s="19" t="s">
        <v>16716</v>
      </c>
      <c r="K3963" s="5" t="s">
        <v>16770</v>
      </c>
      <c r="L3963" s="5" t="s">
        <v>16771</v>
      </c>
      <c r="M3963" s="5" t="s">
        <v>16772</v>
      </c>
      <c r="N3963" s="5" t="s">
        <v>16773</v>
      </c>
      <c r="O3963" s="5" t="s">
        <v>16721</v>
      </c>
      <c r="P3963" s="5" t="s">
        <v>16722</v>
      </c>
      <c r="Q3963" s="5" t="s">
        <v>16439</v>
      </c>
      <c r="R3963" s="5" t="s">
        <v>16723</v>
      </c>
      <c r="S3963" s="5" t="s">
        <v>16724</v>
      </c>
      <c r="T3963" s="5" t="s">
        <v>16725</v>
      </c>
      <c r="U3963" s="5" t="s">
        <v>16726</v>
      </c>
      <c r="V3963" s="5" t="s">
        <v>16727</v>
      </c>
      <c r="AG3963" s="14" t="s">
        <v>49</v>
      </c>
      <c r="AH3963" s="14" t="s">
        <v>12554</v>
      </c>
      <c r="AI3963" s="14" t="s">
        <v>55</v>
      </c>
      <c r="AJ3963" s="5" t="s">
        <v>16728</v>
      </c>
    </row>
    <row r="3964" spans="1:36">
      <c r="A3964" s="5" t="s">
        <v>16774</v>
      </c>
      <c r="B3964" s="5" t="s">
        <v>16775</v>
      </c>
      <c r="C3964" s="6" t="s">
        <v>43</v>
      </c>
      <c r="D3964" s="6" t="s">
        <v>850</v>
      </c>
      <c r="E3964" s="6" t="s">
        <v>218</v>
      </c>
      <c r="F3964" s="6" t="s">
        <v>46</v>
      </c>
      <c r="G3964" s="6" t="s">
        <v>16776</v>
      </c>
      <c r="H3964" s="7">
        <v>44.95</v>
      </c>
      <c r="I3964" s="19" t="s">
        <v>1888</v>
      </c>
      <c r="J3964" s="19" t="s">
        <v>16716</v>
      </c>
      <c r="K3964" s="5" t="s">
        <v>16762</v>
      </c>
      <c r="L3964" s="5" t="s">
        <v>16763</v>
      </c>
      <c r="M3964" s="5" t="s">
        <v>16764</v>
      </c>
      <c r="N3964" s="5" t="s">
        <v>16765</v>
      </c>
      <c r="O3964" s="5" t="s">
        <v>16721</v>
      </c>
      <c r="P3964" s="5" t="s">
        <v>16722</v>
      </c>
      <c r="Q3964" s="5" t="s">
        <v>16439</v>
      </c>
      <c r="R3964" s="5" t="s">
        <v>16723</v>
      </c>
      <c r="S3964" s="5" t="s">
        <v>16724</v>
      </c>
      <c r="T3964" s="5" t="s">
        <v>16725</v>
      </c>
      <c r="U3964" s="5" t="s">
        <v>16726</v>
      </c>
      <c r="V3964" s="5" t="s">
        <v>16727</v>
      </c>
      <c r="AG3964" s="14" t="s">
        <v>49</v>
      </c>
      <c r="AH3964" s="14" t="s">
        <v>12554</v>
      </c>
      <c r="AI3964" s="14" t="s">
        <v>55</v>
      </c>
      <c r="AJ3964" s="5" t="s">
        <v>16728</v>
      </c>
    </row>
    <row r="3965" spans="1:36">
      <c r="A3965" s="5" t="s">
        <v>16777</v>
      </c>
      <c r="B3965" s="5" t="s">
        <v>16778</v>
      </c>
      <c r="C3965" s="6" t="s">
        <v>43</v>
      </c>
      <c r="D3965" s="6" t="s">
        <v>850</v>
      </c>
      <c r="E3965" s="6" t="s">
        <v>218</v>
      </c>
      <c r="F3965" s="6" t="s">
        <v>46</v>
      </c>
      <c r="G3965" s="6" t="s">
        <v>16779</v>
      </c>
      <c r="H3965" s="7">
        <v>38.25</v>
      </c>
      <c r="I3965" s="19" t="s">
        <v>1888</v>
      </c>
      <c r="J3965" s="19" t="s">
        <v>16716</v>
      </c>
      <c r="K3965" s="5" t="s">
        <v>16755</v>
      </c>
      <c r="L3965" s="5" t="s">
        <v>16756</v>
      </c>
      <c r="M3965" s="5" t="s">
        <v>16757</v>
      </c>
      <c r="N3965" s="5" t="s">
        <v>16752</v>
      </c>
      <c r="O3965" s="5" t="s">
        <v>16721</v>
      </c>
      <c r="P3965" s="5" t="s">
        <v>16722</v>
      </c>
      <c r="Q3965" s="5" t="s">
        <v>16439</v>
      </c>
      <c r="R3965" s="5" t="s">
        <v>16723</v>
      </c>
      <c r="S3965" s="5" t="s">
        <v>16724</v>
      </c>
      <c r="T3965" s="5" t="s">
        <v>16725</v>
      </c>
      <c r="U3965" s="5" t="s">
        <v>16726</v>
      </c>
      <c r="V3965" s="5" t="s">
        <v>16727</v>
      </c>
      <c r="AG3965" s="14" t="s">
        <v>49</v>
      </c>
      <c r="AH3965" s="14" t="s">
        <v>12554</v>
      </c>
      <c r="AI3965" s="14" t="s">
        <v>55</v>
      </c>
      <c r="AJ3965" s="5" t="s">
        <v>16728</v>
      </c>
    </row>
    <row r="3966" spans="1:36">
      <c r="A3966" s="5" t="s">
        <v>16780</v>
      </c>
      <c r="B3966" s="5" t="s">
        <v>16781</v>
      </c>
      <c r="C3966" s="6" t="s">
        <v>43</v>
      </c>
      <c r="D3966" s="6" t="s">
        <v>850</v>
      </c>
      <c r="E3966" s="6" t="s">
        <v>218</v>
      </c>
      <c r="F3966" s="6" t="s">
        <v>46</v>
      </c>
      <c r="G3966" s="6" t="s">
        <v>16782</v>
      </c>
      <c r="H3966" s="7">
        <v>66.599999999999994</v>
      </c>
      <c r="I3966" s="19" t="s">
        <v>1888</v>
      </c>
      <c r="J3966" s="19" t="s">
        <v>16716</v>
      </c>
      <c r="K3966" s="5" t="s">
        <v>16783</v>
      </c>
      <c r="L3966" s="5" t="s">
        <v>16784</v>
      </c>
      <c r="M3966" s="5" t="s">
        <v>16785</v>
      </c>
      <c r="N3966" s="5" t="s">
        <v>16786</v>
      </c>
      <c r="O3966" s="5" t="s">
        <v>16721</v>
      </c>
      <c r="P3966" s="5" t="s">
        <v>16722</v>
      </c>
      <c r="Q3966" s="5" t="s">
        <v>16439</v>
      </c>
      <c r="R3966" s="5" t="s">
        <v>16723</v>
      </c>
      <c r="S3966" s="5" t="s">
        <v>16724</v>
      </c>
      <c r="T3966" s="5" t="s">
        <v>16725</v>
      </c>
      <c r="U3966" s="5" t="s">
        <v>16726</v>
      </c>
      <c r="V3966" s="5" t="s">
        <v>16727</v>
      </c>
      <c r="AG3966" s="14" t="s">
        <v>49</v>
      </c>
      <c r="AH3966" s="14" t="s">
        <v>12554</v>
      </c>
      <c r="AI3966" s="14" t="s">
        <v>55</v>
      </c>
      <c r="AJ3966" s="5" t="s">
        <v>16728</v>
      </c>
    </row>
    <row r="3967" spans="1:36">
      <c r="A3967" s="5" t="s">
        <v>16787</v>
      </c>
      <c r="B3967" s="5" t="s">
        <v>16781</v>
      </c>
      <c r="C3967" s="6" t="s">
        <v>43</v>
      </c>
      <c r="D3967" s="6" t="s">
        <v>850</v>
      </c>
      <c r="E3967" s="6" t="s">
        <v>10152</v>
      </c>
      <c r="F3967" s="6" t="s">
        <v>46</v>
      </c>
      <c r="G3967" s="6" t="s">
        <v>4788</v>
      </c>
      <c r="H3967" s="7">
        <v>66.599999999999994</v>
      </c>
      <c r="I3967" s="19" t="s">
        <v>1888</v>
      </c>
      <c r="J3967" s="19" t="s">
        <v>16716</v>
      </c>
      <c r="K3967" s="5" t="s">
        <v>16783</v>
      </c>
      <c r="L3967" s="5" t="s">
        <v>16784</v>
      </c>
      <c r="M3967" s="5" t="s">
        <v>16785</v>
      </c>
      <c r="N3967" s="5" t="s">
        <v>16786</v>
      </c>
      <c r="O3967" s="5" t="s">
        <v>16721</v>
      </c>
      <c r="P3967" s="5" t="s">
        <v>16722</v>
      </c>
      <c r="Q3967" s="5" t="s">
        <v>16439</v>
      </c>
      <c r="R3967" s="5" t="s">
        <v>16723</v>
      </c>
      <c r="S3967" s="5" t="s">
        <v>16724</v>
      </c>
      <c r="T3967" s="5" t="s">
        <v>16725</v>
      </c>
      <c r="U3967" s="5" t="s">
        <v>16726</v>
      </c>
      <c r="V3967" s="5" t="s">
        <v>16727</v>
      </c>
      <c r="AG3967" s="14" t="s">
        <v>55</v>
      </c>
      <c r="AH3967" s="14" t="s">
        <v>12554</v>
      </c>
      <c r="AI3967" s="14" t="s">
        <v>9965</v>
      </c>
      <c r="AJ3967" s="5" t="s">
        <v>16599</v>
      </c>
    </row>
    <row r="3968" spans="1:36">
      <c r="A3968" s="5" t="s">
        <v>16788</v>
      </c>
      <c r="B3968" s="5" t="s">
        <v>16789</v>
      </c>
      <c r="C3968" s="6" t="s">
        <v>43</v>
      </c>
      <c r="D3968" s="6" t="s">
        <v>850</v>
      </c>
      <c r="E3968" s="6" t="s">
        <v>218</v>
      </c>
      <c r="F3968" s="6" t="s">
        <v>46</v>
      </c>
      <c r="G3968" s="6" t="s">
        <v>16790</v>
      </c>
      <c r="H3968" s="7">
        <v>86.3</v>
      </c>
      <c r="I3968" s="19" t="s">
        <v>1888</v>
      </c>
      <c r="J3968" s="19" t="s">
        <v>16716</v>
      </c>
      <c r="K3968" s="5" t="s">
        <v>16791</v>
      </c>
      <c r="L3968" s="5" t="s">
        <v>16792</v>
      </c>
      <c r="M3968" s="5" t="s">
        <v>16793</v>
      </c>
      <c r="N3968" s="5" t="s">
        <v>16794</v>
      </c>
      <c r="O3968" s="5" t="s">
        <v>16721</v>
      </c>
      <c r="P3968" s="5" t="s">
        <v>16722</v>
      </c>
      <c r="Q3968" s="5" t="s">
        <v>16439</v>
      </c>
      <c r="R3968" s="5" t="s">
        <v>16723</v>
      </c>
      <c r="S3968" s="5" t="s">
        <v>16724</v>
      </c>
      <c r="T3968" s="5" t="s">
        <v>16725</v>
      </c>
      <c r="U3968" s="5" t="s">
        <v>16726</v>
      </c>
      <c r="V3968" s="5" t="s">
        <v>16727</v>
      </c>
      <c r="AG3968" s="14" t="s">
        <v>49</v>
      </c>
      <c r="AH3968" s="14" t="s">
        <v>12554</v>
      </c>
      <c r="AI3968" s="14" t="s">
        <v>55</v>
      </c>
      <c r="AJ3968" s="5" t="s">
        <v>16728</v>
      </c>
    </row>
    <row r="3969" spans="1:37">
      <c r="A3969" s="5" t="s">
        <v>16795</v>
      </c>
      <c r="B3969" s="5" t="s">
        <v>16789</v>
      </c>
      <c r="C3969" s="6" t="s">
        <v>43</v>
      </c>
      <c r="D3969" s="6" t="s">
        <v>850</v>
      </c>
      <c r="E3969" s="6" t="s">
        <v>10152</v>
      </c>
      <c r="F3969" s="6" t="s">
        <v>46</v>
      </c>
      <c r="G3969" s="6" t="s">
        <v>16796</v>
      </c>
      <c r="H3969" s="7">
        <v>86.3</v>
      </c>
      <c r="I3969" s="19" t="s">
        <v>1888</v>
      </c>
      <c r="J3969" s="19" t="s">
        <v>16716</v>
      </c>
      <c r="K3969" s="5" t="s">
        <v>16791</v>
      </c>
      <c r="L3969" s="5" t="s">
        <v>16792</v>
      </c>
      <c r="M3969" s="5" t="s">
        <v>16793</v>
      </c>
      <c r="N3969" s="5" t="s">
        <v>16794</v>
      </c>
      <c r="O3969" s="5" t="s">
        <v>16721</v>
      </c>
      <c r="P3969" s="5" t="s">
        <v>16722</v>
      </c>
      <c r="Q3969" s="5" t="s">
        <v>16439</v>
      </c>
      <c r="R3969" s="5" t="s">
        <v>16723</v>
      </c>
      <c r="S3969" s="5" t="s">
        <v>16724</v>
      </c>
      <c r="T3969" s="5" t="s">
        <v>16725</v>
      </c>
      <c r="U3969" s="5" t="s">
        <v>16726</v>
      </c>
      <c r="V3969" s="5" t="s">
        <v>16727</v>
      </c>
      <c r="AG3969" s="14" t="s">
        <v>55</v>
      </c>
      <c r="AH3969" s="14" t="s">
        <v>12554</v>
      </c>
      <c r="AI3969" s="14" t="s">
        <v>9965</v>
      </c>
      <c r="AJ3969" s="5" t="s">
        <v>16599</v>
      </c>
    </row>
    <row r="3970" spans="1:37">
      <c r="A3970" s="5" t="s">
        <v>16797</v>
      </c>
      <c r="B3970" s="5" t="s">
        <v>16798</v>
      </c>
      <c r="C3970" s="6" t="s">
        <v>43</v>
      </c>
      <c r="D3970" s="6" t="s">
        <v>850</v>
      </c>
      <c r="E3970" s="6" t="s">
        <v>218</v>
      </c>
      <c r="F3970" s="6" t="s">
        <v>46</v>
      </c>
      <c r="G3970" s="6" t="s">
        <v>16799</v>
      </c>
      <c r="H3970" s="7">
        <v>111.6</v>
      </c>
      <c r="I3970" s="19" t="s">
        <v>1888</v>
      </c>
      <c r="J3970" s="19" t="s">
        <v>16716</v>
      </c>
      <c r="K3970" s="5" t="s">
        <v>16800</v>
      </c>
      <c r="L3970" s="5" t="s">
        <v>16801</v>
      </c>
      <c r="M3970" s="5" t="s">
        <v>16802</v>
      </c>
      <c r="N3970" s="5" t="s">
        <v>16803</v>
      </c>
      <c r="O3970" s="5" t="s">
        <v>16721</v>
      </c>
      <c r="P3970" s="5" t="s">
        <v>16722</v>
      </c>
      <c r="Q3970" s="5" t="s">
        <v>16439</v>
      </c>
      <c r="R3970" s="5" t="s">
        <v>16723</v>
      </c>
      <c r="S3970" s="5" t="s">
        <v>16724</v>
      </c>
      <c r="T3970" s="5" t="s">
        <v>16725</v>
      </c>
      <c r="U3970" s="5" t="s">
        <v>16726</v>
      </c>
      <c r="V3970" s="5" t="s">
        <v>16727</v>
      </c>
      <c r="AG3970" s="14" t="s">
        <v>49</v>
      </c>
      <c r="AH3970" s="14" t="s">
        <v>12554</v>
      </c>
      <c r="AI3970" s="14" t="s">
        <v>55</v>
      </c>
      <c r="AJ3970" s="5" t="s">
        <v>16728</v>
      </c>
    </row>
    <row r="3971" spans="1:37">
      <c r="A3971" s="5" t="s">
        <v>16804</v>
      </c>
      <c r="B3971" s="5" t="s">
        <v>16798</v>
      </c>
      <c r="C3971" s="6" t="s">
        <v>43</v>
      </c>
      <c r="D3971" s="6" t="s">
        <v>850</v>
      </c>
      <c r="E3971" s="6" t="s">
        <v>10152</v>
      </c>
      <c r="F3971" s="6" t="s">
        <v>46</v>
      </c>
      <c r="G3971" s="6" t="s">
        <v>16805</v>
      </c>
      <c r="H3971" s="7">
        <v>111.6</v>
      </c>
      <c r="I3971" s="19" t="s">
        <v>1888</v>
      </c>
      <c r="J3971" s="19" t="s">
        <v>16716</v>
      </c>
      <c r="K3971" s="5" t="s">
        <v>16800</v>
      </c>
      <c r="L3971" s="5" t="s">
        <v>16801</v>
      </c>
      <c r="M3971" s="5" t="s">
        <v>16802</v>
      </c>
      <c r="N3971" s="5" t="s">
        <v>16803</v>
      </c>
      <c r="O3971" s="5" t="s">
        <v>16721</v>
      </c>
      <c r="P3971" s="5" t="s">
        <v>16722</v>
      </c>
      <c r="Q3971" s="5" t="s">
        <v>16439</v>
      </c>
      <c r="R3971" s="5" t="s">
        <v>16723</v>
      </c>
      <c r="S3971" s="5" t="s">
        <v>16724</v>
      </c>
      <c r="T3971" s="5" t="s">
        <v>16725</v>
      </c>
      <c r="U3971" s="5" t="s">
        <v>16726</v>
      </c>
      <c r="V3971" s="5" t="s">
        <v>16727</v>
      </c>
      <c r="AG3971" s="14" t="s">
        <v>55</v>
      </c>
      <c r="AH3971" s="14" t="s">
        <v>12554</v>
      </c>
      <c r="AI3971" s="14" t="s">
        <v>9965</v>
      </c>
      <c r="AJ3971" s="5" t="s">
        <v>16599</v>
      </c>
    </row>
    <row r="3972" spans="1:37">
      <c r="A3972" s="5" t="s">
        <v>16806</v>
      </c>
      <c r="B3972" s="5" t="s">
        <v>16807</v>
      </c>
      <c r="C3972" s="6" t="s">
        <v>43</v>
      </c>
      <c r="D3972" s="6" t="s">
        <v>850</v>
      </c>
      <c r="E3972" s="6" t="s">
        <v>218</v>
      </c>
      <c r="F3972" s="6" t="s">
        <v>46</v>
      </c>
      <c r="G3972" s="6" t="s">
        <v>16808</v>
      </c>
      <c r="H3972" s="7">
        <v>137.1</v>
      </c>
      <c r="I3972" s="19" t="s">
        <v>1888</v>
      </c>
      <c r="J3972" s="19" t="s">
        <v>16716</v>
      </c>
      <c r="K3972" s="5" t="s">
        <v>16809</v>
      </c>
      <c r="L3972" s="5" t="s">
        <v>16810</v>
      </c>
      <c r="M3972" s="5" t="s">
        <v>16811</v>
      </c>
      <c r="N3972" s="5" t="s">
        <v>16812</v>
      </c>
      <c r="O3972" s="5" t="s">
        <v>16721</v>
      </c>
      <c r="P3972" s="5" t="s">
        <v>16722</v>
      </c>
      <c r="Q3972" s="5" t="s">
        <v>16439</v>
      </c>
      <c r="R3972" s="5" t="s">
        <v>16723</v>
      </c>
      <c r="S3972" s="5" t="s">
        <v>16724</v>
      </c>
      <c r="T3972" s="5" t="s">
        <v>16725</v>
      </c>
      <c r="U3972" s="5" t="s">
        <v>16726</v>
      </c>
      <c r="V3972" s="5" t="s">
        <v>16727</v>
      </c>
      <c r="AG3972" s="14" t="s">
        <v>49</v>
      </c>
      <c r="AH3972" s="14" t="s">
        <v>12554</v>
      </c>
      <c r="AI3972" s="14" t="s">
        <v>55</v>
      </c>
      <c r="AJ3972" s="5" t="s">
        <v>16728</v>
      </c>
    </row>
    <row r="3973" spans="1:37">
      <c r="A3973" s="6" t="s">
        <v>16813</v>
      </c>
      <c r="B3973" s="6" t="s">
        <v>16814</v>
      </c>
      <c r="C3973" s="6" t="s">
        <v>43</v>
      </c>
      <c r="D3973" s="6" t="s">
        <v>850</v>
      </c>
      <c r="E3973" s="6" t="s">
        <v>11106</v>
      </c>
      <c r="F3973" s="6" t="s">
        <v>46</v>
      </c>
      <c r="G3973" s="6" t="s">
        <v>16815</v>
      </c>
      <c r="I3973" s="19" t="s">
        <v>48</v>
      </c>
      <c r="J3973" s="19" t="s">
        <v>48</v>
      </c>
      <c r="K3973" s="6"/>
      <c r="L3973" s="6"/>
      <c r="M3973" s="6"/>
      <c r="N3973" s="6"/>
      <c r="O3973" s="6"/>
      <c r="P3973" s="6"/>
      <c r="Q3973" s="6"/>
      <c r="R3973" s="6"/>
      <c r="S3973" s="6"/>
      <c r="T3973" s="6"/>
      <c r="U3973" s="6"/>
      <c r="V3973" s="6"/>
      <c r="W3973" s="6"/>
      <c r="X3973" s="6"/>
      <c r="Y3973" s="6"/>
      <c r="Z3973" s="6"/>
      <c r="AA3973" s="6"/>
      <c r="AB3973" s="6"/>
      <c r="AC3973" s="6"/>
      <c r="AD3973" s="6"/>
      <c r="AE3973" s="6"/>
      <c r="AF3973" s="6"/>
      <c r="AG3973" s="15" t="s">
        <v>55</v>
      </c>
      <c r="AH3973" s="15"/>
      <c r="AI3973" s="15"/>
      <c r="AJ3973" s="6"/>
      <c r="AK3973" s="6"/>
    </row>
    <row r="3974" spans="1:37" s="6" customFormat="1">
      <c r="A3974" s="6" t="s">
        <v>16816</v>
      </c>
      <c r="B3974" s="6" t="s">
        <v>16817</v>
      </c>
      <c r="C3974" s="6" t="s">
        <v>43</v>
      </c>
      <c r="D3974" s="6" t="s">
        <v>1545</v>
      </c>
      <c r="E3974" s="6" t="s">
        <v>16818</v>
      </c>
      <c r="F3974" s="6" t="s">
        <v>46</v>
      </c>
      <c r="G3974" s="6" t="s">
        <v>16819</v>
      </c>
      <c r="H3974" s="7"/>
      <c r="I3974" s="16" t="s">
        <v>48</v>
      </c>
      <c r="J3974" s="16" t="s">
        <v>48</v>
      </c>
      <c r="AG3974" s="15" t="s">
        <v>55</v>
      </c>
      <c r="AH3974" s="15"/>
      <c r="AI3974" s="15"/>
    </row>
    <row r="3975" spans="1:37" s="6" customFormat="1">
      <c r="A3975" s="5" t="s">
        <v>16820</v>
      </c>
      <c r="B3975" s="5" t="s">
        <v>16821</v>
      </c>
      <c r="C3975" s="6" t="s">
        <v>43</v>
      </c>
      <c r="D3975" s="6" t="s">
        <v>1545</v>
      </c>
      <c r="E3975" s="6" t="s">
        <v>16818</v>
      </c>
      <c r="F3975" s="6" t="s">
        <v>46</v>
      </c>
      <c r="G3975" s="6" t="s">
        <v>16822</v>
      </c>
      <c r="H3975" s="7">
        <v>759</v>
      </c>
      <c r="I3975" s="19" t="s">
        <v>1882</v>
      </c>
      <c r="J3975" s="19" t="s">
        <v>16823</v>
      </c>
      <c r="K3975" s="5"/>
      <c r="L3975" s="5"/>
      <c r="M3975" s="5"/>
      <c r="N3975" s="5"/>
      <c r="O3975" s="5"/>
      <c r="P3975" s="5"/>
      <c r="Q3975" s="5"/>
      <c r="R3975" s="5"/>
      <c r="S3975" s="5"/>
      <c r="T3975" s="5"/>
      <c r="U3975" s="5"/>
      <c r="V3975" s="5"/>
      <c r="W3975" s="5"/>
      <c r="X3975" s="5"/>
      <c r="Y3975" s="5"/>
      <c r="Z3975" s="5"/>
      <c r="AA3975" s="5"/>
      <c r="AB3975" s="5"/>
      <c r="AC3975" s="5"/>
      <c r="AD3975" s="5"/>
      <c r="AE3975" s="5"/>
      <c r="AF3975" s="5"/>
      <c r="AG3975" s="14" t="s">
        <v>55</v>
      </c>
      <c r="AH3975" s="14" t="s">
        <v>9768</v>
      </c>
      <c r="AI3975" s="14" t="s">
        <v>12073</v>
      </c>
      <c r="AJ3975" s="5" t="s">
        <v>12074</v>
      </c>
      <c r="AK3975" s="5"/>
    </row>
    <row r="3976" spans="1:37">
      <c r="A3976" s="5" t="s">
        <v>16824</v>
      </c>
      <c r="B3976" s="5" t="s">
        <v>16825</v>
      </c>
      <c r="C3976" s="6" t="s">
        <v>43</v>
      </c>
      <c r="D3976" s="6" t="s">
        <v>1545</v>
      </c>
      <c r="E3976" s="6" t="s">
        <v>16818</v>
      </c>
      <c r="F3976" s="6" t="s">
        <v>46</v>
      </c>
      <c r="G3976" s="6" t="s">
        <v>16826</v>
      </c>
      <c r="H3976" s="7">
        <v>435</v>
      </c>
      <c r="I3976" s="19" t="s">
        <v>1882</v>
      </c>
      <c r="J3976" s="19" t="s">
        <v>16823</v>
      </c>
      <c r="R3976" s="5"/>
      <c r="AG3976" s="14" t="s">
        <v>55</v>
      </c>
      <c r="AH3976" s="14" t="s">
        <v>9768</v>
      </c>
      <c r="AI3976" s="14" t="s">
        <v>12073</v>
      </c>
      <c r="AJ3976" s="5" t="s">
        <v>12074</v>
      </c>
    </row>
    <row r="3977" spans="1:37">
      <c r="A3977" s="6" t="s">
        <v>16827</v>
      </c>
      <c r="B3977" s="6" t="s">
        <v>16828</v>
      </c>
      <c r="C3977" s="6" t="s">
        <v>43</v>
      </c>
      <c r="D3977" s="6" t="s">
        <v>1545</v>
      </c>
      <c r="E3977" s="6" t="s">
        <v>16818</v>
      </c>
      <c r="F3977" s="6" t="s">
        <v>46</v>
      </c>
      <c r="G3977" s="6" t="s">
        <v>16829</v>
      </c>
      <c r="I3977" s="16" t="s">
        <v>48</v>
      </c>
      <c r="J3977" s="16" t="s">
        <v>48</v>
      </c>
      <c r="K3977" s="6"/>
      <c r="L3977" s="6"/>
      <c r="M3977" s="6"/>
      <c r="N3977" s="6"/>
      <c r="O3977" s="6"/>
      <c r="P3977" s="6"/>
      <c r="Q3977" s="6"/>
      <c r="R3977" s="6"/>
      <c r="S3977" s="6"/>
      <c r="T3977" s="6"/>
      <c r="U3977" s="6"/>
      <c r="V3977" s="6"/>
      <c r="W3977" s="6"/>
      <c r="X3977" s="6"/>
      <c r="Y3977" s="6"/>
      <c r="Z3977" s="6"/>
      <c r="AA3977" s="6"/>
      <c r="AB3977" s="6"/>
      <c r="AC3977" s="6"/>
      <c r="AD3977" s="6"/>
      <c r="AE3977" s="6"/>
      <c r="AF3977" s="6"/>
      <c r="AG3977" s="15" t="s">
        <v>55</v>
      </c>
      <c r="AH3977" s="15"/>
      <c r="AI3977" s="15"/>
      <c r="AJ3977" s="6"/>
      <c r="AK3977" s="6"/>
    </row>
    <row r="3978" spans="1:37" s="6" customFormat="1">
      <c r="A3978" s="5" t="s">
        <v>16830</v>
      </c>
      <c r="B3978" s="5" t="s">
        <v>16831</v>
      </c>
      <c r="C3978" s="6" t="s">
        <v>43</v>
      </c>
      <c r="D3978" s="6" t="s">
        <v>1545</v>
      </c>
      <c r="E3978" s="6" t="s">
        <v>16818</v>
      </c>
      <c r="F3978" s="6" t="s">
        <v>46</v>
      </c>
      <c r="G3978" s="6" t="s">
        <v>16832</v>
      </c>
      <c r="H3978" s="7">
        <v>501</v>
      </c>
      <c r="I3978" s="19" t="s">
        <v>1882</v>
      </c>
      <c r="J3978" s="19" t="s">
        <v>16823</v>
      </c>
      <c r="K3978" s="5"/>
      <c r="L3978" s="5"/>
      <c r="M3978" s="5"/>
      <c r="N3978" s="5"/>
      <c r="O3978" s="5"/>
      <c r="P3978" s="5"/>
      <c r="Q3978" s="5"/>
      <c r="R3978" s="5"/>
      <c r="S3978" s="5"/>
      <c r="T3978" s="5"/>
      <c r="U3978" s="5"/>
      <c r="V3978" s="5"/>
      <c r="W3978" s="5"/>
      <c r="X3978" s="5"/>
      <c r="Y3978" s="5"/>
      <c r="Z3978" s="5"/>
      <c r="AA3978" s="5"/>
      <c r="AB3978" s="5"/>
      <c r="AC3978" s="5"/>
      <c r="AD3978" s="5"/>
      <c r="AE3978" s="5"/>
      <c r="AF3978" s="5"/>
      <c r="AG3978" s="14" t="s">
        <v>55</v>
      </c>
      <c r="AH3978" s="14" t="s">
        <v>9768</v>
      </c>
      <c r="AI3978" s="14" t="s">
        <v>12073</v>
      </c>
      <c r="AJ3978" s="5" t="s">
        <v>12074</v>
      </c>
      <c r="AK3978" s="5"/>
    </row>
    <row r="3979" spans="1:37">
      <c r="A3979" s="5" t="s">
        <v>16833</v>
      </c>
      <c r="B3979" s="5" t="s">
        <v>16834</v>
      </c>
      <c r="C3979" s="6" t="s">
        <v>43</v>
      </c>
      <c r="D3979" s="6" t="s">
        <v>1545</v>
      </c>
      <c r="E3979" s="6" t="s">
        <v>16818</v>
      </c>
      <c r="F3979" s="6" t="s">
        <v>46</v>
      </c>
      <c r="G3979" s="6" t="s">
        <v>16835</v>
      </c>
      <c r="H3979" s="7">
        <v>180</v>
      </c>
      <c r="I3979" s="19" t="s">
        <v>1882</v>
      </c>
      <c r="J3979" s="19" t="s">
        <v>16836</v>
      </c>
      <c r="R3979" s="5"/>
      <c r="AG3979" s="14" t="s">
        <v>55</v>
      </c>
      <c r="AH3979" s="14" t="s">
        <v>55</v>
      </c>
      <c r="AI3979" s="14" t="s">
        <v>16837</v>
      </c>
      <c r="AJ3979" s="5" t="s">
        <v>16838</v>
      </c>
    </row>
    <row r="3980" spans="1:37">
      <c r="A3980" s="5" t="s">
        <v>16839</v>
      </c>
      <c r="B3980" s="5" t="s">
        <v>16840</v>
      </c>
      <c r="C3980" s="6" t="s">
        <v>43</v>
      </c>
      <c r="D3980" s="6" t="s">
        <v>1545</v>
      </c>
      <c r="E3980" s="6" t="s">
        <v>9920</v>
      </c>
      <c r="F3980" s="6" t="s">
        <v>46</v>
      </c>
      <c r="G3980" s="6" t="s">
        <v>16841</v>
      </c>
      <c r="H3980" s="7">
        <v>180</v>
      </c>
      <c r="I3980" s="19" t="s">
        <v>1882</v>
      </c>
      <c r="J3980" s="19" t="s">
        <v>16842</v>
      </c>
      <c r="R3980" s="5"/>
      <c r="AG3980" s="14" t="s">
        <v>55</v>
      </c>
      <c r="AH3980" s="14" t="s">
        <v>55</v>
      </c>
      <c r="AI3980" s="14" t="s">
        <v>16837</v>
      </c>
      <c r="AJ3980" s="5" t="s">
        <v>16838</v>
      </c>
    </row>
    <row r="3981" spans="1:37">
      <c r="A3981" s="6" t="s">
        <v>16843</v>
      </c>
      <c r="B3981" s="6" t="s">
        <v>16844</v>
      </c>
      <c r="C3981" s="6" t="s">
        <v>43</v>
      </c>
      <c r="D3981" s="6" t="s">
        <v>10937</v>
      </c>
      <c r="E3981" s="6" t="s">
        <v>10938</v>
      </c>
      <c r="F3981" s="6" t="s">
        <v>46</v>
      </c>
      <c r="G3981" s="6" t="s">
        <v>10606</v>
      </c>
      <c r="I3981" s="5" t="s">
        <v>48</v>
      </c>
      <c r="J3981" s="5" t="s">
        <v>48</v>
      </c>
      <c r="K3981" s="6"/>
      <c r="L3981" s="6"/>
      <c r="M3981" s="6"/>
      <c r="N3981" s="6"/>
      <c r="O3981" s="6"/>
      <c r="P3981" s="6"/>
      <c r="Q3981" s="6"/>
      <c r="R3981" s="6"/>
      <c r="S3981" s="6"/>
      <c r="T3981" s="6"/>
      <c r="U3981" s="6"/>
      <c r="V3981" s="6"/>
      <c r="W3981" s="6"/>
      <c r="X3981" s="6"/>
      <c r="Y3981" s="6"/>
      <c r="Z3981" s="6"/>
      <c r="AA3981" s="6"/>
      <c r="AB3981" s="6"/>
      <c r="AC3981" s="6"/>
      <c r="AD3981" s="6"/>
      <c r="AE3981" s="6"/>
      <c r="AF3981" s="6"/>
      <c r="AG3981" s="15" t="s">
        <v>55</v>
      </c>
      <c r="AH3981" s="15"/>
      <c r="AI3981" s="15"/>
      <c r="AJ3981" s="6"/>
      <c r="AK3981" s="6"/>
    </row>
    <row r="3982" spans="1:37" s="6" customFormat="1">
      <c r="A3982" s="6" t="s">
        <v>16845</v>
      </c>
      <c r="B3982" s="6" t="s">
        <v>16846</v>
      </c>
      <c r="C3982" s="6" t="s">
        <v>43</v>
      </c>
      <c r="D3982" s="6" t="s">
        <v>10937</v>
      </c>
      <c r="E3982" s="6" t="s">
        <v>10938</v>
      </c>
      <c r="F3982" s="6" t="s">
        <v>46</v>
      </c>
      <c r="G3982" s="6" t="s">
        <v>16847</v>
      </c>
      <c r="H3982" s="7"/>
      <c r="I3982" s="6" t="s">
        <v>48</v>
      </c>
      <c r="J3982" s="6" t="s">
        <v>48</v>
      </c>
      <c r="AG3982" s="15" t="s">
        <v>55</v>
      </c>
      <c r="AH3982" s="15"/>
      <c r="AI3982" s="15"/>
    </row>
    <row r="3983" spans="1:37" s="6" customFormat="1">
      <c r="A3983" s="6" t="s">
        <v>16848</v>
      </c>
      <c r="B3983" s="6" t="s">
        <v>16849</v>
      </c>
      <c r="C3983" s="6" t="s">
        <v>43</v>
      </c>
      <c r="D3983" s="6" t="s">
        <v>239</v>
      </c>
      <c r="E3983" s="6" t="s">
        <v>16850</v>
      </c>
      <c r="F3983" s="6" t="s">
        <v>46</v>
      </c>
      <c r="G3983" s="6" t="s">
        <v>16851</v>
      </c>
      <c r="H3983" s="7"/>
      <c r="I3983" s="6" t="s">
        <v>48</v>
      </c>
      <c r="J3983" s="6" t="s">
        <v>48</v>
      </c>
      <c r="AG3983" s="15" t="s">
        <v>55</v>
      </c>
      <c r="AH3983" s="15"/>
      <c r="AI3983" s="15"/>
    </row>
    <row r="3984" spans="1:37" s="6" customFormat="1">
      <c r="A3984" s="6" t="s">
        <v>16852</v>
      </c>
      <c r="B3984" s="6" t="s">
        <v>16853</v>
      </c>
      <c r="C3984" s="6" t="s">
        <v>2842</v>
      </c>
      <c r="D3984" s="6" t="s">
        <v>16854</v>
      </c>
      <c r="E3984" s="6" t="s">
        <v>16855</v>
      </c>
      <c r="F3984" s="6" t="s">
        <v>46</v>
      </c>
      <c r="G3984" s="6" t="s">
        <v>7143</v>
      </c>
      <c r="H3984" s="7"/>
      <c r="I3984" s="6" t="s">
        <v>48</v>
      </c>
      <c r="J3984" s="6" t="s">
        <v>48</v>
      </c>
      <c r="AG3984" s="15" t="s">
        <v>55</v>
      </c>
      <c r="AH3984" s="15"/>
      <c r="AI3984" s="15"/>
    </row>
    <row r="3985" spans="1:35" s="6" customFormat="1">
      <c r="A3985" s="6" t="s">
        <v>16856</v>
      </c>
      <c r="B3985" s="6" t="s">
        <v>16857</v>
      </c>
      <c r="C3985" s="6" t="s">
        <v>2842</v>
      </c>
      <c r="D3985" s="6" t="s">
        <v>16854</v>
      </c>
      <c r="E3985" s="6" t="s">
        <v>16855</v>
      </c>
      <c r="F3985" s="6" t="s">
        <v>46</v>
      </c>
      <c r="G3985" s="6" t="s">
        <v>7079</v>
      </c>
      <c r="H3985" s="7"/>
      <c r="I3985" s="6" t="s">
        <v>48</v>
      </c>
      <c r="J3985" s="6" t="s">
        <v>48</v>
      </c>
      <c r="AG3985" s="15" t="s">
        <v>55</v>
      </c>
      <c r="AH3985" s="15"/>
      <c r="AI3985" s="15"/>
    </row>
    <row r="3986" spans="1:35" s="6" customFormat="1">
      <c r="A3986" s="6" t="s">
        <v>16858</v>
      </c>
      <c r="B3986" s="6" t="s">
        <v>16859</v>
      </c>
      <c r="C3986" s="6" t="s">
        <v>2842</v>
      </c>
      <c r="D3986" s="6" t="s">
        <v>16854</v>
      </c>
      <c r="E3986" s="6" t="s">
        <v>16855</v>
      </c>
      <c r="F3986" s="6" t="s">
        <v>46</v>
      </c>
      <c r="G3986" s="6" t="s">
        <v>6204</v>
      </c>
      <c r="H3986" s="7"/>
      <c r="I3986" s="6" t="s">
        <v>48</v>
      </c>
      <c r="J3986" s="6" t="s">
        <v>48</v>
      </c>
      <c r="AG3986" s="15" t="s">
        <v>55</v>
      </c>
      <c r="AH3986" s="15"/>
      <c r="AI3986" s="15"/>
    </row>
    <row r="3987" spans="1:35" s="6" customFormat="1">
      <c r="A3987" s="6" t="s">
        <v>16860</v>
      </c>
      <c r="B3987" s="6" t="s">
        <v>16861</v>
      </c>
      <c r="C3987" s="6" t="s">
        <v>43</v>
      </c>
      <c r="D3987" s="6" t="s">
        <v>16854</v>
      </c>
      <c r="E3987" s="6" t="s">
        <v>16855</v>
      </c>
      <c r="F3987" s="6" t="s">
        <v>46</v>
      </c>
      <c r="G3987" s="6" t="s">
        <v>16862</v>
      </c>
      <c r="H3987" s="7"/>
      <c r="I3987" s="16" t="s">
        <v>48</v>
      </c>
      <c r="J3987" s="16" t="s">
        <v>48</v>
      </c>
      <c r="AG3987" s="15" t="s">
        <v>55</v>
      </c>
      <c r="AH3987" s="15"/>
      <c r="AI3987" s="15"/>
    </row>
    <row r="3988" spans="1:35" s="6" customFormat="1">
      <c r="A3988" s="6" t="s">
        <v>16863</v>
      </c>
      <c r="B3988" s="6" t="s">
        <v>16864</v>
      </c>
      <c r="C3988" s="6" t="s">
        <v>43</v>
      </c>
      <c r="D3988" s="6" t="s">
        <v>16854</v>
      </c>
      <c r="E3988" s="6" t="s">
        <v>16855</v>
      </c>
      <c r="F3988" s="6" t="s">
        <v>46</v>
      </c>
      <c r="G3988" s="6" t="s">
        <v>16865</v>
      </c>
      <c r="H3988" s="7"/>
      <c r="I3988" s="16" t="s">
        <v>48</v>
      </c>
      <c r="J3988" s="16" t="s">
        <v>48</v>
      </c>
      <c r="AG3988" s="15" t="s">
        <v>55</v>
      </c>
      <c r="AH3988" s="15"/>
      <c r="AI3988" s="15"/>
    </row>
    <row r="3989" spans="1:35" s="6" customFormat="1">
      <c r="A3989" s="6" t="s">
        <v>16866</v>
      </c>
      <c r="B3989" s="6" t="s">
        <v>16867</v>
      </c>
      <c r="C3989" s="6" t="s">
        <v>43</v>
      </c>
      <c r="D3989" s="6" t="s">
        <v>16854</v>
      </c>
      <c r="E3989" s="6" t="s">
        <v>16855</v>
      </c>
      <c r="F3989" s="6" t="s">
        <v>46</v>
      </c>
      <c r="G3989" s="6" t="s">
        <v>16868</v>
      </c>
      <c r="H3989" s="7"/>
      <c r="I3989" s="16" t="s">
        <v>48</v>
      </c>
      <c r="J3989" s="16" t="s">
        <v>48</v>
      </c>
      <c r="AG3989" s="15" t="s">
        <v>55</v>
      </c>
      <c r="AH3989" s="15"/>
      <c r="AI3989" s="15"/>
    </row>
    <row r="3990" spans="1:35" s="6" customFormat="1">
      <c r="A3990" s="6" t="s">
        <v>16869</v>
      </c>
      <c r="B3990" s="6" t="s">
        <v>16870</v>
      </c>
      <c r="C3990" s="6" t="s">
        <v>43</v>
      </c>
      <c r="D3990" s="6" t="s">
        <v>16854</v>
      </c>
      <c r="E3990" s="6" t="s">
        <v>16855</v>
      </c>
      <c r="F3990" s="6" t="s">
        <v>46</v>
      </c>
      <c r="G3990" s="6" t="s">
        <v>16871</v>
      </c>
      <c r="H3990" s="7"/>
      <c r="I3990" s="16" t="s">
        <v>48</v>
      </c>
      <c r="J3990" s="16" t="s">
        <v>48</v>
      </c>
      <c r="AG3990" s="15" t="s">
        <v>55</v>
      </c>
      <c r="AH3990" s="15"/>
      <c r="AI3990" s="15"/>
    </row>
    <row r="3991" spans="1:35" s="6" customFormat="1">
      <c r="A3991" s="6" t="s">
        <v>16872</v>
      </c>
      <c r="B3991" s="6" t="s">
        <v>16873</v>
      </c>
      <c r="C3991" s="6" t="s">
        <v>43</v>
      </c>
      <c r="D3991" s="6" t="s">
        <v>16854</v>
      </c>
      <c r="E3991" s="6" t="s">
        <v>16855</v>
      </c>
      <c r="F3991" s="6" t="s">
        <v>46</v>
      </c>
      <c r="G3991" s="6" t="s">
        <v>16874</v>
      </c>
      <c r="H3991" s="7"/>
      <c r="I3991" s="16" t="s">
        <v>48</v>
      </c>
      <c r="J3991" s="16" t="s">
        <v>48</v>
      </c>
      <c r="AG3991" s="15" t="s">
        <v>55</v>
      </c>
      <c r="AH3991" s="15"/>
      <c r="AI3991" s="15"/>
    </row>
    <row r="3992" spans="1:35" s="6" customFormat="1">
      <c r="A3992" s="6" t="s">
        <v>16875</v>
      </c>
      <c r="B3992" s="6" t="s">
        <v>16876</v>
      </c>
      <c r="C3992" s="6" t="s">
        <v>43</v>
      </c>
      <c r="D3992" s="6" t="s">
        <v>16854</v>
      </c>
      <c r="E3992" s="6" t="s">
        <v>16855</v>
      </c>
      <c r="F3992" s="6" t="s">
        <v>46</v>
      </c>
      <c r="G3992" s="6" t="s">
        <v>16874</v>
      </c>
      <c r="H3992" s="7"/>
      <c r="I3992" s="16" t="s">
        <v>48</v>
      </c>
      <c r="J3992" s="16" t="s">
        <v>48</v>
      </c>
      <c r="AG3992" s="15" t="s">
        <v>55</v>
      </c>
      <c r="AH3992" s="15"/>
      <c r="AI3992" s="15"/>
    </row>
    <row r="3993" spans="1:35" s="6" customFormat="1">
      <c r="A3993" s="6" t="s">
        <v>16877</v>
      </c>
      <c r="B3993" s="6" t="s">
        <v>16878</v>
      </c>
      <c r="C3993" s="6" t="s">
        <v>43</v>
      </c>
      <c r="D3993" s="6" t="s">
        <v>16854</v>
      </c>
      <c r="E3993" s="6" t="s">
        <v>16855</v>
      </c>
      <c r="F3993" s="6" t="s">
        <v>46</v>
      </c>
      <c r="G3993" s="6" t="s">
        <v>10683</v>
      </c>
      <c r="H3993" s="7"/>
      <c r="I3993" s="16" t="s">
        <v>48</v>
      </c>
      <c r="J3993" s="16" t="s">
        <v>48</v>
      </c>
      <c r="AG3993" s="15" t="s">
        <v>55</v>
      </c>
      <c r="AH3993" s="15"/>
      <c r="AI3993" s="15"/>
    </row>
    <row r="3994" spans="1:35" s="6" customFormat="1">
      <c r="A3994" s="6" t="s">
        <v>16879</v>
      </c>
      <c r="B3994" s="6" t="s">
        <v>16880</v>
      </c>
      <c r="C3994" s="6" t="s">
        <v>43</v>
      </c>
      <c r="D3994" s="6" t="s">
        <v>16854</v>
      </c>
      <c r="E3994" s="6" t="s">
        <v>16855</v>
      </c>
      <c r="F3994" s="6" t="s">
        <v>46</v>
      </c>
      <c r="G3994" s="6" t="s">
        <v>1544</v>
      </c>
      <c r="H3994" s="7"/>
      <c r="I3994" s="16" t="s">
        <v>48</v>
      </c>
      <c r="J3994" s="16" t="s">
        <v>48</v>
      </c>
      <c r="AG3994" s="15" t="s">
        <v>55</v>
      </c>
      <c r="AH3994" s="15"/>
      <c r="AI3994" s="15"/>
    </row>
    <row r="3995" spans="1:35" s="6" customFormat="1">
      <c r="A3995" s="6" t="s">
        <v>16881</v>
      </c>
      <c r="B3995" s="6" t="s">
        <v>16882</v>
      </c>
      <c r="C3995" s="6" t="s">
        <v>2842</v>
      </c>
      <c r="D3995" s="6" t="s">
        <v>16854</v>
      </c>
      <c r="E3995" s="6" t="s">
        <v>16855</v>
      </c>
      <c r="F3995" s="6" t="s">
        <v>46</v>
      </c>
      <c r="G3995" s="6" t="s">
        <v>16883</v>
      </c>
      <c r="H3995" s="7"/>
      <c r="I3995" s="6" t="s">
        <v>48</v>
      </c>
      <c r="J3995" s="6" t="s">
        <v>48</v>
      </c>
      <c r="AG3995" s="15" t="s">
        <v>55</v>
      </c>
      <c r="AH3995" s="15"/>
      <c r="AI3995" s="15"/>
    </row>
    <row r="3996" spans="1:35" s="6" customFormat="1">
      <c r="A3996" s="6" t="s">
        <v>16884</v>
      </c>
      <c r="B3996" s="6" t="s">
        <v>16885</v>
      </c>
      <c r="C3996" s="6" t="s">
        <v>43</v>
      </c>
      <c r="D3996" s="6" t="s">
        <v>16854</v>
      </c>
      <c r="E3996" s="6" t="s">
        <v>16855</v>
      </c>
      <c r="F3996" s="6" t="s">
        <v>46</v>
      </c>
      <c r="G3996" s="6" t="s">
        <v>16886</v>
      </c>
      <c r="H3996" s="7"/>
      <c r="I3996" s="6" t="s">
        <v>48</v>
      </c>
      <c r="J3996" s="6" t="s">
        <v>48</v>
      </c>
      <c r="AG3996" s="15" t="s">
        <v>55</v>
      </c>
      <c r="AH3996" s="15"/>
      <c r="AI3996" s="15"/>
    </row>
    <row r="3997" spans="1:35" s="6" customFormat="1">
      <c r="A3997" s="6" t="s">
        <v>16887</v>
      </c>
      <c r="B3997" s="6" t="s">
        <v>16888</v>
      </c>
      <c r="C3997" s="6" t="s">
        <v>43</v>
      </c>
      <c r="D3997" s="6" t="s">
        <v>16854</v>
      </c>
      <c r="E3997" s="6" t="s">
        <v>16855</v>
      </c>
      <c r="F3997" s="6" t="s">
        <v>46</v>
      </c>
      <c r="G3997" s="6" t="s">
        <v>16889</v>
      </c>
      <c r="H3997" s="7"/>
      <c r="I3997" s="6" t="s">
        <v>48</v>
      </c>
      <c r="J3997" s="6" t="s">
        <v>48</v>
      </c>
      <c r="AG3997" s="15" t="s">
        <v>55</v>
      </c>
      <c r="AH3997" s="15"/>
      <c r="AI3997" s="15"/>
    </row>
    <row r="3998" spans="1:35" s="6" customFormat="1">
      <c r="A3998" s="6" t="s">
        <v>16890</v>
      </c>
      <c r="B3998" s="6" t="s">
        <v>16891</v>
      </c>
      <c r="C3998" s="6" t="s">
        <v>43</v>
      </c>
      <c r="D3998" s="6" t="s">
        <v>16854</v>
      </c>
      <c r="E3998" s="6" t="s">
        <v>16855</v>
      </c>
      <c r="F3998" s="6" t="s">
        <v>46</v>
      </c>
      <c r="G3998" s="6" t="s">
        <v>16892</v>
      </c>
      <c r="H3998" s="7"/>
      <c r="I3998" s="6" t="s">
        <v>48</v>
      </c>
      <c r="J3998" s="6" t="s">
        <v>48</v>
      </c>
      <c r="AG3998" s="15" t="s">
        <v>55</v>
      </c>
      <c r="AH3998" s="15"/>
      <c r="AI3998" s="15"/>
    </row>
    <row r="3999" spans="1:35" s="6" customFormat="1">
      <c r="A3999" s="6" t="s">
        <v>16893</v>
      </c>
      <c r="B3999" s="6" t="s">
        <v>16894</v>
      </c>
      <c r="C3999" s="6" t="s">
        <v>43</v>
      </c>
      <c r="D3999" s="6" t="s">
        <v>16854</v>
      </c>
      <c r="E3999" s="6" t="s">
        <v>16855</v>
      </c>
      <c r="F3999" s="6" t="s">
        <v>46</v>
      </c>
      <c r="G3999" s="6" t="s">
        <v>16895</v>
      </c>
      <c r="H3999" s="7"/>
      <c r="I3999" s="6" t="s">
        <v>48</v>
      </c>
      <c r="J3999" s="6" t="s">
        <v>48</v>
      </c>
      <c r="AG3999" s="15" t="s">
        <v>55</v>
      </c>
      <c r="AH3999" s="15"/>
      <c r="AI3999" s="15"/>
    </row>
    <row r="4000" spans="1:35" s="6" customFormat="1">
      <c r="A4000" s="6" t="s">
        <v>16896</v>
      </c>
      <c r="B4000" s="6" t="s">
        <v>16897</v>
      </c>
      <c r="C4000" s="6" t="s">
        <v>43</v>
      </c>
      <c r="D4000" s="6" t="s">
        <v>16854</v>
      </c>
      <c r="E4000" s="6" t="s">
        <v>16855</v>
      </c>
      <c r="F4000" s="6" t="s">
        <v>46</v>
      </c>
      <c r="G4000" s="6" t="s">
        <v>16898</v>
      </c>
      <c r="H4000" s="7"/>
      <c r="I4000" s="6" t="s">
        <v>48</v>
      </c>
      <c r="J4000" s="6" t="s">
        <v>48</v>
      </c>
      <c r="AG4000" s="15" t="s">
        <v>55</v>
      </c>
      <c r="AH4000" s="15"/>
      <c r="AI4000" s="15"/>
    </row>
    <row r="4001" spans="1:37" s="6" customFormat="1">
      <c r="A4001" s="6" t="s">
        <v>16899</v>
      </c>
      <c r="B4001" s="6" t="s">
        <v>16900</v>
      </c>
      <c r="C4001" s="6" t="s">
        <v>43</v>
      </c>
      <c r="D4001" s="6" t="s">
        <v>16854</v>
      </c>
      <c r="E4001" s="6" t="s">
        <v>16855</v>
      </c>
      <c r="F4001" s="6" t="s">
        <v>46</v>
      </c>
      <c r="G4001" s="6" t="s">
        <v>16901</v>
      </c>
      <c r="H4001" s="7"/>
      <c r="I4001" s="6" t="s">
        <v>48</v>
      </c>
      <c r="J4001" s="6" t="s">
        <v>48</v>
      </c>
      <c r="AG4001" s="15" t="s">
        <v>55</v>
      </c>
      <c r="AH4001" s="15"/>
      <c r="AI4001" s="15"/>
    </row>
    <row r="4002" spans="1:37" s="6" customFormat="1">
      <c r="A4002" s="6" t="s">
        <v>16902</v>
      </c>
      <c r="B4002" s="6" t="s">
        <v>16903</v>
      </c>
      <c r="C4002" s="6" t="s">
        <v>43</v>
      </c>
      <c r="D4002" s="6" t="s">
        <v>16854</v>
      </c>
      <c r="E4002" s="6" t="s">
        <v>16855</v>
      </c>
      <c r="F4002" s="6" t="s">
        <v>46</v>
      </c>
      <c r="G4002" s="6" t="s">
        <v>16904</v>
      </c>
      <c r="H4002" s="7"/>
      <c r="I4002" s="6" t="s">
        <v>48</v>
      </c>
      <c r="J4002" s="6" t="s">
        <v>48</v>
      </c>
      <c r="AG4002" s="15" t="s">
        <v>55</v>
      </c>
      <c r="AH4002" s="15"/>
      <c r="AI4002" s="15"/>
    </row>
    <row r="4003" spans="1:37" s="6" customFormat="1">
      <c r="A4003" s="6" t="s">
        <v>16905</v>
      </c>
      <c r="B4003" s="6" t="s">
        <v>16906</v>
      </c>
      <c r="C4003" s="6" t="s">
        <v>43</v>
      </c>
      <c r="D4003" s="6" t="s">
        <v>16854</v>
      </c>
      <c r="E4003" s="6" t="s">
        <v>16855</v>
      </c>
      <c r="F4003" s="6" t="s">
        <v>46</v>
      </c>
      <c r="G4003" s="6" t="s">
        <v>16907</v>
      </c>
      <c r="H4003" s="7"/>
      <c r="I4003" s="6" t="s">
        <v>48</v>
      </c>
      <c r="J4003" s="6" t="s">
        <v>48</v>
      </c>
      <c r="AG4003" s="15" t="s">
        <v>55</v>
      </c>
      <c r="AH4003" s="15"/>
      <c r="AI4003" s="15"/>
    </row>
    <row r="4004" spans="1:37" s="6" customFormat="1">
      <c r="A4004" s="6" t="s">
        <v>16908</v>
      </c>
      <c r="B4004" s="6" t="s">
        <v>16909</v>
      </c>
      <c r="C4004" s="6" t="s">
        <v>16910</v>
      </c>
      <c r="D4004" s="6" t="s">
        <v>16854</v>
      </c>
      <c r="E4004" s="6" t="s">
        <v>16855</v>
      </c>
      <c r="F4004" s="6" t="s">
        <v>46</v>
      </c>
      <c r="G4004" s="6" t="s">
        <v>43</v>
      </c>
      <c r="H4004" s="7"/>
      <c r="I4004" s="6" t="s">
        <v>48</v>
      </c>
      <c r="J4004" s="6" t="s">
        <v>48</v>
      </c>
      <c r="AG4004" s="15" t="s">
        <v>55</v>
      </c>
      <c r="AH4004" s="15"/>
      <c r="AI4004" s="15"/>
    </row>
    <row r="4005" spans="1:37" s="6" customFormat="1">
      <c r="A4005" s="6" t="s">
        <v>16911</v>
      </c>
      <c r="B4005" s="6" t="s">
        <v>16912</v>
      </c>
      <c r="C4005" s="6" t="s">
        <v>16910</v>
      </c>
      <c r="D4005" s="6" t="s">
        <v>16854</v>
      </c>
      <c r="E4005" s="6" t="s">
        <v>16855</v>
      </c>
      <c r="F4005" s="6" t="s">
        <v>46</v>
      </c>
      <c r="G4005" s="6" t="s">
        <v>16913</v>
      </c>
      <c r="H4005" s="7"/>
      <c r="I4005" s="6" t="s">
        <v>48</v>
      </c>
      <c r="J4005" s="6" t="s">
        <v>48</v>
      </c>
      <c r="AG4005" s="15" t="s">
        <v>55</v>
      </c>
      <c r="AH4005" s="15"/>
      <c r="AI4005" s="15"/>
    </row>
    <row r="4006" spans="1:37" s="6" customFormat="1">
      <c r="A4006" s="6" t="s">
        <v>16914</v>
      </c>
      <c r="B4006" s="6" t="s">
        <v>16915</v>
      </c>
      <c r="C4006" s="6" t="s">
        <v>16910</v>
      </c>
      <c r="D4006" s="6" t="s">
        <v>16854</v>
      </c>
      <c r="E4006" s="6" t="s">
        <v>16855</v>
      </c>
      <c r="F4006" s="6" t="s">
        <v>46</v>
      </c>
      <c r="G4006" s="6" t="s">
        <v>16916</v>
      </c>
      <c r="H4006" s="7"/>
      <c r="I4006" s="6" t="s">
        <v>48</v>
      </c>
      <c r="J4006" s="6" t="s">
        <v>48</v>
      </c>
      <c r="AG4006" s="15" t="s">
        <v>55</v>
      </c>
      <c r="AH4006" s="15"/>
      <c r="AI4006" s="15"/>
    </row>
    <row r="4007" spans="1:37" s="6" customFormat="1">
      <c r="A4007" s="6" t="s">
        <v>16917</v>
      </c>
      <c r="B4007" s="6" t="s">
        <v>16918</v>
      </c>
      <c r="C4007" s="6" t="s">
        <v>16910</v>
      </c>
      <c r="D4007" s="6" t="s">
        <v>16854</v>
      </c>
      <c r="E4007" s="6" t="s">
        <v>16855</v>
      </c>
      <c r="F4007" s="6" t="s">
        <v>46</v>
      </c>
      <c r="G4007" s="6" t="s">
        <v>43</v>
      </c>
      <c r="H4007" s="7"/>
      <c r="I4007" s="6" t="s">
        <v>48</v>
      </c>
      <c r="J4007" s="6" t="s">
        <v>48</v>
      </c>
      <c r="AG4007" s="15" t="s">
        <v>55</v>
      </c>
      <c r="AH4007" s="15"/>
      <c r="AI4007" s="15"/>
    </row>
    <row r="4008" spans="1:37" s="6" customFormat="1">
      <c r="A4008" s="6" t="s">
        <v>16919</v>
      </c>
      <c r="B4008" s="6" t="s">
        <v>16920</v>
      </c>
      <c r="C4008" s="6" t="s">
        <v>16910</v>
      </c>
      <c r="D4008" s="6" t="s">
        <v>16854</v>
      </c>
      <c r="E4008" s="6" t="s">
        <v>16855</v>
      </c>
      <c r="F4008" s="6" t="s">
        <v>46</v>
      </c>
      <c r="G4008" s="6" t="s">
        <v>16921</v>
      </c>
      <c r="H4008" s="7"/>
      <c r="I4008" s="6" t="s">
        <v>48</v>
      </c>
      <c r="J4008" s="6" t="s">
        <v>48</v>
      </c>
      <c r="AG4008" s="15" t="s">
        <v>55</v>
      </c>
      <c r="AH4008" s="15"/>
      <c r="AI4008" s="15"/>
    </row>
    <row r="4009" spans="1:37" s="6" customFormat="1">
      <c r="A4009" s="6" t="s">
        <v>16922</v>
      </c>
      <c r="B4009" s="6" t="s">
        <v>16923</v>
      </c>
      <c r="C4009" s="6" t="s">
        <v>16910</v>
      </c>
      <c r="D4009" s="6" t="s">
        <v>16854</v>
      </c>
      <c r="E4009" s="6" t="s">
        <v>16855</v>
      </c>
      <c r="F4009" s="6" t="s">
        <v>46</v>
      </c>
      <c r="G4009" s="6" t="s">
        <v>16924</v>
      </c>
      <c r="H4009" s="7"/>
      <c r="I4009" s="6" t="s">
        <v>48</v>
      </c>
      <c r="J4009" s="6" t="s">
        <v>48</v>
      </c>
      <c r="AG4009" s="15" t="s">
        <v>55</v>
      </c>
      <c r="AH4009" s="15"/>
      <c r="AI4009" s="15"/>
    </row>
    <row r="4010" spans="1:37" s="6" customFormat="1">
      <c r="A4010" s="6" t="s">
        <v>16925</v>
      </c>
      <c r="B4010" s="6" t="s">
        <v>16926</v>
      </c>
      <c r="C4010" s="6" t="s">
        <v>16910</v>
      </c>
      <c r="D4010" s="6" t="s">
        <v>16854</v>
      </c>
      <c r="E4010" s="6" t="s">
        <v>16855</v>
      </c>
      <c r="F4010" s="6" t="s">
        <v>46</v>
      </c>
      <c r="G4010" s="6" t="s">
        <v>16913</v>
      </c>
      <c r="H4010" s="7"/>
      <c r="I4010" s="6" t="s">
        <v>48</v>
      </c>
      <c r="J4010" s="6" t="s">
        <v>48</v>
      </c>
      <c r="AG4010" s="15" t="s">
        <v>55</v>
      </c>
      <c r="AH4010" s="15"/>
      <c r="AI4010" s="15"/>
    </row>
    <row r="4011" spans="1:37" s="6" customFormat="1">
      <c r="A4011" s="6" t="s">
        <v>16927</v>
      </c>
      <c r="B4011" s="6" t="s">
        <v>16928</v>
      </c>
      <c r="C4011" s="6" t="s">
        <v>16910</v>
      </c>
      <c r="D4011" s="6" t="s">
        <v>16854</v>
      </c>
      <c r="E4011" s="6" t="s">
        <v>16855</v>
      </c>
      <c r="F4011" s="6" t="s">
        <v>46</v>
      </c>
      <c r="G4011" s="6" t="s">
        <v>16929</v>
      </c>
      <c r="H4011" s="7"/>
      <c r="I4011" s="6" t="s">
        <v>48</v>
      </c>
      <c r="J4011" s="6" t="s">
        <v>48</v>
      </c>
      <c r="AG4011" s="15" t="s">
        <v>55</v>
      </c>
      <c r="AH4011" s="15"/>
      <c r="AI4011" s="15"/>
    </row>
    <row r="4012" spans="1:37" s="6" customFormat="1">
      <c r="A4012" s="6" t="s">
        <v>16930</v>
      </c>
      <c r="B4012" s="6" t="s">
        <v>16931</v>
      </c>
      <c r="C4012" s="6" t="s">
        <v>16932</v>
      </c>
      <c r="D4012" s="6" t="s">
        <v>16854</v>
      </c>
      <c r="E4012" s="6" t="s">
        <v>16855</v>
      </c>
      <c r="F4012" s="6" t="s">
        <v>46</v>
      </c>
      <c r="G4012" s="6" t="s">
        <v>16933</v>
      </c>
      <c r="H4012" s="7"/>
      <c r="I4012" s="6" t="s">
        <v>48</v>
      </c>
      <c r="J4012" s="6" t="s">
        <v>48</v>
      </c>
      <c r="AG4012" s="15" t="s">
        <v>55</v>
      </c>
      <c r="AH4012" s="15"/>
      <c r="AI4012" s="15"/>
    </row>
    <row r="4013" spans="1:37" s="6" customFormat="1">
      <c r="A4013" s="5" t="s">
        <v>16934</v>
      </c>
      <c r="B4013" s="5" t="s">
        <v>16935</v>
      </c>
      <c r="C4013" s="6" t="s">
        <v>16936</v>
      </c>
      <c r="D4013" s="6" t="s">
        <v>16854</v>
      </c>
      <c r="E4013" s="6" t="s">
        <v>16855</v>
      </c>
      <c r="F4013" s="6" t="s">
        <v>46</v>
      </c>
      <c r="G4013" s="6" t="s">
        <v>16937</v>
      </c>
      <c r="H4013" s="18">
        <v>1215</v>
      </c>
      <c r="I4013" s="19" t="s">
        <v>16938</v>
      </c>
      <c r="J4013" s="19" t="s">
        <v>16939</v>
      </c>
      <c r="K4013" s="5" t="s">
        <v>16940</v>
      </c>
      <c r="L4013" s="5" t="s">
        <v>16941</v>
      </c>
      <c r="M4013" s="5" t="s">
        <v>16942</v>
      </c>
      <c r="N4013" s="5" t="s">
        <v>16943</v>
      </c>
      <c r="O4013" s="5" t="s">
        <v>16944</v>
      </c>
      <c r="P4013" s="5" t="s">
        <v>16945</v>
      </c>
      <c r="Q4013" s="5" t="s">
        <v>16946</v>
      </c>
      <c r="R4013" s="5" t="s">
        <v>16947</v>
      </c>
      <c r="S4013" s="5" t="s">
        <v>16948</v>
      </c>
      <c r="T4013" s="5" t="s">
        <v>16949</v>
      </c>
      <c r="U4013" s="5" t="s">
        <v>16950</v>
      </c>
      <c r="V4013" s="5" t="s">
        <v>16951</v>
      </c>
      <c r="W4013" s="5" t="s">
        <v>16952</v>
      </c>
      <c r="X4013" s="5" t="s">
        <v>16953</v>
      </c>
      <c r="Y4013" s="5" t="s">
        <v>16954</v>
      </c>
      <c r="Z4013" s="5" t="s">
        <v>16955</v>
      </c>
      <c r="AA4013" s="5" t="s">
        <v>16956</v>
      </c>
      <c r="AB4013" s="5" t="s">
        <v>16957</v>
      </c>
      <c r="AC4013" s="5" t="s">
        <v>16958</v>
      </c>
      <c r="AD4013" s="5" t="s">
        <v>16959</v>
      </c>
      <c r="AE4013" s="5"/>
      <c r="AF4013" s="5"/>
      <c r="AG4013" s="14" t="s">
        <v>55</v>
      </c>
      <c r="AH4013" s="14" t="s">
        <v>149</v>
      </c>
      <c r="AI4013" s="14" t="s">
        <v>1102</v>
      </c>
      <c r="AJ4013" s="5" t="s">
        <v>16960</v>
      </c>
      <c r="AK4013" s="5"/>
    </row>
    <row r="4014" spans="1:37">
      <c r="A4014" s="6" t="s">
        <v>16961</v>
      </c>
      <c r="B4014" s="6" t="s">
        <v>16962</v>
      </c>
      <c r="C4014" s="6" t="s">
        <v>43</v>
      </c>
      <c r="D4014" s="6" t="s">
        <v>16854</v>
      </c>
      <c r="E4014" s="6" t="s">
        <v>16855</v>
      </c>
      <c r="F4014" s="6" t="s">
        <v>46</v>
      </c>
      <c r="G4014" s="6" t="s">
        <v>16963</v>
      </c>
      <c r="I4014" s="16" t="s">
        <v>48</v>
      </c>
      <c r="J4014" s="16" t="s">
        <v>48</v>
      </c>
      <c r="K4014" s="6"/>
      <c r="L4014" s="6"/>
      <c r="M4014" s="6"/>
      <c r="N4014" s="6"/>
      <c r="O4014" s="6"/>
      <c r="P4014" s="6"/>
      <c r="Q4014" s="6"/>
      <c r="R4014" s="6"/>
      <c r="S4014" s="6"/>
      <c r="T4014" s="6"/>
      <c r="U4014" s="6"/>
      <c r="V4014" s="6"/>
      <c r="W4014" s="6"/>
      <c r="X4014" s="6"/>
      <c r="Y4014" s="6"/>
      <c r="Z4014" s="6"/>
      <c r="AA4014" s="6"/>
      <c r="AB4014" s="6"/>
      <c r="AC4014" s="6"/>
      <c r="AD4014" s="6"/>
      <c r="AE4014" s="6"/>
      <c r="AF4014" s="6"/>
      <c r="AG4014" s="15" t="s">
        <v>55</v>
      </c>
      <c r="AH4014" s="15"/>
      <c r="AI4014" s="15"/>
      <c r="AJ4014" s="6"/>
      <c r="AK4014" s="6"/>
    </row>
    <row r="4015" spans="1:37" s="6" customFormat="1">
      <c r="A4015" s="5" t="s">
        <v>16964</v>
      </c>
      <c r="B4015" s="5" t="s">
        <v>16965</v>
      </c>
      <c r="C4015" s="6" t="s">
        <v>43</v>
      </c>
      <c r="D4015" s="6" t="s">
        <v>16854</v>
      </c>
      <c r="E4015" s="6" t="s">
        <v>16855</v>
      </c>
      <c r="F4015" s="6" t="s">
        <v>46</v>
      </c>
      <c r="G4015" s="6" t="s">
        <v>16929</v>
      </c>
      <c r="H4015" s="18">
        <v>1215</v>
      </c>
      <c r="I4015" s="19" t="s">
        <v>16938</v>
      </c>
      <c r="J4015" s="19" t="s">
        <v>16939</v>
      </c>
      <c r="K4015" s="5" t="s">
        <v>16966</v>
      </c>
      <c r="L4015" s="5" t="s">
        <v>16967</v>
      </c>
      <c r="M4015" s="5" t="s">
        <v>16968</v>
      </c>
      <c r="N4015" s="5" t="s">
        <v>16969</v>
      </c>
      <c r="O4015" s="5" t="s">
        <v>16944</v>
      </c>
      <c r="P4015" s="5" t="s">
        <v>16945</v>
      </c>
      <c r="Q4015" s="5" t="s">
        <v>16946</v>
      </c>
      <c r="R4015" s="5" t="s">
        <v>16947</v>
      </c>
      <c r="S4015" s="5" t="s">
        <v>16948</v>
      </c>
      <c r="T4015" s="5" t="s">
        <v>16970</v>
      </c>
      <c r="U4015" s="5" t="s">
        <v>16950</v>
      </c>
      <c r="V4015" s="5" t="s">
        <v>16951</v>
      </c>
      <c r="W4015" s="5" t="s">
        <v>16952</v>
      </c>
      <c r="X4015" s="5" t="s">
        <v>16953</v>
      </c>
      <c r="Y4015" s="5" t="s">
        <v>16954</v>
      </c>
      <c r="Z4015" s="5" t="s">
        <v>16955</v>
      </c>
      <c r="AA4015" s="5" t="s">
        <v>16956</v>
      </c>
      <c r="AB4015" s="5" t="s">
        <v>16971</v>
      </c>
      <c r="AC4015" s="5" t="s">
        <v>16958</v>
      </c>
      <c r="AD4015" s="5" t="s">
        <v>16959</v>
      </c>
      <c r="AE4015" s="5"/>
      <c r="AF4015" s="5"/>
      <c r="AG4015" s="14" t="s">
        <v>55</v>
      </c>
      <c r="AH4015" s="14" t="s">
        <v>149</v>
      </c>
      <c r="AI4015" s="14" t="s">
        <v>1102</v>
      </c>
      <c r="AJ4015" s="5" t="s">
        <v>16960</v>
      </c>
      <c r="AK4015" s="5"/>
    </row>
    <row r="4016" spans="1:37">
      <c r="A4016" s="5" t="s">
        <v>16972</v>
      </c>
      <c r="B4016" s="5" t="s">
        <v>16973</v>
      </c>
      <c r="C4016" s="6" t="s">
        <v>16974</v>
      </c>
      <c r="D4016" s="6" t="s">
        <v>16854</v>
      </c>
      <c r="E4016" s="6" t="s">
        <v>16855</v>
      </c>
      <c r="F4016" s="6" t="s">
        <v>46</v>
      </c>
      <c r="G4016" s="6" t="s">
        <v>16975</v>
      </c>
      <c r="H4016" s="18">
        <v>1240</v>
      </c>
      <c r="I4016" s="19" t="s">
        <v>16938</v>
      </c>
      <c r="J4016" s="19" t="s">
        <v>16939</v>
      </c>
      <c r="K4016" s="5" t="s">
        <v>16976</v>
      </c>
      <c r="L4016" s="5" t="s">
        <v>16977</v>
      </c>
      <c r="M4016" s="5" t="s">
        <v>16978</v>
      </c>
      <c r="N4016" s="5" t="s">
        <v>16979</v>
      </c>
      <c r="O4016" s="5" t="s">
        <v>16944</v>
      </c>
      <c r="P4016" s="5" t="s">
        <v>16945</v>
      </c>
      <c r="Q4016" s="5" t="s">
        <v>16946</v>
      </c>
      <c r="R4016" s="5" t="s">
        <v>16947</v>
      </c>
      <c r="S4016" s="5" t="s">
        <v>16948</v>
      </c>
      <c r="T4016" s="5" t="s">
        <v>16970</v>
      </c>
      <c r="U4016" s="5" t="s">
        <v>16950</v>
      </c>
      <c r="V4016" s="5" t="s">
        <v>16951</v>
      </c>
      <c r="W4016" s="5" t="s">
        <v>16952</v>
      </c>
      <c r="X4016" s="5" t="s">
        <v>16953</v>
      </c>
      <c r="Y4016" s="5" t="s">
        <v>16954</v>
      </c>
      <c r="Z4016" s="5" t="s">
        <v>16955</v>
      </c>
      <c r="AA4016" s="5" t="s">
        <v>16956</v>
      </c>
      <c r="AB4016" s="5" t="s">
        <v>16971</v>
      </c>
      <c r="AC4016" s="5" t="s">
        <v>16958</v>
      </c>
      <c r="AD4016" s="5" t="s">
        <v>16959</v>
      </c>
      <c r="AG4016" s="14" t="s">
        <v>55</v>
      </c>
      <c r="AH4016" s="14" t="s">
        <v>149</v>
      </c>
      <c r="AI4016" s="14" t="s">
        <v>1102</v>
      </c>
      <c r="AJ4016" s="5" t="s">
        <v>16960</v>
      </c>
    </row>
    <row r="4017" spans="1:37">
      <c r="A4017" s="6" t="s">
        <v>16980</v>
      </c>
      <c r="B4017" s="6" t="s">
        <v>16981</v>
      </c>
      <c r="C4017" s="6" t="s">
        <v>43</v>
      </c>
      <c r="D4017" s="6" t="s">
        <v>16854</v>
      </c>
      <c r="E4017" s="6" t="s">
        <v>16855</v>
      </c>
      <c r="F4017" s="6" t="s">
        <v>46</v>
      </c>
      <c r="G4017" s="6" t="s">
        <v>16982</v>
      </c>
      <c r="I4017" s="16" t="s">
        <v>48</v>
      </c>
      <c r="J4017" s="16" t="s">
        <v>48</v>
      </c>
      <c r="K4017" s="6"/>
      <c r="L4017" s="6"/>
      <c r="M4017" s="6"/>
      <c r="N4017" s="6"/>
      <c r="O4017" s="6"/>
      <c r="P4017" s="6"/>
      <c r="Q4017" s="6"/>
      <c r="R4017" s="6"/>
      <c r="S4017" s="6"/>
      <c r="T4017" s="6"/>
      <c r="U4017" s="6"/>
      <c r="V4017" s="6"/>
      <c r="W4017" s="6"/>
      <c r="X4017" s="6"/>
      <c r="Y4017" s="6"/>
      <c r="Z4017" s="6"/>
      <c r="AA4017" s="6"/>
      <c r="AB4017" s="6"/>
      <c r="AC4017" s="6"/>
      <c r="AD4017" s="6"/>
      <c r="AE4017" s="6"/>
      <c r="AF4017" s="6"/>
      <c r="AG4017" s="15" t="s">
        <v>55</v>
      </c>
      <c r="AH4017" s="15"/>
      <c r="AI4017" s="15"/>
      <c r="AJ4017" s="6"/>
      <c r="AK4017" s="6"/>
    </row>
    <row r="4018" spans="1:37" s="6" customFormat="1">
      <c r="A4018" s="5" t="s">
        <v>16983</v>
      </c>
      <c r="B4018" s="5" t="s">
        <v>16984</v>
      </c>
      <c r="C4018" s="6" t="s">
        <v>16985</v>
      </c>
      <c r="D4018" s="6" t="s">
        <v>16854</v>
      </c>
      <c r="E4018" s="6" t="s">
        <v>16855</v>
      </c>
      <c r="F4018" s="6" t="s">
        <v>46</v>
      </c>
      <c r="G4018" s="6" t="s">
        <v>16986</v>
      </c>
      <c r="H4018" s="18">
        <v>1310</v>
      </c>
      <c r="I4018" s="19" t="s">
        <v>16938</v>
      </c>
      <c r="J4018" s="19" t="s">
        <v>16939</v>
      </c>
      <c r="K4018" s="5" t="s">
        <v>16987</v>
      </c>
      <c r="L4018" s="5" t="s">
        <v>16988</v>
      </c>
      <c r="M4018" s="5" t="s">
        <v>16989</v>
      </c>
      <c r="N4018" s="5" t="s">
        <v>16990</v>
      </c>
      <c r="O4018" s="5" t="s">
        <v>16944</v>
      </c>
      <c r="P4018" s="5" t="s">
        <v>16945</v>
      </c>
      <c r="Q4018" s="5" t="s">
        <v>16946</v>
      </c>
      <c r="R4018" s="5" t="s">
        <v>16947</v>
      </c>
      <c r="S4018" s="5" t="s">
        <v>16948</v>
      </c>
      <c r="T4018" s="5" t="s">
        <v>16970</v>
      </c>
      <c r="U4018" s="5" t="s">
        <v>16950</v>
      </c>
      <c r="V4018" s="5" t="s">
        <v>16951</v>
      </c>
      <c r="W4018" s="5" t="s">
        <v>16952</v>
      </c>
      <c r="X4018" s="5" t="s">
        <v>16953</v>
      </c>
      <c r="Y4018" s="5" t="s">
        <v>16954</v>
      </c>
      <c r="Z4018" s="5" t="s">
        <v>16955</v>
      </c>
      <c r="AA4018" s="5" t="s">
        <v>16956</v>
      </c>
      <c r="AB4018" s="5" t="s">
        <v>16971</v>
      </c>
      <c r="AC4018" s="5" t="s">
        <v>16958</v>
      </c>
      <c r="AD4018" s="5" t="s">
        <v>16959</v>
      </c>
      <c r="AE4018" s="5"/>
      <c r="AF4018" s="5"/>
      <c r="AG4018" s="14" t="s">
        <v>55</v>
      </c>
      <c r="AH4018" s="14" t="s">
        <v>149</v>
      </c>
      <c r="AI4018" s="14" t="s">
        <v>1102</v>
      </c>
      <c r="AJ4018" s="5" t="s">
        <v>16960</v>
      </c>
      <c r="AK4018" s="5"/>
    </row>
    <row r="4019" spans="1:37">
      <c r="A4019" s="6" t="s">
        <v>16991</v>
      </c>
      <c r="B4019" s="6" t="s">
        <v>16992</v>
      </c>
      <c r="C4019" s="6" t="s">
        <v>43</v>
      </c>
      <c r="D4019" s="6" t="s">
        <v>16854</v>
      </c>
      <c r="E4019" s="6" t="s">
        <v>16855</v>
      </c>
      <c r="F4019" s="6" t="s">
        <v>46</v>
      </c>
      <c r="G4019" s="6" t="s">
        <v>16993</v>
      </c>
      <c r="I4019" s="16" t="s">
        <v>48</v>
      </c>
      <c r="J4019" s="16" t="s">
        <v>48</v>
      </c>
      <c r="K4019" s="6"/>
      <c r="L4019" s="6"/>
      <c r="M4019" s="6"/>
      <c r="N4019" s="6"/>
      <c r="O4019" s="6"/>
      <c r="P4019" s="6"/>
      <c r="Q4019" s="6"/>
      <c r="R4019" s="6"/>
      <c r="S4019" s="6"/>
      <c r="T4019" s="6"/>
      <c r="U4019" s="6"/>
      <c r="V4019" s="6"/>
      <c r="W4019" s="6"/>
      <c r="X4019" s="6"/>
      <c r="Y4019" s="6"/>
      <c r="Z4019" s="6"/>
      <c r="AA4019" s="6"/>
      <c r="AB4019" s="6"/>
      <c r="AC4019" s="6"/>
      <c r="AD4019" s="6"/>
      <c r="AE4019" s="6"/>
      <c r="AF4019" s="6"/>
      <c r="AG4019" s="15" t="s">
        <v>55</v>
      </c>
      <c r="AH4019" s="15"/>
      <c r="AI4019" s="15"/>
      <c r="AJ4019" s="6"/>
      <c r="AK4019" s="6"/>
    </row>
    <row r="4020" spans="1:37" s="6" customFormat="1">
      <c r="A4020" s="6" t="s">
        <v>16994</v>
      </c>
      <c r="B4020" s="6" t="s">
        <v>16995</v>
      </c>
      <c r="C4020" s="6" t="s">
        <v>43</v>
      </c>
      <c r="D4020" s="6" t="s">
        <v>16854</v>
      </c>
      <c r="E4020" s="6" t="s">
        <v>16855</v>
      </c>
      <c r="F4020" s="6" t="s">
        <v>46</v>
      </c>
      <c r="G4020" s="6" t="s">
        <v>16996</v>
      </c>
      <c r="H4020" s="7"/>
      <c r="I4020" s="16" t="s">
        <v>48</v>
      </c>
      <c r="J4020" s="16" t="s">
        <v>48</v>
      </c>
      <c r="AG4020" s="15" t="s">
        <v>55</v>
      </c>
      <c r="AH4020" s="15"/>
      <c r="AI4020" s="15"/>
    </row>
    <row r="4021" spans="1:37" s="6" customFormat="1">
      <c r="A4021" s="5" t="s">
        <v>16997</v>
      </c>
      <c r="B4021" s="5" t="s">
        <v>16998</v>
      </c>
      <c r="C4021" s="6" t="s">
        <v>16999</v>
      </c>
      <c r="D4021" s="6" t="s">
        <v>16854</v>
      </c>
      <c r="E4021" s="6" t="s">
        <v>16855</v>
      </c>
      <c r="F4021" s="6" t="s">
        <v>46</v>
      </c>
      <c r="G4021" s="6" t="s">
        <v>17000</v>
      </c>
      <c r="H4021" s="18">
        <v>1310</v>
      </c>
      <c r="I4021" s="19" t="s">
        <v>16938</v>
      </c>
      <c r="J4021" s="19" t="s">
        <v>16939</v>
      </c>
      <c r="K4021" s="5" t="s">
        <v>17001</v>
      </c>
      <c r="L4021" s="5" t="s">
        <v>17002</v>
      </c>
      <c r="M4021" s="5" t="s">
        <v>17003</v>
      </c>
      <c r="N4021" s="5" t="s">
        <v>17004</v>
      </c>
      <c r="O4021" s="5" t="s">
        <v>16944</v>
      </c>
      <c r="P4021" s="5" t="s">
        <v>16945</v>
      </c>
      <c r="Q4021" s="5" t="s">
        <v>16946</v>
      </c>
      <c r="R4021" s="5" t="s">
        <v>16947</v>
      </c>
      <c r="S4021" s="5" t="s">
        <v>16948</v>
      </c>
      <c r="T4021" s="5" t="s">
        <v>16970</v>
      </c>
      <c r="U4021" s="5" t="s">
        <v>16950</v>
      </c>
      <c r="V4021" s="5" t="s">
        <v>16951</v>
      </c>
      <c r="W4021" s="5" t="s">
        <v>16952</v>
      </c>
      <c r="X4021" s="5" t="s">
        <v>16953</v>
      </c>
      <c r="Y4021" s="5" t="s">
        <v>16954</v>
      </c>
      <c r="Z4021" s="5" t="s">
        <v>16955</v>
      </c>
      <c r="AA4021" s="5" t="s">
        <v>16956</v>
      </c>
      <c r="AB4021" s="5" t="s">
        <v>16971</v>
      </c>
      <c r="AC4021" s="5" t="s">
        <v>16958</v>
      </c>
      <c r="AD4021" s="5" t="s">
        <v>16959</v>
      </c>
      <c r="AE4021" s="5"/>
      <c r="AF4021" s="5"/>
      <c r="AG4021" s="14" t="s">
        <v>55</v>
      </c>
      <c r="AH4021" s="14" t="s">
        <v>149</v>
      </c>
      <c r="AI4021" s="14" t="s">
        <v>1102</v>
      </c>
      <c r="AJ4021" s="5" t="s">
        <v>16960</v>
      </c>
      <c r="AK4021" s="5"/>
    </row>
    <row r="4022" spans="1:37">
      <c r="A4022" s="6" t="s">
        <v>17005</v>
      </c>
      <c r="B4022" s="6" t="s">
        <v>17006</v>
      </c>
      <c r="C4022" s="6" t="s">
        <v>17007</v>
      </c>
      <c r="D4022" s="6" t="s">
        <v>16854</v>
      </c>
      <c r="E4022" s="6" t="s">
        <v>16855</v>
      </c>
      <c r="F4022" s="6" t="s">
        <v>46</v>
      </c>
      <c r="G4022" s="6" t="s">
        <v>17008</v>
      </c>
      <c r="I4022" s="16" t="s">
        <v>48</v>
      </c>
      <c r="J4022" s="16" t="s">
        <v>48</v>
      </c>
      <c r="K4022" s="6"/>
      <c r="L4022" s="6"/>
      <c r="M4022" s="6"/>
      <c r="N4022" s="6"/>
      <c r="O4022" s="6"/>
      <c r="P4022" s="6"/>
      <c r="Q4022" s="6"/>
      <c r="R4022" s="6"/>
      <c r="S4022" s="6"/>
      <c r="T4022" s="6"/>
      <c r="U4022" s="6"/>
      <c r="V4022" s="6"/>
      <c r="W4022" s="6"/>
      <c r="X4022" s="6"/>
      <c r="Y4022" s="6"/>
      <c r="Z4022" s="6"/>
      <c r="AA4022" s="6"/>
      <c r="AB4022" s="6"/>
      <c r="AC4022" s="6"/>
      <c r="AD4022" s="6"/>
      <c r="AE4022" s="6"/>
      <c r="AF4022" s="6"/>
      <c r="AG4022" s="15" t="s">
        <v>55</v>
      </c>
      <c r="AH4022" s="15"/>
      <c r="AI4022" s="15"/>
      <c r="AJ4022" s="6"/>
      <c r="AK4022" s="6"/>
    </row>
    <row r="4023" spans="1:37" s="6" customFormat="1">
      <c r="A4023" s="5" t="s">
        <v>17009</v>
      </c>
      <c r="B4023" s="5" t="s">
        <v>17010</v>
      </c>
      <c r="C4023" s="6" t="s">
        <v>43</v>
      </c>
      <c r="D4023" s="6" t="s">
        <v>16854</v>
      </c>
      <c r="E4023" s="6" t="s">
        <v>16855</v>
      </c>
      <c r="F4023" s="6" t="s">
        <v>46</v>
      </c>
      <c r="G4023" s="6" t="s">
        <v>17011</v>
      </c>
      <c r="H4023" s="18">
        <v>1375</v>
      </c>
      <c r="I4023" s="19" t="s">
        <v>16938</v>
      </c>
      <c r="J4023" s="19" t="s">
        <v>16939</v>
      </c>
      <c r="K4023" s="5" t="s">
        <v>17012</v>
      </c>
      <c r="L4023" s="5" t="s">
        <v>17013</v>
      </c>
      <c r="M4023" s="5" t="s">
        <v>17014</v>
      </c>
      <c r="N4023" s="5" t="s">
        <v>17015</v>
      </c>
      <c r="O4023" s="5" t="s">
        <v>16944</v>
      </c>
      <c r="P4023" s="5" t="s">
        <v>16945</v>
      </c>
      <c r="Q4023" s="5" t="s">
        <v>16946</v>
      </c>
      <c r="R4023" s="5" t="s">
        <v>16947</v>
      </c>
      <c r="S4023" s="5" t="s">
        <v>16948</v>
      </c>
      <c r="T4023" s="5" t="s">
        <v>16970</v>
      </c>
      <c r="U4023" s="5" t="s">
        <v>16950</v>
      </c>
      <c r="V4023" s="5" t="s">
        <v>16951</v>
      </c>
      <c r="W4023" s="5" t="s">
        <v>16952</v>
      </c>
      <c r="X4023" s="5" t="s">
        <v>16953</v>
      </c>
      <c r="Y4023" s="5" t="s">
        <v>16954</v>
      </c>
      <c r="Z4023" s="5" t="s">
        <v>16955</v>
      </c>
      <c r="AA4023" s="5" t="s">
        <v>16956</v>
      </c>
      <c r="AB4023" s="5" t="s">
        <v>16971</v>
      </c>
      <c r="AC4023" s="5" t="s">
        <v>16958</v>
      </c>
      <c r="AD4023" s="5" t="s">
        <v>16959</v>
      </c>
      <c r="AE4023" s="5"/>
      <c r="AF4023" s="5"/>
      <c r="AG4023" s="14" t="s">
        <v>55</v>
      </c>
      <c r="AH4023" s="14" t="s">
        <v>149</v>
      </c>
      <c r="AI4023" s="14" t="s">
        <v>1102</v>
      </c>
      <c r="AJ4023" s="5" t="s">
        <v>16960</v>
      </c>
      <c r="AK4023" s="5"/>
    </row>
    <row r="4024" spans="1:37">
      <c r="A4024" s="5" t="s">
        <v>17016</v>
      </c>
      <c r="B4024" s="5" t="s">
        <v>17017</v>
      </c>
      <c r="C4024" s="6" t="s">
        <v>43</v>
      </c>
      <c r="D4024" s="6" t="s">
        <v>16854</v>
      </c>
      <c r="E4024" s="6" t="s">
        <v>16855</v>
      </c>
      <c r="F4024" s="6" t="s">
        <v>46</v>
      </c>
      <c r="G4024" s="6" t="s">
        <v>17018</v>
      </c>
      <c r="H4024" s="18">
        <v>1375</v>
      </c>
      <c r="I4024" s="19" t="s">
        <v>16938</v>
      </c>
      <c r="J4024" s="19" t="s">
        <v>16939</v>
      </c>
      <c r="K4024" s="5" t="s">
        <v>17019</v>
      </c>
      <c r="L4024" s="5" t="s">
        <v>16941</v>
      </c>
      <c r="M4024" s="5" t="s">
        <v>16942</v>
      </c>
      <c r="N4024" s="5" t="s">
        <v>16943</v>
      </c>
      <c r="O4024" s="5" t="s">
        <v>16944</v>
      </c>
      <c r="P4024" s="5" t="s">
        <v>16945</v>
      </c>
      <c r="Q4024" s="5" t="s">
        <v>16946</v>
      </c>
      <c r="R4024" s="5" t="s">
        <v>16947</v>
      </c>
      <c r="S4024" s="5" t="s">
        <v>16948</v>
      </c>
      <c r="T4024" s="5" t="s">
        <v>16970</v>
      </c>
      <c r="U4024" s="5" t="s">
        <v>16950</v>
      </c>
      <c r="V4024" s="5" t="s">
        <v>16951</v>
      </c>
      <c r="W4024" s="5" t="s">
        <v>16952</v>
      </c>
      <c r="X4024" s="5" t="s">
        <v>16953</v>
      </c>
      <c r="Y4024" s="5" t="s">
        <v>16954</v>
      </c>
      <c r="Z4024" s="5" t="s">
        <v>16955</v>
      </c>
      <c r="AA4024" s="5" t="s">
        <v>16956</v>
      </c>
      <c r="AB4024" s="5" t="s">
        <v>16971</v>
      </c>
      <c r="AC4024" s="5" t="s">
        <v>16958</v>
      </c>
      <c r="AD4024" s="5" t="s">
        <v>16959</v>
      </c>
      <c r="AG4024" s="14" t="s">
        <v>55</v>
      </c>
      <c r="AH4024" s="14" t="s">
        <v>149</v>
      </c>
      <c r="AI4024" s="14" t="s">
        <v>1102</v>
      </c>
      <c r="AJ4024" s="5" t="s">
        <v>16960</v>
      </c>
    </row>
    <row r="4025" spans="1:37">
      <c r="A4025" s="5" t="s">
        <v>17020</v>
      </c>
      <c r="B4025" s="5" t="s">
        <v>17021</v>
      </c>
      <c r="C4025" s="6" t="s">
        <v>43</v>
      </c>
      <c r="D4025" s="6" t="s">
        <v>16854</v>
      </c>
      <c r="E4025" s="6" t="s">
        <v>16855</v>
      </c>
      <c r="F4025" s="6" t="s">
        <v>46</v>
      </c>
      <c r="G4025" s="6" t="s">
        <v>17022</v>
      </c>
      <c r="H4025" s="18">
        <v>999</v>
      </c>
      <c r="I4025" s="19" t="s">
        <v>16938</v>
      </c>
      <c r="J4025" s="19" t="s">
        <v>17023</v>
      </c>
      <c r="K4025" s="5" t="s">
        <v>17024</v>
      </c>
      <c r="O4025" s="5" t="s">
        <v>17025</v>
      </c>
      <c r="P4025" s="5" t="s">
        <v>17026</v>
      </c>
      <c r="Q4025" s="5" t="s">
        <v>17027</v>
      </c>
      <c r="R4025" s="5" t="s">
        <v>17028</v>
      </c>
      <c r="S4025" s="5" t="s">
        <v>17029</v>
      </c>
      <c r="T4025" s="5" t="s">
        <v>17030</v>
      </c>
      <c r="U4025" s="5" t="s">
        <v>17031</v>
      </c>
      <c r="V4025" s="5" t="s">
        <v>17032</v>
      </c>
      <c r="W4025" s="5" t="s">
        <v>16952</v>
      </c>
      <c r="X4025" s="5" t="s">
        <v>16953</v>
      </c>
      <c r="Y4025" s="5" t="s">
        <v>16954</v>
      </c>
      <c r="Z4025" s="5" t="s">
        <v>16955</v>
      </c>
      <c r="AA4025" s="5" t="s">
        <v>16956</v>
      </c>
      <c r="AB4025" s="5" t="s">
        <v>16971</v>
      </c>
      <c r="AC4025" s="5" t="s">
        <v>16958</v>
      </c>
      <c r="AD4025" s="5" t="s">
        <v>16959</v>
      </c>
      <c r="AG4025" s="14" t="s">
        <v>55</v>
      </c>
      <c r="AH4025" s="14" t="s">
        <v>149</v>
      </c>
      <c r="AI4025" s="14" t="s">
        <v>1102</v>
      </c>
      <c r="AJ4025" s="5" t="s">
        <v>16960</v>
      </c>
    </row>
    <row r="4026" spans="1:37">
      <c r="A4026" s="5" t="s">
        <v>17033</v>
      </c>
      <c r="B4026" s="5" t="s">
        <v>17034</v>
      </c>
      <c r="C4026" s="6" t="s">
        <v>17035</v>
      </c>
      <c r="D4026" s="6" t="s">
        <v>16854</v>
      </c>
      <c r="E4026" s="6" t="s">
        <v>16855</v>
      </c>
      <c r="F4026" s="6" t="s">
        <v>46</v>
      </c>
      <c r="G4026" s="6" t="s">
        <v>17036</v>
      </c>
      <c r="H4026" s="18">
        <v>1375</v>
      </c>
      <c r="I4026" s="19" t="s">
        <v>16938</v>
      </c>
      <c r="J4026" s="19" t="s">
        <v>16939</v>
      </c>
      <c r="K4026" s="5" t="s">
        <v>17037</v>
      </c>
      <c r="L4026" s="5" t="s">
        <v>17038</v>
      </c>
      <c r="M4026" s="5" t="s">
        <v>17039</v>
      </c>
      <c r="N4026" s="5" t="s">
        <v>17040</v>
      </c>
      <c r="O4026" s="5" t="s">
        <v>16944</v>
      </c>
      <c r="P4026" s="5" t="s">
        <v>16945</v>
      </c>
      <c r="Q4026" s="5" t="s">
        <v>16946</v>
      </c>
      <c r="R4026" s="5" t="s">
        <v>16947</v>
      </c>
      <c r="S4026" s="5" t="s">
        <v>16948</v>
      </c>
      <c r="T4026" s="5" t="s">
        <v>16970</v>
      </c>
      <c r="U4026" s="5" t="s">
        <v>16950</v>
      </c>
      <c r="V4026" s="5" t="s">
        <v>16951</v>
      </c>
      <c r="W4026" s="5" t="s">
        <v>16952</v>
      </c>
      <c r="X4026" s="5" t="s">
        <v>16953</v>
      </c>
      <c r="Y4026" s="5" t="s">
        <v>16954</v>
      </c>
      <c r="Z4026" s="5" t="s">
        <v>16955</v>
      </c>
      <c r="AA4026" s="5" t="s">
        <v>16956</v>
      </c>
      <c r="AB4026" s="5" t="s">
        <v>16971</v>
      </c>
      <c r="AC4026" s="5" t="s">
        <v>16958</v>
      </c>
      <c r="AD4026" s="5" t="s">
        <v>16959</v>
      </c>
      <c r="AG4026" s="14" t="s">
        <v>55</v>
      </c>
      <c r="AH4026" s="14" t="s">
        <v>149</v>
      </c>
      <c r="AI4026" s="14" t="s">
        <v>1102</v>
      </c>
      <c r="AJ4026" s="5" t="s">
        <v>16960</v>
      </c>
    </row>
    <row r="4027" spans="1:37">
      <c r="A4027" s="6" t="s">
        <v>17041</v>
      </c>
      <c r="B4027" s="6" t="s">
        <v>17042</v>
      </c>
      <c r="C4027" s="6" t="s">
        <v>9907</v>
      </c>
      <c r="D4027" s="6" t="s">
        <v>16854</v>
      </c>
      <c r="E4027" s="6" t="s">
        <v>16855</v>
      </c>
      <c r="F4027" s="6" t="s">
        <v>46</v>
      </c>
      <c r="G4027" s="6" t="s">
        <v>16929</v>
      </c>
      <c r="I4027" s="16" t="s">
        <v>48</v>
      </c>
      <c r="J4027" s="16" t="s">
        <v>48</v>
      </c>
      <c r="K4027" s="6"/>
      <c r="L4027" s="6"/>
      <c r="M4027" s="6"/>
      <c r="N4027" s="6"/>
      <c r="O4027" s="6"/>
      <c r="P4027" s="6"/>
      <c r="Q4027" s="6"/>
      <c r="R4027" s="6"/>
      <c r="S4027" s="6"/>
      <c r="T4027" s="6"/>
      <c r="U4027" s="6"/>
      <c r="V4027" s="6"/>
      <c r="W4027" s="6"/>
      <c r="X4027" s="6"/>
      <c r="Y4027" s="6"/>
      <c r="Z4027" s="6"/>
      <c r="AA4027" s="6"/>
      <c r="AB4027" s="6"/>
      <c r="AC4027" s="6"/>
      <c r="AD4027" s="6"/>
      <c r="AE4027" s="6"/>
      <c r="AF4027" s="6"/>
      <c r="AG4027" s="15" t="s">
        <v>55</v>
      </c>
      <c r="AH4027" s="15"/>
      <c r="AI4027" s="15"/>
      <c r="AJ4027" s="6"/>
      <c r="AK4027" s="6"/>
    </row>
    <row r="4028" spans="1:37" s="6" customFormat="1">
      <c r="A4028" s="5" t="s">
        <v>17043</v>
      </c>
      <c r="B4028" s="5" t="s">
        <v>17044</v>
      </c>
      <c r="C4028" s="6" t="s">
        <v>9907</v>
      </c>
      <c r="D4028" s="6" t="s">
        <v>16854</v>
      </c>
      <c r="E4028" s="6" t="s">
        <v>16855</v>
      </c>
      <c r="F4028" s="6" t="s">
        <v>46</v>
      </c>
      <c r="G4028" s="6" t="s">
        <v>17045</v>
      </c>
      <c r="H4028" s="18">
        <v>1405</v>
      </c>
      <c r="I4028" s="19" t="s">
        <v>16938</v>
      </c>
      <c r="J4028" s="19" t="s">
        <v>16939</v>
      </c>
      <c r="K4028" s="5" t="s">
        <v>17046</v>
      </c>
      <c r="L4028" s="5" t="s">
        <v>17047</v>
      </c>
      <c r="M4028" s="5" t="s">
        <v>17048</v>
      </c>
      <c r="N4028" s="5" t="s">
        <v>17049</v>
      </c>
      <c r="O4028" s="5" t="s">
        <v>16944</v>
      </c>
      <c r="P4028" s="5" t="s">
        <v>16945</v>
      </c>
      <c r="Q4028" s="5" t="s">
        <v>16946</v>
      </c>
      <c r="R4028" s="5" t="s">
        <v>16947</v>
      </c>
      <c r="S4028" s="5" t="s">
        <v>16948</v>
      </c>
      <c r="T4028" s="5" t="s">
        <v>16970</v>
      </c>
      <c r="U4028" s="5" t="s">
        <v>16950</v>
      </c>
      <c r="V4028" s="5" t="s">
        <v>16951</v>
      </c>
      <c r="W4028" s="5" t="s">
        <v>16952</v>
      </c>
      <c r="X4028" s="5" t="s">
        <v>16953</v>
      </c>
      <c r="Y4028" s="5" t="s">
        <v>16954</v>
      </c>
      <c r="Z4028" s="5" t="s">
        <v>16955</v>
      </c>
      <c r="AA4028" s="5" t="s">
        <v>16956</v>
      </c>
      <c r="AB4028" s="5" t="s">
        <v>16971</v>
      </c>
      <c r="AC4028" s="5" t="s">
        <v>16958</v>
      </c>
      <c r="AD4028" s="5" t="s">
        <v>16959</v>
      </c>
      <c r="AE4028" s="5"/>
      <c r="AF4028" s="5"/>
      <c r="AG4028" s="14" t="s">
        <v>55</v>
      </c>
      <c r="AH4028" s="14" t="s">
        <v>149</v>
      </c>
      <c r="AI4028" s="14" t="s">
        <v>1102</v>
      </c>
      <c r="AJ4028" s="5" t="s">
        <v>16960</v>
      </c>
      <c r="AK4028" s="5"/>
    </row>
    <row r="4029" spans="1:37">
      <c r="A4029" s="6" t="s">
        <v>17050</v>
      </c>
      <c r="B4029" s="6" t="s">
        <v>17051</v>
      </c>
      <c r="C4029" s="6" t="s">
        <v>9907</v>
      </c>
      <c r="D4029" s="6" t="s">
        <v>16854</v>
      </c>
      <c r="E4029" s="6" t="s">
        <v>16855</v>
      </c>
      <c r="F4029" s="6" t="s">
        <v>46</v>
      </c>
      <c r="G4029" s="6" t="s">
        <v>16929</v>
      </c>
      <c r="I4029" s="16" t="s">
        <v>48</v>
      </c>
      <c r="J4029" s="16" t="s">
        <v>48</v>
      </c>
      <c r="K4029" s="6"/>
      <c r="L4029" s="6"/>
      <c r="M4029" s="6"/>
      <c r="N4029" s="6"/>
      <c r="O4029" s="6"/>
      <c r="P4029" s="6"/>
      <c r="Q4029" s="6"/>
      <c r="R4029" s="6"/>
      <c r="S4029" s="6"/>
      <c r="T4029" s="6"/>
      <c r="U4029" s="6"/>
      <c r="V4029" s="6"/>
      <c r="W4029" s="6"/>
      <c r="X4029" s="6"/>
      <c r="Y4029" s="6"/>
      <c r="Z4029" s="6"/>
      <c r="AA4029" s="6"/>
      <c r="AB4029" s="6"/>
      <c r="AC4029" s="6"/>
      <c r="AD4029" s="6"/>
      <c r="AE4029" s="6"/>
      <c r="AF4029" s="6"/>
      <c r="AG4029" s="15" t="s">
        <v>55</v>
      </c>
      <c r="AH4029" s="15"/>
      <c r="AI4029" s="15"/>
      <c r="AJ4029" s="6"/>
      <c r="AK4029" s="6"/>
    </row>
    <row r="4030" spans="1:37" s="6" customFormat="1">
      <c r="A4030" s="6" t="s">
        <v>17052</v>
      </c>
      <c r="B4030" s="6" t="s">
        <v>17053</v>
      </c>
      <c r="C4030" s="6" t="s">
        <v>43</v>
      </c>
      <c r="D4030" s="6" t="s">
        <v>16854</v>
      </c>
      <c r="E4030" s="6" t="s">
        <v>16855</v>
      </c>
      <c r="F4030" s="6" t="s">
        <v>46</v>
      </c>
      <c r="G4030" s="6" t="s">
        <v>17054</v>
      </c>
      <c r="H4030" s="7"/>
      <c r="I4030" s="16" t="s">
        <v>48</v>
      </c>
      <c r="J4030" s="16" t="s">
        <v>48</v>
      </c>
      <c r="AG4030" s="15" t="s">
        <v>55</v>
      </c>
      <c r="AH4030" s="15"/>
      <c r="AI4030" s="15"/>
    </row>
    <row r="4031" spans="1:37" s="6" customFormat="1">
      <c r="A4031" s="5" t="s">
        <v>17055</v>
      </c>
      <c r="B4031" s="5" t="s">
        <v>17056</v>
      </c>
      <c r="C4031" s="6" t="s">
        <v>17057</v>
      </c>
      <c r="D4031" s="6" t="s">
        <v>16854</v>
      </c>
      <c r="E4031" s="6" t="s">
        <v>16855</v>
      </c>
      <c r="F4031" s="6" t="s">
        <v>46</v>
      </c>
      <c r="G4031" s="6" t="s">
        <v>17058</v>
      </c>
      <c r="H4031" s="18">
        <v>1470</v>
      </c>
      <c r="I4031" s="19" t="s">
        <v>16938</v>
      </c>
      <c r="J4031" s="19" t="s">
        <v>16939</v>
      </c>
      <c r="K4031" s="5" t="s">
        <v>17059</v>
      </c>
      <c r="L4031" s="5" t="s">
        <v>17060</v>
      </c>
      <c r="M4031" s="5" t="s">
        <v>17061</v>
      </c>
      <c r="N4031" s="5" t="s">
        <v>17062</v>
      </c>
      <c r="O4031" s="5" t="s">
        <v>16944</v>
      </c>
      <c r="P4031" s="5" t="s">
        <v>16945</v>
      </c>
      <c r="Q4031" s="5" t="s">
        <v>16946</v>
      </c>
      <c r="R4031" s="5" t="s">
        <v>16947</v>
      </c>
      <c r="S4031" s="5" t="s">
        <v>16948</v>
      </c>
      <c r="T4031" s="5" t="s">
        <v>16970</v>
      </c>
      <c r="U4031" s="5" t="s">
        <v>16950</v>
      </c>
      <c r="V4031" s="5" t="s">
        <v>16951</v>
      </c>
      <c r="W4031" s="5" t="s">
        <v>16952</v>
      </c>
      <c r="X4031" s="5" t="s">
        <v>16953</v>
      </c>
      <c r="Y4031" s="5" t="s">
        <v>16954</v>
      </c>
      <c r="Z4031" s="5" t="s">
        <v>16955</v>
      </c>
      <c r="AA4031" s="5" t="s">
        <v>16956</v>
      </c>
      <c r="AB4031" s="5" t="s">
        <v>16971</v>
      </c>
      <c r="AC4031" s="5" t="s">
        <v>16958</v>
      </c>
      <c r="AD4031" s="5" t="s">
        <v>16959</v>
      </c>
      <c r="AE4031" s="5"/>
      <c r="AF4031" s="5"/>
      <c r="AG4031" s="14" t="s">
        <v>55</v>
      </c>
      <c r="AH4031" s="14" t="s">
        <v>149</v>
      </c>
      <c r="AI4031" s="14" t="s">
        <v>1102</v>
      </c>
      <c r="AJ4031" s="5" t="s">
        <v>16960</v>
      </c>
      <c r="AK4031" s="5"/>
    </row>
    <row r="4032" spans="1:37">
      <c r="A4032" s="5" t="s">
        <v>17063</v>
      </c>
      <c r="B4032" s="5" t="s">
        <v>17064</v>
      </c>
      <c r="C4032" s="6" t="s">
        <v>43</v>
      </c>
      <c r="D4032" s="6" t="s">
        <v>16854</v>
      </c>
      <c r="E4032" s="6" t="s">
        <v>16855</v>
      </c>
      <c r="F4032" s="6" t="s">
        <v>46</v>
      </c>
      <c r="G4032" s="6" t="s">
        <v>17065</v>
      </c>
      <c r="H4032" s="18">
        <v>999</v>
      </c>
      <c r="I4032" s="19" t="s">
        <v>16938</v>
      </c>
      <c r="J4032" s="19" t="s">
        <v>16939</v>
      </c>
      <c r="K4032" s="5" t="s">
        <v>17066</v>
      </c>
      <c r="O4032" s="5" t="s">
        <v>16944</v>
      </c>
      <c r="P4032" s="5" t="s">
        <v>16945</v>
      </c>
      <c r="Q4032" s="5" t="s">
        <v>16946</v>
      </c>
      <c r="R4032" s="5" t="s">
        <v>16947</v>
      </c>
      <c r="S4032" s="5" t="s">
        <v>17067</v>
      </c>
      <c r="T4032" s="5" t="s">
        <v>17068</v>
      </c>
      <c r="U4032" s="5" t="s">
        <v>17069</v>
      </c>
      <c r="V4032" s="5" t="s">
        <v>17070</v>
      </c>
      <c r="W4032" s="5" t="s">
        <v>16952</v>
      </c>
      <c r="X4032" s="5" t="s">
        <v>16953</v>
      </c>
      <c r="Y4032" s="5" t="s">
        <v>16954</v>
      </c>
      <c r="Z4032" s="5" t="s">
        <v>16955</v>
      </c>
      <c r="AA4032" s="5" t="s">
        <v>16956</v>
      </c>
      <c r="AB4032" s="5" t="s">
        <v>16971</v>
      </c>
      <c r="AC4032" s="5" t="s">
        <v>16958</v>
      </c>
      <c r="AD4032" s="5" t="s">
        <v>16959</v>
      </c>
      <c r="AG4032" s="14" t="s">
        <v>55</v>
      </c>
      <c r="AH4032" s="14" t="s">
        <v>149</v>
      </c>
      <c r="AI4032" s="14" t="s">
        <v>1102</v>
      </c>
      <c r="AJ4032" s="5" t="s">
        <v>16960</v>
      </c>
    </row>
    <row r="4033" spans="1:37">
      <c r="A4033" s="6" t="s">
        <v>17071</v>
      </c>
      <c r="B4033" s="6" t="s">
        <v>17072</v>
      </c>
      <c r="C4033" s="6" t="s">
        <v>43</v>
      </c>
      <c r="D4033" s="6" t="s">
        <v>16854</v>
      </c>
      <c r="E4033" s="6" t="s">
        <v>16855</v>
      </c>
      <c r="F4033" s="6" t="s">
        <v>46</v>
      </c>
      <c r="G4033" s="6" t="s">
        <v>17073</v>
      </c>
      <c r="I4033" s="16" t="s">
        <v>48</v>
      </c>
      <c r="J4033" s="16" t="s">
        <v>48</v>
      </c>
      <c r="K4033" s="6"/>
      <c r="L4033" s="6"/>
      <c r="M4033" s="6"/>
      <c r="N4033" s="6"/>
      <c r="O4033" s="6"/>
      <c r="P4033" s="6"/>
      <c r="Q4033" s="6"/>
      <c r="R4033" s="6"/>
      <c r="S4033" s="6"/>
      <c r="T4033" s="6"/>
      <c r="U4033" s="6"/>
      <c r="V4033" s="6"/>
      <c r="W4033" s="6"/>
      <c r="X4033" s="6"/>
      <c r="Y4033" s="6"/>
      <c r="Z4033" s="6"/>
      <c r="AA4033" s="6"/>
      <c r="AB4033" s="6"/>
      <c r="AC4033" s="6"/>
      <c r="AD4033" s="6"/>
      <c r="AE4033" s="6"/>
      <c r="AF4033" s="6"/>
      <c r="AG4033" s="15" t="s">
        <v>55</v>
      </c>
      <c r="AH4033" s="15"/>
      <c r="AI4033" s="15"/>
      <c r="AJ4033" s="6"/>
      <c r="AK4033" s="6"/>
    </row>
    <row r="4034" spans="1:37" s="6" customFormat="1">
      <c r="A4034" s="5" t="s">
        <v>17074</v>
      </c>
      <c r="B4034" s="5" t="s">
        <v>17075</v>
      </c>
      <c r="C4034" s="6" t="s">
        <v>43</v>
      </c>
      <c r="D4034" s="6" t="s">
        <v>16854</v>
      </c>
      <c r="E4034" s="6" t="s">
        <v>16855</v>
      </c>
      <c r="F4034" s="6" t="s">
        <v>46</v>
      </c>
      <c r="G4034" s="6" t="s">
        <v>17076</v>
      </c>
      <c r="H4034" s="18">
        <v>1470</v>
      </c>
      <c r="I4034" s="19" t="s">
        <v>16938</v>
      </c>
      <c r="J4034" s="19" t="s">
        <v>16939</v>
      </c>
      <c r="K4034" s="5" t="s">
        <v>17077</v>
      </c>
      <c r="L4034" s="5" t="s">
        <v>17078</v>
      </c>
      <c r="M4034" s="5" t="s">
        <v>17079</v>
      </c>
      <c r="N4034" s="5" t="s">
        <v>17080</v>
      </c>
      <c r="O4034" s="5" t="s">
        <v>16944</v>
      </c>
      <c r="P4034" s="5" t="s">
        <v>16945</v>
      </c>
      <c r="Q4034" s="5" t="s">
        <v>16946</v>
      </c>
      <c r="R4034" s="5" t="s">
        <v>16947</v>
      </c>
      <c r="S4034" s="5" t="s">
        <v>16948</v>
      </c>
      <c r="T4034" s="5" t="s">
        <v>16970</v>
      </c>
      <c r="U4034" s="5" t="s">
        <v>16950</v>
      </c>
      <c r="V4034" s="5" t="s">
        <v>16951</v>
      </c>
      <c r="W4034" s="5" t="s">
        <v>16952</v>
      </c>
      <c r="X4034" s="5" t="s">
        <v>16953</v>
      </c>
      <c r="Y4034" s="5" t="s">
        <v>16954</v>
      </c>
      <c r="Z4034" s="5" t="s">
        <v>16955</v>
      </c>
      <c r="AA4034" s="5" t="s">
        <v>16956</v>
      </c>
      <c r="AB4034" s="5" t="s">
        <v>16971</v>
      </c>
      <c r="AC4034" s="5" t="s">
        <v>16958</v>
      </c>
      <c r="AD4034" s="5" t="s">
        <v>16959</v>
      </c>
      <c r="AE4034" s="5"/>
      <c r="AF4034" s="5"/>
      <c r="AG4034" s="14" t="s">
        <v>55</v>
      </c>
      <c r="AH4034" s="14" t="s">
        <v>149</v>
      </c>
      <c r="AI4034" s="14" t="s">
        <v>1102</v>
      </c>
      <c r="AJ4034" s="5" t="s">
        <v>16960</v>
      </c>
      <c r="AK4034" s="5"/>
    </row>
    <row r="4035" spans="1:37">
      <c r="A4035" s="6" t="s">
        <v>17081</v>
      </c>
      <c r="B4035" s="6" t="s">
        <v>17082</v>
      </c>
      <c r="C4035" s="6" t="s">
        <v>43</v>
      </c>
      <c r="D4035" s="6" t="s">
        <v>16854</v>
      </c>
      <c r="E4035" s="6" t="s">
        <v>16855</v>
      </c>
      <c r="F4035" s="6" t="s">
        <v>46</v>
      </c>
      <c r="G4035" s="6" t="s">
        <v>17083</v>
      </c>
      <c r="I4035" s="16" t="s">
        <v>48</v>
      </c>
      <c r="J4035" s="16" t="s">
        <v>48</v>
      </c>
      <c r="K4035" s="6"/>
      <c r="L4035" s="6"/>
      <c r="M4035" s="6"/>
      <c r="N4035" s="6"/>
      <c r="O4035" s="6"/>
      <c r="P4035" s="6"/>
      <c r="Q4035" s="6"/>
      <c r="R4035" s="6"/>
      <c r="S4035" s="6"/>
      <c r="T4035" s="6"/>
      <c r="U4035" s="6"/>
      <c r="V4035" s="6"/>
      <c r="W4035" s="6"/>
      <c r="X4035" s="6"/>
      <c r="Y4035" s="6"/>
      <c r="Z4035" s="6"/>
      <c r="AA4035" s="6"/>
      <c r="AB4035" s="6"/>
      <c r="AC4035" s="6"/>
      <c r="AD4035" s="6"/>
      <c r="AE4035" s="6"/>
      <c r="AF4035" s="6"/>
      <c r="AG4035" s="15" t="s">
        <v>55</v>
      </c>
      <c r="AH4035" s="15"/>
      <c r="AI4035" s="15"/>
      <c r="AJ4035" s="6"/>
      <c r="AK4035" s="6"/>
    </row>
    <row r="4036" spans="1:37" s="6" customFormat="1">
      <c r="A4036" s="6" t="s">
        <v>17084</v>
      </c>
      <c r="B4036" s="6" t="s">
        <v>17085</v>
      </c>
      <c r="C4036" s="6" t="s">
        <v>17086</v>
      </c>
      <c r="D4036" s="6" t="s">
        <v>16854</v>
      </c>
      <c r="E4036" s="6" t="s">
        <v>16855</v>
      </c>
      <c r="F4036" s="6" t="s">
        <v>46</v>
      </c>
      <c r="G4036" s="6" t="s">
        <v>16929</v>
      </c>
      <c r="H4036" s="7"/>
      <c r="I4036" s="16" t="s">
        <v>48</v>
      </c>
      <c r="J4036" s="16" t="s">
        <v>48</v>
      </c>
      <c r="AG4036" s="15" t="s">
        <v>55</v>
      </c>
      <c r="AH4036" s="15"/>
      <c r="AI4036" s="15"/>
    </row>
    <row r="4037" spans="1:37" s="6" customFormat="1">
      <c r="A4037" s="6" t="s">
        <v>17087</v>
      </c>
      <c r="B4037" s="6" t="s">
        <v>17088</v>
      </c>
      <c r="C4037" s="6" t="s">
        <v>17089</v>
      </c>
      <c r="D4037" s="6" t="s">
        <v>16854</v>
      </c>
      <c r="E4037" s="6" t="s">
        <v>16855</v>
      </c>
      <c r="F4037" s="6" t="s">
        <v>46</v>
      </c>
      <c r="G4037" s="6" t="s">
        <v>17090</v>
      </c>
      <c r="H4037" s="7"/>
      <c r="I4037" s="16" t="s">
        <v>48</v>
      </c>
      <c r="J4037" s="16" t="s">
        <v>48</v>
      </c>
      <c r="AG4037" s="15" t="s">
        <v>55</v>
      </c>
      <c r="AH4037" s="15"/>
      <c r="AI4037" s="15"/>
    </row>
    <row r="4038" spans="1:37" s="6" customFormat="1">
      <c r="A4038" s="6" t="s">
        <v>17091</v>
      </c>
      <c r="B4038" s="6" t="s">
        <v>17092</v>
      </c>
      <c r="C4038" s="6" t="s">
        <v>43</v>
      </c>
      <c r="D4038" s="6" t="s">
        <v>16854</v>
      </c>
      <c r="E4038" s="6" t="s">
        <v>16855</v>
      </c>
      <c r="F4038" s="6" t="s">
        <v>46</v>
      </c>
      <c r="G4038" s="6" t="s">
        <v>17093</v>
      </c>
      <c r="H4038" s="7"/>
      <c r="I4038" s="16" t="s">
        <v>48</v>
      </c>
      <c r="J4038" s="16" t="s">
        <v>48</v>
      </c>
      <c r="AG4038" s="15" t="s">
        <v>55</v>
      </c>
      <c r="AH4038" s="15"/>
      <c r="AI4038" s="15"/>
    </row>
    <row r="4039" spans="1:37" s="6" customFormat="1">
      <c r="A4039" s="5" t="s">
        <v>17094</v>
      </c>
      <c r="B4039" s="5" t="s">
        <v>17095</v>
      </c>
      <c r="C4039" s="6" t="s">
        <v>43</v>
      </c>
      <c r="D4039" s="6" t="s">
        <v>16854</v>
      </c>
      <c r="E4039" s="6" t="s">
        <v>16855</v>
      </c>
      <c r="F4039" s="6" t="s">
        <v>46</v>
      </c>
      <c r="G4039" s="6" t="s">
        <v>17090</v>
      </c>
      <c r="H4039" s="18">
        <v>999</v>
      </c>
      <c r="I4039" s="19" t="s">
        <v>16938</v>
      </c>
      <c r="J4039" s="19" t="s">
        <v>17023</v>
      </c>
      <c r="K4039" s="5" t="s">
        <v>17096</v>
      </c>
      <c r="L4039" s="5"/>
      <c r="M4039" s="5"/>
      <c r="N4039" s="5"/>
      <c r="O4039" s="5" t="s">
        <v>17025</v>
      </c>
      <c r="P4039" s="5" t="s">
        <v>17097</v>
      </c>
      <c r="Q4039" s="5" t="s">
        <v>17027</v>
      </c>
      <c r="R4039" s="5" t="s">
        <v>17028</v>
      </c>
      <c r="S4039" s="5" t="s">
        <v>17029</v>
      </c>
      <c r="T4039" s="5" t="s">
        <v>17098</v>
      </c>
      <c r="U4039" s="5" t="s">
        <v>17031</v>
      </c>
      <c r="V4039" s="5" t="s">
        <v>17032</v>
      </c>
      <c r="W4039" s="5" t="s">
        <v>16952</v>
      </c>
      <c r="X4039" s="5" t="s">
        <v>16953</v>
      </c>
      <c r="Y4039" s="5" t="s">
        <v>16954</v>
      </c>
      <c r="Z4039" s="5" t="s">
        <v>16955</v>
      </c>
      <c r="AA4039" s="5" t="s">
        <v>16956</v>
      </c>
      <c r="AB4039" s="5" t="s">
        <v>16971</v>
      </c>
      <c r="AC4039" s="5" t="s">
        <v>16958</v>
      </c>
      <c r="AD4039" s="5" t="s">
        <v>16959</v>
      </c>
      <c r="AE4039" s="5"/>
      <c r="AF4039" s="5"/>
      <c r="AG4039" s="14" t="s">
        <v>55</v>
      </c>
      <c r="AH4039" s="14" t="s">
        <v>149</v>
      </c>
      <c r="AI4039" s="14" t="s">
        <v>1102</v>
      </c>
      <c r="AJ4039" s="5" t="s">
        <v>16960</v>
      </c>
      <c r="AK4039" s="5"/>
    </row>
    <row r="4040" spans="1:37">
      <c r="A4040" s="5" t="s">
        <v>17099</v>
      </c>
      <c r="B4040" s="5" t="s">
        <v>17100</v>
      </c>
      <c r="C4040" s="6" t="s">
        <v>17086</v>
      </c>
      <c r="D4040" s="6" t="s">
        <v>16854</v>
      </c>
      <c r="E4040" s="6" t="s">
        <v>16855</v>
      </c>
      <c r="F4040" s="6" t="s">
        <v>46</v>
      </c>
      <c r="G4040" s="6" t="s">
        <v>17101</v>
      </c>
      <c r="H4040" s="18">
        <v>1540</v>
      </c>
      <c r="I4040" s="19" t="s">
        <v>16938</v>
      </c>
      <c r="J4040" s="19" t="s">
        <v>16939</v>
      </c>
      <c r="K4040" s="5" t="s">
        <v>17102</v>
      </c>
      <c r="L4040" s="5" t="s">
        <v>17103</v>
      </c>
      <c r="M4040" s="5" t="s">
        <v>17104</v>
      </c>
      <c r="N4040" s="5" t="s">
        <v>17105</v>
      </c>
      <c r="O4040" s="5" t="s">
        <v>16944</v>
      </c>
      <c r="P4040" s="5" t="s">
        <v>16945</v>
      </c>
      <c r="Q4040" s="5" t="s">
        <v>16946</v>
      </c>
      <c r="R4040" s="5" t="s">
        <v>16947</v>
      </c>
      <c r="S4040" s="5" t="s">
        <v>16948</v>
      </c>
      <c r="T4040" s="5" t="s">
        <v>16970</v>
      </c>
      <c r="U4040" s="5" t="s">
        <v>16950</v>
      </c>
      <c r="V4040" s="5" t="s">
        <v>16951</v>
      </c>
      <c r="W4040" s="5" t="s">
        <v>16952</v>
      </c>
      <c r="X4040" s="5" t="s">
        <v>16953</v>
      </c>
      <c r="Y4040" s="5" t="s">
        <v>16954</v>
      </c>
      <c r="Z4040" s="5" t="s">
        <v>16955</v>
      </c>
      <c r="AA4040" s="5" t="s">
        <v>16956</v>
      </c>
      <c r="AB4040" s="5" t="s">
        <v>16971</v>
      </c>
      <c r="AC4040" s="5" t="s">
        <v>16958</v>
      </c>
      <c r="AD4040" s="5" t="s">
        <v>16959</v>
      </c>
      <c r="AG4040" s="14" t="s">
        <v>55</v>
      </c>
      <c r="AH4040" s="14" t="s">
        <v>149</v>
      </c>
      <c r="AI4040" s="14" t="s">
        <v>1102</v>
      </c>
      <c r="AJ4040" s="5" t="s">
        <v>16960</v>
      </c>
    </row>
    <row r="4041" spans="1:37">
      <c r="A4041" s="6" t="s">
        <v>17106</v>
      </c>
      <c r="B4041" s="6" t="s">
        <v>17107</v>
      </c>
      <c r="C4041" s="6" t="s">
        <v>43</v>
      </c>
      <c r="D4041" s="6" t="s">
        <v>16854</v>
      </c>
      <c r="E4041" s="6" t="s">
        <v>16855</v>
      </c>
      <c r="F4041" s="6" t="s">
        <v>46</v>
      </c>
      <c r="G4041" s="6" t="s">
        <v>17108</v>
      </c>
      <c r="I4041" s="16" t="s">
        <v>48</v>
      </c>
      <c r="J4041" s="16" t="s">
        <v>48</v>
      </c>
      <c r="K4041" s="6"/>
      <c r="L4041" s="6"/>
      <c r="M4041" s="6"/>
      <c r="N4041" s="6"/>
      <c r="O4041" s="6"/>
      <c r="P4041" s="6"/>
      <c r="Q4041" s="6"/>
      <c r="R4041" s="6"/>
      <c r="S4041" s="6"/>
      <c r="T4041" s="6"/>
      <c r="U4041" s="6"/>
      <c r="V4041" s="6"/>
      <c r="W4041" s="6"/>
      <c r="X4041" s="6"/>
      <c r="Y4041" s="6"/>
      <c r="Z4041" s="6"/>
      <c r="AA4041" s="6"/>
      <c r="AB4041" s="6"/>
      <c r="AC4041" s="6"/>
      <c r="AD4041" s="6"/>
      <c r="AE4041" s="6"/>
      <c r="AF4041" s="6"/>
      <c r="AG4041" s="15" t="s">
        <v>55</v>
      </c>
      <c r="AH4041" s="15"/>
      <c r="AI4041" s="15"/>
      <c r="AJ4041" s="6"/>
      <c r="AK4041" s="6"/>
    </row>
    <row r="4042" spans="1:37" s="6" customFormat="1">
      <c r="A4042" s="5" t="s">
        <v>17109</v>
      </c>
      <c r="B4042" s="5" t="s">
        <v>17110</v>
      </c>
      <c r="C4042" s="6" t="s">
        <v>43</v>
      </c>
      <c r="D4042" s="6" t="s">
        <v>16854</v>
      </c>
      <c r="E4042" s="6" t="s">
        <v>16855</v>
      </c>
      <c r="F4042" s="6" t="s">
        <v>46</v>
      </c>
      <c r="G4042" s="6" t="s">
        <v>17108</v>
      </c>
      <c r="H4042" s="18">
        <v>999</v>
      </c>
      <c r="I4042" s="19" t="s">
        <v>16938</v>
      </c>
      <c r="J4042" s="19" t="s">
        <v>16939</v>
      </c>
      <c r="K4042" s="5" t="s">
        <v>17111</v>
      </c>
      <c r="L4042" s="5" t="s">
        <v>17112</v>
      </c>
      <c r="M4042" s="5" t="s">
        <v>17113</v>
      </c>
      <c r="N4042" s="5" t="s">
        <v>17114</v>
      </c>
      <c r="O4042" s="5" t="s">
        <v>16944</v>
      </c>
      <c r="P4042" s="5" t="s">
        <v>16945</v>
      </c>
      <c r="Q4042" s="5" t="s">
        <v>16946</v>
      </c>
      <c r="R4042" s="5" t="s">
        <v>16947</v>
      </c>
      <c r="S4042" s="5" t="s">
        <v>17067</v>
      </c>
      <c r="T4042" s="5" t="s">
        <v>17068</v>
      </c>
      <c r="U4042" s="5" t="s">
        <v>17069</v>
      </c>
      <c r="V4042" s="5" t="s">
        <v>17070</v>
      </c>
      <c r="W4042" s="5" t="s">
        <v>16952</v>
      </c>
      <c r="X4042" s="5" t="s">
        <v>16953</v>
      </c>
      <c r="Y4042" s="5" t="s">
        <v>16954</v>
      </c>
      <c r="Z4042" s="5" t="s">
        <v>16955</v>
      </c>
      <c r="AA4042" s="5" t="s">
        <v>16956</v>
      </c>
      <c r="AB4042" s="5" t="s">
        <v>16971</v>
      </c>
      <c r="AC4042" s="5" t="s">
        <v>16958</v>
      </c>
      <c r="AD4042" s="5" t="s">
        <v>16959</v>
      </c>
      <c r="AE4042" s="5"/>
      <c r="AF4042" s="5"/>
      <c r="AG4042" s="14" t="s">
        <v>55</v>
      </c>
      <c r="AH4042" s="14" t="s">
        <v>149</v>
      </c>
      <c r="AI4042" s="14" t="s">
        <v>1102</v>
      </c>
      <c r="AJ4042" s="5" t="s">
        <v>16960</v>
      </c>
      <c r="AK4042" s="5"/>
    </row>
    <row r="4043" spans="1:37">
      <c r="A4043" s="6" t="s">
        <v>17115</v>
      </c>
      <c r="B4043" s="6" t="s">
        <v>17116</v>
      </c>
      <c r="C4043" s="6" t="s">
        <v>17086</v>
      </c>
      <c r="D4043" s="6" t="s">
        <v>16854</v>
      </c>
      <c r="E4043" s="6" t="s">
        <v>16855</v>
      </c>
      <c r="F4043" s="6" t="s">
        <v>46</v>
      </c>
      <c r="G4043" s="6" t="s">
        <v>16929</v>
      </c>
      <c r="I4043" s="16" t="s">
        <v>48</v>
      </c>
      <c r="J4043" s="16" t="s">
        <v>48</v>
      </c>
      <c r="K4043" s="6"/>
      <c r="L4043" s="6"/>
      <c r="M4043" s="6"/>
      <c r="N4043" s="6"/>
      <c r="O4043" s="6"/>
      <c r="P4043" s="6"/>
      <c r="Q4043" s="6"/>
      <c r="R4043" s="6"/>
      <c r="S4043" s="6"/>
      <c r="T4043" s="6"/>
      <c r="U4043" s="6"/>
      <c r="V4043" s="6"/>
      <c r="W4043" s="6"/>
      <c r="X4043" s="6"/>
      <c r="Y4043" s="6"/>
      <c r="Z4043" s="6"/>
      <c r="AA4043" s="6"/>
      <c r="AB4043" s="6"/>
      <c r="AC4043" s="6"/>
      <c r="AD4043" s="6"/>
      <c r="AE4043" s="6"/>
      <c r="AF4043" s="6"/>
      <c r="AG4043" s="15" t="s">
        <v>55</v>
      </c>
      <c r="AH4043" s="15"/>
      <c r="AI4043" s="15"/>
      <c r="AJ4043" s="6"/>
      <c r="AK4043" s="6"/>
    </row>
    <row r="4044" spans="1:37" s="6" customFormat="1">
      <c r="A4044" s="6" t="s">
        <v>17117</v>
      </c>
      <c r="B4044" s="6" t="s">
        <v>17118</v>
      </c>
      <c r="C4044" s="6" t="s">
        <v>43</v>
      </c>
      <c r="D4044" s="6" t="s">
        <v>16854</v>
      </c>
      <c r="E4044" s="6" t="s">
        <v>16855</v>
      </c>
      <c r="F4044" s="6" t="s">
        <v>46</v>
      </c>
      <c r="G4044" s="6" t="s">
        <v>17119</v>
      </c>
      <c r="H4044" s="7"/>
      <c r="I4044" s="16" t="s">
        <v>48</v>
      </c>
      <c r="J4044" s="16" t="s">
        <v>48</v>
      </c>
      <c r="AG4044" s="15" t="s">
        <v>55</v>
      </c>
      <c r="AH4044" s="15"/>
      <c r="AI4044" s="15"/>
    </row>
    <row r="4045" spans="1:37" s="6" customFormat="1">
      <c r="A4045" s="5" t="s">
        <v>17120</v>
      </c>
      <c r="B4045" s="5" t="s">
        <v>17121</v>
      </c>
      <c r="C4045" s="6" t="s">
        <v>17122</v>
      </c>
      <c r="D4045" s="6" t="s">
        <v>16854</v>
      </c>
      <c r="E4045" s="6" t="s">
        <v>16855</v>
      </c>
      <c r="F4045" s="6" t="s">
        <v>46</v>
      </c>
      <c r="G4045" s="6" t="s">
        <v>17123</v>
      </c>
      <c r="H4045" s="18">
        <v>999</v>
      </c>
      <c r="I4045" s="19" t="s">
        <v>16938</v>
      </c>
      <c r="J4045" s="19" t="s">
        <v>16939</v>
      </c>
      <c r="K4045" s="5" t="s">
        <v>17124</v>
      </c>
      <c r="L4045" s="5" t="s">
        <v>17125</v>
      </c>
      <c r="M4045" s="5" t="s">
        <v>17126</v>
      </c>
      <c r="N4045" s="5" t="s">
        <v>17127</v>
      </c>
      <c r="O4045" s="5" t="s">
        <v>16944</v>
      </c>
      <c r="P4045" s="5" t="s">
        <v>16945</v>
      </c>
      <c r="Q4045" s="5" t="s">
        <v>16946</v>
      </c>
      <c r="R4045" s="5" t="s">
        <v>16947</v>
      </c>
      <c r="S4045" s="5" t="s">
        <v>17067</v>
      </c>
      <c r="T4045" s="5" t="s">
        <v>17068</v>
      </c>
      <c r="U4045" s="5" t="s">
        <v>17069</v>
      </c>
      <c r="V4045" s="5" t="s">
        <v>17070</v>
      </c>
      <c r="W4045" s="5" t="s">
        <v>16952</v>
      </c>
      <c r="X4045" s="5" t="s">
        <v>16953</v>
      </c>
      <c r="Y4045" s="5" t="s">
        <v>16954</v>
      </c>
      <c r="Z4045" s="5" t="s">
        <v>16955</v>
      </c>
      <c r="AA4045" s="5" t="s">
        <v>16956</v>
      </c>
      <c r="AB4045" s="5" t="s">
        <v>16971</v>
      </c>
      <c r="AC4045" s="5" t="s">
        <v>16958</v>
      </c>
      <c r="AD4045" s="5" t="s">
        <v>16959</v>
      </c>
      <c r="AE4045" s="5"/>
      <c r="AF4045" s="5"/>
      <c r="AG4045" s="14" t="s">
        <v>55</v>
      </c>
      <c r="AH4045" s="14" t="s">
        <v>149</v>
      </c>
      <c r="AI4045" s="14" t="s">
        <v>1102</v>
      </c>
      <c r="AJ4045" s="5" t="s">
        <v>16960</v>
      </c>
      <c r="AK4045" s="5"/>
    </row>
    <row r="4046" spans="1:37">
      <c r="A4046" s="6" t="s">
        <v>17128</v>
      </c>
      <c r="B4046" s="6" t="s">
        <v>17129</v>
      </c>
      <c r="C4046" s="6" t="s">
        <v>17007</v>
      </c>
      <c r="D4046" s="6" t="s">
        <v>16854</v>
      </c>
      <c r="E4046" s="6" t="s">
        <v>16855</v>
      </c>
      <c r="F4046" s="6" t="s">
        <v>46</v>
      </c>
      <c r="G4046" s="6" t="s">
        <v>17130</v>
      </c>
      <c r="I4046" s="16" t="s">
        <v>48</v>
      </c>
      <c r="J4046" s="16" t="s">
        <v>48</v>
      </c>
      <c r="K4046" s="6"/>
      <c r="L4046" s="6"/>
      <c r="M4046" s="6"/>
      <c r="N4046" s="6"/>
      <c r="O4046" s="6"/>
      <c r="P4046" s="6"/>
      <c r="Q4046" s="6"/>
      <c r="R4046" s="6"/>
      <c r="S4046" s="6"/>
      <c r="T4046" s="6"/>
      <c r="U4046" s="6"/>
      <c r="V4046" s="6"/>
      <c r="W4046" s="6"/>
      <c r="X4046" s="6"/>
      <c r="Y4046" s="6"/>
      <c r="Z4046" s="6"/>
      <c r="AA4046" s="6"/>
      <c r="AB4046" s="6"/>
      <c r="AC4046" s="6"/>
      <c r="AD4046" s="6"/>
      <c r="AE4046" s="6"/>
      <c r="AF4046" s="6"/>
      <c r="AG4046" s="15" t="s">
        <v>55</v>
      </c>
      <c r="AH4046" s="15"/>
      <c r="AI4046" s="15"/>
      <c r="AJ4046" s="6"/>
      <c r="AK4046" s="6"/>
    </row>
    <row r="4047" spans="1:37" s="6" customFormat="1">
      <c r="A4047" s="6" t="s">
        <v>17131</v>
      </c>
      <c r="B4047" s="6" t="s">
        <v>17132</v>
      </c>
      <c r="C4047" s="6" t="s">
        <v>17007</v>
      </c>
      <c r="D4047" s="6" t="s">
        <v>16854</v>
      </c>
      <c r="E4047" s="6" t="s">
        <v>16855</v>
      </c>
      <c r="F4047" s="6" t="s">
        <v>46</v>
      </c>
      <c r="G4047" s="6" t="s">
        <v>17133</v>
      </c>
      <c r="H4047" s="7"/>
      <c r="I4047" s="16" t="s">
        <v>48</v>
      </c>
      <c r="J4047" s="16" t="s">
        <v>48</v>
      </c>
      <c r="AG4047" s="15" t="s">
        <v>55</v>
      </c>
      <c r="AH4047" s="15"/>
      <c r="AI4047" s="15"/>
    </row>
    <row r="4048" spans="1:37" s="6" customFormat="1">
      <c r="A4048" s="5" t="s">
        <v>17134</v>
      </c>
      <c r="B4048" s="5" t="s">
        <v>17135</v>
      </c>
      <c r="C4048" s="6" t="s">
        <v>43</v>
      </c>
      <c r="D4048" s="6" t="s">
        <v>16854</v>
      </c>
      <c r="E4048" s="6" t="s">
        <v>16855</v>
      </c>
      <c r="F4048" s="6" t="s">
        <v>46</v>
      </c>
      <c r="G4048" s="6" t="s">
        <v>17136</v>
      </c>
      <c r="H4048" s="18">
        <v>999</v>
      </c>
      <c r="I4048" s="19" t="s">
        <v>16938</v>
      </c>
      <c r="J4048" s="19" t="s">
        <v>17023</v>
      </c>
      <c r="K4048" s="5" t="s">
        <v>17137</v>
      </c>
      <c r="L4048" s="5" t="s">
        <v>17138</v>
      </c>
      <c r="M4048" s="5" t="s">
        <v>17139</v>
      </c>
      <c r="N4048" s="5" t="s">
        <v>17140</v>
      </c>
      <c r="O4048" s="5" t="s">
        <v>17025</v>
      </c>
      <c r="P4048" s="5" t="s">
        <v>17097</v>
      </c>
      <c r="Q4048" s="5" t="s">
        <v>17027</v>
      </c>
      <c r="R4048" s="5" t="s">
        <v>17028</v>
      </c>
      <c r="S4048" s="5" t="s">
        <v>17029</v>
      </c>
      <c r="T4048" s="5" t="s">
        <v>17098</v>
      </c>
      <c r="U4048" s="5" t="s">
        <v>17031</v>
      </c>
      <c r="V4048" s="5" t="s">
        <v>17032</v>
      </c>
      <c r="W4048" s="5" t="s">
        <v>16952</v>
      </c>
      <c r="X4048" s="5" t="s">
        <v>16953</v>
      </c>
      <c r="Y4048" s="5" t="s">
        <v>16954</v>
      </c>
      <c r="Z4048" s="5" t="s">
        <v>16955</v>
      </c>
      <c r="AA4048" s="5" t="s">
        <v>16956</v>
      </c>
      <c r="AB4048" s="5" t="s">
        <v>16971</v>
      </c>
      <c r="AC4048" s="5" t="s">
        <v>16958</v>
      </c>
      <c r="AD4048" s="5" t="s">
        <v>16959</v>
      </c>
      <c r="AE4048" s="5"/>
      <c r="AF4048" s="5"/>
      <c r="AG4048" s="14" t="s">
        <v>55</v>
      </c>
      <c r="AH4048" s="14" t="s">
        <v>149</v>
      </c>
      <c r="AI4048" s="14" t="s">
        <v>1102</v>
      </c>
      <c r="AJ4048" s="5" t="s">
        <v>16960</v>
      </c>
      <c r="AK4048" s="5"/>
    </row>
    <row r="4049" spans="1:37">
      <c r="A4049" s="5" t="s">
        <v>17141</v>
      </c>
      <c r="B4049" s="5" t="s">
        <v>17142</v>
      </c>
      <c r="C4049" s="6" t="s">
        <v>17143</v>
      </c>
      <c r="D4049" s="6" t="s">
        <v>16854</v>
      </c>
      <c r="E4049" s="6" t="s">
        <v>16855</v>
      </c>
      <c r="F4049" s="6" t="s">
        <v>46</v>
      </c>
      <c r="G4049" s="6" t="s">
        <v>17108</v>
      </c>
      <c r="H4049" s="18">
        <v>999</v>
      </c>
      <c r="I4049" s="19" t="s">
        <v>16938</v>
      </c>
      <c r="J4049" s="19" t="s">
        <v>16939</v>
      </c>
      <c r="K4049" s="5" t="s">
        <v>17144</v>
      </c>
      <c r="L4049" s="5" t="s">
        <v>17145</v>
      </c>
      <c r="M4049" s="5" t="s">
        <v>17146</v>
      </c>
      <c r="N4049" s="5" t="s">
        <v>17147</v>
      </c>
      <c r="O4049" s="5" t="s">
        <v>16944</v>
      </c>
      <c r="P4049" s="5" t="s">
        <v>16945</v>
      </c>
      <c r="Q4049" s="5" t="s">
        <v>16946</v>
      </c>
      <c r="R4049" s="5" t="s">
        <v>16947</v>
      </c>
      <c r="S4049" s="5" t="s">
        <v>17067</v>
      </c>
      <c r="T4049" s="5" t="s">
        <v>17068</v>
      </c>
      <c r="U4049" s="5" t="s">
        <v>17069</v>
      </c>
      <c r="V4049" s="5" t="s">
        <v>17070</v>
      </c>
      <c r="W4049" s="5" t="s">
        <v>16952</v>
      </c>
      <c r="X4049" s="5" t="s">
        <v>16953</v>
      </c>
      <c r="Y4049" s="5" t="s">
        <v>16954</v>
      </c>
      <c r="Z4049" s="5" t="s">
        <v>16955</v>
      </c>
      <c r="AA4049" s="5" t="s">
        <v>16956</v>
      </c>
      <c r="AB4049" s="5" t="s">
        <v>16971</v>
      </c>
      <c r="AC4049" s="5" t="s">
        <v>16958</v>
      </c>
      <c r="AD4049" s="5" t="s">
        <v>16959</v>
      </c>
      <c r="AG4049" s="14" t="s">
        <v>55</v>
      </c>
      <c r="AH4049" s="14" t="s">
        <v>149</v>
      </c>
      <c r="AI4049" s="14" t="s">
        <v>1102</v>
      </c>
      <c r="AJ4049" s="5" t="s">
        <v>16960</v>
      </c>
    </row>
    <row r="4050" spans="1:37">
      <c r="A4050" s="5" t="s">
        <v>17148</v>
      </c>
      <c r="B4050" s="5" t="s">
        <v>17149</v>
      </c>
      <c r="C4050" s="6" t="s">
        <v>17150</v>
      </c>
      <c r="D4050" s="6" t="s">
        <v>16854</v>
      </c>
      <c r="E4050" s="6" t="s">
        <v>16855</v>
      </c>
      <c r="F4050" s="6" t="s">
        <v>46</v>
      </c>
      <c r="G4050" s="6" t="s">
        <v>17151</v>
      </c>
      <c r="H4050" s="18">
        <v>999</v>
      </c>
      <c r="I4050" s="19" t="s">
        <v>16938</v>
      </c>
      <c r="J4050" s="19" t="s">
        <v>16939</v>
      </c>
      <c r="K4050" s="5" t="s">
        <v>17152</v>
      </c>
      <c r="L4050" s="5" t="s">
        <v>17153</v>
      </c>
      <c r="M4050" s="5" t="s">
        <v>17154</v>
      </c>
      <c r="N4050" s="5" t="s">
        <v>17155</v>
      </c>
      <c r="O4050" s="5" t="s">
        <v>16944</v>
      </c>
      <c r="P4050" s="5" t="s">
        <v>16945</v>
      </c>
      <c r="Q4050" s="5" t="s">
        <v>16946</v>
      </c>
      <c r="R4050" s="5" t="s">
        <v>16947</v>
      </c>
      <c r="S4050" s="5" t="s">
        <v>17067</v>
      </c>
      <c r="T4050" s="5" t="s">
        <v>17068</v>
      </c>
      <c r="U4050" s="5" t="s">
        <v>17069</v>
      </c>
      <c r="V4050" s="5" t="s">
        <v>17070</v>
      </c>
      <c r="W4050" s="5" t="s">
        <v>16952</v>
      </c>
      <c r="X4050" s="5" t="s">
        <v>16953</v>
      </c>
      <c r="Y4050" s="5" t="s">
        <v>16954</v>
      </c>
      <c r="Z4050" s="5" t="s">
        <v>16955</v>
      </c>
      <c r="AA4050" s="5" t="s">
        <v>16956</v>
      </c>
      <c r="AB4050" s="5" t="s">
        <v>16971</v>
      </c>
      <c r="AC4050" s="5" t="s">
        <v>16958</v>
      </c>
      <c r="AD4050" s="5" t="s">
        <v>16959</v>
      </c>
      <c r="AG4050" s="14" t="s">
        <v>55</v>
      </c>
      <c r="AH4050" s="14" t="s">
        <v>149</v>
      </c>
      <c r="AI4050" s="14" t="s">
        <v>1102</v>
      </c>
      <c r="AJ4050" s="5" t="s">
        <v>16960</v>
      </c>
    </row>
    <row r="4051" spans="1:37">
      <c r="A4051" s="6" t="s">
        <v>17156</v>
      </c>
      <c r="B4051" s="6" t="s">
        <v>17157</v>
      </c>
      <c r="C4051" s="6" t="s">
        <v>17150</v>
      </c>
      <c r="D4051" s="6" t="s">
        <v>16854</v>
      </c>
      <c r="E4051" s="6" t="s">
        <v>16855</v>
      </c>
      <c r="F4051" s="6" t="s">
        <v>46</v>
      </c>
      <c r="G4051" s="6" t="s">
        <v>17158</v>
      </c>
      <c r="I4051" s="16" t="s">
        <v>48</v>
      </c>
      <c r="J4051" s="16" t="s">
        <v>48</v>
      </c>
      <c r="K4051" s="6"/>
      <c r="L4051" s="6"/>
      <c r="M4051" s="6"/>
      <c r="N4051" s="6"/>
      <c r="O4051" s="6"/>
      <c r="P4051" s="6"/>
      <c r="Q4051" s="6"/>
      <c r="R4051" s="6"/>
      <c r="S4051" s="6"/>
      <c r="T4051" s="6"/>
      <c r="U4051" s="6"/>
      <c r="V4051" s="6"/>
      <c r="W4051" s="6"/>
      <c r="X4051" s="6"/>
      <c r="Y4051" s="6"/>
      <c r="Z4051" s="6"/>
      <c r="AA4051" s="6"/>
      <c r="AB4051" s="6"/>
      <c r="AC4051" s="6"/>
      <c r="AD4051" s="6"/>
      <c r="AE4051" s="6"/>
      <c r="AF4051" s="6"/>
      <c r="AG4051" s="15" t="s">
        <v>55</v>
      </c>
      <c r="AH4051" s="15"/>
      <c r="AI4051" s="15"/>
      <c r="AJ4051" s="6"/>
      <c r="AK4051" s="6"/>
    </row>
    <row r="4052" spans="1:37" s="6" customFormat="1">
      <c r="A4052" s="6" t="s">
        <v>17159</v>
      </c>
      <c r="B4052" s="6" t="s">
        <v>17160</v>
      </c>
      <c r="C4052" s="6" t="s">
        <v>43</v>
      </c>
      <c r="D4052" s="6" t="s">
        <v>16854</v>
      </c>
      <c r="E4052" s="6" t="s">
        <v>16855</v>
      </c>
      <c r="F4052" s="6" t="s">
        <v>46</v>
      </c>
      <c r="G4052" s="6" t="s">
        <v>17161</v>
      </c>
      <c r="H4052" s="7"/>
      <c r="I4052" s="16" t="s">
        <v>48</v>
      </c>
      <c r="J4052" s="16" t="s">
        <v>48</v>
      </c>
      <c r="AG4052" s="15" t="s">
        <v>55</v>
      </c>
      <c r="AH4052" s="15"/>
      <c r="AI4052" s="15"/>
    </row>
    <row r="4053" spans="1:37" s="6" customFormat="1">
      <c r="A4053" s="6" t="s">
        <v>17162</v>
      </c>
      <c r="B4053" s="6" t="s">
        <v>17163</v>
      </c>
      <c r="C4053" s="6" t="s">
        <v>43</v>
      </c>
      <c r="D4053" s="6" t="s">
        <v>16854</v>
      </c>
      <c r="E4053" s="6" t="s">
        <v>16855</v>
      </c>
      <c r="F4053" s="6" t="s">
        <v>46</v>
      </c>
      <c r="G4053" s="6" t="s">
        <v>17164</v>
      </c>
      <c r="H4053" s="7"/>
      <c r="I4053" s="16" t="s">
        <v>48</v>
      </c>
      <c r="J4053" s="16" t="s">
        <v>48</v>
      </c>
      <c r="AG4053" s="15" t="s">
        <v>55</v>
      </c>
      <c r="AH4053" s="15"/>
      <c r="AI4053" s="15"/>
    </row>
    <row r="4054" spans="1:37" s="6" customFormat="1">
      <c r="A4054" s="6" t="s">
        <v>17165</v>
      </c>
      <c r="B4054" s="6" t="s">
        <v>17166</v>
      </c>
      <c r="C4054" s="6" t="s">
        <v>43</v>
      </c>
      <c r="D4054" s="6" t="s">
        <v>16854</v>
      </c>
      <c r="E4054" s="6" t="s">
        <v>16855</v>
      </c>
      <c r="F4054" s="6" t="s">
        <v>46</v>
      </c>
      <c r="G4054" s="6" t="s">
        <v>17167</v>
      </c>
      <c r="H4054" s="7"/>
      <c r="I4054" s="16" t="s">
        <v>48</v>
      </c>
      <c r="J4054" s="16" t="s">
        <v>48</v>
      </c>
      <c r="AG4054" s="15" t="s">
        <v>55</v>
      </c>
      <c r="AH4054" s="15"/>
      <c r="AI4054" s="15"/>
    </row>
    <row r="4055" spans="1:37" s="6" customFormat="1">
      <c r="A4055" s="6" t="s">
        <v>17168</v>
      </c>
      <c r="B4055" s="6" t="s">
        <v>17169</v>
      </c>
      <c r="C4055" s="6" t="s">
        <v>43</v>
      </c>
      <c r="D4055" s="6" t="s">
        <v>16854</v>
      </c>
      <c r="E4055" s="6" t="s">
        <v>16855</v>
      </c>
      <c r="F4055" s="6" t="s">
        <v>46</v>
      </c>
      <c r="G4055" s="6" t="s">
        <v>17170</v>
      </c>
      <c r="H4055" s="7"/>
      <c r="I4055" s="16" t="s">
        <v>48</v>
      </c>
      <c r="J4055" s="16" t="s">
        <v>48</v>
      </c>
      <c r="AG4055" s="15" t="s">
        <v>55</v>
      </c>
      <c r="AH4055" s="15"/>
      <c r="AI4055" s="15"/>
    </row>
    <row r="4056" spans="1:37" s="6" customFormat="1">
      <c r="A4056" s="6" t="s">
        <v>17171</v>
      </c>
      <c r="B4056" s="6" t="s">
        <v>17172</v>
      </c>
      <c r="C4056" s="6" t="s">
        <v>43</v>
      </c>
      <c r="D4056" s="6" t="s">
        <v>16854</v>
      </c>
      <c r="E4056" s="6" t="s">
        <v>16855</v>
      </c>
      <c r="F4056" s="6" t="s">
        <v>46</v>
      </c>
      <c r="G4056" s="6" t="s">
        <v>17170</v>
      </c>
      <c r="H4056" s="7"/>
      <c r="I4056" s="16" t="s">
        <v>48</v>
      </c>
      <c r="J4056" s="16" t="s">
        <v>48</v>
      </c>
      <c r="AG4056" s="15" t="s">
        <v>55</v>
      </c>
      <c r="AH4056" s="15"/>
      <c r="AI4056" s="15"/>
    </row>
    <row r="4057" spans="1:37" s="6" customFormat="1">
      <c r="A4057" s="6" t="s">
        <v>17173</v>
      </c>
      <c r="B4057" s="6" t="s">
        <v>17174</v>
      </c>
      <c r="C4057" s="6" t="s">
        <v>43</v>
      </c>
      <c r="D4057" s="6" t="s">
        <v>16854</v>
      </c>
      <c r="E4057" s="6" t="s">
        <v>16855</v>
      </c>
      <c r="F4057" s="6" t="s">
        <v>46</v>
      </c>
      <c r="G4057" s="6" t="s">
        <v>17175</v>
      </c>
      <c r="H4057" s="7"/>
      <c r="I4057" s="16" t="s">
        <v>48</v>
      </c>
      <c r="J4057" s="16" t="s">
        <v>48</v>
      </c>
      <c r="AG4057" s="15" t="s">
        <v>55</v>
      </c>
      <c r="AH4057" s="15"/>
      <c r="AI4057" s="15"/>
    </row>
    <row r="4058" spans="1:37" s="6" customFormat="1">
      <c r="A4058" s="6" t="s">
        <v>17176</v>
      </c>
      <c r="B4058" s="6" t="s">
        <v>17177</v>
      </c>
      <c r="C4058" s="6" t="s">
        <v>43</v>
      </c>
      <c r="D4058" s="6" t="s">
        <v>16854</v>
      </c>
      <c r="E4058" s="6" t="s">
        <v>16855</v>
      </c>
      <c r="F4058" s="6" t="s">
        <v>46</v>
      </c>
      <c r="G4058" s="6" t="s">
        <v>17178</v>
      </c>
      <c r="H4058" s="7"/>
      <c r="I4058" s="16" t="s">
        <v>48</v>
      </c>
      <c r="J4058" s="16" t="s">
        <v>48</v>
      </c>
      <c r="AG4058" s="15" t="s">
        <v>55</v>
      </c>
      <c r="AH4058" s="15"/>
      <c r="AI4058" s="15"/>
    </row>
    <row r="4059" spans="1:37" s="6" customFormat="1">
      <c r="A4059" s="6" t="s">
        <v>17179</v>
      </c>
      <c r="B4059" s="6" t="s">
        <v>17180</v>
      </c>
      <c r="C4059" s="6" t="s">
        <v>43</v>
      </c>
      <c r="D4059" s="6" t="s">
        <v>16854</v>
      </c>
      <c r="E4059" s="6" t="s">
        <v>16855</v>
      </c>
      <c r="F4059" s="6" t="s">
        <v>46</v>
      </c>
      <c r="G4059" s="6" t="s">
        <v>17181</v>
      </c>
      <c r="H4059" s="7"/>
      <c r="I4059" s="16" t="s">
        <v>48</v>
      </c>
      <c r="J4059" s="16" t="s">
        <v>48</v>
      </c>
      <c r="AG4059" s="15" t="s">
        <v>55</v>
      </c>
      <c r="AH4059" s="15"/>
      <c r="AI4059" s="15"/>
    </row>
    <row r="4060" spans="1:37" s="6" customFormat="1">
      <c r="A4060" s="6" t="s">
        <v>17182</v>
      </c>
      <c r="B4060" s="6" t="s">
        <v>17183</v>
      </c>
      <c r="C4060" s="6" t="s">
        <v>43</v>
      </c>
      <c r="D4060" s="6" t="s">
        <v>16854</v>
      </c>
      <c r="E4060" s="6" t="s">
        <v>16855</v>
      </c>
      <c r="F4060" s="6" t="s">
        <v>46</v>
      </c>
      <c r="G4060" s="6" t="s">
        <v>17184</v>
      </c>
      <c r="H4060" s="7"/>
      <c r="I4060" s="16" t="s">
        <v>48</v>
      </c>
      <c r="J4060" s="16" t="s">
        <v>48</v>
      </c>
      <c r="AG4060" s="15" t="s">
        <v>55</v>
      </c>
      <c r="AH4060" s="15"/>
      <c r="AI4060" s="15"/>
    </row>
    <row r="4061" spans="1:37" s="6" customFormat="1">
      <c r="A4061" s="6" t="s">
        <v>17185</v>
      </c>
      <c r="B4061" s="6" t="s">
        <v>17186</v>
      </c>
      <c r="C4061" s="6" t="s">
        <v>43</v>
      </c>
      <c r="D4061" s="6" t="s">
        <v>16854</v>
      </c>
      <c r="E4061" s="6" t="s">
        <v>16855</v>
      </c>
      <c r="F4061" s="6" t="s">
        <v>46</v>
      </c>
      <c r="G4061" s="6" t="s">
        <v>17187</v>
      </c>
      <c r="H4061" s="7"/>
      <c r="I4061" s="16" t="s">
        <v>48</v>
      </c>
      <c r="J4061" s="16" t="s">
        <v>48</v>
      </c>
      <c r="AG4061" s="15" t="s">
        <v>55</v>
      </c>
      <c r="AH4061" s="15"/>
      <c r="AI4061" s="15"/>
    </row>
    <row r="4062" spans="1:37" s="6" customFormat="1">
      <c r="A4062" s="6" t="s">
        <v>17188</v>
      </c>
      <c r="B4062" s="6" t="s">
        <v>17189</v>
      </c>
      <c r="C4062" s="6" t="s">
        <v>43</v>
      </c>
      <c r="D4062" s="6" t="s">
        <v>16854</v>
      </c>
      <c r="E4062" s="6" t="s">
        <v>16855</v>
      </c>
      <c r="F4062" s="6" t="s">
        <v>46</v>
      </c>
      <c r="G4062" s="6" t="s">
        <v>17190</v>
      </c>
      <c r="H4062" s="7"/>
      <c r="I4062" s="16" t="s">
        <v>48</v>
      </c>
      <c r="J4062" s="16" t="s">
        <v>48</v>
      </c>
      <c r="AG4062" s="15" t="s">
        <v>55</v>
      </c>
      <c r="AH4062" s="15"/>
      <c r="AI4062" s="15"/>
    </row>
    <row r="4063" spans="1:37" s="6" customFormat="1">
      <c r="A4063" s="6" t="s">
        <v>17191</v>
      </c>
      <c r="B4063" s="6" t="s">
        <v>17192</v>
      </c>
      <c r="C4063" s="6" t="s">
        <v>43</v>
      </c>
      <c r="D4063" s="6" t="s">
        <v>16854</v>
      </c>
      <c r="E4063" s="6" t="s">
        <v>16855</v>
      </c>
      <c r="F4063" s="6" t="s">
        <v>46</v>
      </c>
      <c r="G4063" s="6" t="s">
        <v>17073</v>
      </c>
      <c r="H4063" s="7"/>
      <c r="I4063" s="16" t="s">
        <v>48</v>
      </c>
      <c r="J4063" s="16" t="s">
        <v>48</v>
      </c>
      <c r="AG4063" s="15" t="s">
        <v>55</v>
      </c>
      <c r="AH4063" s="15"/>
      <c r="AI4063" s="15"/>
    </row>
    <row r="4064" spans="1:37" s="6" customFormat="1">
      <c r="A4064" s="6" t="s">
        <v>17193</v>
      </c>
      <c r="B4064" s="6" t="s">
        <v>17194</v>
      </c>
      <c r="C4064" s="6" t="s">
        <v>43</v>
      </c>
      <c r="D4064" s="6" t="s">
        <v>16854</v>
      </c>
      <c r="E4064" s="6" t="s">
        <v>16855</v>
      </c>
      <c r="F4064" s="6" t="s">
        <v>46</v>
      </c>
      <c r="G4064" s="6" t="s">
        <v>17195</v>
      </c>
      <c r="H4064" s="7"/>
      <c r="I4064" s="16" t="s">
        <v>48</v>
      </c>
      <c r="J4064" s="16" t="s">
        <v>48</v>
      </c>
      <c r="AG4064" s="15" t="s">
        <v>55</v>
      </c>
      <c r="AH4064" s="15"/>
      <c r="AI4064" s="15"/>
    </row>
    <row r="4065" spans="1:35" s="6" customFormat="1">
      <c r="A4065" s="6" t="s">
        <v>17196</v>
      </c>
      <c r="B4065" s="6" t="s">
        <v>17197</v>
      </c>
      <c r="C4065" s="6" t="s">
        <v>43</v>
      </c>
      <c r="D4065" s="6" t="s">
        <v>16854</v>
      </c>
      <c r="E4065" s="6" t="s">
        <v>16855</v>
      </c>
      <c r="F4065" s="6" t="s">
        <v>46</v>
      </c>
      <c r="G4065" s="6" t="s">
        <v>1935</v>
      </c>
      <c r="H4065" s="7"/>
      <c r="I4065" s="16" t="s">
        <v>48</v>
      </c>
      <c r="J4065" s="16" t="s">
        <v>48</v>
      </c>
      <c r="AG4065" s="15" t="s">
        <v>55</v>
      </c>
      <c r="AH4065" s="15"/>
      <c r="AI4065" s="15"/>
    </row>
    <row r="4066" spans="1:35" s="6" customFormat="1">
      <c r="A4066" s="6" t="s">
        <v>17198</v>
      </c>
      <c r="B4066" s="6" t="s">
        <v>17199</v>
      </c>
      <c r="C4066" s="6" t="s">
        <v>17200</v>
      </c>
      <c r="D4066" s="6" t="s">
        <v>16854</v>
      </c>
      <c r="E4066" s="6" t="s">
        <v>16855</v>
      </c>
      <c r="F4066" s="6" t="s">
        <v>46</v>
      </c>
      <c r="G4066" s="6" t="s">
        <v>9474</v>
      </c>
      <c r="H4066" s="7"/>
      <c r="I4066" s="16" t="s">
        <v>48</v>
      </c>
      <c r="J4066" s="16" t="s">
        <v>48</v>
      </c>
      <c r="AG4066" s="15" t="s">
        <v>55</v>
      </c>
      <c r="AH4066" s="15"/>
      <c r="AI4066" s="15"/>
    </row>
    <row r="4067" spans="1:35" s="6" customFormat="1">
      <c r="A4067" s="6" t="s">
        <v>17201</v>
      </c>
      <c r="B4067" s="6" t="s">
        <v>17202</v>
      </c>
      <c r="C4067" s="6" t="s">
        <v>43</v>
      </c>
      <c r="D4067" s="6" t="s">
        <v>16854</v>
      </c>
      <c r="E4067" s="6" t="s">
        <v>16855</v>
      </c>
      <c r="F4067" s="6" t="s">
        <v>46</v>
      </c>
      <c r="G4067" s="6" t="s">
        <v>17203</v>
      </c>
      <c r="H4067" s="7"/>
      <c r="I4067" s="16" t="s">
        <v>48</v>
      </c>
      <c r="J4067" s="16" t="s">
        <v>48</v>
      </c>
      <c r="AG4067" s="15" t="s">
        <v>55</v>
      </c>
      <c r="AH4067" s="15"/>
      <c r="AI4067" s="15"/>
    </row>
    <row r="4068" spans="1:35" s="6" customFormat="1">
      <c r="A4068" s="6" t="s">
        <v>17204</v>
      </c>
      <c r="B4068" s="6" t="s">
        <v>17205</v>
      </c>
      <c r="C4068" s="6" t="s">
        <v>43</v>
      </c>
      <c r="D4068" s="6" t="s">
        <v>16854</v>
      </c>
      <c r="E4068" s="6" t="s">
        <v>16855</v>
      </c>
      <c r="F4068" s="6" t="s">
        <v>46</v>
      </c>
      <c r="G4068" s="6" t="s">
        <v>17206</v>
      </c>
      <c r="H4068" s="7"/>
      <c r="I4068" s="6" t="s">
        <v>48</v>
      </c>
      <c r="J4068" s="6" t="s">
        <v>48</v>
      </c>
      <c r="AG4068" s="15" t="s">
        <v>55</v>
      </c>
      <c r="AH4068" s="15"/>
      <c r="AI4068" s="15"/>
    </row>
    <row r="4069" spans="1:35" s="6" customFormat="1">
      <c r="A4069" s="6" t="s">
        <v>17207</v>
      </c>
      <c r="B4069" s="6" t="s">
        <v>17208</v>
      </c>
      <c r="C4069" s="6" t="s">
        <v>43</v>
      </c>
      <c r="D4069" s="6" t="s">
        <v>16854</v>
      </c>
      <c r="E4069" s="6" t="s">
        <v>16855</v>
      </c>
      <c r="F4069" s="6" t="s">
        <v>46</v>
      </c>
      <c r="G4069" s="6" t="s">
        <v>17209</v>
      </c>
      <c r="H4069" s="7"/>
      <c r="I4069" s="6" t="s">
        <v>48</v>
      </c>
      <c r="J4069" s="6" t="s">
        <v>48</v>
      </c>
      <c r="AG4069" s="15" t="s">
        <v>55</v>
      </c>
      <c r="AH4069" s="15"/>
      <c r="AI4069" s="15"/>
    </row>
    <row r="4070" spans="1:35" s="6" customFormat="1">
      <c r="A4070" s="6" t="s">
        <v>17210</v>
      </c>
      <c r="B4070" s="6" t="s">
        <v>17211</v>
      </c>
      <c r="C4070" s="6" t="s">
        <v>43</v>
      </c>
      <c r="D4070" s="6" t="s">
        <v>16854</v>
      </c>
      <c r="E4070" s="6" t="s">
        <v>16855</v>
      </c>
      <c r="F4070" s="6" t="s">
        <v>46</v>
      </c>
      <c r="G4070" s="6" t="s">
        <v>17212</v>
      </c>
      <c r="H4070" s="7"/>
      <c r="I4070" s="6" t="s">
        <v>48</v>
      </c>
      <c r="J4070" s="6" t="s">
        <v>48</v>
      </c>
      <c r="AG4070" s="15" t="s">
        <v>55</v>
      </c>
      <c r="AH4070" s="15"/>
      <c r="AI4070" s="15"/>
    </row>
    <row r="4071" spans="1:35" s="6" customFormat="1">
      <c r="A4071" s="6" t="s">
        <v>17213</v>
      </c>
      <c r="B4071" s="6" t="s">
        <v>17214</v>
      </c>
      <c r="C4071" s="6" t="s">
        <v>43</v>
      </c>
      <c r="D4071" s="6" t="s">
        <v>16854</v>
      </c>
      <c r="E4071" s="6" t="s">
        <v>16855</v>
      </c>
      <c r="F4071" s="6" t="s">
        <v>46</v>
      </c>
      <c r="G4071" s="6" t="s">
        <v>17215</v>
      </c>
      <c r="H4071" s="7"/>
      <c r="I4071" s="6" t="s">
        <v>48</v>
      </c>
      <c r="J4071" s="6" t="s">
        <v>48</v>
      </c>
      <c r="AG4071" s="15" t="s">
        <v>55</v>
      </c>
      <c r="AH4071" s="15"/>
      <c r="AI4071" s="15"/>
    </row>
    <row r="4072" spans="1:35" s="6" customFormat="1">
      <c r="A4072" s="6" t="s">
        <v>17216</v>
      </c>
      <c r="B4072" s="6" t="s">
        <v>17217</v>
      </c>
      <c r="C4072" s="6" t="s">
        <v>43</v>
      </c>
      <c r="D4072" s="6" t="s">
        <v>16854</v>
      </c>
      <c r="E4072" s="6" t="s">
        <v>16855</v>
      </c>
      <c r="F4072" s="6" t="s">
        <v>46</v>
      </c>
      <c r="G4072" s="6" t="s">
        <v>17218</v>
      </c>
      <c r="H4072" s="7"/>
      <c r="I4072" s="6" t="s">
        <v>48</v>
      </c>
      <c r="J4072" s="6" t="s">
        <v>48</v>
      </c>
      <c r="AG4072" s="15" t="s">
        <v>55</v>
      </c>
      <c r="AH4072" s="15"/>
      <c r="AI4072" s="15"/>
    </row>
    <row r="4073" spans="1:35" s="6" customFormat="1">
      <c r="A4073" s="6" t="s">
        <v>17219</v>
      </c>
      <c r="B4073" s="6" t="s">
        <v>17220</v>
      </c>
      <c r="C4073" s="6" t="s">
        <v>43</v>
      </c>
      <c r="D4073" s="6" t="s">
        <v>16854</v>
      </c>
      <c r="E4073" s="6" t="s">
        <v>16855</v>
      </c>
      <c r="F4073" s="6" t="s">
        <v>46</v>
      </c>
      <c r="G4073" s="6" t="s">
        <v>1544</v>
      </c>
      <c r="H4073" s="7"/>
      <c r="I4073" s="6" t="s">
        <v>48</v>
      </c>
      <c r="J4073" s="6" t="s">
        <v>48</v>
      </c>
      <c r="AG4073" s="15" t="s">
        <v>55</v>
      </c>
      <c r="AH4073" s="15"/>
      <c r="AI4073" s="15"/>
    </row>
    <row r="4074" spans="1:35" s="6" customFormat="1">
      <c r="A4074" s="6" t="s">
        <v>17221</v>
      </c>
      <c r="B4074" s="6" t="s">
        <v>17222</v>
      </c>
      <c r="C4074" s="6" t="s">
        <v>43</v>
      </c>
      <c r="D4074" s="6" t="s">
        <v>16854</v>
      </c>
      <c r="E4074" s="6" t="s">
        <v>16855</v>
      </c>
      <c r="F4074" s="6" t="s">
        <v>46</v>
      </c>
      <c r="G4074" s="6" t="s">
        <v>17223</v>
      </c>
      <c r="H4074" s="7"/>
      <c r="I4074" s="16" t="s">
        <v>48</v>
      </c>
      <c r="J4074" s="16" t="s">
        <v>48</v>
      </c>
      <c r="AG4074" s="15" t="s">
        <v>55</v>
      </c>
      <c r="AH4074" s="15"/>
      <c r="AI4074" s="15"/>
    </row>
    <row r="4075" spans="1:35" s="6" customFormat="1">
      <c r="A4075" s="6" t="s">
        <v>17224</v>
      </c>
      <c r="B4075" s="6" t="s">
        <v>17225</v>
      </c>
      <c r="C4075" s="6" t="s">
        <v>43</v>
      </c>
      <c r="D4075" s="6" t="s">
        <v>16854</v>
      </c>
      <c r="E4075" s="6" t="s">
        <v>16855</v>
      </c>
      <c r="F4075" s="6" t="s">
        <v>46</v>
      </c>
      <c r="G4075" s="6" t="s">
        <v>2802</v>
      </c>
      <c r="H4075" s="7"/>
      <c r="I4075" s="6" t="s">
        <v>48</v>
      </c>
      <c r="J4075" s="6" t="s">
        <v>48</v>
      </c>
      <c r="AG4075" s="15" t="s">
        <v>55</v>
      </c>
      <c r="AH4075" s="15"/>
      <c r="AI4075" s="15"/>
    </row>
    <row r="4076" spans="1:35" s="6" customFormat="1">
      <c r="A4076" s="6" t="s">
        <v>17226</v>
      </c>
      <c r="B4076" s="6" t="s">
        <v>17227</v>
      </c>
      <c r="C4076" s="6" t="s">
        <v>43</v>
      </c>
      <c r="D4076" s="6" t="s">
        <v>16854</v>
      </c>
      <c r="E4076" s="6" t="s">
        <v>16855</v>
      </c>
      <c r="F4076" s="6" t="s">
        <v>46</v>
      </c>
      <c r="G4076" s="6" t="s">
        <v>17228</v>
      </c>
      <c r="H4076" s="7"/>
      <c r="I4076" s="16" t="s">
        <v>48</v>
      </c>
      <c r="J4076" s="16" t="s">
        <v>48</v>
      </c>
      <c r="AG4076" s="15" t="s">
        <v>55</v>
      </c>
      <c r="AH4076" s="15"/>
      <c r="AI4076" s="15"/>
    </row>
    <row r="4077" spans="1:35" s="6" customFormat="1">
      <c r="A4077" s="6" t="s">
        <v>17229</v>
      </c>
      <c r="B4077" s="6" t="s">
        <v>17230</v>
      </c>
      <c r="C4077" s="6" t="s">
        <v>43</v>
      </c>
      <c r="D4077" s="6" t="s">
        <v>16854</v>
      </c>
      <c r="E4077" s="6" t="s">
        <v>16855</v>
      </c>
      <c r="F4077" s="6" t="s">
        <v>46</v>
      </c>
      <c r="G4077" s="6" t="s">
        <v>17231</v>
      </c>
      <c r="H4077" s="7"/>
      <c r="I4077" s="16" t="s">
        <v>48</v>
      </c>
      <c r="J4077" s="16" t="s">
        <v>48</v>
      </c>
      <c r="AG4077" s="15" t="s">
        <v>55</v>
      </c>
      <c r="AH4077" s="15"/>
      <c r="AI4077" s="15"/>
    </row>
    <row r="4078" spans="1:35" s="6" customFormat="1">
      <c r="A4078" s="6" t="s">
        <v>17232</v>
      </c>
      <c r="B4078" s="6" t="s">
        <v>17233</v>
      </c>
      <c r="C4078" s="6" t="s">
        <v>43</v>
      </c>
      <c r="D4078" s="6" t="s">
        <v>16854</v>
      </c>
      <c r="E4078" s="6" t="s">
        <v>16855</v>
      </c>
      <c r="F4078" s="6" t="s">
        <v>46</v>
      </c>
      <c r="G4078" s="6" t="s">
        <v>17234</v>
      </c>
      <c r="H4078" s="7"/>
      <c r="I4078" s="6" t="s">
        <v>48</v>
      </c>
      <c r="J4078" s="6" t="s">
        <v>48</v>
      </c>
      <c r="AG4078" s="15" t="s">
        <v>55</v>
      </c>
      <c r="AH4078" s="15"/>
      <c r="AI4078" s="15"/>
    </row>
    <row r="4079" spans="1:35" s="6" customFormat="1">
      <c r="A4079" s="6" t="s">
        <v>17235</v>
      </c>
      <c r="B4079" s="6" t="s">
        <v>17236</v>
      </c>
      <c r="C4079" s="6" t="s">
        <v>43</v>
      </c>
      <c r="D4079" s="6" t="s">
        <v>16854</v>
      </c>
      <c r="E4079" s="6" t="s">
        <v>16855</v>
      </c>
      <c r="F4079" s="6" t="s">
        <v>46</v>
      </c>
      <c r="G4079" s="6" t="s">
        <v>17237</v>
      </c>
      <c r="H4079" s="7"/>
      <c r="I4079" s="6" t="s">
        <v>48</v>
      </c>
      <c r="J4079" s="6" t="s">
        <v>48</v>
      </c>
      <c r="AG4079" s="15" t="s">
        <v>55</v>
      </c>
      <c r="AH4079" s="15"/>
      <c r="AI4079" s="15"/>
    </row>
    <row r="4080" spans="1:35" s="6" customFormat="1">
      <c r="A4080" s="6" t="s">
        <v>17238</v>
      </c>
      <c r="B4080" s="6" t="s">
        <v>17239</v>
      </c>
      <c r="C4080" s="6" t="s">
        <v>43</v>
      </c>
      <c r="D4080" s="6" t="s">
        <v>16854</v>
      </c>
      <c r="E4080" s="6" t="s">
        <v>16855</v>
      </c>
      <c r="F4080" s="6" t="s">
        <v>46</v>
      </c>
      <c r="G4080" s="6" t="s">
        <v>8575</v>
      </c>
      <c r="H4080" s="7"/>
      <c r="I4080" s="6" t="s">
        <v>48</v>
      </c>
      <c r="J4080" s="6" t="s">
        <v>48</v>
      </c>
      <c r="AG4080" s="15" t="s">
        <v>55</v>
      </c>
      <c r="AH4080" s="15"/>
      <c r="AI4080" s="15"/>
    </row>
    <row r="4081" spans="1:37" s="6" customFormat="1">
      <c r="A4081" s="6" t="s">
        <v>17240</v>
      </c>
      <c r="B4081" s="6" t="s">
        <v>17241</v>
      </c>
      <c r="C4081" s="6" t="s">
        <v>43</v>
      </c>
      <c r="D4081" s="6" t="s">
        <v>16854</v>
      </c>
      <c r="E4081" s="6" t="s">
        <v>16855</v>
      </c>
      <c r="F4081" s="6" t="s">
        <v>46</v>
      </c>
      <c r="G4081" s="6" t="s">
        <v>17242</v>
      </c>
      <c r="H4081" s="7"/>
      <c r="I4081" s="6" t="s">
        <v>48</v>
      </c>
      <c r="J4081" s="6" t="s">
        <v>48</v>
      </c>
      <c r="AG4081" s="15" t="s">
        <v>55</v>
      </c>
      <c r="AH4081" s="15"/>
      <c r="AI4081" s="15"/>
    </row>
    <row r="4082" spans="1:37" s="6" customFormat="1">
      <c r="A4082" s="6" t="s">
        <v>17243</v>
      </c>
      <c r="B4082" s="6" t="s">
        <v>17244</v>
      </c>
      <c r="C4082" s="6" t="s">
        <v>43</v>
      </c>
      <c r="D4082" s="6" t="s">
        <v>16854</v>
      </c>
      <c r="E4082" s="6" t="s">
        <v>16855</v>
      </c>
      <c r="F4082" s="6" t="s">
        <v>46</v>
      </c>
      <c r="G4082" s="6" t="s">
        <v>16874</v>
      </c>
      <c r="H4082" s="7"/>
      <c r="I4082" s="16" t="s">
        <v>48</v>
      </c>
      <c r="J4082" s="16" t="s">
        <v>48</v>
      </c>
      <c r="AG4082" s="15" t="s">
        <v>55</v>
      </c>
      <c r="AH4082" s="15"/>
      <c r="AI4082" s="15"/>
    </row>
    <row r="4083" spans="1:37" s="6" customFormat="1">
      <c r="A4083" s="6" t="s">
        <v>17245</v>
      </c>
      <c r="B4083" s="6" t="s">
        <v>17246</v>
      </c>
      <c r="C4083" s="6" t="s">
        <v>9907</v>
      </c>
      <c r="D4083" s="6" t="s">
        <v>16854</v>
      </c>
      <c r="E4083" s="6" t="s">
        <v>16855</v>
      </c>
      <c r="F4083" s="6" t="s">
        <v>46</v>
      </c>
      <c r="G4083" s="6" t="s">
        <v>16929</v>
      </c>
      <c r="H4083" s="7"/>
      <c r="I4083" s="6" t="s">
        <v>48</v>
      </c>
      <c r="J4083" s="6" t="s">
        <v>48</v>
      </c>
      <c r="AG4083" s="15" t="s">
        <v>55</v>
      </c>
      <c r="AH4083" s="15"/>
      <c r="AI4083" s="15"/>
    </row>
    <row r="4084" spans="1:37" s="6" customFormat="1">
      <c r="A4084" s="6" t="s">
        <v>17247</v>
      </c>
      <c r="B4084" s="6" t="s">
        <v>17248</v>
      </c>
      <c r="C4084" s="6" t="s">
        <v>17249</v>
      </c>
      <c r="D4084" s="6" t="s">
        <v>16854</v>
      </c>
      <c r="E4084" s="6" t="s">
        <v>16855</v>
      </c>
      <c r="F4084" s="6" t="s">
        <v>46</v>
      </c>
      <c r="G4084" s="6" t="s">
        <v>16929</v>
      </c>
      <c r="H4084" s="7"/>
      <c r="I4084" s="6" t="s">
        <v>48</v>
      </c>
      <c r="J4084" s="6" t="s">
        <v>48</v>
      </c>
      <c r="AG4084" s="15" t="s">
        <v>55</v>
      </c>
      <c r="AH4084" s="15"/>
      <c r="AI4084" s="15"/>
    </row>
    <row r="4085" spans="1:37" s="6" customFormat="1">
      <c r="A4085" s="6" t="s">
        <v>17250</v>
      </c>
      <c r="B4085" s="6" t="s">
        <v>17251</v>
      </c>
      <c r="C4085" s="6" t="s">
        <v>43</v>
      </c>
      <c r="D4085" s="6" t="s">
        <v>16854</v>
      </c>
      <c r="E4085" s="6" t="s">
        <v>16855</v>
      </c>
      <c r="F4085" s="6" t="s">
        <v>46</v>
      </c>
      <c r="G4085" s="6" t="s">
        <v>17252</v>
      </c>
      <c r="H4085" s="7"/>
      <c r="I4085" s="16" t="s">
        <v>48</v>
      </c>
      <c r="J4085" s="16" t="s">
        <v>48</v>
      </c>
      <c r="AG4085" s="15" t="s">
        <v>55</v>
      </c>
      <c r="AH4085" s="15"/>
      <c r="AI4085" s="15"/>
    </row>
    <row r="4086" spans="1:37" s="6" customFormat="1">
      <c r="A4086" s="5" t="s">
        <v>17253</v>
      </c>
      <c r="B4086" s="5" t="s">
        <v>17254</v>
      </c>
      <c r="C4086" s="6" t="s">
        <v>43</v>
      </c>
      <c r="D4086" s="6" t="s">
        <v>16854</v>
      </c>
      <c r="E4086" s="6" t="s">
        <v>16855</v>
      </c>
      <c r="F4086" s="6" t="s">
        <v>46</v>
      </c>
      <c r="G4086" s="6" t="s">
        <v>17255</v>
      </c>
      <c r="H4086" s="18">
        <v>2035</v>
      </c>
      <c r="I4086" s="19" t="s">
        <v>16938</v>
      </c>
      <c r="J4086" s="19" t="s">
        <v>17256</v>
      </c>
      <c r="K4086" s="5" t="s">
        <v>17257</v>
      </c>
      <c r="L4086" s="5" t="s">
        <v>17258</v>
      </c>
      <c r="M4086" s="5" t="s">
        <v>17259</v>
      </c>
      <c r="N4086" s="5" t="s">
        <v>17260</v>
      </c>
      <c r="O4086" s="5" t="s">
        <v>17261</v>
      </c>
      <c r="P4086" s="5" t="s">
        <v>17262</v>
      </c>
      <c r="Q4086" s="5" t="s">
        <v>17263</v>
      </c>
      <c r="R4086" s="5" t="s">
        <v>17264</v>
      </c>
      <c r="S4086" s="5" t="s">
        <v>17265</v>
      </c>
      <c r="T4086" s="5" t="s">
        <v>17266</v>
      </c>
      <c r="U4086" s="5" t="s">
        <v>17267</v>
      </c>
      <c r="V4086" s="5" t="s">
        <v>17268</v>
      </c>
      <c r="W4086" s="5" t="s">
        <v>16952</v>
      </c>
      <c r="X4086" s="5" t="s">
        <v>16953</v>
      </c>
      <c r="Y4086" s="5" t="s">
        <v>16954</v>
      </c>
      <c r="Z4086" s="5" t="s">
        <v>16955</v>
      </c>
      <c r="AA4086" s="5" t="s">
        <v>16956</v>
      </c>
      <c r="AB4086" s="5" t="s">
        <v>16971</v>
      </c>
      <c r="AC4086" s="5" t="s">
        <v>16958</v>
      </c>
      <c r="AD4086" s="5" t="s">
        <v>16959</v>
      </c>
      <c r="AE4086" s="5"/>
      <c r="AF4086" s="5"/>
      <c r="AG4086" s="14" t="s">
        <v>55</v>
      </c>
      <c r="AH4086" s="14" t="s">
        <v>149</v>
      </c>
      <c r="AI4086" s="14" t="s">
        <v>1102</v>
      </c>
      <c r="AJ4086" s="5" t="s">
        <v>16960</v>
      </c>
      <c r="AK4086" s="5"/>
    </row>
    <row r="4087" spans="1:37">
      <c r="A4087" s="5" t="s">
        <v>17269</v>
      </c>
      <c r="B4087" s="5" t="s">
        <v>17270</v>
      </c>
      <c r="C4087" s="6" t="s">
        <v>43</v>
      </c>
      <c r="D4087" s="6" t="s">
        <v>16854</v>
      </c>
      <c r="E4087" s="6" t="s">
        <v>16855</v>
      </c>
      <c r="F4087" s="6" t="s">
        <v>46</v>
      </c>
      <c r="G4087" s="6" t="s">
        <v>17271</v>
      </c>
      <c r="H4087" s="18">
        <v>2035</v>
      </c>
      <c r="I4087" s="19" t="s">
        <v>16938</v>
      </c>
      <c r="J4087" s="19" t="s">
        <v>17256</v>
      </c>
      <c r="K4087" s="5" t="s">
        <v>17257</v>
      </c>
      <c r="L4087" s="5" t="s">
        <v>17258</v>
      </c>
      <c r="M4087" s="5" t="s">
        <v>17259</v>
      </c>
      <c r="N4087" s="5" t="s">
        <v>17272</v>
      </c>
      <c r="O4087" s="5" t="s">
        <v>17261</v>
      </c>
      <c r="P4087" s="5" t="s">
        <v>17262</v>
      </c>
      <c r="Q4087" s="5" t="s">
        <v>17263</v>
      </c>
      <c r="R4087" s="5" t="s">
        <v>17264</v>
      </c>
      <c r="S4087" s="5" t="s">
        <v>17265</v>
      </c>
      <c r="T4087" s="5" t="s">
        <v>17266</v>
      </c>
      <c r="U4087" s="5" t="s">
        <v>17267</v>
      </c>
      <c r="V4087" s="5" t="s">
        <v>17268</v>
      </c>
      <c r="W4087" s="5" t="s">
        <v>16952</v>
      </c>
      <c r="X4087" s="5" t="s">
        <v>16953</v>
      </c>
      <c r="Y4087" s="5" t="s">
        <v>16954</v>
      </c>
      <c r="Z4087" s="5" t="s">
        <v>16955</v>
      </c>
      <c r="AA4087" s="5" t="s">
        <v>16956</v>
      </c>
      <c r="AB4087" s="5" t="s">
        <v>16971</v>
      </c>
      <c r="AC4087" s="5" t="s">
        <v>16958</v>
      </c>
      <c r="AD4087" s="5" t="s">
        <v>16959</v>
      </c>
      <c r="AG4087" s="14" t="s">
        <v>55</v>
      </c>
      <c r="AH4087" s="14" t="s">
        <v>149</v>
      </c>
      <c r="AI4087" s="14" t="s">
        <v>1102</v>
      </c>
      <c r="AJ4087" s="5" t="s">
        <v>16960</v>
      </c>
    </row>
    <row r="4088" spans="1:37">
      <c r="A4088" s="5" t="s">
        <v>17273</v>
      </c>
      <c r="B4088" s="5" t="s">
        <v>17274</v>
      </c>
      <c r="C4088" s="6" t="s">
        <v>43</v>
      </c>
      <c r="D4088" s="6" t="s">
        <v>16854</v>
      </c>
      <c r="E4088" s="6" t="s">
        <v>16855</v>
      </c>
      <c r="F4088" s="6" t="s">
        <v>46</v>
      </c>
      <c r="G4088" s="6" t="s">
        <v>17275</v>
      </c>
      <c r="H4088" s="18">
        <v>999</v>
      </c>
      <c r="I4088" s="19" t="s">
        <v>16938</v>
      </c>
      <c r="J4088" s="19" t="s">
        <v>17256</v>
      </c>
      <c r="K4088" s="5" t="s">
        <v>17276</v>
      </c>
      <c r="L4088" s="5" t="s">
        <v>17277</v>
      </c>
      <c r="M4088" s="5" t="s">
        <v>17278</v>
      </c>
      <c r="N4088" s="5" t="s">
        <v>17279</v>
      </c>
      <c r="O4088" s="5" t="s">
        <v>17261</v>
      </c>
      <c r="P4088" s="5" t="s">
        <v>17262</v>
      </c>
      <c r="Q4088" s="5" t="s">
        <v>17263</v>
      </c>
      <c r="R4088" s="5" t="s">
        <v>17264</v>
      </c>
      <c r="S4088" s="5" t="s">
        <v>17265</v>
      </c>
      <c r="T4088" s="5" t="s">
        <v>17266</v>
      </c>
      <c r="U4088" s="5" t="s">
        <v>17267</v>
      </c>
      <c r="V4088" s="5" t="s">
        <v>17268</v>
      </c>
      <c r="W4088" s="5" t="s">
        <v>16952</v>
      </c>
      <c r="X4088" s="5" t="s">
        <v>16953</v>
      </c>
      <c r="Y4088" s="5" t="s">
        <v>16954</v>
      </c>
      <c r="Z4088" s="5" t="s">
        <v>16955</v>
      </c>
      <c r="AA4088" s="5" t="s">
        <v>16956</v>
      </c>
      <c r="AB4088" s="5" t="s">
        <v>16971</v>
      </c>
      <c r="AC4088" s="5" t="s">
        <v>16958</v>
      </c>
      <c r="AD4088" s="5" t="s">
        <v>16959</v>
      </c>
      <c r="AG4088" s="14" t="s">
        <v>55</v>
      </c>
      <c r="AH4088" s="14" t="s">
        <v>149</v>
      </c>
      <c r="AI4088" s="14" t="s">
        <v>1102</v>
      </c>
      <c r="AJ4088" s="5" t="s">
        <v>16960</v>
      </c>
    </row>
    <row r="4089" spans="1:37">
      <c r="A4089" s="5" t="s">
        <v>17280</v>
      </c>
      <c r="B4089" s="5" t="s">
        <v>17281</v>
      </c>
      <c r="C4089" s="6" t="s">
        <v>43</v>
      </c>
      <c r="D4089" s="6" t="s">
        <v>16854</v>
      </c>
      <c r="E4089" s="6" t="s">
        <v>16855</v>
      </c>
      <c r="F4089" s="6" t="s">
        <v>46</v>
      </c>
      <c r="G4089" s="6" t="s">
        <v>17282</v>
      </c>
      <c r="H4089" s="18">
        <v>999</v>
      </c>
      <c r="I4089" s="19" t="s">
        <v>16938</v>
      </c>
      <c r="J4089" s="19" t="s">
        <v>17256</v>
      </c>
      <c r="K4089" s="5" t="s">
        <v>17283</v>
      </c>
      <c r="L4089" s="5" t="s">
        <v>17284</v>
      </c>
      <c r="M4089" s="5" t="s">
        <v>17285</v>
      </c>
      <c r="N4089" s="5" t="s">
        <v>17279</v>
      </c>
      <c r="O4089" s="5" t="s">
        <v>17261</v>
      </c>
      <c r="P4089" s="5" t="s">
        <v>17262</v>
      </c>
      <c r="Q4089" s="5" t="s">
        <v>17263</v>
      </c>
      <c r="R4089" s="5" t="s">
        <v>17264</v>
      </c>
      <c r="S4089" s="5" t="s">
        <v>17265</v>
      </c>
      <c r="T4089" s="5" t="s">
        <v>17266</v>
      </c>
      <c r="U4089" s="5" t="s">
        <v>17267</v>
      </c>
      <c r="V4089" s="5" t="s">
        <v>17268</v>
      </c>
      <c r="W4089" s="5" t="s">
        <v>16952</v>
      </c>
      <c r="X4089" s="5" t="s">
        <v>16953</v>
      </c>
      <c r="Y4089" s="5" t="s">
        <v>16954</v>
      </c>
      <c r="Z4089" s="5" t="s">
        <v>16955</v>
      </c>
      <c r="AA4089" s="5" t="s">
        <v>16956</v>
      </c>
      <c r="AB4089" s="5" t="s">
        <v>16971</v>
      </c>
      <c r="AC4089" s="5" t="s">
        <v>16958</v>
      </c>
      <c r="AD4089" s="5" t="s">
        <v>16959</v>
      </c>
      <c r="AG4089" s="14" t="s">
        <v>55</v>
      </c>
      <c r="AH4089" s="14" t="s">
        <v>149</v>
      </c>
      <c r="AI4089" s="14" t="s">
        <v>1102</v>
      </c>
      <c r="AJ4089" s="5" t="s">
        <v>16960</v>
      </c>
    </row>
    <row r="4090" spans="1:37">
      <c r="A4090" s="5" t="s">
        <v>17286</v>
      </c>
      <c r="B4090" s="5" t="s">
        <v>17287</v>
      </c>
      <c r="C4090" s="6" t="s">
        <v>43</v>
      </c>
      <c r="D4090" s="6" t="s">
        <v>16854</v>
      </c>
      <c r="E4090" s="6" t="s">
        <v>16855</v>
      </c>
      <c r="F4090" s="6" t="s">
        <v>46</v>
      </c>
      <c r="G4090" s="6" t="s">
        <v>17288</v>
      </c>
      <c r="H4090" s="18">
        <v>999</v>
      </c>
      <c r="I4090" s="19" t="s">
        <v>16938</v>
      </c>
      <c r="J4090" s="19" t="s">
        <v>17256</v>
      </c>
      <c r="K4090" s="5" t="s">
        <v>17289</v>
      </c>
      <c r="L4090" s="5" t="s">
        <v>17290</v>
      </c>
      <c r="M4090" s="5" t="s">
        <v>17291</v>
      </c>
      <c r="N4090" s="5" t="s">
        <v>17292</v>
      </c>
      <c r="O4090" s="5" t="s">
        <v>17261</v>
      </c>
      <c r="P4090" s="5" t="s">
        <v>17262</v>
      </c>
      <c r="Q4090" s="5" t="s">
        <v>17263</v>
      </c>
      <c r="R4090" s="5" t="s">
        <v>17264</v>
      </c>
      <c r="S4090" s="5" t="s">
        <v>17265</v>
      </c>
      <c r="T4090" s="5" t="s">
        <v>17266</v>
      </c>
      <c r="U4090" s="5" t="s">
        <v>17267</v>
      </c>
      <c r="V4090" s="5" t="s">
        <v>17268</v>
      </c>
      <c r="W4090" s="5" t="s">
        <v>16952</v>
      </c>
      <c r="X4090" s="5" t="s">
        <v>16953</v>
      </c>
      <c r="Y4090" s="5" t="s">
        <v>16954</v>
      </c>
      <c r="Z4090" s="5" t="s">
        <v>16955</v>
      </c>
      <c r="AA4090" s="5" t="s">
        <v>16956</v>
      </c>
      <c r="AB4090" s="5" t="s">
        <v>16971</v>
      </c>
      <c r="AC4090" s="5" t="s">
        <v>16958</v>
      </c>
      <c r="AD4090" s="5" t="s">
        <v>16959</v>
      </c>
      <c r="AG4090" s="14" t="s">
        <v>55</v>
      </c>
      <c r="AH4090" s="14" t="s">
        <v>149</v>
      </c>
      <c r="AI4090" s="14" t="s">
        <v>1102</v>
      </c>
      <c r="AJ4090" s="5" t="s">
        <v>16960</v>
      </c>
    </row>
    <row r="4091" spans="1:37">
      <c r="A4091" s="6" t="s">
        <v>17293</v>
      </c>
      <c r="B4091" s="6" t="s">
        <v>17294</v>
      </c>
      <c r="C4091" s="6" t="s">
        <v>43</v>
      </c>
      <c r="D4091" s="6" t="s">
        <v>16854</v>
      </c>
      <c r="E4091" s="6" t="s">
        <v>16855</v>
      </c>
      <c r="F4091" s="6" t="s">
        <v>46</v>
      </c>
      <c r="G4091" s="6" t="s">
        <v>17295</v>
      </c>
      <c r="I4091" s="16" t="s">
        <v>48</v>
      </c>
      <c r="J4091" s="16" t="s">
        <v>48</v>
      </c>
      <c r="K4091" s="6"/>
      <c r="L4091" s="6"/>
      <c r="M4091" s="6"/>
      <c r="N4091" s="6"/>
      <c r="O4091" s="6"/>
      <c r="P4091" s="6"/>
      <c r="Q4091" s="6"/>
      <c r="R4091" s="6"/>
      <c r="S4091" s="6"/>
      <c r="T4091" s="6"/>
      <c r="U4091" s="6"/>
      <c r="V4091" s="6"/>
      <c r="W4091" s="6"/>
      <c r="X4091" s="6"/>
      <c r="Y4091" s="6"/>
      <c r="Z4091" s="6"/>
      <c r="AA4091" s="6"/>
      <c r="AB4091" s="6"/>
      <c r="AC4091" s="6"/>
      <c r="AD4091" s="6"/>
      <c r="AE4091" s="6"/>
      <c r="AF4091" s="6"/>
      <c r="AG4091" s="15" t="s">
        <v>55</v>
      </c>
      <c r="AH4091" s="15"/>
      <c r="AI4091" s="15"/>
      <c r="AJ4091" s="6"/>
      <c r="AK4091" s="6"/>
    </row>
    <row r="4092" spans="1:37" s="6" customFormat="1">
      <c r="A4092" s="6" t="s">
        <v>17296</v>
      </c>
      <c r="B4092" s="6" t="s">
        <v>17297</v>
      </c>
      <c r="C4092" s="6" t="s">
        <v>43</v>
      </c>
      <c r="D4092" s="6" t="s">
        <v>16854</v>
      </c>
      <c r="E4092" s="6" t="s">
        <v>16855</v>
      </c>
      <c r="F4092" s="6" t="s">
        <v>46</v>
      </c>
      <c r="G4092" s="6" t="s">
        <v>17298</v>
      </c>
      <c r="H4092" s="7"/>
      <c r="I4092" s="16" t="s">
        <v>48</v>
      </c>
      <c r="J4092" s="16" t="s">
        <v>48</v>
      </c>
      <c r="AG4092" s="15" t="s">
        <v>55</v>
      </c>
      <c r="AH4092" s="15"/>
      <c r="AI4092" s="15"/>
    </row>
    <row r="4093" spans="1:37" s="6" customFormat="1">
      <c r="A4093" s="6" t="s">
        <v>17299</v>
      </c>
      <c r="B4093" s="6" t="s">
        <v>17300</v>
      </c>
      <c r="C4093" s="6" t="s">
        <v>43</v>
      </c>
      <c r="D4093" s="6" t="s">
        <v>16854</v>
      </c>
      <c r="E4093" s="6" t="s">
        <v>16855</v>
      </c>
      <c r="F4093" s="6" t="s">
        <v>46</v>
      </c>
      <c r="G4093" s="6" t="s">
        <v>17301</v>
      </c>
      <c r="H4093" s="7"/>
      <c r="I4093" s="16" t="s">
        <v>48</v>
      </c>
      <c r="J4093" s="16" t="s">
        <v>48</v>
      </c>
      <c r="AG4093" s="15" t="s">
        <v>55</v>
      </c>
      <c r="AH4093" s="15"/>
      <c r="AI4093" s="15"/>
    </row>
    <row r="4094" spans="1:37" s="6" customFormat="1">
      <c r="A4094" s="6" t="s">
        <v>17302</v>
      </c>
      <c r="B4094" s="6" t="s">
        <v>17303</v>
      </c>
      <c r="C4094" s="6" t="s">
        <v>43</v>
      </c>
      <c r="D4094" s="6" t="s">
        <v>16854</v>
      </c>
      <c r="E4094" s="6" t="s">
        <v>16855</v>
      </c>
      <c r="F4094" s="6" t="s">
        <v>46</v>
      </c>
      <c r="G4094" s="6" t="s">
        <v>17304</v>
      </c>
      <c r="H4094" s="7"/>
      <c r="I4094" s="16" t="s">
        <v>48</v>
      </c>
      <c r="J4094" s="16" t="s">
        <v>48</v>
      </c>
      <c r="AG4094" s="15" t="s">
        <v>55</v>
      </c>
      <c r="AH4094" s="15"/>
      <c r="AI4094" s="15"/>
    </row>
    <row r="4095" spans="1:37" s="6" customFormat="1">
      <c r="A4095" s="6" t="s">
        <v>17305</v>
      </c>
      <c r="B4095" s="6" t="s">
        <v>17306</v>
      </c>
      <c r="C4095" s="6" t="s">
        <v>43</v>
      </c>
      <c r="D4095" s="6" t="s">
        <v>16854</v>
      </c>
      <c r="E4095" s="6" t="s">
        <v>16855</v>
      </c>
      <c r="F4095" s="6" t="s">
        <v>46</v>
      </c>
      <c r="G4095" s="6" t="s">
        <v>17307</v>
      </c>
      <c r="H4095" s="7"/>
      <c r="I4095" s="16" t="s">
        <v>48</v>
      </c>
      <c r="J4095" s="16" t="s">
        <v>48</v>
      </c>
      <c r="AG4095" s="15" t="s">
        <v>55</v>
      </c>
      <c r="AH4095" s="15"/>
      <c r="AI4095" s="15"/>
    </row>
    <row r="4096" spans="1:37" s="6" customFormat="1">
      <c r="A4096" s="6" t="s">
        <v>17308</v>
      </c>
      <c r="B4096" s="6" t="s">
        <v>17309</v>
      </c>
      <c r="C4096" s="6" t="s">
        <v>43</v>
      </c>
      <c r="D4096" s="6" t="s">
        <v>16854</v>
      </c>
      <c r="E4096" s="6" t="s">
        <v>16855</v>
      </c>
      <c r="F4096" s="6" t="s">
        <v>46</v>
      </c>
      <c r="G4096" s="6" t="s">
        <v>17310</v>
      </c>
      <c r="H4096" s="7"/>
      <c r="I4096" s="16" t="s">
        <v>48</v>
      </c>
      <c r="J4096" s="16" t="s">
        <v>48</v>
      </c>
      <c r="AG4096" s="15" t="s">
        <v>55</v>
      </c>
      <c r="AH4096" s="15"/>
      <c r="AI4096" s="15"/>
    </row>
    <row r="4097" spans="1:37" s="6" customFormat="1">
      <c r="A4097" s="6" t="s">
        <v>17311</v>
      </c>
      <c r="B4097" s="6" t="s">
        <v>17312</v>
      </c>
      <c r="C4097" s="6" t="s">
        <v>43</v>
      </c>
      <c r="D4097" s="6" t="s">
        <v>16854</v>
      </c>
      <c r="E4097" s="6" t="s">
        <v>16855</v>
      </c>
      <c r="F4097" s="6" t="s">
        <v>46</v>
      </c>
      <c r="G4097" s="6" t="s">
        <v>17313</v>
      </c>
      <c r="H4097" s="7"/>
      <c r="I4097" s="16" t="s">
        <v>48</v>
      </c>
      <c r="J4097" s="16" t="s">
        <v>48</v>
      </c>
      <c r="AG4097" s="15" t="s">
        <v>55</v>
      </c>
      <c r="AH4097" s="15"/>
      <c r="AI4097" s="15"/>
    </row>
    <row r="4098" spans="1:37" s="6" customFormat="1">
      <c r="A4098" s="5" t="s">
        <v>17314</v>
      </c>
      <c r="B4098" s="5" t="s">
        <v>17315</v>
      </c>
      <c r="C4098" s="6" t="s">
        <v>43</v>
      </c>
      <c r="D4098" s="6" t="s">
        <v>16854</v>
      </c>
      <c r="E4098" s="6" t="s">
        <v>16855</v>
      </c>
      <c r="F4098" s="6" t="s">
        <v>46</v>
      </c>
      <c r="G4098" s="6" t="s">
        <v>17316</v>
      </c>
      <c r="H4098" s="18">
        <v>999</v>
      </c>
      <c r="I4098" s="19" t="s">
        <v>16938</v>
      </c>
      <c r="J4098" s="19" t="s">
        <v>17256</v>
      </c>
      <c r="K4098" s="5" t="s">
        <v>17317</v>
      </c>
      <c r="L4098" s="5" t="s">
        <v>17318</v>
      </c>
      <c r="M4098" s="5" t="s">
        <v>17319</v>
      </c>
      <c r="N4098" s="5" t="s">
        <v>17320</v>
      </c>
      <c r="O4098" s="5" t="s">
        <v>17261</v>
      </c>
      <c r="P4098" s="5" t="s">
        <v>17262</v>
      </c>
      <c r="Q4098" s="5" t="s">
        <v>17263</v>
      </c>
      <c r="R4098" s="5" t="s">
        <v>17264</v>
      </c>
      <c r="S4098" s="5" t="s">
        <v>17265</v>
      </c>
      <c r="T4098" s="5" t="s">
        <v>17266</v>
      </c>
      <c r="U4098" s="5" t="s">
        <v>17267</v>
      </c>
      <c r="V4098" s="5" t="s">
        <v>17268</v>
      </c>
      <c r="W4098" s="5" t="s">
        <v>16952</v>
      </c>
      <c r="X4098" s="5" t="s">
        <v>16953</v>
      </c>
      <c r="Y4098" s="5" t="s">
        <v>16954</v>
      </c>
      <c r="Z4098" s="5" t="s">
        <v>16955</v>
      </c>
      <c r="AA4098" s="5" t="s">
        <v>16956</v>
      </c>
      <c r="AB4098" s="5" t="s">
        <v>16971</v>
      </c>
      <c r="AC4098" s="5" t="s">
        <v>16958</v>
      </c>
      <c r="AD4098" s="5" t="s">
        <v>16959</v>
      </c>
      <c r="AE4098" s="5"/>
      <c r="AF4098" s="5"/>
      <c r="AG4098" s="14" t="s">
        <v>55</v>
      </c>
      <c r="AH4098" s="14" t="s">
        <v>149</v>
      </c>
      <c r="AI4098" s="14" t="s">
        <v>1102</v>
      </c>
      <c r="AJ4098" s="5" t="s">
        <v>16960</v>
      </c>
      <c r="AK4098" s="5"/>
    </row>
    <row r="4099" spans="1:37">
      <c r="A4099" s="5" t="s">
        <v>17321</v>
      </c>
      <c r="B4099" s="5" t="s">
        <v>17322</v>
      </c>
      <c r="C4099" s="6" t="s">
        <v>43</v>
      </c>
      <c r="D4099" s="6" t="s">
        <v>16854</v>
      </c>
      <c r="E4099" s="6" t="s">
        <v>16855</v>
      </c>
      <c r="F4099" s="6" t="s">
        <v>46</v>
      </c>
      <c r="G4099" s="6" t="s">
        <v>17323</v>
      </c>
      <c r="H4099" s="18">
        <v>1625</v>
      </c>
      <c r="I4099" s="19" t="s">
        <v>16938</v>
      </c>
      <c r="J4099" s="19" t="s">
        <v>17256</v>
      </c>
      <c r="K4099" s="5" t="s">
        <v>17324</v>
      </c>
      <c r="L4099" s="5" t="s">
        <v>17325</v>
      </c>
      <c r="M4099" s="5" t="s">
        <v>17326</v>
      </c>
      <c r="N4099" s="5" t="s">
        <v>17327</v>
      </c>
      <c r="O4099" s="5" t="s">
        <v>17261</v>
      </c>
      <c r="P4099" s="5" t="s">
        <v>17262</v>
      </c>
      <c r="Q4099" s="5" t="s">
        <v>17263</v>
      </c>
      <c r="R4099" s="5" t="s">
        <v>17264</v>
      </c>
      <c r="S4099" s="5" t="s">
        <v>17265</v>
      </c>
      <c r="T4099" s="5" t="s">
        <v>17266</v>
      </c>
      <c r="U4099" s="5" t="s">
        <v>17267</v>
      </c>
      <c r="V4099" s="5" t="s">
        <v>17268</v>
      </c>
      <c r="W4099" s="5" t="s">
        <v>16952</v>
      </c>
      <c r="X4099" s="5" t="s">
        <v>16953</v>
      </c>
      <c r="Y4099" s="5" t="s">
        <v>16954</v>
      </c>
      <c r="Z4099" s="5" t="s">
        <v>16955</v>
      </c>
      <c r="AA4099" s="5" t="s">
        <v>16956</v>
      </c>
      <c r="AB4099" s="5" t="s">
        <v>16971</v>
      </c>
      <c r="AC4099" s="5" t="s">
        <v>16958</v>
      </c>
      <c r="AD4099" s="5" t="s">
        <v>16959</v>
      </c>
      <c r="AG4099" s="14" t="s">
        <v>55</v>
      </c>
      <c r="AH4099" s="14" t="s">
        <v>149</v>
      </c>
      <c r="AI4099" s="14" t="s">
        <v>1102</v>
      </c>
      <c r="AJ4099" s="5" t="s">
        <v>16960</v>
      </c>
    </row>
    <row r="4100" spans="1:37">
      <c r="A4100" s="5" t="s">
        <v>17328</v>
      </c>
      <c r="B4100" s="5" t="s">
        <v>17329</v>
      </c>
      <c r="C4100" s="6" t="s">
        <v>43</v>
      </c>
      <c r="D4100" s="6" t="s">
        <v>16854</v>
      </c>
      <c r="E4100" s="6" t="s">
        <v>16855</v>
      </c>
      <c r="F4100" s="6" t="s">
        <v>46</v>
      </c>
      <c r="G4100" s="6" t="s">
        <v>17330</v>
      </c>
      <c r="H4100" s="18">
        <v>1750</v>
      </c>
      <c r="I4100" s="19" t="s">
        <v>16938</v>
      </c>
      <c r="J4100" s="19" t="s">
        <v>17256</v>
      </c>
      <c r="K4100" s="5" t="s">
        <v>17331</v>
      </c>
      <c r="L4100" s="5" t="s">
        <v>17332</v>
      </c>
      <c r="M4100" s="5" t="s">
        <v>17333</v>
      </c>
      <c r="N4100" s="5" t="s">
        <v>17334</v>
      </c>
      <c r="O4100" s="5" t="s">
        <v>17261</v>
      </c>
      <c r="P4100" s="5" t="s">
        <v>17262</v>
      </c>
      <c r="Q4100" s="5" t="s">
        <v>17263</v>
      </c>
      <c r="R4100" s="5" t="s">
        <v>17264</v>
      </c>
      <c r="S4100" s="5" t="s">
        <v>17265</v>
      </c>
      <c r="T4100" s="5" t="s">
        <v>17266</v>
      </c>
      <c r="U4100" s="5" t="s">
        <v>17267</v>
      </c>
      <c r="V4100" s="5" t="s">
        <v>17268</v>
      </c>
      <c r="W4100" s="5" t="s">
        <v>16952</v>
      </c>
      <c r="X4100" s="5" t="s">
        <v>16953</v>
      </c>
      <c r="Y4100" s="5" t="s">
        <v>16954</v>
      </c>
      <c r="Z4100" s="5" t="s">
        <v>16955</v>
      </c>
      <c r="AA4100" s="5" t="s">
        <v>16956</v>
      </c>
      <c r="AB4100" s="5" t="s">
        <v>16971</v>
      </c>
      <c r="AC4100" s="5" t="s">
        <v>16958</v>
      </c>
      <c r="AD4100" s="5" t="s">
        <v>16959</v>
      </c>
      <c r="AG4100" s="14" t="s">
        <v>55</v>
      </c>
      <c r="AH4100" s="14" t="s">
        <v>149</v>
      </c>
      <c r="AI4100" s="14" t="s">
        <v>1102</v>
      </c>
      <c r="AJ4100" s="5" t="s">
        <v>16960</v>
      </c>
    </row>
    <row r="4101" spans="1:37">
      <c r="A4101" s="5" t="s">
        <v>17335</v>
      </c>
      <c r="B4101" s="5" t="s">
        <v>17336</v>
      </c>
      <c r="C4101" s="6" t="s">
        <v>43</v>
      </c>
      <c r="D4101" s="6" t="s">
        <v>16854</v>
      </c>
      <c r="E4101" s="6" t="s">
        <v>16855</v>
      </c>
      <c r="F4101" s="6" t="s">
        <v>46</v>
      </c>
      <c r="G4101" s="6" t="s">
        <v>17337</v>
      </c>
      <c r="H4101" s="18">
        <v>1750</v>
      </c>
      <c r="I4101" s="19" t="s">
        <v>16938</v>
      </c>
      <c r="J4101" s="19" t="s">
        <v>17256</v>
      </c>
      <c r="K4101" s="5" t="s">
        <v>17338</v>
      </c>
      <c r="L4101" s="5" t="s">
        <v>17339</v>
      </c>
      <c r="M4101" s="5" t="s">
        <v>17340</v>
      </c>
      <c r="N4101" s="5" t="s">
        <v>17341</v>
      </c>
      <c r="O4101" s="5" t="s">
        <v>17261</v>
      </c>
      <c r="P4101" s="5" t="s">
        <v>17262</v>
      </c>
      <c r="Q4101" s="5" t="s">
        <v>17263</v>
      </c>
      <c r="R4101" s="5" t="s">
        <v>17264</v>
      </c>
      <c r="S4101" s="5" t="s">
        <v>17265</v>
      </c>
      <c r="T4101" s="5" t="s">
        <v>17266</v>
      </c>
      <c r="U4101" s="5" t="s">
        <v>17267</v>
      </c>
      <c r="V4101" s="5" t="s">
        <v>17268</v>
      </c>
      <c r="W4101" s="5" t="s">
        <v>16952</v>
      </c>
      <c r="X4101" s="5" t="s">
        <v>16953</v>
      </c>
      <c r="Y4101" s="5" t="s">
        <v>16954</v>
      </c>
      <c r="Z4101" s="5" t="s">
        <v>16955</v>
      </c>
      <c r="AA4101" s="5" t="s">
        <v>16956</v>
      </c>
      <c r="AB4101" s="5" t="s">
        <v>16971</v>
      </c>
      <c r="AC4101" s="5" t="s">
        <v>16958</v>
      </c>
      <c r="AD4101" s="5" t="s">
        <v>16959</v>
      </c>
      <c r="AG4101" s="14" t="s">
        <v>55</v>
      </c>
      <c r="AH4101" s="14" t="s">
        <v>149</v>
      </c>
      <c r="AI4101" s="14" t="s">
        <v>1102</v>
      </c>
      <c r="AJ4101" s="5" t="s">
        <v>16960</v>
      </c>
    </row>
    <row r="4102" spans="1:37">
      <c r="A4102" s="5" t="s">
        <v>17342</v>
      </c>
      <c r="B4102" s="5" t="s">
        <v>17343</v>
      </c>
      <c r="C4102" s="6" t="s">
        <v>43</v>
      </c>
      <c r="D4102" s="6" t="s">
        <v>16854</v>
      </c>
      <c r="E4102" s="6" t="s">
        <v>16855</v>
      </c>
      <c r="F4102" s="6" t="s">
        <v>46</v>
      </c>
      <c r="G4102" s="6" t="s">
        <v>17344</v>
      </c>
      <c r="H4102" s="18">
        <v>1920</v>
      </c>
      <c r="I4102" s="19" t="s">
        <v>16938</v>
      </c>
      <c r="J4102" s="19" t="s">
        <v>17256</v>
      </c>
      <c r="K4102" s="5" t="s">
        <v>17345</v>
      </c>
      <c r="L4102" s="5" t="s">
        <v>17346</v>
      </c>
      <c r="M4102" s="5" t="s">
        <v>17347</v>
      </c>
      <c r="N4102" s="5" t="s">
        <v>17348</v>
      </c>
      <c r="O4102" s="5" t="s">
        <v>17261</v>
      </c>
      <c r="P4102" s="5" t="s">
        <v>17262</v>
      </c>
      <c r="Q4102" s="5" t="s">
        <v>17263</v>
      </c>
      <c r="R4102" s="5" t="s">
        <v>17264</v>
      </c>
      <c r="S4102" s="5" t="s">
        <v>17265</v>
      </c>
      <c r="T4102" s="5" t="s">
        <v>17266</v>
      </c>
      <c r="U4102" s="5" t="s">
        <v>17267</v>
      </c>
      <c r="V4102" s="5" t="s">
        <v>17268</v>
      </c>
      <c r="W4102" s="5" t="s">
        <v>16952</v>
      </c>
      <c r="X4102" s="5" t="s">
        <v>16953</v>
      </c>
      <c r="Y4102" s="5" t="s">
        <v>16954</v>
      </c>
      <c r="Z4102" s="5" t="s">
        <v>16955</v>
      </c>
      <c r="AA4102" s="5" t="s">
        <v>16956</v>
      </c>
      <c r="AB4102" s="5" t="s">
        <v>16971</v>
      </c>
      <c r="AC4102" s="5" t="s">
        <v>16958</v>
      </c>
      <c r="AD4102" s="5" t="s">
        <v>16959</v>
      </c>
      <c r="AG4102" s="14" t="s">
        <v>55</v>
      </c>
      <c r="AH4102" s="14" t="s">
        <v>149</v>
      </c>
      <c r="AI4102" s="14" t="s">
        <v>1102</v>
      </c>
      <c r="AJ4102" s="5" t="s">
        <v>16960</v>
      </c>
    </row>
    <row r="4103" spans="1:37">
      <c r="A4103" s="6" t="s">
        <v>17349</v>
      </c>
      <c r="B4103" s="6" t="s">
        <v>17350</v>
      </c>
      <c r="C4103" s="6" t="s">
        <v>2842</v>
      </c>
      <c r="D4103" s="6" t="s">
        <v>16854</v>
      </c>
      <c r="E4103" s="6" t="s">
        <v>16855</v>
      </c>
      <c r="F4103" s="6" t="s">
        <v>46</v>
      </c>
      <c r="G4103" s="6" t="s">
        <v>17351</v>
      </c>
      <c r="I4103" s="6" t="s">
        <v>48</v>
      </c>
      <c r="J4103" s="6" t="s">
        <v>48</v>
      </c>
      <c r="K4103" s="6"/>
      <c r="L4103" s="6"/>
      <c r="M4103" s="6"/>
      <c r="N4103" s="6"/>
      <c r="O4103" s="6"/>
      <c r="P4103" s="6"/>
      <c r="Q4103" s="6"/>
      <c r="R4103" s="6"/>
      <c r="S4103" s="6"/>
      <c r="T4103" s="6"/>
      <c r="U4103" s="6"/>
      <c r="V4103" s="6"/>
      <c r="W4103" s="6"/>
      <c r="X4103" s="6"/>
      <c r="Y4103" s="6"/>
      <c r="Z4103" s="6"/>
      <c r="AA4103" s="6"/>
      <c r="AB4103" s="6"/>
      <c r="AC4103" s="6"/>
      <c r="AD4103" s="6"/>
      <c r="AE4103" s="6"/>
      <c r="AF4103" s="6"/>
      <c r="AG4103" s="15" t="s">
        <v>55</v>
      </c>
      <c r="AH4103" s="15"/>
      <c r="AI4103" s="15"/>
      <c r="AJ4103" s="6"/>
      <c r="AK4103" s="6"/>
    </row>
    <row r="4104" spans="1:37" s="6" customFormat="1">
      <c r="A4104" s="6" t="s">
        <v>17352</v>
      </c>
      <c r="B4104" s="6" t="s">
        <v>17353</v>
      </c>
      <c r="C4104" s="6" t="s">
        <v>16910</v>
      </c>
      <c r="D4104" s="6" t="s">
        <v>16854</v>
      </c>
      <c r="E4104" s="6" t="s">
        <v>16855</v>
      </c>
      <c r="F4104" s="6" t="s">
        <v>46</v>
      </c>
      <c r="G4104" s="6" t="s">
        <v>17354</v>
      </c>
      <c r="H4104" s="7"/>
      <c r="I4104" s="6" t="s">
        <v>48</v>
      </c>
      <c r="J4104" s="6" t="s">
        <v>48</v>
      </c>
      <c r="AG4104" s="15" t="s">
        <v>55</v>
      </c>
      <c r="AH4104" s="15"/>
      <c r="AI4104" s="15"/>
    </row>
    <row r="4105" spans="1:37" s="6" customFormat="1">
      <c r="A4105" s="6" t="s">
        <v>17355</v>
      </c>
      <c r="B4105" s="6" t="s">
        <v>17356</v>
      </c>
      <c r="C4105" s="6" t="s">
        <v>16910</v>
      </c>
      <c r="D4105" s="6" t="s">
        <v>16854</v>
      </c>
      <c r="E4105" s="6" t="s">
        <v>16855</v>
      </c>
      <c r="F4105" s="6" t="s">
        <v>46</v>
      </c>
      <c r="G4105" s="6" t="s">
        <v>17357</v>
      </c>
      <c r="H4105" s="7"/>
      <c r="I4105" s="6" t="s">
        <v>48</v>
      </c>
      <c r="J4105" s="6" t="s">
        <v>48</v>
      </c>
      <c r="AG4105" s="15" t="s">
        <v>55</v>
      </c>
      <c r="AH4105" s="15"/>
      <c r="AI4105" s="15"/>
    </row>
    <row r="4106" spans="1:37" s="6" customFormat="1">
      <c r="A4106" s="6" t="s">
        <v>17358</v>
      </c>
      <c r="B4106" s="6" t="s">
        <v>17359</v>
      </c>
      <c r="C4106" s="6" t="s">
        <v>16910</v>
      </c>
      <c r="D4106" s="6" t="s">
        <v>16854</v>
      </c>
      <c r="E4106" s="6" t="s">
        <v>16855</v>
      </c>
      <c r="F4106" s="6" t="s">
        <v>46</v>
      </c>
      <c r="G4106" s="6" t="s">
        <v>17360</v>
      </c>
      <c r="H4106" s="7"/>
      <c r="I4106" s="6" t="s">
        <v>48</v>
      </c>
      <c r="J4106" s="6" t="s">
        <v>48</v>
      </c>
      <c r="AG4106" s="15" t="s">
        <v>55</v>
      </c>
      <c r="AH4106" s="15"/>
      <c r="AI4106" s="15"/>
    </row>
    <row r="4107" spans="1:37" s="6" customFormat="1">
      <c r="A4107" s="6" t="s">
        <v>17361</v>
      </c>
      <c r="B4107" s="6" t="s">
        <v>17362</v>
      </c>
      <c r="C4107" s="6" t="s">
        <v>16910</v>
      </c>
      <c r="D4107" s="6" t="s">
        <v>16854</v>
      </c>
      <c r="E4107" s="6" t="s">
        <v>16855</v>
      </c>
      <c r="F4107" s="6" t="s">
        <v>46</v>
      </c>
      <c r="G4107" s="6" t="s">
        <v>17363</v>
      </c>
      <c r="H4107" s="7"/>
      <c r="I4107" s="6" t="s">
        <v>48</v>
      </c>
      <c r="J4107" s="6" t="s">
        <v>48</v>
      </c>
      <c r="AG4107" s="15" t="s">
        <v>55</v>
      </c>
      <c r="AH4107" s="15"/>
      <c r="AI4107" s="15"/>
    </row>
    <row r="4108" spans="1:37" s="6" customFormat="1">
      <c r="A4108" s="6" t="s">
        <v>17364</v>
      </c>
      <c r="B4108" s="6" t="s">
        <v>17365</v>
      </c>
      <c r="C4108" s="6" t="s">
        <v>16910</v>
      </c>
      <c r="D4108" s="6" t="s">
        <v>16854</v>
      </c>
      <c r="E4108" s="6" t="s">
        <v>16855</v>
      </c>
      <c r="F4108" s="6" t="s">
        <v>46</v>
      </c>
      <c r="G4108" s="6" t="s">
        <v>17366</v>
      </c>
      <c r="H4108" s="7"/>
      <c r="I4108" s="6" t="s">
        <v>48</v>
      </c>
      <c r="J4108" s="6" t="s">
        <v>48</v>
      </c>
      <c r="AG4108" s="15" t="s">
        <v>55</v>
      </c>
      <c r="AH4108" s="15"/>
      <c r="AI4108" s="15"/>
    </row>
    <row r="4109" spans="1:37" s="6" customFormat="1">
      <c r="A4109" s="6" t="s">
        <v>17367</v>
      </c>
      <c r="B4109" s="6" t="s">
        <v>17368</v>
      </c>
      <c r="C4109" s="6" t="s">
        <v>16910</v>
      </c>
      <c r="D4109" s="6" t="s">
        <v>16854</v>
      </c>
      <c r="E4109" s="6" t="s">
        <v>16855</v>
      </c>
      <c r="F4109" s="6" t="s">
        <v>46</v>
      </c>
      <c r="G4109" s="6" t="s">
        <v>17369</v>
      </c>
      <c r="H4109" s="7"/>
      <c r="I4109" s="16" t="s">
        <v>48</v>
      </c>
      <c r="J4109" s="16" t="s">
        <v>48</v>
      </c>
      <c r="AG4109" s="15" t="s">
        <v>55</v>
      </c>
      <c r="AH4109" s="15"/>
      <c r="AI4109" s="15"/>
    </row>
    <row r="4110" spans="1:37" s="6" customFormat="1">
      <c r="A4110" s="6" t="s">
        <v>17370</v>
      </c>
      <c r="B4110" s="6" t="s">
        <v>17371</v>
      </c>
      <c r="C4110" s="6" t="s">
        <v>43</v>
      </c>
      <c r="D4110" s="6" t="s">
        <v>16854</v>
      </c>
      <c r="E4110" s="6" t="s">
        <v>16855</v>
      </c>
      <c r="F4110" s="6" t="s">
        <v>46</v>
      </c>
      <c r="G4110" s="6" t="s">
        <v>1544</v>
      </c>
      <c r="H4110" s="7"/>
      <c r="I4110" s="16" t="s">
        <v>48</v>
      </c>
      <c r="J4110" s="16" t="s">
        <v>48</v>
      </c>
      <c r="AG4110" s="15" t="s">
        <v>55</v>
      </c>
      <c r="AH4110" s="15"/>
      <c r="AI4110" s="15"/>
    </row>
    <row r="4111" spans="1:37" s="6" customFormat="1">
      <c r="A4111" s="6" t="s">
        <v>17372</v>
      </c>
      <c r="B4111" s="6" t="s">
        <v>17373</v>
      </c>
      <c r="C4111" s="6" t="s">
        <v>43</v>
      </c>
      <c r="D4111" s="6" t="s">
        <v>16854</v>
      </c>
      <c r="E4111" s="6" t="s">
        <v>16855</v>
      </c>
      <c r="F4111" s="6" t="s">
        <v>46</v>
      </c>
      <c r="G4111" s="6" t="s">
        <v>17374</v>
      </c>
      <c r="H4111" s="7"/>
      <c r="I4111" s="16" t="s">
        <v>48</v>
      </c>
      <c r="J4111" s="16" t="s">
        <v>48</v>
      </c>
      <c r="AG4111" s="15" t="s">
        <v>55</v>
      </c>
      <c r="AH4111" s="15"/>
      <c r="AI4111" s="15"/>
    </row>
    <row r="4112" spans="1:37" s="6" customFormat="1">
      <c r="A4112" s="6" t="s">
        <v>17375</v>
      </c>
      <c r="B4112" s="6" t="s">
        <v>17376</v>
      </c>
      <c r="C4112" s="6" t="s">
        <v>43</v>
      </c>
      <c r="D4112" s="6" t="s">
        <v>16854</v>
      </c>
      <c r="E4112" s="6" t="s">
        <v>16855</v>
      </c>
      <c r="F4112" s="6" t="s">
        <v>46</v>
      </c>
      <c r="G4112" s="6" t="s">
        <v>17377</v>
      </c>
      <c r="H4112" s="7"/>
      <c r="I4112" s="16" t="s">
        <v>48</v>
      </c>
      <c r="J4112" s="16" t="s">
        <v>48</v>
      </c>
      <c r="AG4112" s="15" t="s">
        <v>55</v>
      </c>
      <c r="AH4112" s="15"/>
      <c r="AI4112" s="15"/>
    </row>
    <row r="4113" spans="1:35" s="6" customFormat="1">
      <c r="A4113" s="6" t="s">
        <v>17378</v>
      </c>
      <c r="B4113" s="6" t="s">
        <v>17379</v>
      </c>
      <c r="C4113" s="6" t="s">
        <v>43</v>
      </c>
      <c r="D4113" s="6" t="s">
        <v>16854</v>
      </c>
      <c r="E4113" s="6" t="s">
        <v>16855</v>
      </c>
      <c r="F4113" s="6" t="s">
        <v>46</v>
      </c>
      <c r="G4113" s="6" t="s">
        <v>17380</v>
      </c>
      <c r="H4113" s="7"/>
      <c r="I4113" s="16" t="s">
        <v>48</v>
      </c>
      <c r="J4113" s="16" t="s">
        <v>48</v>
      </c>
      <c r="AG4113" s="15" t="s">
        <v>55</v>
      </c>
      <c r="AH4113" s="15"/>
      <c r="AI4113" s="15"/>
    </row>
    <row r="4114" spans="1:35" s="6" customFormat="1">
      <c r="A4114" s="6" t="s">
        <v>17381</v>
      </c>
      <c r="B4114" s="6" t="s">
        <v>17382</v>
      </c>
      <c r="C4114" s="6" t="s">
        <v>43</v>
      </c>
      <c r="D4114" s="6" t="s">
        <v>16854</v>
      </c>
      <c r="E4114" s="6" t="s">
        <v>16855</v>
      </c>
      <c r="F4114" s="6" t="s">
        <v>46</v>
      </c>
      <c r="G4114" s="6" t="s">
        <v>17383</v>
      </c>
      <c r="H4114" s="7"/>
      <c r="I4114" s="6" t="s">
        <v>48</v>
      </c>
      <c r="J4114" s="6" t="s">
        <v>48</v>
      </c>
      <c r="AG4114" s="15" t="s">
        <v>55</v>
      </c>
      <c r="AH4114" s="15"/>
      <c r="AI4114" s="15"/>
    </row>
    <row r="4115" spans="1:35" s="6" customFormat="1">
      <c r="A4115" s="6" t="s">
        <v>17384</v>
      </c>
      <c r="B4115" s="6" t="s">
        <v>17385</v>
      </c>
      <c r="C4115" s="6" t="s">
        <v>43</v>
      </c>
      <c r="D4115" s="6" t="s">
        <v>16854</v>
      </c>
      <c r="E4115" s="6" t="s">
        <v>16855</v>
      </c>
      <c r="F4115" s="6" t="s">
        <v>46</v>
      </c>
      <c r="G4115" s="6" t="s">
        <v>17386</v>
      </c>
      <c r="H4115" s="7"/>
      <c r="I4115" s="16" t="s">
        <v>48</v>
      </c>
      <c r="J4115" s="16" t="s">
        <v>48</v>
      </c>
      <c r="AG4115" s="15" t="s">
        <v>55</v>
      </c>
      <c r="AH4115" s="15"/>
      <c r="AI4115" s="15"/>
    </row>
    <row r="4116" spans="1:35" s="6" customFormat="1">
      <c r="A4116" s="6" t="s">
        <v>17387</v>
      </c>
      <c r="B4116" s="6" t="s">
        <v>17388</v>
      </c>
      <c r="C4116" s="6" t="s">
        <v>43</v>
      </c>
      <c r="D4116" s="6" t="s">
        <v>16854</v>
      </c>
      <c r="E4116" s="6" t="s">
        <v>16855</v>
      </c>
      <c r="F4116" s="6" t="s">
        <v>46</v>
      </c>
      <c r="G4116" s="6" t="s">
        <v>1544</v>
      </c>
      <c r="H4116" s="7"/>
      <c r="I4116" s="16" t="s">
        <v>48</v>
      </c>
      <c r="J4116" s="16" t="s">
        <v>48</v>
      </c>
      <c r="AG4116" s="15" t="s">
        <v>55</v>
      </c>
      <c r="AH4116" s="15"/>
      <c r="AI4116" s="15"/>
    </row>
    <row r="4117" spans="1:35" s="6" customFormat="1">
      <c r="A4117" s="6" t="s">
        <v>17389</v>
      </c>
      <c r="B4117" s="6" t="s">
        <v>17390</v>
      </c>
      <c r="C4117" s="6" t="s">
        <v>43</v>
      </c>
      <c r="D4117" s="6" t="s">
        <v>16854</v>
      </c>
      <c r="E4117" s="6" t="s">
        <v>16855</v>
      </c>
      <c r="F4117" s="6" t="s">
        <v>46</v>
      </c>
      <c r="G4117" s="6" t="s">
        <v>17391</v>
      </c>
      <c r="H4117" s="7"/>
      <c r="I4117" s="16" t="s">
        <v>48</v>
      </c>
      <c r="J4117" s="16" t="s">
        <v>48</v>
      </c>
      <c r="AG4117" s="15" t="s">
        <v>55</v>
      </c>
      <c r="AH4117" s="15"/>
      <c r="AI4117" s="15"/>
    </row>
    <row r="4118" spans="1:35" s="6" customFormat="1">
      <c r="A4118" s="6" t="s">
        <v>17392</v>
      </c>
      <c r="B4118" s="6" t="s">
        <v>17393</v>
      </c>
      <c r="C4118" s="6" t="s">
        <v>43</v>
      </c>
      <c r="D4118" s="6" t="s">
        <v>16854</v>
      </c>
      <c r="E4118" s="6" t="s">
        <v>16855</v>
      </c>
      <c r="F4118" s="6" t="s">
        <v>46</v>
      </c>
      <c r="G4118" s="6" t="s">
        <v>1544</v>
      </c>
      <c r="H4118" s="7"/>
      <c r="I4118" s="16" t="s">
        <v>48</v>
      </c>
      <c r="J4118" s="16" t="s">
        <v>48</v>
      </c>
      <c r="AG4118" s="15" t="s">
        <v>55</v>
      </c>
      <c r="AH4118" s="15"/>
      <c r="AI4118" s="15"/>
    </row>
    <row r="4119" spans="1:35" s="6" customFormat="1">
      <c r="A4119" s="6" t="s">
        <v>17394</v>
      </c>
      <c r="B4119" s="6" t="s">
        <v>17395</v>
      </c>
      <c r="C4119" s="6" t="s">
        <v>43</v>
      </c>
      <c r="D4119" s="6" t="s">
        <v>16854</v>
      </c>
      <c r="E4119" s="6" t="s">
        <v>16855</v>
      </c>
      <c r="F4119" s="6" t="s">
        <v>46</v>
      </c>
      <c r="G4119" s="6" t="s">
        <v>17396</v>
      </c>
      <c r="H4119" s="7"/>
      <c r="I4119" s="16" t="s">
        <v>48</v>
      </c>
      <c r="J4119" s="16" t="s">
        <v>48</v>
      </c>
      <c r="AG4119" s="15" t="s">
        <v>55</v>
      </c>
      <c r="AH4119" s="15"/>
      <c r="AI4119" s="15"/>
    </row>
    <row r="4120" spans="1:35" s="6" customFormat="1">
      <c r="A4120" s="6" t="s">
        <v>17397</v>
      </c>
      <c r="B4120" s="6" t="s">
        <v>17398</v>
      </c>
      <c r="C4120" s="6" t="s">
        <v>43</v>
      </c>
      <c r="D4120" s="6" t="s">
        <v>16854</v>
      </c>
      <c r="E4120" s="6" t="s">
        <v>16855</v>
      </c>
      <c r="F4120" s="6" t="s">
        <v>46</v>
      </c>
      <c r="G4120" s="6" t="s">
        <v>17399</v>
      </c>
      <c r="H4120" s="7"/>
      <c r="I4120" s="16" t="s">
        <v>48</v>
      </c>
      <c r="J4120" s="16" t="s">
        <v>48</v>
      </c>
      <c r="AG4120" s="15" t="s">
        <v>55</v>
      </c>
      <c r="AH4120" s="15"/>
      <c r="AI4120" s="15"/>
    </row>
    <row r="4121" spans="1:35" s="6" customFormat="1">
      <c r="A4121" s="6" t="s">
        <v>17400</v>
      </c>
      <c r="B4121" s="6" t="s">
        <v>17401</v>
      </c>
      <c r="C4121" s="6" t="s">
        <v>43</v>
      </c>
      <c r="D4121" s="6" t="s">
        <v>16854</v>
      </c>
      <c r="E4121" s="6" t="s">
        <v>16855</v>
      </c>
      <c r="F4121" s="6" t="s">
        <v>46</v>
      </c>
      <c r="G4121" s="6" t="s">
        <v>17399</v>
      </c>
      <c r="H4121" s="7"/>
      <c r="I4121" s="16" t="s">
        <v>48</v>
      </c>
      <c r="J4121" s="16" t="s">
        <v>48</v>
      </c>
      <c r="AG4121" s="15" t="s">
        <v>55</v>
      </c>
      <c r="AH4121" s="15"/>
      <c r="AI4121" s="15"/>
    </row>
    <row r="4122" spans="1:35" s="6" customFormat="1">
      <c r="A4122" s="6" t="s">
        <v>17402</v>
      </c>
      <c r="B4122" s="6" t="s">
        <v>17403</v>
      </c>
      <c r="C4122" s="6" t="s">
        <v>43</v>
      </c>
      <c r="D4122" s="6" t="s">
        <v>16854</v>
      </c>
      <c r="E4122" s="6" t="s">
        <v>16855</v>
      </c>
      <c r="F4122" s="6" t="s">
        <v>46</v>
      </c>
      <c r="G4122" s="6" t="s">
        <v>17404</v>
      </c>
      <c r="H4122" s="7"/>
      <c r="I4122" s="16" t="s">
        <v>48</v>
      </c>
      <c r="J4122" s="16" t="s">
        <v>48</v>
      </c>
      <c r="AG4122" s="15" t="s">
        <v>55</v>
      </c>
      <c r="AH4122" s="15"/>
      <c r="AI4122" s="15"/>
    </row>
    <row r="4123" spans="1:35" s="6" customFormat="1">
      <c r="A4123" s="6" t="s">
        <v>17405</v>
      </c>
      <c r="B4123" s="6" t="s">
        <v>17406</v>
      </c>
      <c r="C4123" s="6" t="s">
        <v>43</v>
      </c>
      <c r="D4123" s="6" t="s">
        <v>16854</v>
      </c>
      <c r="E4123" s="6" t="s">
        <v>16855</v>
      </c>
      <c r="F4123" s="6" t="s">
        <v>46</v>
      </c>
      <c r="G4123" s="6" t="s">
        <v>17407</v>
      </c>
      <c r="H4123" s="7"/>
      <c r="I4123" s="6" t="s">
        <v>48</v>
      </c>
      <c r="J4123" s="6" t="s">
        <v>48</v>
      </c>
      <c r="AG4123" s="15" t="s">
        <v>55</v>
      </c>
      <c r="AH4123" s="15"/>
      <c r="AI4123" s="15"/>
    </row>
    <row r="4124" spans="1:35" s="6" customFormat="1">
      <c r="A4124" s="6" t="s">
        <v>17408</v>
      </c>
      <c r="B4124" s="6" t="s">
        <v>17409</v>
      </c>
      <c r="C4124" s="6" t="s">
        <v>43</v>
      </c>
      <c r="D4124" s="6" t="s">
        <v>16854</v>
      </c>
      <c r="E4124" s="6" t="s">
        <v>16855</v>
      </c>
      <c r="F4124" s="6" t="s">
        <v>46</v>
      </c>
      <c r="G4124" s="6" t="s">
        <v>1613</v>
      </c>
      <c r="H4124" s="7"/>
      <c r="I4124" s="6" t="s">
        <v>48</v>
      </c>
      <c r="J4124" s="6" t="s">
        <v>48</v>
      </c>
      <c r="AG4124" s="15" t="s">
        <v>55</v>
      </c>
      <c r="AH4124" s="15"/>
      <c r="AI4124" s="15"/>
    </row>
    <row r="4125" spans="1:35" s="6" customFormat="1">
      <c r="A4125" s="6" t="s">
        <v>17410</v>
      </c>
      <c r="B4125" s="6" t="s">
        <v>17411</v>
      </c>
      <c r="C4125" s="6" t="s">
        <v>1569</v>
      </c>
      <c r="D4125" s="6" t="s">
        <v>16854</v>
      </c>
      <c r="E4125" s="6" t="s">
        <v>16855</v>
      </c>
      <c r="F4125" s="6" t="s">
        <v>46</v>
      </c>
      <c r="G4125" s="6" t="s">
        <v>16886</v>
      </c>
      <c r="H4125" s="7"/>
      <c r="I4125" s="6" t="s">
        <v>48</v>
      </c>
      <c r="J4125" s="6" t="s">
        <v>48</v>
      </c>
      <c r="AG4125" s="15" t="s">
        <v>55</v>
      </c>
      <c r="AH4125" s="15"/>
      <c r="AI4125" s="15"/>
    </row>
    <row r="4126" spans="1:35" s="6" customFormat="1">
      <c r="A4126" s="6" t="s">
        <v>17412</v>
      </c>
      <c r="B4126" s="6" t="s">
        <v>17413</v>
      </c>
      <c r="C4126" s="6" t="s">
        <v>43</v>
      </c>
      <c r="D4126" s="6" t="s">
        <v>16854</v>
      </c>
      <c r="E4126" s="6" t="s">
        <v>16855</v>
      </c>
      <c r="F4126" s="6" t="s">
        <v>46</v>
      </c>
      <c r="G4126" s="6" t="s">
        <v>17414</v>
      </c>
      <c r="H4126" s="7"/>
      <c r="I4126" s="6" t="s">
        <v>48</v>
      </c>
      <c r="J4126" s="6" t="s">
        <v>48</v>
      </c>
      <c r="AG4126" s="15" t="s">
        <v>55</v>
      </c>
      <c r="AH4126" s="15"/>
      <c r="AI4126" s="15"/>
    </row>
    <row r="4127" spans="1:35" s="6" customFormat="1">
      <c r="A4127" s="6" t="s">
        <v>17415</v>
      </c>
      <c r="B4127" s="6" t="s">
        <v>17416</v>
      </c>
      <c r="C4127" s="6" t="s">
        <v>43</v>
      </c>
      <c r="D4127" s="6" t="s">
        <v>16854</v>
      </c>
      <c r="E4127" s="6" t="s">
        <v>16855</v>
      </c>
      <c r="F4127" s="6" t="s">
        <v>46</v>
      </c>
      <c r="G4127" s="6" t="s">
        <v>17414</v>
      </c>
      <c r="H4127" s="7"/>
      <c r="I4127" s="6" t="s">
        <v>48</v>
      </c>
      <c r="J4127" s="6" t="s">
        <v>48</v>
      </c>
      <c r="AG4127" s="15" t="s">
        <v>55</v>
      </c>
      <c r="AH4127" s="15"/>
      <c r="AI4127" s="15"/>
    </row>
    <row r="4128" spans="1:35" s="6" customFormat="1">
      <c r="A4128" s="6" t="s">
        <v>17417</v>
      </c>
      <c r="B4128" s="6" t="s">
        <v>17418</v>
      </c>
      <c r="C4128" s="6" t="s">
        <v>43</v>
      </c>
      <c r="D4128" s="6" t="s">
        <v>16854</v>
      </c>
      <c r="E4128" s="6" t="s">
        <v>16855</v>
      </c>
      <c r="F4128" s="6" t="s">
        <v>46</v>
      </c>
      <c r="G4128" s="6" t="s">
        <v>17414</v>
      </c>
      <c r="H4128" s="7"/>
      <c r="I4128" s="6" t="s">
        <v>48</v>
      </c>
      <c r="J4128" s="6" t="s">
        <v>48</v>
      </c>
      <c r="AG4128" s="15" t="s">
        <v>55</v>
      </c>
      <c r="AH4128" s="15"/>
      <c r="AI4128" s="15"/>
    </row>
    <row r="4129" spans="1:37" s="6" customFormat="1">
      <c r="A4129" s="5" t="s">
        <v>17419</v>
      </c>
      <c r="B4129" s="5" t="s">
        <v>17420</v>
      </c>
      <c r="C4129" s="6" t="s">
        <v>43</v>
      </c>
      <c r="D4129" s="6" t="s">
        <v>52</v>
      </c>
      <c r="E4129" s="6" t="s">
        <v>12905</v>
      </c>
      <c r="F4129" s="6" t="s">
        <v>46</v>
      </c>
      <c r="G4129" s="6" t="s">
        <v>17421</v>
      </c>
      <c r="H4129" s="18">
        <v>311</v>
      </c>
      <c r="I4129" s="19" t="s">
        <v>219</v>
      </c>
      <c r="J4129" s="19" t="s">
        <v>17422</v>
      </c>
      <c r="K4129" s="5" t="s">
        <v>17423</v>
      </c>
      <c r="L4129" s="5" t="s">
        <v>17424</v>
      </c>
      <c r="M4129" s="5" t="s">
        <v>17425</v>
      </c>
      <c r="N4129" s="5" t="s">
        <v>17426</v>
      </c>
      <c r="O4129" s="5" t="s">
        <v>17427</v>
      </c>
      <c r="P4129" s="5" t="s">
        <v>17428</v>
      </c>
      <c r="Q4129" s="5" t="s">
        <v>17429</v>
      </c>
      <c r="R4129" s="5" t="s">
        <v>17430</v>
      </c>
      <c r="S4129" s="5" t="s">
        <v>17431</v>
      </c>
      <c r="T4129" s="5" t="s">
        <v>17432</v>
      </c>
      <c r="U4129" s="5" t="s">
        <v>17433</v>
      </c>
      <c r="V4129" s="5" t="s">
        <v>17434</v>
      </c>
      <c r="W4129" s="5" t="s">
        <v>17435</v>
      </c>
      <c r="X4129" s="5" t="s">
        <v>17436</v>
      </c>
      <c r="Y4129" s="5" t="s">
        <v>17437</v>
      </c>
      <c r="Z4129" s="5" t="s">
        <v>17438</v>
      </c>
      <c r="AA4129" s="5" t="s">
        <v>17439</v>
      </c>
      <c r="AB4129" s="5" t="s">
        <v>17440</v>
      </c>
      <c r="AC4129" s="5" t="s">
        <v>17441</v>
      </c>
      <c r="AD4129" s="5" t="s">
        <v>17442</v>
      </c>
      <c r="AE4129" s="5" t="s">
        <v>17443</v>
      </c>
      <c r="AF4129" s="5"/>
      <c r="AG4129" s="14" t="s">
        <v>55</v>
      </c>
      <c r="AH4129" s="14" t="s">
        <v>1102</v>
      </c>
      <c r="AI4129" s="14" t="s">
        <v>17444</v>
      </c>
      <c r="AJ4129" s="5" t="s">
        <v>17445</v>
      </c>
      <c r="AK4129" s="5"/>
    </row>
    <row r="4130" spans="1:37">
      <c r="A4130" s="5" t="s">
        <v>17446</v>
      </c>
      <c r="B4130" s="5" t="s">
        <v>17447</v>
      </c>
      <c r="C4130" s="6" t="s">
        <v>43</v>
      </c>
      <c r="D4130" s="6" t="s">
        <v>52</v>
      </c>
      <c r="E4130" s="6" t="s">
        <v>12905</v>
      </c>
      <c r="F4130" s="6" t="s">
        <v>46</v>
      </c>
      <c r="G4130" s="6" t="s">
        <v>17448</v>
      </c>
      <c r="H4130" s="18">
        <v>245</v>
      </c>
      <c r="I4130" s="19" t="s">
        <v>219</v>
      </c>
      <c r="J4130" s="19" t="s">
        <v>17422</v>
      </c>
      <c r="K4130" s="5" t="s">
        <v>17449</v>
      </c>
      <c r="L4130" s="5" t="s">
        <v>17450</v>
      </c>
      <c r="M4130" s="5" t="s">
        <v>17451</v>
      </c>
      <c r="N4130" s="5" t="s">
        <v>17452</v>
      </c>
      <c r="O4130" s="5" t="s">
        <v>17453</v>
      </c>
      <c r="P4130" s="5" t="s">
        <v>17454</v>
      </c>
      <c r="Q4130" s="5" t="s">
        <v>17455</v>
      </c>
      <c r="R4130" s="5" t="s">
        <v>17456</v>
      </c>
      <c r="S4130" s="5" t="s">
        <v>17431</v>
      </c>
      <c r="T4130" s="5" t="s">
        <v>17432</v>
      </c>
      <c r="U4130" s="5" t="s">
        <v>17433</v>
      </c>
      <c r="V4130" s="5" t="s">
        <v>17434</v>
      </c>
      <c r="W4130" s="5" t="s">
        <v>17435</v>
      </c>
      <c r="X4130" s="5" t="s">
        <v>17457</v>
      </c>
      <c r="Y4130" s="5" t="s">
        <v>17437</v>
      </c>
      <c r="Z4130" s="5" t="s">
        <v>17438</v>
      </c>
      <c r="AA4130" s="5" t="s">
        <v>17439</v>
      </c>
      <c r="AB4130" s="5" t="s">
        <v>17458</v>
      </c>
      <c r="AC4130" s="5" t="s">
        <v>17441</v>
      </c>
      <c r="AD4130" s="5" t="s">
        <v>17442</v>
      </c>
      <c r="AE4130" s="5" t="s">
        <v>17459</v>
      </c>
      <c r="AG4130" s="14" t="s">
        <v>55</v>
      </c>
      <c r="AH4130" s="14" t="s">
        <v>1102</v>
      </c>
      <c r="AI4130" s="14" t="s">
        <v>17444</v>
      </c>
      <c r="AJ4130" s="5" t="s">
        <v>17445</v>
      </c>
    </row>
    <row r="4131" spans="1:37">
      <c r="A4131" s="5" t="s">
        <v>17460</v>
      </c>
      <c r="B4131" s="5" t="s">
        <v>17461</v>
      </c>
      <c r="C4131" s="6" t="s">
        <v>43</v>
      </c>
      <c r="D4131" s="6" t="s">
        <v>52</v>
      </c>
      <c r="E4131" s="6" t="s">
        <v>12905</v>
      </c>
      <c r="F4131" s="6" t="s">
        <v>46</v>
      </c>
      <c r="G4131" s="6" t="s">
        <v>17462</v>
      </c>
      <c r="H4131" s="18">
        <v>305</v>
      </c>
      <c r="I4131" s="19" t="s">
        <v>219</v>
      </c>
      <c r="J4131" s="19" t="s">
        <v>17422</v>
      </c>
      <c r="K4131" s="5" t="s">
        <v>17463</v>
      </c>
      <c r="L4131" s="5" t="s">
        <v>17464</v>
      </c>
      <c r="M4131" s="5" t="s">
        <v>17465</v>
      </c>
      <c r="N4131" s="5" t="s">
        <v>17466</v>
      </c>
      <c r="O4131" s="5" t="s">
        <v>17467</v>
      </c>
      <c r="P4131" s="5" t="s">
        <v>17468</v>
      </c>
      <c r="Q4131" s="5" t="s">
        <v>17469</v>
      </c>
      <c r="R4131" s="5" t="s">
        <v>17470</v>
      </c>
      <c r="S4131" s="5" t="s">
        <v>17471</v>
      </c>
      <c r="T4131" s="5" t="s">
        <v>17472</v>
      </c>
      <c r="U4131" s="5" t="s">
        <v>17473</v>
      </c>
      <c r="V4131" s="5" t="s">
        <v>17474</v>
      </c>
      <c r="W4131" s="5" t="s">
        <v>17435</v>
      </c>
      <c r="X4131" s="5" t="s">
        <v>17457</v>
      </c>
      <c r="Y4131" s="5" t="s">
        <v>17437</v>
      </c>
      <c r="Z4131" s="5" t="s">
        <v>17438</v>
      </c>
      <c r="AA4131" s="5" t="s">
        <v>17439</v>
      </c>
      <c r="AB4131" s="5" t="s">
        <v>17458</v>
      </c>
      <c r="AC4131" s="5" t="s">
        <v>17441</v>
      </c>
      <c r="AD4131" s="5" t="s">
        <v>17442</v>
      </c>
      <c r="AE4131" s="5" t="s">
        <v>17475</v>
      </c>
      <c r="AG4131" s="14" t="s">
        <v>55</v>
      </c>
      <c r="AH4131" s="14" t="s">
        <v>1102</v>
      </c>
      <c r="AI4131" s="14" t="s">
        <v>17444</v>
      </c>
      <c r="AJ4131" s="5" t="s">
        <v>17445</v>
      </c>
    </row>
    <row r="4132" spans="1:37">
      <c r="A4132" s="5" t="s">
        <v>17476</v>
      </c>
      <c r="B4132" s="5" t="s">
        <v>17477</v>
      </c>
      <c r="C4132" s="6" t="s">
        <v>43</v>
      </c>
      <c r="D4132" s="6" t="s">
        <v>52</v>
      </c>
      <c r="E4132" s="6" t="s">
        <v>12905</v>
      </c>
      <c r="F4132" s="6" t="s">
        <v>46</v>
      </c>
      <c r="G4132" s="6" t="s">
        <v>17478</v>
      </c>
      <c r="H4132" s="18">
        <v>317</v>
      </c>
      <c r="I4132" s="19" t="s">
        <v>219</v>
      </c>
      <c r="J4132" s="19" t="s">
        <v>17422</v>
      </c>
      <c r="K4132" s="5" t="s">
        <v>17479</v>
      </c>
      <c r="L4132" s="5" t="s">
        <v>17480</v>
      </c>
      <c r="M4132" s="5" t="s">
        <v>17481</v>
      </c>
      <c r="N4132" s="5" t="s">
        <v>17482</v>
      </c>
      <c r="O4132" s="5" t="s">
        <v>17483</v>
      </c>
      <c r="P4132" s="5" t="s">
        <v>17484</v>
      </c>
      <c r="Q4132" s="5" t="s">
        <v>17485</v>
      </c>
      <c r="R4132" s="5" t="s">
        <v>17486</v>
      </c>
      <c r="S4132" s="5" t="s">
        <v>17487</v>
      </c>
      <c r="T4132" s="5" t="s">
        <v>17488</v>
      </c>
      <c r="U4132" s="5" t="s">
        <v>17489</v>
      </c>
      <c r="V4132" s="5" t="s">
        <v>17490</v>
      </c>
      <c r="W4132" s="5" t="s">
        <v>17435</v>
      </c>
      <c r="X4132" s="5" t="s">
        <v>17457</v>
      </c>
      <c r="Y4132" s="5" t="s">
        <v>17437</v>
      </c>
      <c r="Z4132" s="5" t="s">
        <v>17438</v>
      </c>
      <c r="AA4132" s="5" t="s">
        <v>17439</v>
      </c>
      <c r="AB4132" s="5" t="s">
        <v>17458</v>
      </c>
      <c r="AC4132" s="5" t="s">
        <v>17441</v>
      </c>
      <c r="AD4132" s="5" t="s">
        <v>17442</v>
      </c>
      <c r="AE4132" s="5" t="s">
        <v>17491</v>
      </c>
      <c r="AG4132" s="14" t="s">
        <v>55</v>
      </c>
      <c r="AH4132" s="14" t="s">
        <v>1102</v>
      </c>
      <c r="AI4132" s="14" t="s">
        <v>17444</v>
      </c>
      <c r="AJ4132" s="5" t="s">
        <v>17445</v>
      </c>
    </row>
    <row r="4133" spans="1:37">
      <c r="A4133" s="5" t="s">
        <v>17492</v>
      </c>
      <c r="B4133" s="5" t="s">
        <v>17493</v>
      </c>
      <c r="C4133" s="6" t="s">
        <v>43</v>
      </c>
      <c r="D4133" s="6" t="s">
        <v>52</v>
      </c>
      <c r="E4133" s="6" t="s">
        <v>12905</v>
      </c>
      <c r="F4133" s="6" t="s">
        <v>46</v>
      </c>
      <c r="G4133" s="6" t="s">
        <v>17494</v>
      </c>
      <c r="H4133" s="18">
        <v>102</v>
      </c>
      <c r="I4133" s="19" t="s">
        <v>219</v>
      </c>
      <c r="J4133" s="19" t="s">
        <v>17422</v>
      </c>
      <c r="K4133" s="5" t="s">
        <v>17495</v>
      </c>
      <c r="L4133" s="5" t="s">
        <v>17496</v>
      </c>
      <c r="M4133" s="5" t="s">
        <v>17497</v>
      </c>
      <c r="N4133" s="5" t="s">
        <v>17498</v>
      </c>
      <c r="O4133" s="5" t="s">
        <v>17499</v>
      </c>
      <c r="P4133" s="5" t="s">
        <v>17500</v>
      </c>
      <c r="Q4133" s="5" t="s">
        <v>17501</v>
      </c>
      <c r="R4133" s="5" t="s">
        <v>17502</v>
      </c>
      <c r="S4133" s="5" t="s">
        <v>17503</v>
      </c>
      <c r="T4133" s="5" t="s">
        <v>17504</v>
      </c>
      <c r="U4133" s="5" t="s">
        <v>17505</v>
      </c>
      <c r="V4133" s="5" t="s">
        <v>17506</v>
      </c>
      <c r="W4133" s="5" t="s">
        <v>17435</v>
      </c>
      <c r="X4133" s="5" t="s">
        <v>17457</v>
      </c>
      <c r="Y4133" s="5" t="s">
        <v>17437</v>
      </c>
      <c r="Z4133" s="5" t="s">
        <v>17438</v>
      </c>
      <c r="AA4133" s="5" t="s">
        <v>17439</v>
      </c>
      <c r="AB4133" s="5" t="s">
        <v>17458</v>
      </c>
      <c r="AC4133" s="5" t="s">
        <v>17441</v>
      </c>
      <c r="AD4133" s="5" t="s">
        <v>17442</v>
      </c>
      <c r="AE4133" s="5" t="s">
        <v>17507</v>
      </c>
      <c r="AG4133" s="14" t="s">
        <v>55</v>
      </c>
      <c r="AH4133" s="14" t="s">
        <v>1102</v>
      </c>
      <c r="AI4133" s="14" t="s">
        <v>17444</v>
      </c>
      <c r="AJ4133" s="5" t="s">
        <v>17445</v>
      </c>
    </row>
    <row r="4134" spans="1:37">
      <c r="A4134" s="5" t="s">
        <v>17508</v>
      </c>
      <c r="B4134" s="5" t="s">
        <v>17509</v>
      </c>
      <c r="C4134" s="6" t="s">
        <v>43</v>
      </c>
      <c r="D4134" s="6" t="s">
        <v>52</v>
      </c>
      <c r="E4134" s="6" t="s">
        <v>12905</v>
      </c>
      <c r="F4134" s="6" t="s">
        <v>46</v>
      </c>
      <c r="G4134" s="6" t="s">
        <v>6830</v>
      </c>
      <c r="H4134" s="18">
        <v>85</v>
      </c>
      <c r="I4134" s="19" t="s">
        <v>219</v>
      </c>
      <c r="J4134" s="19" t="s">
        <v>17422</v>
      </c>
      <c r="K4134" s="5" t="s">
        <v>17510</v>
      </c>
      <c r="L4134" s="5" t="s">
        <v>17511</v>
      </c>
      <c r="M4134" s="5" t="s">
        <v>17512</v>
      </c>
      <c r="N4134" s="5" t="s">
        <v>17513</v>
      </c>
      <c r="O4134" s="5" t="s">
        <v>17514</v>
      </c>
      <c r="P4134" s="5" t="s">
        <v>17515</v>
      </c>
      <c r="Q4134" s="5" t="s">
        <v>17516</v>
      </c>
      <c r="R4134" s="5" t="s">
        <v>17517</v>
      </c>
      <c r="S4134" s="5" t="s">
        <v>17503</v>
      </c>
      <c r="T4134" s="5" t="s">
        <v>17504</v>
      </c>
      <c r="U4134" s="5" t="s">
        <v>17505</v>
      </c>
      <c r="V4134" s="5" t="s">
        <v>17506</v>
      </c>
      <c r="W4134" s="5" t="s">
        <v>17435</v>
      </c>
      <c r="X4134" s="5" t="s">
        <v>17457</v>
      </c>
      <c r="Y4134" s="5" t="s">
        <v>17437</v>
      </c>
      <c r="Z4134" s="5" t="s">
        <v>17438</v>
      </c>
      <c r="AA4134" s="5" t="s">
        <v>17439</v>
      </c>
      <c r="AB4134" s="5" t="s">
        <v>17458</v>
      </c>
      <c r="AC4134" s="5" t="s">
        <v>17441</v>
      </c>
      <c r="AD4134" s="5" t="s">
        <v>17442</v>
      </c>
      <c r="AE4134" s="5" t="s">
        <v>17518</v>
      </c>
      <c r="AG4134" s="14" t="s">
        <v>55</v>
      </c>
      <c r="AH4134" s="14" t="s">
        <v>1102</v>
      </c>
      <c r="AI4134" s="14" t="s">
        <v>17444</v>
      </c>
      <c r="AJ4134" s="5" t="s">
        <v>17445</v>
      </c>
    </row>
    <row r="4135" spans="1:37">
      <c r="A4135" s="5" t="s">
        <v>17519</v>
      </c>
      <c r="B4135" s="5" t="s">
        <v>17520</v>
      </c>
      <c r="C4135" s="6" t="s">
        <v>43</v>
      </c>
      <c r="D4135" s="6" t="s">
        <v>52</v>
      </c>
      <c r="E4135" s="6" t="s">
        <v>12905</v>
      </c>
      <c r="F4135" s="6" t="s">
        <v>46</v>
      </c>
      <c r="G4135" s="6" t="s">
        <v>17521</v>
      </c>
      <c r="H4135" s="18">
        <v>93.5</v>
      </c>
      <c r="I4135" s="19" t="s">
        <v>219</v>
      </c>
      <c r="J4135" s="19" t="s">
        <v>17422</v>
      </c>
      <c r="K4135" s="5" t="s">
        <v>17522</v>
      </c>
      <c r="L4135" s="5" t="s">
        <v>17523</v>
      </c>
      <c r="M4135" s="5" t="s">
        <v>17524</v>
      </c>
      <c r="N4135" s="5" t="s">
        <v>17525</v>
      </c>
      <c r="O4135" s="5" t="s">
        <v>17526</v>
      </c>
      <c r="P4135" s="5" t="s">
        <v>17527</v>
      </c>
      <c r="Q4135" s="5" t="s">
        <v>17528</v>
      </c>
      <c r="R4135" s="5" t="s">
        <v>17529</v>
      </c>
      <c r="S4135" s="5" t="s">
        <v>17503</v>
      </c>
      <c r="T4135" s="5" t="s">
        <v>17504</v>
      </c>
      <c r="U4135" s="5" t="s">
        <v>17505</v>
      </c>
      <c r="V4135" s="5" t="s">
        <v>17506</v>
      </c>
      <c r="W4135" s="5" t="s">
        <v>17435</v>
      </c>
      <c r="X4135" s="5" t="s">
        <v>17457</v>
      </c>
      <c r="Y4135" s="5" t="s">
        <v>17437</v>
      </c>
      <c r="Z4135" s="5" t="s">
        <v>17438</v>
      </c>
      <c r="AA4135" s="5" t="s">
        <v>17439</v>
      </c>
      <c r="AB4135" s="5" t="s">
        <v>17458</v>
      </c>
      <c r="AC4135" s="5" t="s">
        <v>17441</v>
      </c>
      <c r="AD4135" s="5" t="s">
        <v>17442</v>
      </c>
      <c r="AE4135" s="5" t="s">
        <v>17530</v>
      </c>
      <c r="AG4135" s="14" t="s">
        <v>55</v>
      </c>
      <c r="AH4135" s="14" t="s">
        <v>1102</v>
      </c>
      <c r="AI4135" s="14" t="s">
        <v>17444</v>
      </c>
      <c r="AJ4135" s="5" t="s">
        <v>17445</v>
      </c>
    </row>
    <row r="4136" spans="1:37">
      <c r="A4136" s="5" t="s">
        <v>17531</v>
      </c>
      <c r="B4136" s="5" t="s">
        <v>17532</v>
      </c>
      <c r="C4136" s="6" t="s">
        <v>43</v>
      </c>
      <c r="D4136" s="6" t="s">
        <v>52</v>
      </c>
      <c r="E4136" s="6" t="s">
        <v>12905</v>
      </c>
      <c r="F4136" s="6" t="s">
        <v>46</v>
      </c>
      <c r="G4136" s="6" t="s">
        <v>17533</v>
      </c>
      <c r="H4136" s="18">
        <v>150</v>
      </c>
      <c r="I4136" s="19" t="s">
        <v>219</v>
      </c>
      <c r="J4136" s="19" t="s">
        <v>17422</v>
      </c>
      <c r="K4136" s="5" t="s">
        <v>17534</v>
      </c>
      <c r="L4136" s="5" t="s">
        <v>17535</v>
      </c>
      <c r="M4136" s="5" t="s">
        <v>17536</v>
      </c>
      <c r="N4136" s="5" t="s">
        <v>17537</v>
      </c>
      <c r="O4136" s="5" t="s">
        <v>17538</v>
      </c>
      <c r="P4136" s="5" t="s">
        <v>17539</v>
      </c>
      <c r="Q4136" s="5" t="s">
        <v>17540</v>
      </c>
      <c r="R4136" s="5" t="s">
        <v>17541</v>
      </c>
      <c r="S4136" s="5" t="s">
        <v>17503</v>
      </c>
      <c r="T4136" s="5" t="s">
        <v>17504</v>
      </c>
      <c r="U4136" s="5" t="s">
        <v>17505</v>
      </c>
      <c r="V4136" s="5" t="s">
        <v>17506</v>
      </c>
      <c r="W4136" s="5" t="s">
        <v>17435</v>
      </c>
      <c r="X4136" s="5" t="s">
        <v>17457</v>
      </c>
      <c r="Y4136" s="5" t="s">
        <v>17437</v>
      </c>
      <c r="Z4136" s="5" t="s">
        <v>17438</v>
      </c>
      <c r="AA4136" s="5" t="s">
        <v>17439</v>
      </c>
      <c r="AB4136" s="5" t="s">
        <v>17458</v>
      </c>
      <c r="AC4136" s="5" t="s">
        <v>17441</v>
      </c>
      <c r="AD4136" s="5" t="s">
        <v>17442</v>
      </c>
      <c r="AE4136" s="5" t="s">
        <v>17542</v>
      </c>
      <c r="AG4136" s="14" t="s">
        <v>55</v>
      </c>
      <c r="AH4136" s="14" t="s">
        <v>1102</v>
      </c>
      <c r="AI4136" s="14" t="s">
        <v>17444</v>
      </c>
      <c r="AJ4136" s="5" t="s">
        <v>17445</v>
      </c>
    </row>
    <row r="4137" spans="1:37">
      <c r="A4137" s="5" t="s">
        <v>17543</v>
      </c>
      <c r="B4137" s="5" t="s">
        <v>17544</v>
      </c>
      <c r="C4137" s="6" t="s">
        <v>43</v>
      </c>
      <c r="D4137" s="6" t="s">
        <v>52</v>
      </c>
      <c r="E4137" s="6" t="s">
        <v>12905</v>
      </c>
      <c r="F4137" s="6" t="s">
        <v>46</v>
      </c>
      <c r="G4137" s="6" t="s">
        <v>17545</v>
      </c>
      <c r="H4137" s="18">
        <v>185</v>
      </c>
      <c r="I4137" s="19" t="s">
        <v>219</v>
      </c>
      <c r="J4137" s="19" t="s">
        <v>17422</v>
      </c>
      <c r="K4137" s="5" t="s">
        <v>17546</v>
      </c>
      <c r="L4137" s="5" t="s">
        <v>17547</v>
      </c>
      <c r="M4137" s="5" t="s">
        <v>17548</v>
      </c>
      <c r="N4137" s="5" t="s">
        <v>17549</v>
      </c>
      <c r="O4137" s="5" t="s">
        <v>17550</v>
      </c>
      <c r="P4137" s="5" t="s">
        <v>17551</v>
      </c>
      <c r="Q4137" s="5" t="s">
        <v>17552</v>
      </c>
      <c r="R4137" s="5" t="s">
        <v>17553</v>
      </c>
      <c r="S4137" s="5" t="s">
        <v>17554</v>
      </c>
      <c r="T4137" s="5" t="s">
        <v>17555</v>
      </c>
      <c r="U4137" s="5" t="s">
        <v>17556</v>
      </c>
      <c r="V4137" s="5" t="s">
        <v>17557</v>
      </c>
      <c r="W4137" s="5" t="s">
        <v>17435</v>
      </c>
      <c r="X4137" s="5" t="s">
        <v>17457</v>
      </c>
      <c r="Y4137" s="5" t="s">
        <v>17437</v>
      </c>
      <c r="Z4137" s="5" t="s">
        <v>17438</v>
      </c>
      <c r="AA4137" s="5" t="s">
        <v>17439</v>
      </c>
      <c r="AB4137" s="5" t="s">
        <v>17458</v>
      </c>
      <c r="AC4137" s="5" t="s">
        <v>17441</v>
      </c>
      <c r="AD4137" s="5" t="s">
        <v>17442</v>
      </c>
      <c r="AE4137" s="5" t="s">
        <v>17558</v>
      </c>
      <c r="AG4137" s="14" t="s">
        <v>55</v>
      </c>
      <c r="AH4137" s="14" t="s">
        <v>1102</v>
      </c>
      <c r="AI4137" s="14" t="s">
        <v>17444</v>
      </c>
      <c r="AJ4137" s="5" t="s">
        <v>17445</v>
      </c>
    </row>
    <row r="4138" spans="1:37">
      <c r="A4138" s="5" t="s">
        <v>17559</v>
      </c>
      <c r="B4138" s="5" t="s">
        <v>17560</v>
      </c>
      <c r="C4138" s="6" t="s">
        <v>43</v>
      </c>
      <c r="D4138" s="6" t="s">
        <v>52</v>
      </c>
      <c r="E4138" s="6" t="s">
        <v>12905</v>
      </c>
      <c r="F4138" s="6" t="s">
        <v>46</v>
      </c>
      <c r="G4138" s="6" t="s">
        <v>17561</v>
      </c>
      <c r="H4138" s="18">
        <v>134</v>
      </c>
      <c r="I4138" s="19" t="s">
        <v>219</v>
      </c>
      <c r="J4138" s="19" t="s">
        <v>17422</v>
      </c>
      <c r="K4138" s="5" t="s">
        <v>17562</v>
      </c>
      <c r="L4138" s="5" t="s">
        <v>17563</v>
      </c>
      <c r="M4138" s="5" t="s">
        <v>17564</v>
      </c>
      <c r="N4138" s="5" t="s">
        <v>17565</v>
      </c>
      <c r="O4138" s="5" t="s">
        <v>17566</v>
      </c>
      <c r="P4138" s="5" t="s">
        <v>17567</v>
      </c>
      <c r="Q4138" s="5" t="s">
        <v>17568</v>
      </c>
      <c r="R4138" s="5" t="s">
        <v>17569</v>
      </c>
      <c r="S4138" s="5" t="s">
        <v>17554</v>
      </c>
      <c r="T4138" s="5" t="s">
        <v>17555</v>
      </c>
      <c r="U4138" s="5" t="s">
        <v>17556</v>
      </c>
      <c r="V4138" s="5" t="s">
        <v>17557</v>
      </c>
      <c r="W4138" s="5" t="s">
        <v>17435</v>
      </c>
      <c r="X4138" s="5" t="s">
        <v>17457</v>
      </c>
      <c r="Y4138" s="5" t="s">
        <v>17437</v>
      </c>
      <c r="Z4138" s="5" t="s">
        <v>17438</v>
      </c>
      <c r="AA4138" s="5" t="s">
        <v>17439</v>
      </c>
      <c r="AB4138" s="5" t="s">
        <v>17458</v>
      </c>
      <c r="AC4138" s="5" t="s">
        <v>17441</v>
      </c>
      <c r="AD4138" s="5" t="s">
        <v>17442</v>
      </c>
      <c r="AE4138" s="5" t="s">
        <v>17570</v>
      </c>
      <c r="AG4138" s="14" t="s">
        <v>55</v>
      </c>
      <c r="AH4138" s="14" t="s">
        <v>1102</v>
      </c>
      <c r="AI4138" s="14" t="s">
        <v>17444</v>
      </c>
      <c r="AJ4138" s="5" t="s">
        <v>17445</v>
      </c>
    </row>
    <row r="4139" spans="1:37">
      <c r="A4139" s="5" t="s">
        <v>17571</v>
      </c>
      <c r="B4139" s="5" t="s">
        <v>17572</v>
      </c>
      <c r="C4139" s="6" t="s">
        <v>43</v>
      </c>
      <c r="D4139" s="6" t="s">
        <v>52</v>
      </c>
      <c r="E4139" s="6" t="s">
        <v>12905</v>
      </c>
      <c r="F4139" s="6" t="s">
        <v>46</v>
      </c>
      <c r="G4139" s="6" t="s">
        <v>17573</v>
      </c>
      <c r="H4139" s="18">
        <v>156</v>
      </c>
      <c r="I4139" s="19" t="s">
        <v>219</v>
      </c>
      <c r="J4139" s="19" t="s">
        <v>17422</v>
      </c>
      <c r="K4139" s="5" t="s">
        <v>17574</v>
      </c>
      <c r="L4139" s="5" t="s">
        <v>17575</v>
      </c>
      <c r="M4139" s="5" t="s">
        <v>17576</v>
      </c>
      <c r="N4139" s="5" t="s">
        <v>17577</v>
      </c>
      <c r="O4139" s="5" t="s">
        <v>17578</v>
      </c>
      <c r="P4139" s="5" t="s">
        <v>17579</v>
      </c>
      <c r="Q4139" s="5" t="s">
        <v>17580</v>
      </c>
      <c r="R4139" s="5" t="s">
        <v>17581</v>
      </c>
      <c r="S4139" s="5" t="s">
        <v>17554</v>
      </c>
      <c r="T4139" s="5" t="s">
        <v>17555</v>
      </c>
      <c r="U4139" s="5" t="s">
        <v>17556</v>
      </c>
      <c r="V4139" s="5" t="s">
        <v>17557</v>
      </c>
      <c r="W4139" s="5" t="s">
        <v>17435</v>
      </c>
      <c r="X4139" s="5" t="s">
        <v>17457</v>
      </c>
      <c r="Y4139" s="5" t="s">
        <v>17437</v>
      </c>
      <c r="Z4139" s="5" t="s">
        <v>17438</v>
      </c>
      <c r="AA4139" s="5" t="s">
        <v>17439</v>
      </c>
      <c r="AB4139" s="5" t="s">
        <v>17458</v>
      </c>
      <c r="AC4139" s="5" t="s">
        <v>17441</v>
      </c>
      <c r="AD4139" s="5" t="s">
        <v>17442</v>
      </c>
      <c r="AE4139" s="5" t="s">
        <v>17582</v>
      </c>
      <c r="AG4139" s="14" t="s">
        <v>55</v>
      </c>
      <c r="AH4139" s="14" t="s">
        <v>1102</v>
      </c>
      <c r="AI4139" s="14" t="s">
        <v>17444</v>
      </c>
      <c r="AJ4139" s="5" t="s">
        <v>17445</v>
      </c>
    </row>
    <row r="4140" spans="1:37">
      <c r="A4140" s="5" t="s">
        <v>17583</v>
      </c>
      <c r="B4140" s="5" t="s">
        <v>17584</v>
      </c>
      <c r="C4140" s="6" t="s">
        <v>43</v>
      </c>
      <c r="D4140" s="6" t="s">
        <v>52</v>
      </c>
      <c r="E4140" s="6" t="s">
        <v>12905</v>
      </c>
      <c r="F4140" s="6" t="s">
        <v>46</v>
      </c>
      <c r="G4140" s="6" t="s">
        <v>17585</v>
      </c>
      <c r="H4140" s="18">
        <v>261</v>
      </c>
      <c r="I4140" s="19" t="s">
        <v>219</v>
      </c>
      <c r="J4140" s="19" t="s">
        <v>17422</v>
      </c>
      <c r="K4140" s="5" t="s">
        <v>17586</v>
      </c>
      <c r="L4140" s="5" t="s">
        <v>17587</v>
      </c>
      <c r="M4140" s="5" t="s">
        <v>17588</v>
      </c>
      <c r="N4140" s="5" t="s">
        <v>17589</v>
      </c>
      <c r="O4140" s="5" t="s">
        <v>17590</v>
      </c>
      <c r="P4140" s="5" t="s">
        <v>17591</v>
      </c>
      <c r="Q4140" s="5" t="s">
        <v>17592</v>
      </c>
      <c r="R4140" s="5" t="s">
        <v>17593</v>
      </c>
      <c r="S4140" s="5" t="s">
        <v>17554</v>
      </c>
      <c r="T4140" s="5" t="s">
        <v>17555</v>
      </c>
      <c r="U4140" s="5" t="s">
        <v>17556</v>
      </c>
      <c r="V4140" s="5" t="s">
        <v>17557</v>
      </c>
      <c r="W4140" s="5" t="s">
        <v>17435</v>
      </c>
      <c r="X4140" s="5" t="s">
        <v>17457</v>
      </c>
      <c r="Y4140" s="5" t="s">
        <v>17437</v>
      </c>
      <c r="Z4140" s="5" t="s">
        <v>17438</v>
      </c>
      <c r="AA4140" s="5" t="s">
        <v>17439</v>
      </c>
      <c r="AB4140" s="5" t="s">
        <v>17458</v>
      </c>
      <c r="AC4140" s="5" t="s">
        <v>17441</v>
      </c>
      <c r="AD4140" s="5" t="s">
        <v>17442</v>
      </c>
      <c r="AE4140" s="5" t="s">
        <v>17594</v>
      </c>
      <c r="AG4140" s="14" t="s">
        <v>55</v>
      </c>
      <c r="AH4140" s="14" t="s">
        <v>1102</v>
      </c>
      <c r="AI4140" s="14" t="s">
        <v>17444</v>
      </c>
      <c r="AJ4140" s="5" t="s">
        <v>17445</v>
      </c>
    </row>
    <row r="4141" spans="1:37">
      <c r="A4141" s="5" t="s">
        <v>17595</v>
      </c>
      <c r="B4141" s="5" t="s">
        <v>17596</v>
      </c>
      <c r="C4141" s="6" t="s">
        <v>43</v>
      </c>
      <c r="D4141" s="6" t="s">
        <v>52</v>
      </c>
      <c r="E4141" s="6" t="s">
        <v>12905</v>
      </c>
      <c r="F4141" s="6" t="s">
        <v>46</v>
      </c>
      <c r="G4141" s="6" t="s">
        <v>17597</v>
      </c>
      <c r="H4141" s="18">
        <v>301.5</v>
      </c>
      <c r="I4141" s="19" t="s">
        <v>219</v>
      </c>
      <c r="J4141" s="19" t="s">
        <v>17422</v>
      </c>
      <c r="K4141" s="5" t="s">
        <v>17598</v>
      </c>
      <c r="L4141" s="5" t="s">
        <v>17599</v>
      </c>
      <c r="M4141" s="5" t="s">
        <v>17600</v>
      </c>
      <c r="N4141" s="5" t="s">
        <v>17601</v>
      </c>
      <c r="O4141" s="5" t="s">
        <v>17602</v>
      </c>
      <c r="P4141" s="5" t="s">
        <v>17603</v>
      </c>
      <c r="Q4141" s="5" t="s">
        <v>17604</v>
      </c>
      <c r="R4141" s="5" t="s">
        <v>17605</v>
      </c>
      <c r="S4141" s="5" t="s">
        <v>17606</v>
      </c>
      <c r="T4141" s="5" t="s">
        <v>17607</v>
      </c>
      <c r="U4141" s="5" t="s">
        <v>17608</v>
      </c>
      <c r="V4141" s="5" t="s">
        <v>17609</v>
      </c>
      <c r="W4141" s="5" t="s">
        <v>17435</v>
      </c>
      <c r="X4141" s="5" t="s">
        <v>17457</v>
      </c>
      <c r="Y4141" s="5" t="s">
        <v>17437</v>
      </c>
      <c r="Z4141" s="5" t="s">
        <v>17438</v>
      </c>
      <c r="AA4141" s="5" t="s">
        <v>17439</v>
      </c>
      <c r="AB4141" s="5" t="s">
        <v>17458</v>
      </c>
      <c r="AC4141" s="5" t="s">
        <v>17441</v>
      </c>
      <c r="AD4141" s="5" t="s">
        <v>17442</v>
      </c>
      <c r="AE4141" s="5" t="s">
        <v>17610</v>
      </c>
      <c r="AG4141" s="14" t="s">
        <v>55</v>
      </c>
      <c r="AH4141" s="14" t="s">
        <v>1102</v>
      </c>
      <c r="AI4141" s="14" t="s">
        <v>17444</v>
      </c>
      <c r="AJ4141" s="5" t="s">
        <v>17445</v>
      </c>
    </row>
    <row r="4142" spans="1:37">
      <c r="A4142" s="5" t="s">
        <v>17611</v>
      </c>
      <c r="B4142" s="5" t="s">
        <v>17612</v>
      </c>
      <c r="C4142" s="6" t="s">
        <v>43</v>
      </c>
      <c r="D4142" s="6" t="s">
        <v>52</v>
      </c>
      <c r="E4142" s="6" t="s">
        <v>12905</v>
      </c>
      <c r="F4142" s="6" t="s">
        <v>46</v>
      </c>
      <c r="G4142" s="6" t="s">
        <v>17613</v>
      </c>
      <c r="H4142" s="18">
        <v>207</v>
      </c>
      <c r="I4142" s="19" t="s">
        <v>219</v>
      </c>
      <c r="J4142" s="19" t="s">
        <v>17422</v>
      </c>
      <c r="K4142" s="5" t="s">
        <v>17614</v>
      </c>
      <c r="L4142" s="5" t="s">
        <v>17615</v>
      </c>
      <c r="M4142" s="5" t="s">
        <v>17616</v>
      </c>
      <c r="N4142" s="5" t="s">
        <v>17617</v>
      </c>
      <c r="O4142" s="5" t="s">
        <v>17618</v>
      </c>
      <c r="P4142" s="5" t="s">
        <v>17619</v>
      </c>
      <c r="Q4142" s="5" t="s">
        <v>17620</v>
      </c>
      <c r="R4142" s="5" t="s">
        <v>17621</v>
      </c>
      <c r="S4142" s="5" t="s">
        <v>17606</v>
      </c>
      <c r="T4142" s="5" t="s">
        <v>17607</v>
      </c>
      <c r="U4142" s="5" t="s">
        <v>17608</v>
      </c>
      <c r="V4142" s="5" t="s">
        <v>17609</v>
      </c>
      <c r="W4142" s="5" t="s">
        <v>17435</v>
      </c>
      <c r="X4142" s="5" t="s">
        <v>17457</v>
      </c>
      <c r="Y4142" s="5" t="s">
        <v>17437</v>
      </c>
      <c r="Z4142" s="5" t="s">
        <v>17438</v>
      </c>
      <c r="AA4142" s="5" t="s">
        <v>17439</v>
      </c>
      <c r="AB4142" s="5" t="s">
        <v>17458</v>
      </c>
      <c r="AC4142" s="5" t="s">
        <v>17441</v>
      </c>
      <c r="AD4142" s="5" t="s">
        <v>17442</v>
      </c>
      <c r="AE4142" s="5" t="s">
        <v>17622</v>
      </c>
      <c r="AG4142" s="14" t="s">
        <v>55</v>
      </c>
      <c r="AH4142" s="14" t="s">
        <v>1102</v>
      </c>
      <c r="AI4142" s="14" t="s">
        <v>17444</v>
      </c>
      <c r="AJ4142" s="5" t="s">
        <v>17445</v>
      </c>
    </row>
    <row r="4143" spans="1:37">
      <c r="A4143" s="6" t="s">
        <v>17623</v>
      </c>
      <c r="B4143" s="6" t="s">
        <v>17624</v>
      </c>
      <c r="C4143" s="6" t="s">
        <v>43</v>
      </c>
      <c r="D4143" s="6" t="s">
        <v>13381</v>
      </c>
      <c r="E4143" s="6" t="s">
        <v>10938</v>
      </c>
      <c r="F4143" s="6" t="s">
        <v>46</v>
      </c>
      <c r="G4143" s="6" t="s">
        <v>14091</v>
      </c>
      <c r="I4143" s="6" t="s">
        <v>48</v>
      </c>
      <c r="J4143" s="6" t="s">
        <v>48</v>
      </c>
      <c r="K4143" s="6"/>
      <c r="L4143" s="6"/>
      <c r="M4143" s="6"/>
      <c r="N4143" s="6"/>
      <c r="O4143" s="6"/>
      <c r="P4143" s="6"/>
      <c r="Q4143" s="6"/>
      <c r="R4143" s="6"/>
      <c r="S4143" s="6"/>
      <c r="T4143" s="6"/>
      <c r="U4143" s="6"/>
      <c r="V4143" s="6"/>
      <c r="W4143" s="6"/>
      <c r="X4143" s="6"/>
      <c r="Y4143" s="6"/>
      <c r="Z4143" s="6"/>
      <c r="AA4143" s="6"/>
      <c r="AB4143" s="6"/>
      <c r="AC4143" s="6"/>
      <c r="AD4143" s="6"/>
      <c r="AE4143" s="6"/>
      <c r="AF4143" s="6"/>
      <c r="AG4143" s="15" t="s">
        <v>55</v>
      </c>
      <c r="AH4143" s="15"/>
      <c r="AI4143" s="15"/>
      <c r="AJ4143" s="6"/>
      <c r="AK4143" s="6"/>
    </row>
    <row r="4144" spans="1:37" s="6" customFormat="1">
      <c r="A4144" s="5" t="s">
        <v>17625</v>
      </c>
      <c r="B4144" s="5" t="s">
        <v>17626</v>
      </c>
      <c r="C4144" s="6" t="s">
        <v>43</v>
      </c>
      <c r="D4144" s="6" t="s">
        <v>52</v>
      </c>
      <c r="E4144" s="6" t="s">
        <v>1824</v>
      </c>
      <c r="F4144" s="6" t="s">
        <v>46</v>
      </c>
      <c r="G4144" s="6" t="s">
        <v>17627</v>
      </c>
      <c r="H4144" s="18">
        <v>8.1</v>
      </c>
      <c r="I4144" s="19" t="s">
        <v>63</v>
      </c>
      <c r="J4144" s="19" t="s">
        <v>17628</v>
      </c>
      <c r="K4144" s="5" t="s">
        <v>17629</v>
      </c>
      <c r="L4144" s="5" t="s">
        <v>17630</v>
      </c>
      <c r="M4144" s="5" t="s">
        <v>17631</v>
      </c>
      <c r="N4144" s="5" t="s">
        <v>17632</v>
      </c>
      <c r="O4144" s="5" t="s">
        <v>17633</v>
      </c>
      <c r="P4144" s="5" t="s">
        <v>17634</v>
      </c>
      <c r="Q4144" s="5" t="s">
        <v>17635</v>
      </c>
      <c r="R4144" s="25" t="s">
        <v>17636</v>
      </c>
      <c r="S4144" s="5"/>
      <c r="T4144" s="5"/>
      <c r="U4144" s="5"/>
      <c r="V4144" s="5"/>
      <c r="W4144" s="5"/>
      <c r="X4144" s="5"/>
      <c r="Y4144" s="5"/>
      <c r="Z4144" s="5"/>
      <c r="AA4144" s="5"/>
      <c r="AB4144" s="5"/>
      <c r="AC4144" s="5"/>
      <c r="AD4144" s="5"/>
      <c r="AE4144" s="5" t="s">
        <v>1835</v>
      </c>
      <c r="AF4144" s="5"/>
      <c r="AG4144" s="14" t="s">
        <v>55</v>
      </c>
      <c r="AH4144" s="14" t="s">
        <v>87</v>
      </c>
      <c r="AI4144" s="14" t="s">
        <v>1836</v>
      </c>
      <c r="AJ4144" s="5" t="s">
        <v>1837</v>
      </c>
      <c r="AK4144" s="5"/>
    </row>
    <row r="4145" spans="1:37">
      <c r="A4145" s="5" t="s">
        <v>17637</v>
      </c>
      <c r="B4145" s="5" t="s">
        <v>17638</v>
      </c>
      <c r="C4145" s="6" t="s">
        <v>43</v>
      </c>
      <c r="D4145" s="6" t="s">
        <v>52</v>
      </c>
      <c r="E4145" s="6" t="s">
        <v>1824</v>
      </c>
      <c r="F4145" s="6" t="s">
        <v>46</v>
      </c>
      <c r="G4145" s="6" t="s">
        <v>17627</v>
      </c>
      <c r="H4145" s="18">
        <v>8.1</v>
      </c>
      <c r="I4145" s="19" t="s">
        <v>63</v>
      </c>
      <c r="J4145" s="19" t="s">
        <v>17628</v>
      </c>
      <c r="K4145" s="5" t="s">
        <v>17639</v>
      </c>
      <c r="L4145" s="5" t="s">
        <v>17640</v>
      </c>
      <c r="M4145" s="5" t="s">
        <v>17641</v>
      </c>
      <c r="N4145" s="5" t="s">
        <v>17642</v>
      </c>
      <c r="O4145" s="5" t="s">
        <v>17643</v>
      </c>
      <c r="P4145" s="5" t="s">
        <v>17644</v>
      </c>
      <c r="Q4145" s="5" t="s">
        <v>17645</v>
      </c>
      <c r="R4145" s="25" t="s">
        <v>17646</v>
      </c>
      <c r="AE4145" s="5" t="s">
        <v>17647</v>
      </c>
      <c r="AG4145" s="14" t="s">
        <v>55</v>
      </c>
      <c r="AH4145" s="14" t="s">
        <v>87</v>
      </c>
      <c r="AI4145" s="14" t="s">
        <v>1836</v>
      </c>
      <c r="AJ4145" s="5" t="s">
        <v>1837</v>
      </c>
    </row>
    <row r="4146" spans="1:37">
      <c r="A4146" s="6" t="s">
        <v>17648</v>
      </c>
      <c r="B4146" s="6" t="s">
        <v>17649</v>
      </c>
      <c r="C4146" s="6" t="s">
        <v>14347</v>
      </c>
      <c r="D4146" s="6" t="s">
        <v>10937</v>
      </c>
      <c r="E4146" s="6" t="s">
        <v>503</v>
      </c>
      <c r="F4146" s="6" t="s">
        <v>46</v>
      </c>
      <c r="G4146" s="6" t="s">
        <v>1963</v>
      </c>
      <c r="I4146" s="5" t="s">
        <v>48</v>
      </c>
      <c r="J4146" s="5" t="s">
        <v>48</v>
      </c>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15" t="s">
        <v>55</v>
      </c>
      <c r="AH4146" s="15"/>
      <c r="AI4146" s="15"/>
      <c r="AJ4146" s="6"/>
      <c r="AK4146" s="6"/>
    </row>
    <row r="4147" spans="1:37" s="6" customFormat="1">
      <c r="A4147" s="6" t="s">
        <v>17650</v>
      </c>
      <c r="B4147" s="6" t="s">
        <v>17651</v>
      </c>
      <c r="C4147" s="6" t="s">
        <v>14347</v>
      </c>
      <c r="D4147" s="6" t="s">
        <v>10937</v>
      </c>
      <c r="E4147" s="6" t="s">
        <v>10938</v>
      </c>
      <c r="F4147" s="6" t="s">
        <v>46</v>
      </c>
      <c r="G4147" s="6" t="s">
        <v>6279</v>
      </c>
      <c r="H4147" s="7"/>
      <c r="I4147" s="5" t="s">
        <v>48</v>
      </c>
      <c r="J4147" s="5" t="s">
        <v>48</v>
      </c>
      <c r="AG4147" s="15" t="s">
        <v>55</v>
      </c>
      <c r="AH4147" s="15"/>
      <c r="AI4147" s="15"/>
    </row>
    <row r="4148" spans="1:37" s="6" customFormat="1">
      <c r="A4148" s="6" t="s">
        <v>17652</v>
      </c>
      <c r="B4148" s="6" t="s">
        <v>17653</v>
      </c>
      <c r="C4148" s="6" t="s">
        <v>14347</v>
      </c>
      <c r="D4148" s="6" t="s">
        <v>10937</v>
      </c>
      <c r="E4148" s="6" t="s">
        <v>10938</v>
      </c>
      <c r="F4148" s="6" t="s">
        <v>46</v>
      </c>
      <c r="G4148" s="6" t="s">
        <v>17654</v>
      </c>
      <c r="H4148" s="7"/>
      <c r="I4148" s="5" t="s">
        <v>48</v>
      </c>
      <c r="J4148" s="5" t="s">
        <v>48</v>
      </c>
      <c r="AG4148" s="15" t="s">
        <v>55</v>
      </c>
      <c r="AH4148" s="15"/>
      <c r="AI4148" s="15"/>
    </row>
    <row r="4149" spans="1:37" s="6" customFormat="1">
      <c r="A4149" s="5" t="s">
        <v>17655</v>
      </c>
      <c r="B4149" s="5" t="s">
        <v>17656</v>
      </c>
      <c r="C4149" s="6" t="s">
        <v>6095</v>
      </c>
      <c r="D4149" s="6" t="s">
        <v>850</v>
      </c>
      <c r="E4149" s="6" t="s">
        <v>218</v>
      </c>
      <c r="F4149" s="6" t="s">
        <v>46</v>
      </c>
      <c r="G4149" s="6" t="s">
        <v>17657</v>
      </c>
      <c r="H4149" s="7">
        <v>999</v>
      </c>
      <c r="I4149" s="19" t="s">
        <v>1882</v>
      </c>
      <c r="J4149" s="19" t="s">
        <v>1883</v>
      </c>
      <c r="K4149" s="5" t="s">
        <v>17658</v>
      </c>
      <c r="L4149" s="5" t="s">
        <v>17659</v>
      </c>
      <c r="M4149" s="5" t="s">
        <v>17660</v>
      </c>
      <c r="N4149" s="5" t="s">
        <v>17661</v>
      </c>
      <c r="O4149" s="5" t="s">
        <v>17662</v>
      </c>
      <c r="P4149" s="5" t="s">
        <v>17663</v>
      </c>
      <c r="Q4149" s="5" t="s">
        <v>17664</v>
      </c>
      <c r="R4149" s="5" t="s">
        <v>17665</v>
      </c>
      <c r="S4149" s="5"/>
      <c r="T4149" s="5"/>
      <c r="U4149" s="5"/>
      <c r="V4149" s="5"/>
      <c r="W4149" s="5"/>
      <c r="X4149" s="5"/>
      <c r="Y4149" s="5"/>
      <c r="Z4149" s="5"/>
      <c r="AA4149" s="5"/>
      <c r="AB4149" s="5"/>
      <c r="AC4149" s="5"/>
      <c r="AD4149" s="5"/>
      <c r="AE4149" s="5"/>
      <c r="AF4149" s="5"/>
      <c r="AG4149" s="14" t="s">
        <v>49</v>
      </c>
      <c r="AH4149" s="14" t="s">
        <v>49</v>
      </c>
      <c r="AI4149" s="14" t="s">
        <v>1985</v>
      </c>
      <c r="AJ4149" s="5" t="s">
        <v>1986</v>
      </c>
      <c r="AK4149" s="5"/>
    </row>
    <row r="4150" spans="1:37">
      <c r="A4150" s="6" t="s">
        <v>17666</v>
      </c>
      <c r="B4150" s="6" t="s">
        <v>17667</v>
      </c>
      <c r="C4150" s="6" t="s">
        <v>43</v>
      </c>
      <c r="D4150" s="6" t="s">
        <v>17668</v>
      </c>
      <c r="E4150" s="6" t="s">
        <v>53</v>
      </c>
      <c r="F4150" s="6" t="s">
        <v>46</v>
      </c>
      <c r="G4150" s="6" t="s">
        <v>2253</v>
      </c>
      <c r="I4150" s="6" t="s">
        <v>48</v>
      </c>
      <c r="J4150" s="6" t="s">
        <v>48</v>
      </c>
      <c r="K4150" s="6"/>
      <c r="L4150" s="6"/>
      <c r="M4150" s="6"/>
      <c r="N4150" s="6"/>
      <c r="O4150" s="6"/>
      <c r="P4150" s="6"/>
      <c r="Q4150" s="6"/>
      <c r="R4150" s="6"/>
      <c r="S4150" s="6"/>
      <c r="T4150" s="6"/>
      <c r="U4150" s="6"/>
      <c r="V4150" s="6"/>
      <c r="W4150" s="6"/>
      <c r="X4150" s="6"/>
      <c r="Y4150" s="6"/>
      <c r="Z4150" s="6"/>
      <c r="AA4150" s="6"/>
      <c r="AB4150" s="6"/>
      <c r="AC4150" s="6"/>
      <c r="AD4150" s="6"/>
      <c r="AE4150" s="6"/>
      <c r="AF4150" s="6"/>
      <c r="AG4150" s="15" t="s">
        <v>55</v>
      </c>
      <c r="AH4150" s="15"/>
      <c r="AI4150" s="15"/>
      <c r="AJ4150" s="6"/>
      <c r="AK4150" s="6"/>
    </row>
    <row r="4151" spans="1:37" s="6" customFormat="1">
      <c r="A4151" s="5" t="s">
        <v>17669</v>
      </c>
      <c r="B4151" s="5" t="s">
        <v>17670</v>
      </c>
      <c r="C4151" s="6" t="s">
        <v>43</v>
      </c>
      <c r="D4151" s="6" t="s">
        <v>1989</v>
      </c>
      <c r="E4151" s="6" t="s">
        <v>53</v>
      </c>
      <c r="F4151" s="6" t="s">
        <v>46</v>
      </c>
      <c r="G4151" s="6" t="s">
        <v>43</v>
      </c>
      <c r="H4151" s="7"/>
      <c r="I4151" s="5"/>
      <c r="J4151" s="5"/>
      <c r="K4151" s="5"/>
      <c r="L4151" s="5"/>
      <c r="M4151" s="5"/>
      <c r="N4151" s="5"/>
      <c r="O4151" s="5"/>
      <c r="P4151" s="5"/>
      <c r="Q4151" s="5"/>
      <c r="R4151" s="5"/>
      <c r="S4151" s="5"/>
      <c r="T4151" s="5"/>
      <c r="U4151" s="5"/>
      <c r="V4151" s="5"/>
      <c r="W4151" s="5"/>
      <c r="X4151" s="5"/>
      <c r="Y4151" s="5"/>
      <c r="Z4151" s="5"/>
      <c r="AA4151" s="5"/>
      <c r="AB4151" s="5"/>
      <c r="AC4151" s="5"/>
      <c r="AD4151" s="5"/>
      <c r="AE4151" s="5"/>
      <c r="AF4151" s="5"/>
      <c r="AG4151" s="14"/>
      <c r="AH4151" s="14"/>
      <c r="AI4151" s="14"/>
      <c r="AJ4151" s="5"/>
      <c r="AK4151" s="5"/>
    </row>
    <row r="4152" spans="1:37">
      <c r="A4152" s="5" t="s">
        <v>17671</v>
      </c>
      <c r="B4152" s="5" t="s">
        <v>17672</v>
      </c>
      <c r="C4152" s="6" t="s">
        <v>17673</v>
      </c>
      <c r="D4152" s="6" t="s">
        <v>1875</v>
      </c>
      <c r="E4152" s="6" t="s">
        <v>53</v>
      </c>
      <c r="F4152" s="6" t="s">
        <v>46</v>
      </c>
      <c r="G4152" s="6" t="s">
        <v>43</v>
      </c>
      <c r="R4152" s="5"/>
    </row>
    <row r="4153" spans="1:37">
      <c r="A4153" s="5" t="s">
        <v>17674</v>
      </c>
      <c r="B4153" s="5" t="s">
        <v>17675</v>
      </c>
      <c r="C4153" s="6" t="s">
        <v>17676</v>
      </c>
      <c r="D4153" s="6" t="s">
        <v>1875</v>
      </c>
      <c r="E4153" s="6" t="s">
        <v>53</v>
      </c>
      <c r="F4153" s="6" t="s">
        <v>46</v>
      </c>
      <c r="G4153" s="6" t="s">
        <v>17677</v>
      </c>
      <c r="R4153" s="5"/>
    </row>
    <row r="4154" spans="1:37">
      <c r="A4154" s="5" t="s">
        <v>17678</v>
      </c>
      <c r="B4154" s="5" t="s">
        <v>17679</v>
      </c>
      <c r="C4154" s="6" t="s">
        <v>17680</v>
      </c>
      <c r="D4154" s="6" t="s">
        <v>1875</v>
      </c>
      <c r="E4154" s="6" t="s">
        <v>53</v>
      </c>
      <c r="F4154" s="6" t="s">
        <v>46</v>
      </c>
      <c r="G4154" s="6" t="s">
        <v>11667</v>
      </c>
      <c r="R4154" s="5"/>
    </row>
    <row r="4155" spans="1:37">
      <c r="A4155" s="5" t="s">
        <v>17681</v>
      </c>
      <c r="B4155" s="5" t="s">
        <v>17682</v>
      </c>
      <c r="C4155" s="6" t="s">
        <v>499</v>
      </c>
      <c r="D4155" s="6" t="s">
        <v>1875</v>
      </c>
      <c r="E4155" s="6" t="s">
        <v>53</v>
      </c>
      <c r="F4155" s="6" t="s">
        <v>46</v>
      </c>
      <c r="G4155" s="6" t="s">
        <v>11451</v>
      </c>
      <c r="R4155" s="5"/>
    </row>
    <row r="4156" spans="1:37">
      <c r="A4156" s="5" t="s">
        <v>17683</v>
      </c>
      <c r="B4156" s="5" t="s">
        <v>17684</v>
      </c>
      <c r="C4156" s="6" t="s">
        <v>17685</v>
      </c>
      <c r="D4156" s="6" t="s">
        <v>1875</v>
      </c>
      <c r="E4156" s="6" t="s">
        <v>53</v>
      </c>
      <c r="F4156" s="6" t="s">
        <v>46</v>
      </c>
      <c r="G4156" s="6" t="s">
        <v>11535</v>
      </c>
      <c r="R4156" s="5"/>
    </row>
    <row r="4157" spans="1:37">
      <c r="A4157" s="5" t="s">
        <v>17686</v>
      </c>
      <c r="B4157" s="5" t="s">
        <v>17687</v>
      </c>
      <c r="C4157" s="6" t="s">
        <v>17688</v>
      </c>
      <c r="D4157" s="6" t="s">
        <v>1875</v>
      </c>
      <c r="E4157" s="6" t="s">
        <v>53</v>
      </c>
      <c r="F4157" s="6" t="s">
        <v>46</v>
      </c>
      <c r="G4157" s="6" t="s">
        <v>17689</v>
      </c>
      <c r="R4157" s="5"/>
    </row>
    <row r="4158" spans="1:37">
      <c r="A4158" s="5" t="s">
        <v>17690</v>
      </c>
      <c r="B4158" s="5" t="s">
        <v>17691</v>
      </c>
      <c r="C4158" s="6" t="s">
        <v>16557</v>
      </c>
      <c r="D4158" s="6" t="s">
        <v>1875</v>
      </c>
      <c r="E4158" s="6" t="s">
        <v>53</v>
      </c>
      <c r="F4158" s="6" t="s">
        <v>46</v>
      </c>
      <c r="G4158" s="6" t="s">
        <v>17692</v>
      </c>
      <c r="R4158" s="5"/>
    </row>
    <row r="4159" spans="1:37">
      <c r="A4159" s="5" t="s">
        <v>17693</v>
      </c>
      <c r="B4159" s="5" t="s">
        <v>17694</v>
      </c>
      <c r="C4159" s="6" t="s">
        <v>17695</v>
      </c>
      <c r="D4159" s="6" t="s">
        <v>1875</v>
      </c>
      <c r="E4159" s="6" t="s">
        <v>53</v>
      </c>
      <c r="F4159" s="6" t="s">
        <v>46</v>
      </c>
      <c r="G4159" s="6" t="s">
        <v>11921</v>
      </c>
      <c r="R4159" s="5"/>
    </row>
    <row r="4160" spans="1:37">
      <c r="A4160" s="5" t="s">
        <v>17696</v>
      </c>
      <c r="B4160" s="5" t="s">
        <v>17697</v>
      </c>
      <c r="C4160" s="6" t="s">
        <v>17698</v>
      </c>
      <c r="D4160" s="6" t="s">
        <v>1875</v>
      </c>
      <c r="E4160" s="6" t="s">
        <v>53</v>
      </c>
      <c r="F4160" s="6" t="s">
        <v>46</v>
      </c>
      <c r="G4160" s="6" t="s">
        <v>17677</v>
      </c>
      <c r="R4160" s="5"/>
    </row>
    <row r="4161" spans="1:37">
      <c r="A4161" s="5" t="s">
        <v>17699</v>
      </c>
      <c r="B4161" s="5" t="s">
        <v>17700</v>
      </c>
      <c r="C4161" s="6" t="s">
        <v>43</v>
      </c>
      <c r="D4161" s="6" t="s">
        <v>1875</v>
      </c>
      <c r="E4161" s="6" t="s">
        <v>1492</v>
      </c>
      <c r="F4161" s="6" t="s">
        <v>46</v>
      </c>
      <c r="G4161" s="6" t="s">
        <v>43</v>
      </c>
      <c r="R4161" s="5"/>
    </row>
    <row r="4162" spans="1:37">
      <c r="A4162" s="5" t="s">
        <v>17701</v>
      </c>
      <c r="B4162" s="5" t="s">
        <v>17702</v>
      </c>
      <c r="C4162" s="6" t="s">
        <v>43</v>
      </c>
      <c r="D4162" s="6" t="s">
        <v>861</v>
      </c>
      <c r="E4162" s="6" t="s">
        <v>503</v>
      </c>
      <c r="F4162" s="6" t="s">
        <v>46</v>
      </c>
      <c r="G4162" s="6" t="s">
        <v>17703</v>
      </c>
      <c r="H4162" s="7">
        <v>540</v>
      </c>
      <c r="I4162" s="19" t="s">
        <v>1983</v>
      </c>
      <c r="J4162" s="19" t="s">
        <v>17704</v>
      </c>
      <c r="R4162" s="5"/>
      <c r="AG4162" s="14" t="s">
        <v>55</v>
      </c>
      <c r="AH4162" s="14" t="s">
        <v>149</v>
      </c>
      <c r="AI4162" s="14" t="s">
        <v>13584</v>
      </c>
      <c r="AJ4162" s="5" t="s">
        <v>17705</v>
      </c>
    </row>
    <row r="4163" spans="1:37">
      <c r="A4163" s="5" t="s">
        <v>17706</v>
      </c>
      <c r="B4163" s="5" t="s">
        <v>17707</v>
      </c>
      <c r="C4163" s="6" t="s">
        <v>43</v>
      </c>
      <c r="D4163" s="6" t="s">
        <v>861</v>
      </c>
      <c r="E4163" s="6" t="s">
        <v>503</v>
      </c>
      <c r="F4163" s="6" t="s">
        <v>46</v>
      </c>
      <c r="G4163" s="6" t="s">
        <v>17708</v>
      </c>
      <c r="H4163" s="7">
        <v>412.5</v>
      </c>
      <c r="I4163" s="19" t="s">
        <v>1983</v>
      </c>
      <c r="J4163" s="19" t="s">
        <v>17704</v>
      </c>
      <c r="R4163" s="5"/>
      <c r="AG4163" s="14" t="s">
        <v>55</v>
      </c>
      <c r="AH4163" s="14" t="s">
        <v>149</v>
      </c>
      <c r="AI4163" s="14" t="s">
        <v>13584</v>
      </c>
      <c r="AJ4163" s="5" t="s">
        <v>17705</v>
      </c>
    </row>
    <row r="4164" spans="1:37">
      <c r="A4164" s="5" t="s">
        <v>17709</v>
      </c>
      <c r="B4164" s="5" t="s">
        <v>17710</v>
      </c>
      <c r="C4164" s="6" t="s">
        <v>43</v>
      </c>
      <c r="D4164" s="6" t="s">
        <v>861</v>
      </c>
      <c r="E4164" s="6" t="s">
        <v>503</v>
      </c>
      <c r="F4164" s="6" t="s">
        <v>46</v>
      </c>
      <c r="G4164" s="6" t="s">
        <v>17711</v>
      </c>
      <c r="H4164" s="7">
        <v>495</v>
      </c>
      <c r="I4164" s="19" t="s">
        <v>1983</v>
      </c>
      <c r="J4164" s="19" t="s">
        <v>17704</v>
      </c>
      <c r="R4164" s="5"/>
      <c r="AG4164" s="14" t="s">
        <v>55</v>
      </c>
      <c r="AH4164" s="14" t="s">
        <v>149</v>
      </c>
      <c r="AI4164" s="14" t="s">
        <v>13584</v>
      </c>
      <c r="AJ4164" s="5" t="s">
        <v>17705</v>
      </c>
    </row>
    <row r="4165" spans="1:37">
      <c r="A4165" s="6" t="s">
        <v>17712</v>
      </c>
      <c r="B4165" s="6" t="s">
        <v>17713</v>
      </c>
      <c r="C4165" s="6" t="s">
        <v>43</v>
      </c>
      <c r="D4165" s="6" t="s">
        <v>12388</v>
      </c>
      <c r="E4165" s="6" t="s">
        <v>16191</v>
      </c>
      <c r="F4165" s="6" t="s">
        <v>46</v>
      </c>
      <c r="G4165" s="6" t="s">
        <v>17714</v>
      </c>
      <c r="I4165" s="6" t="s">
        <v>48</v>
      </c>
      <c r="J4165" s="6" t="s">
        <v>48</v>
      </c>
      <c r="K4165" s="6"/>
      <c r="L4165" s="6"/>
      <c r="M4165" s="6"/>
      <c r="N4165" s="6"/>
      <c r="O4165" s="6"/>
      <c r="P4165" s="6"/>
      <c r="Q4165" s="6"/>
      <c r="R4165" s="6"/>
      <c r="S4165" s="6"/>
      <c r="T4165" s="6"/>
      <c r="U4165" s="6"/>
      <c r="V4165" s="6"/>
      <c r="W4165" s="6"/>
      <c r="X4165" s="6"/>
      <c r="Y4165" s="6"/>
      <c r="Z4165" s="6"/>
      <c r="AA4165" s="6"/>
      <c r="AB4165" s="6"/>
      <c r="AC4165" s="6"/>
      <c r="AD4165" s="6"/>
      <c r="AE4165" s="6"/>
      <c r="AF4165" s="6"/>
      <c r="AG4165" s="15" t="s">
        <v>55</v>
      </c>
      <c r="AH4165" s="15"/>
      <c r="AI4165" s="15"/>
      <c r="AJ4165" s="6"/>
      <c r="AK4165" s="6"/>
    </row>
    <row r="4166" spans="1:37" s="6" customFormat="1">
      <c r="A4166" s="6" t="s">
        <v>17715</v>
      </c>
      <c r="B4166" s="6" t="s">
        <v>17716</v>
      </c>
      <c r="C4166" s="6" t="s">
        <v>43</v>
      </c>
      <c r="D4166" s="6" t="s">
        <v>12388</v>
      </c>
      <c r="E4166" s="6" t="s">
        <v>16191</v>
      </c>
      <c r="F4166" s="6" t="s">
        <v>46</v>
      </c>
      <c r="G4166" s="6" t="s">
        <v>17714</v>
      </c>
      <c r="H4166" s="7"/>
      <c r="I4166" s="6" t="s">
        <v>48</v>
      </c>
      <c r="J4166" s="6" t="s">
        <v>48</v>
      </c>
      <c r="AG4166" s="15" t="s">
        <v>55</v>
      </c>
      <c r="AH4166" s="15"/>
      <c r="AI4166" s="15"/>
    </row>
    <row r="4167" spans="1:37" s="6" customFormat="1">
      <c r="A4167" s="6" t="s">
        <v>17717</v>
      </c>
      <c r="B4167" s="6" t="s">
        <v>17718</v>
      </c>
      <c r="C4167" s="6" t="s">
        <v>43</v>
      </c>
      <c r="D4167" s="6" t="s">
        <v>12388</v>
      </c>
      <c r="E4167" s="6" t="s">
        <v>16191</v>
      </c>
      <c r="F4167" s="6" t="s">
        <v>46</v>
      </c>
      <c r="G4167" s="6" t="s">
        <v>17714</v>
      </c>
      <c r="H4167" s="7"/>
      <c r="I4167" s="6" t="s">
        <v>48</v>
      </c>
      <c r="J4167" s="6" t="s">
        <v>48</v>
      </c>
      <c r="AG4167" s="15" t="s">
        <v>55</v>
      </c>
      <c r="AH4167" s="15"/>
      <c r="AI4167" s="15"/>
    </row>
    <row r="4168" spans="1:37" s="6" customFormat="1">
      <c r="A4168" s="6" t="s">
        <v>17719</v>
      </c>
      <c r="B4168" s="6" t="s">
        <v>17720</v>
      </c>
      <c r="C4168" s="6" t="s">
        <v>43</v>
      </c>
      <c r="D4168" s="6" t="s">
        <v>12388</v>
      </c>
      <c r="E4168" s="6" t="s">
        <v>16191</v>
      </c>
      <c r="F4168" s="6" t="s">
        <v>46</v>
      </c>
      <c r="G4168" s="6" t="s">
        <v>17714</v>
      </c>
      <c r="H4168" s="7"/>
      <c r="I4168" s="6" t="s">
        <v>48</v>
      </c>
      <c r="J4168" s="6" t="s">
        <v>48</v>
      </c>
      <c r="AG4168" s="15" t="s">
        <v>55</v>
      </c>
      <c r="AH4168" s="15"/>
      <c r="AI4168" s="15"/>
    </row>
    <row r="4169" spans="1:37" s="6" customFormat="1">
      <c r="A4169" s="6" t="s">
        <v>17721</v>
      </c>
      <c r="B4169" s="6" t="s">
        <v>17722</v>
      </c>
      <c r="C4169" s="6" t="s">
        <v>43</v>
      </c>
      <c r="D4169" s="6" t="s">
        <v>12388</v>
      </c>
      <c r="E4169" s="6" t="s">
        <v>16191</v>
      </c>
      <c r="F4169" s="6" t="s">
        <v>46</v>
      </c>
      <c r="G4169" s="6" t="s">
        <v>17714</v>
      </c>
      <c r="H4169" s="7"/>
      <c r="I4169" s="6" t="s">
        <v>48</v>
      </c>
      <c r="J4169" s="6" t="s">
        <v>48</v>
      </c>
      <c r="AG4169" s="15" t="s">
        <v>55</v>
      </c>
      <c r="AH4169" s="15"/>
      <c r="AI4169" s="15"/>
    </row>
    <row r="4170" spans="1:37" s="6" customFormat="1">
      <c r="A4170" s="6" t="s">
        <v>17723</v>
      </c>
      <c r="B4170" s="6" t="s">
        <v>17724</v>
      </c>
      <c r="C4170" s="6" t="s">
        <v>43</v>
      </c>
      <c r="D4170" s="6" t="s">
        <v>12388</v>
      </c>
      <c r="E4170" s="6" t="s">
        <v>16191</v>
      </c>
      <c r="F4170" s="6" t="s">
        <v>46</v>
      </c>
      <c r="G4170" s="6" t="s">
        <v>17714</v>
      </c>
      <c r="H4170" s="7"/>
      <c r="I4170" s="6" t="s">
        <v>48</v>
      </c>
      <c r="J4170" s="6" t="s">
        <v>48</v>
      </c>
      <c r="AG4170" s="15" t="s">
        <v>55</v>
      </c>
      <c r="AH4170" s="15"/>
      <c r="AI4170" s="15"/>
    </row>
    <row r="4171" spans="1:37" s="6" customFormat="1">
      <c r="A4171" s="6" t="s">
        <v>17725</v>
      </c>
      <c r="B4171" s="6" t="s">
        <v>17726</v>
      </c>
      <c r="C4171" s="6" t="s">
        <v>43</v>
      </c>
      <c r="D4171" s="6" t="s">
        <v>44</v>
      </c>
      <c r="E4171" s="6" t="s">
        <v>45</v>
      </c>
      <c r="F4171" s="6" t="s">
        <v>46</v>
      </c>
      <c r="G4171" s="6" t="s">
        <v>12389</v>
      </c>
      <c r="H4171" s="7"/>
      <c r="I4171" s="6" t="s">
        <v>48</v>
      </c>
      <c r="J4171" s="6" t="s">
        <v>48</v>
      </c>
      <c r="AG4171" s="15" t="s">
        <v>49</v>
      </c>
      <c r="AH4171" s="15"/>
      <c r="AI4171" s="15"/>
    </row>
    <row r="4172" spans="1:37" s="6" customFormat="1">
      <c r="A4172" s="6" t="s">
        <v>17727</v>
      </c>
      <c r="B4172" s="6" t="s">
        <v>17728</v>
      </c>
      <c r="C4172" s="6" t="s">
        <v>43</v>
      </c>
      <c r="D4172" s="6" t="s">
        <v>44</v>
      </c>
      <c r="E4172" s="6" t="s">
        <v>45</v>
      </c>
      <c r="F4172" s="6" t="s">
        <v>46</v>
      </c>
      <c r="G4172" s="6" t="s">
        <v>17729</v>
      </c>
      <c r="H4172" s="7"/>
      <c r="I4172" s="6" t="s">
        <v>48</v>
      </c>
      <c r="J4172" s="6" t="s">
        <v>48</v>
      </c>
      <c r="AG4172" s="15" t="s">
        <v>49</v>
      </c>
      <c r="AH4172" s="15"/>
      <c r="AI4172" s="15"/>
    </row>
    <row r="4173" spans="1:37" s="6" customFormat="1">
      <c r="A4173" s="6" t="s">
        <v>17730</v>
      </c>
      <c r="B4173" s="6" t="s">
        <v>17731</v>
      </c>
      <c r="C4173" s="6" t="s">
        <v>43</v>
      </c>
      <c r="D4173" s="6" t="s">
        <v>44</v>
      </c>
      <c r="E4173" s="6" t="s">
        <v>45</v>
      </c>
      <c r="F4173" s="6" t="s">
        <v>46</v>
      </c>
      <c r="G4173" s="6" t="s">
        <v>17732</v>
      </c>
      <c r="H4173" s="7"/>
      <c r="I4173" s="6" t="s">
        <v>48</v>
      </c>
      <c r="J4173" s="6" t="s">
        <v>48</v>
      </c>
      <c r="AG4173" s="15" t="s">
        <v>49</v>
      </c>
      <c r="AH4173" s="15"/>
      <c r="AI4173" s="15"/>
    </row>
    <row r="4174" spans="1:37" s="6" customFormat="1">
      <c r="A4174" s="6" t="s">
        <v>17733</v>
      </c>
      <c r="B4174" s="6" t="s">
        <v>17734</v>
      </c>
      <c r="C4174" s="6" t="s">
        <v>43</v>
      </c>
      <c r="D4174" s="6" t="s">
        <v>44</v>
      </c>
      <c r="E4174" s="6" t="s">
        <v>45</v>
      </c>
      <c r="F4174" s="6" t="s">
        <v>46</v>
      </c>
      <c r="G4174" s="6" t="s">
        <v>17735</v>
      </c>
      <c r="H4174" s="7"/>
      <c r="I4174" s="6" t="s">
        <v>48</v>
      </c>
      <c r="J4174" s="6" t="s">
        <v>48</v>
      </c>
      <c r="AG4174" s="15" t="s">
        <v>49</v>
      </c>
      <c r="AH4174" s="15"/>
      <c r="AI4174" s="15"/>
    </row>
    <row r="4175" spans="1:37" s="6" customFormat="1">
      <c r="A4175" s="6" t="s">
        <v>17736</v>
      </c>
      <c r="B4175" s="6" t="s">
        <v>17737</v>
      </c>
      <c r="C4175" s="6" t="s">
        <v>43</v>
      </c>
      <c r="D4175" s="6" t="s">
        <v>12388</v>
      </c>
      <c r="E4175" s="6" t="s">
        <v>45</v>
      </c>
      <c r="F4175" s="6" t="s">
        <v>46</v>
      </c>
      <c r="G4175" s="6" t="s">
        <v>14006</v>
      </c>
      <c r="H4175" s="7"/>
      <c r="I4175" s="5" t="s">
        <v>48</v>
      </c>
      <c r="J4175" s="5" t="s">
        <v>48</v>
      </c>
      <c r="AG4175" s="15" t="s">
        <v>49</v>
      </c>
      <c r="AH4175" s="15"/>
      <c r="AI4175" s="15"/>
    </row>
    <row r="4176" spans="1:37" s="6" customFormat="1">
      <c r="A4176" s="6" t="s">
        <v>17738</v>
      </c>
      <c r="B4176" s="6" t="s">
        <v>17739</v>
      </c>
      <c r="C4176" s="6" t="s">
        <v>43</v>
      </c>
      <c r="D4176" s="6" t="s">
        <v>44</v>
      </c>
      <c r="E4176" s="6" t="s">
        <v>45</v>
      </c>
      <c r="F4176" s="6" t="s">
        <v>46</v>
      </c>
      <c r="G4176" s="6" t="s">
        <v>13548</v>
      </c>
      <c r="H4176" s="7"/>
      <c r="I4176" s="6" t="s">
        <v>48</v>
      </c>
      <c r="J4176" s="6" t="s">
        <v>48</v>
      </c>
      <c r="AG4176" s="15" t="s">
        <v>49</v>
      </c>
      <c r="AH4176" s="15"/>
      <c r="AI4176" s="15"/>
    </row>
    <row r="4177" spans="1:37" s="6" customFormat="1">
      <c r="A4177" s="5" t="s">
        <v>17740</v>
      </c>
      <c r="B4177" s="5" t="s">
        <v>17741</v>
      </c>
      <c r="C4177" s="6" t="s">
        <v>17742</v>
      </c>
      <c r="D4177" s="6" t="s">
        <v>2114</v>
      </c>
      <c r="E4177" s="6" t="s">
        <v>1386</v>
      </c>
      <c r="F4177" s="6" t="s">
        <v>46</v>
      </c>
      <c r="G4177" s="6" t="s">
        <v>15823</v>
      </c>
      <c r="H4177" s="7">
        <v>38.380000000000003</v>
      </c>
      <c r="I4177" s="19" t="s">
        <v>1589</v>
      </c>
      <c r="J4177" s="19" t="s">
        <v>17743</v>
      </c>
      <c r="K4177" s="5" t="s">
        <v>17744</v>
      </c>
      <c r="L4177" s="5" t="s">
        <v>17745</v>
      </c>
      <c r="M4177" s="5" t="s">
        <v>17746</v>
      </c>
      <c r="N4177" s="5" t="s">
        <v>17747</v>
      </c>
      <c r="O4177" s="5" t="s">
        <v>17748</v>
      </c>
      <c r="P4177" s="5" t="s">
        <v>17749</v>
      </c>
      <c r="Q4177" s="5" t="s">
        <v>17750</v>
      </c>
      <c r="R4177" s="5" t="s">
        <v>17751</v>
      </c>
      <c r="S4177" s="5"/>
      <c r="T4177" s="5"/>
      <c r="U4177" s="5"/>
      <c r="V4177" s="5"/>
      <c r="W4177" s="5" t="s">
        <v>17752</v>
      </c>
      <c r="X4177" s="5" t="s">
        <v>17753</v>
      </c>
      <c r="Y4177" s="5" t="s">
        <v>17754</v>
      </c>
      <c r="Z4177" s="5" t="s">
        <v>17755</v>
      </c>
      <c r="AA4177" s="5"/>
      <c r="AB4177" s="5"/>
      <c r="AC4177" s="5"/>
      <c r="AD4177" s="5"/>
      <c r="AE4177" s="5"/>
      <c r="AF4177" s="5"/>
      <c r="AG4177" s="14" t="s">
        <v>55</v>
      </c>
      <c r="AH4177" s="14" t="s">
        <v>1603</v>
      </c>
      <c r="AI4177" s="14" t="s">
        <v>1604</v>
      </c>
      <c r="AJ4177" s="5"/>
      <c r="AK4177" s="5"/>
    </row>
    <row r="4178" spans="1:37">
      <c r="A4178" s="5" t="s">
        <v>17756</v>
      </c>
      <c r="B4178" s="5" t="s">
        <v>17757</v>
      </c>
      <c r="C4178" s="6" t="s">
        <v>43</v>
      </c>
      <c r="D4178" s="6" t="s">
        <v>2114</v>
      </c>
      <c r="E4178" s="6" t="s">
        <v>1386</v>
      </c>
      <c r="F4178" s="6" t="s">
        <v>46</v>
      </c>
      <c r="G4178" s="6" t="s">
        <v>17758</v>
      </c>
      <c r="H4178" s="7">
        <v>46.04</v>
      </c>
      <c r="I4178" s="19" t="s">
        <v>1589</v>
      </c>
      <c r="J4178" s="19" t="s">
        <v>17743</v>
      </c>
      <c r="K4178" s="5" t="s">
        <v>17759</v>
      </c>
      <c r="L4178" s="5" t="s">
        <v>17760</v>
      </c>
      <c r="M4178" s="5" t="s">
        <v>17761</v>
      </c>
      <c r="N4178" s="5" t="s">
        <v>17762</v>
      </c>
      <c r="O4178" s="5" t="s">
        <v>17763</v>
      </c>
      <c r="P4178" s="5" t="s">
        <v>17764</v>
      </c>
      <c r="Q4178" s="5" t="s">
        <v>17765</v>
      </c>
      <c r="R4178" s="5" t="s">
        <v>17766</v>
      </c>
      <c r="W4178" s="5" t="s">
        <v>17752</v>
      </c>
      <c r="X4178" s="5" t="s">
        <v>17753</v>
      </c>
      <c r="Y4178" s="5" t="s">
        <v>17754</v>
      </c>
      <c r="Z4178" s="5" t="s">
        <v>17755</v>
      </c>
      <c r="AG4178" s="14" t="s">
        <v>55</v>
      </c>
      <c r="AH4178" s="14" t="s">
        <v>1603</v>
      </c>
      <c r="AI4178" s="14" t="s">
        <v>1604</v>
      </c>
    </row>
    <row r="4179" spans="1:37">
      <c r="A4179" s="5" t="s">
        <v>17767</v>
      </c>
      <c r="B4179" s="5" t="s">
        <v>17768</v>
      </c>
      <c r="C4179" s="6" t="s">
        <v>17742</v>
      </c>
      <c r="D4179" s="6" t="s">
        <v>2114</v>
      </c>
      <c r="E4179" s="6" t="s">
        <v>1386</v>
      </c>
      <c r="F4179" s="6" t="s">
        <v>46</v>
      </c>
      <c r="G4179" s="6" t="s">
        <v>17769</v>
      </c>
      <c r="H4179" s="7">
        <v>63.97</v>
      </c>
      <c r="I4179" s="19" t="s">
        <v>1589</v>
      </c>
      <c r="J4179" s="19" t="s">
        <v>17743</v>
      </c>
      <c r="K4179" s="5" t="s">
        <v>17744</v>
      </c>
      <c r="L4179" s="5" t="s">
        <v>17745</v>
      </c>
      <c r="M4179" s="5" t="s">
        <v>17746</v>
      </c>
      <c r="N4179" s="5" t="s">
        <v>17747</v>
      </c>
      <c r="O4179" s="5" t="s">
        <v>17770</v>
      </c>
      <c r="P4179" s="5" t="s">
        <v>17771</v>
      </c>
      <c r="Q4179" s="5" t="s">
        <v>17772</v>
      </c>
      <c r="R4179" s="5" t="s">
        <v>17773</v>
      </c>
      <c r="W4179" s="5" t="s">
        <v>17752</v>
      </c>
      <c r="X4179" s="5" t="s">
        <v>17753</v>
      </c>
      <c r="Y4179" s="5" t="s">
        <v>17754</v>
      </c>
      <c r="Z4179" s="5" t="s">
        <v>17755</v>
      </c>
      <c r="AG4179" s="14" t="s">
        <v>55</v>
      </c>
      <c r="AH4179" s="14" t="s">
        <v>1603</v>
      </c>
      <c r="AI4179" s="14" t="s">
        <v>1604</v>
      </c>
    </row>
    <row r="4180" spans="1:37">
      <c r="A4180" s="5" t="s">
        <v>17774</v>
      </c>
      <c r="B4180" s="5" t="s">
        <v>17775</v>
      </c>
      <c r="C4180" s="6" t="s">
        <v>43</v>
      </c>
      <c r="D4180" s="6" t="s">
        <v>2114</v>
      </c>
      <c r="E4180" s="6" t="s">
        <v>1386</v>
      </c>
      <c r="F4180" s="6" t="s">
        <v>46</v>
      </c>
      <c r="G4180" s="6" t="s">
        <v>17776</v>
      </c>
      <c r="H4180" s="7">
        <v>68.75</v>
      </c>
      <c r="I4180" s="19" t="s">
        <v>1589</v>
      </c>
      <c r="J4180" s="19" t="s">
        <v>17743</v>
      </c>
      <c r="K4180" s="5" t="s">
        <v>17777</v>
      </c>
      <c r="L4180" s="5" t="s">
        <v>17778</v>
      </c>
      <c r="M4180" s="5" t="s">
        <v>17779</v>
      </c>
      <c r="N4180" s="5" t="s">
        <v>17780</v>
      </c>
      <c r="O4180" s="5" t="s">
        <v>17781</v>
      </c>
      <c r="P4180" s="5" t="s">
        <v>17782</v>
      </c>
      <c r="Q4180" s="5" t="s">
        <v>17783</v>
      </c>
      <c r="R4180" s="5" t="s">
        <v>17784</v>
      </c>
      <c r="W4180" s="5" t="s">
        <v>17752</v>
      </c>
      <c r="X4180" s="5" t="s">
        <v>17753</v>
      </c>
      <c r="Y4180" s="5" t="s">
        <v>17754</v>
      </c>
      <c r="Z4180" s="5" t="s">
        <v>17785</v>
      </c>
      <c r="AG4180" s="14" t="s">
        <v>55</v>
      </c>
      <c r="AH4180" s="14" t="s">
        <v>1603</v>
      </c>
      <c r="AI4180" s="14" t="s">
        <v>1604</v>
      </c>
    </row>
    <row r="4181" spans="1:37">
      <c r="A4181" s="6" t="s">
        <v>17786</v>
      </c>
      <c r="B4181" s="6" t="s">
        <v>17787</v>
      </c>
      <c r="C4181" s="6" t="s">
        <v>43</v>
      </c>
      <c r="D4181" s="6" t="s">
        <v>1390</v>
      </c>
      <c r="E4181" s="6" t="s">
        <v>1671</v>
      </c>
      <c r="F4181" s="6" t="s">
        <v>46</v>
      </c>
      <c r="G4181" s="6" t="s">
        <v>17788</v>
      </c>
      <c r="I4181" s="5" t="s">
        <v>48</v>
      </c>
      <c r="J4181" s="5" t="s">
        <v>48</v>
      </c>
      <c r="K4181" s="6"/>
      <c r="L4181" s="6"/>
      <c r="M4181" s="6"/>
      <c r="N4181" s="6"/>
      <c r="O4181" s="6"/>
      <c r="P4181" s="6"/>
      <c r="Q4181" s="6"/>
      <c r="R4181" s="6"/>
      <c r="S4181" s="6"/>
      <c r="T4181" s="6"/>
      <c r="U4181" s="6"/>
      <c r="V4181" s="6"/>
      <c r="W4181" s="6"/>
      <c r="X4181" s="6"/>
      <c r="Y4181" s="6"/>
      <c r="Z4181" s="6"/>
      <c r="AA4181" s="6"/>
      <c r="AB4181" s="6"/>
      <c r="AC4181" s="6"/>
      <c r="AD4181" s="6"/>
      <c r="AE4181" s="6"/>
      <c r="AF4181" s="6"/>
      <c r="AG4181" s="15" t="s">
        <v>55</v>
      </c>
      <c r="AH4181" s="15"/>
      <c r="AI4181" s="15"/>
      <c r="AJ4181" s="6"/>
      <c r="AK4181" s="6"/>
    </row>
    <row r="4182" spans="1:37" s="6" customFormat="1">
      <c r="A4182" s="5" t="s">
        <v>17789</v>
      </c>
      <c r="B4182" s="5" t="s">
        <v>17790</v>
      </c>
      <c r="C4182" s="6" t="s">
        <v>43</v>
      </c>
      <c r="D4182" s="6" t="s">
        <v>1390</v>
      </c>
      <c r="E4182" s="6" t="s">
        <v>1540</v>
      </c>
      <c r="F4182" s="6" t="s">
        <v>46</v>
      </c>
      <c r="G4182" s="6" t="s">
        <v>17791</v>
      </c>
      <c r="H4182" s="7">
        <v>78.099999999999994</v>
      </c>
      <c r="I4182" s="19" t="s">
        <v>1589</v>
      </c>
      <c r="J4182" s="19" t="s">
        <v>17743</v>
      </c>
      <c r="K4182" s="5" t="s">
        <v>17792</v>
      </c>
      <c r="L4182" s="5" t="s">
        <v>17793</v>
      </c>
      <c r="M4182" s="5" t="s">
        <v>17794</v>
      </c>
      <c r="N4182" s="5" t="s">
        <v>17795</v>
      </c>
      <c r="O4182" s="5" t="s">
        <v>17796</v>
      </c>
      <c r="P4182" s="5" t="s">
        <v>17797</v>
      </c>
      <c r="Q4182" s="5" t="s">
        <v>17798</v>
      </c>
      <c r="R4182" s="5" t="s">
        <v>17799</v>
      </c>
      <c r="S4182" s="5"/>
      <c r="T4182" s="5"/>
      <c r="U4182" s="5"/>
      <c r="V4182" s="5"/>
      <c r="W4182" s="5" t="s">
        <v>17800</v>
      </c>
      <c r="X4182" s="5" t="s">
        <v>17801</v>
      </c>
      <c r="Y4182" s="5" t="s">
        <v>17802</v>
      </c>
      <c r="Z4182" s="5" t="s">
        <v>17803</v>
      </c>
      <c r="AA4182" s="5"/>
      <c r="AB4182" s="5"/>
      <c r="AC4182" s="5"/>
      <c r="AD4182" s="5"/>
      <c r="AE4182" s="5"/>
      <c r="AF4182" s="5"/>
      <c r="AG4182" s="14" t="s">
        <v>55</v>
      </c>
      <c r="AH4182" s="14" t="s">
        <v>1603</v>
      </c>
      <c r="AI4182" s="14" t="s">
        <v>1604</v>
      </c>
      <c r="AJ4182" s="5"/>
      <c r="AK4182" s="5"/>
    </row>
    <row r="4183" spans="1:37">
      <c r="A4183" s="5" t="s">
        <v>17804</v>
      </c>
      <c r="B4183" s="5" t="s">
        <v>17790</v>
      </c>
      <c r="C4183" s="6" t="s">
        <v>43</v>
      </c>
      <c r="D4183" s="6" t="s">
        <v>1390</v>
      </c>
      <c r="E4183" s="6" t="s">
        <v>2065</v>
      </c>
      <c r="F4183" s="6" t="s">
        <v>46</v>
      </c>
      <c r="G4183" s="6" t="s">
        <v>17805</v>
      </c>
      <c r="H4183" s="7">
        <v>78.099999999999994</v>
      </c>
      <c r="I4183" s="19" t="s">
        <v>1589</v>
      </c>
      <c r="J4183" s="19" t="s">
        <v>17743</v>
      </c>
      <c r="K4183" s="5" t="s">
        <v>17792</v>
      </c>
      <c r="L4183" s="5" t="s">
        <v>17793</v>
      </c>
      <c r="M4183" s="5" t="s">
        <v>17794</v>
      </c>
      <c r="N4183" s="5" t="s">
        <v>17795</v>
      </c>
      <c r="O4183" s="5" t="s">
        <v>17796</v>
      </c>
      <c r="P4183" s="5" t="s">
        <v>17797</v>
      </c>
      <c r="Q4183" s="5" t="s">
        <v>17798</v>
      </c>
      <c r="R4183" s="5" t="s">
        <v>17799</v>
      </c>
      <c r="W4183" s="5" t="s">
        <v>17800</v>
      </c>
      <c r="X4183" s="5" t="s">
        <v>17801</v>
      </c>
      <c r="Y4183" s="5" t="s">
        <v>17802</v>
      </c>
      <c r="Z4183" s="5" t="s">
        <v>17803</v>
      </c>
      <c r="AG4183" s="14" t="s">
        <v>55</v>
      </c>
      <c r="AH4183" s="14" t="s">
        <v>1603</v>
      </c>
      <c r="AI4183" s="14" t="s">
        <v>1604</v>
      </c>
    </row>
    <row r="4184" spans="1:37">
      <c r="A4184" s="5" t="s">
        <v>17806</v>
      </c>
      <c r="B4184" s="5" t="s">
        <v>17807</v>
      </c>
      <c r="C4184" s="6" t="s">
        <v>43</v>
      </c>
      <c r="D4184" s="6" t="s">
        <v>1390</v>
      </c>
      <c r="E4184" s="6" t="s">
        <v>1540</v>
      </c>
      <c r="F4184" s="6" t="s">
        <v>46</v>
      </c>
      <c r="G4184" s="6" t="s">
        <v>17808</v>
      </c>
      <c r="H4184" s="7">
        <v>69.849999999999994</v>
      </c>
      <c r="I4184" s="19" t="s">
        <v>1589</v>
      </c>
      <c r="J4184" s="19" t="s">
        <v>17743</v>
      </c>
      <c r="K4184" s="5" t="s">
        <v>17809</v>
      </c>
      <c r="L4184" s="5" t="s">
        <v>17810</v>
      </c>
      <c r="M4184" s="5" t="s">
        <v>17811</v>
      </c>
      <c r="N4184" s="5" t="s">
        <v>17812</v>
      </c>
      <c r="O4184" s="5" t="s">
        <v>17813</v>
      </c>
      <c r="P4184" s="5" t="s">
        <v>17814</v>
      </c>
      <c r="Q4184" s="5" t="s">
        <v>17815</v>
      </c>
      <c r="R4184" s="5" t="s">
        <v>17816</v>
      </c>
      <c r="W4184" s="5" t="s">
        <v>17800</v>
      </c>
      <c r="X4184" s="5" t="s">
        <v>17801</v>
      </c>
      <c r="Y4184" s="5" t="s">
        <v>17802</v>
      </c>
      <c r="Z4184" s="5" t="s">
        <v>17803</v>
      </c>
      <c r="AG4184" s="14" t="s">
        <v>55</v>
      </c>
      <c r="AH4184" s="14" t="s">
        <v>1603</v>
      </c>
      <c r="AI4184" s="14" t="s">
        <v>1604</v>
      </c>
    </row>
    <row r="4185" spans="1:37">
      <c r="A4185" s="5" t="s">
        <v>17817</v>
      </c>
      <c r="B4185" s="5" t="s">
        <v>17807</v>
      </c>
      <c r="C4185" s="6" t="s">
        <v>1544</v>
      </c>
      <c r="D4185" s="6" t="s">
        <v>1390</v>
      </c>
      <c r="E4185" s="6" t="s">
        <v>2065</v>
      </c>
      <c r="F4185" s="6" t="s">
        <v>46</v>
      </c>
      <c r="G4185" s="6" t="s">
        <v>8021</v>
      </c>
      <c r="H4185" s="7">
        <v>69.849999999999994</v>
      </c>
      <c r="I4185" s="19" t="s">
        <v>1589</v>
      </c>
      <c r="J4185" s="19" t="s">
        <v>17743</v>
      </c>
      <c r="K4185" s="5" t="s">
        <v>17809</v>
      </c>
      <c r="L4185" s="5" t="s">
        <v>17810</v>
      </c>
      <c r="M4185" s="5" t="s">
        <v>17811</v>
      </c>
      <c r="N4185" s="5" t="s">
        <v>17812</v>
      </c>
      <c r="O4185" s="5" t="s">
        <v>17813</v>
      </c>
      <c r="P4185" s="5" t="s">
        <v>17814</v>
      </c>
      <c r="Q4185" s="5" t="s">
        <v>17815</v>
      </c>
      <c r="R4185" s="5" t="s">
        <v>17816</v>
      </c>
      <c r="W4185" s="5" t="s">
        <v>17800</v>
      </c>
      <c r="X4185" s="5" t="s">
        <v>17801</v>
      </c>
      <c r="Y4185" s="5" t="s">
        <v>17802</v>
      </c>
      <c r="Z4185" s="5" t="s">
        <v>17803</v>
      </c>
      <c r="AG4185" s="14" t="s">
        <v>55</v>
      </c>
      <c r="AH4185" s="14" t="s">
        <v>1603</v>
      </c>
      <c r="AI4185" s="14" t="s">
        <v>1604</v>
      </c>
    </row>
    <row r="4186" spans="1:37">
      <c r="A4186" s="6" t="s">
        <v>17818</v>
      </c>
      <c r="B4186" s="6" t="s">
        <v>17819</v>
      </c>
      <c r="C4186" s="6" t="s">
        <v>43</v>
      </c>
      <c r="D4186" s="6" t="s">
        <v>239</v>
      </c>
      <c r="E4186" s="6" t="s">
        <v>1671</v>
      </c>
      <c r="F4186" s="6" t="s">
        <v>46</v>
      </c>
      <c r="G4186" s="6" t="s">
        <v>17820</v>
      </c>
      <c r="I4186" s="5" t="s">
        <v>48</v>
      </c>
      <c r="J4186" s="5" t="s">
        <v>48</v>
      </c>
      <c r="K4186" s="6"/>
      <c r="L4186" s="6"/>
      <c r="M4186" s="6"/>
      <c r="N4186" s="6"/>
      <c r="O4186" s="6"/>
      <c r="P4186" s="6"/>
      <c r="Q4186" s="6"/>
      <c r="R4186" s="6"/>
      <c r="S4186" s="6"/>
      <c r="T4186" s="6"/>
      <c r="U4186" s="6"/>
      <c r="V4186" s="6"/>
      <c r="W4186" s="6"/>
      <c r="X4186" s="6"/>
      <c r="Y4186" s="6"/>
      <c r="Z4186" s="6"/>
      <c r="AA4186" s="6"/>
      <c r="AB4186" s="6"/>
      <c r="AC4186" s="6"/>
      <c r="AD4186" s="6"/>
      <c r="AE4186" s="6"/>
      <c r="AF4186" s="6"/>
      <c r="AG4186" s="15" t="s">
        <v>55</v>
      </c>
      <c r="AH4186" s="15"/>
      <c r="AI4186" s="15"/>
      <c r="AJ4186" s="6"/>
      <c r="AK4186" s="6"/>
    </row>
    <row r="4187" spans="1:37" s="6" customFormat="1">
      <c r="A4187" s="6" t="s">
        <v>17821</v>
      </c>
      <c r="B4187" s="6" t="s">
        <v>17822</v>
      </c>
      <c r="C4187" s="6" t="s">
        <v>17823</v>
      </c>
      <c r="D4187" s="6" t="s">
        <v>1390</v>
      </c>
      <c r="E4187" s="6" t="s">
        <v>12889</v>
      </c>
      <c r="F4187" s="6" t="s">
        <v>46</v>
      </c>
      <c r="G4187" s="6" t="s">
        <v>17824</v>
      </c>
      <c r="H4187" s="7"/>
      <c r="I4187" s="5" t="s">
        <v>48</v>
      </c>
      <c r="J4187" s="5" t="s">
        <v>48</v>
      </c>
      <c r="AG4187" s="15" t="s">
        <v>55</v>
      </c>
      <c r="AH4187" s="15"/>
      <c r="AI4187" s="15"/>
    </row>
    <row r="4188" spans="1:37" s="6" customFormat="1">
      <c r="A4188" s="5" t="s">
        <v>17825</v>
      </c>
      <c r="B4188" s="5" t="s">
        <v>17826</v>
      </c>
      <c r="C4188" s="6" t="s">
        <v>17742</v>
      </c>
      <c r="D4188" s="6" t="s">
        <v>2114</v>
      </c>
      <c r="E4188" s="6" t="s">
        <v>1386</v>
      </c>
      <c r="F4188" s="6" t="s">
        <v>46</v>
      </c>
      <c r="G4188" s="6" t="s">
        <v>17827</v>
      </c>
      <c r="H4188" s="7">
        <v>55.24</v>
      </c>
      <c r="I4188" s="19" t="s">
        <v>1589</v>
      </c>
      <c r="J4188" s="19" t="s">
        <v>17743</v>
      </c>
      <c r="K4188" s="5" t="s">
        <v>17759</v>
      </c>
      <c r="L4188" s="5" t="s">
        <v>17760</v>
      </c>
      <c r="M4188" s="5" t="s">
        <v>17761</v>
      </c>
      <c r="N4188" s="5" t="s">
        <v>17762</v>
      </c>
      <c r="O4188" s="5" t="s">
        <v>17828</v>
      </c>
      <c r="P4188" s="5" t="s">
        <v>17829</v>
      </c>
      <c r="Q4188" s="5" t="s">
        <v>17830</v>
      </c>
      <c r="R4188" s="5" t="s">
        <v>17831</v>
      </c>
      <c r="S4188" s="5"/>
      <c r="T4188" s="5"/>
      <c r="U4188" s="5"/>
      <c r="V4188" s="5"/>
      <c r="W4188" s="5" t="s">
        <v>17752</v>
      </c>
      <c r="X4188" s="5" t="s">
        <v>17753</v>
      </c>
      <c r="Y4188" s="5" t="s">
        <v>17754</v>
      </c>
      <c r="Z4188" s="5" t="s">
        <v>17755</v>
      </c>
      <c r="AA4188" s="5"/>
      <c r="AB4188" s="5"/>
      <c r="AC4188" s="5"/>
      <c r="AD4188" s="5"/>
      <c r="AE4188" s="5"/>
      <c r="AF4188" s="5"/>
      <c r="AG4188" s="14" t="s">
        <v>55</v>
      </c>
      <c r="AH4188" s="14" t="s">
        <v>1603</v>
      </c>
      <c r="AI4188" s="14" t="s">
        <v>1604</v>
      </c>
      <c r="AJ4188" s="5"/>
      <c r="AK4188" s="5"/>
    </row>
    <row r="4189" spans="1:37">
      <c r="A4189" s="5" t="s">
        <v>17832</v>
      </c>
      <c r="B4189" s="5" t="s">
        <v>17833</v>
      </c>
      <c r="C4189" s="6" t="s">
        <v>17742</v>
      </c>
      <c r="D4189" s="6" t="s">
        <v>2114</v>
      </c>
      <c r="E4189" s="6" t="s">
        <v>1386</v>
      </c>
      <c r="F4189" s="6" t="s">
        <v>46</v>
      </c>
      <c r="G4189" s="6" t="s">
        <v>17834</v>
      </c>
      <c r="H4189" s="7">
        <v>76.760000000000005</v>
      </c>
      <c r="I4189" s="19" t="s">
        <v>1589</v>
      </c>
      <c r="J4189" s="19" t="s">
        <v>17743</v>
      </c>
      <c r="K4189" s="5" t="s">
        <v>17744</v>
      </c>
      <c r="L4189" s="5" t="s">
        <v>17745</v>
      </c>
      <c r="M4189" s="5" t="s">
        <v>17746</v>
      </c>
      <c r="N4189" s="5" t="s">
        <v>17747</v>
      </c>
      <c r="O4189" s="5" t="s">
        <v>17835</v>
      </c>
      <c r="P4189" s="5" t="s">
        <v>17836</v>
      </c>
      <c r="Q4189" s="5" t="s">
        <v>17837</v>
      </c>
      <c r="R4189" s="5" t="s">
        <v>17838</v>
      </c>
      <c r="W4189" s="5" t="s">
        <v>17752</v>
      </c>
      <c r="X4189" s="5" t="s">
        <v>17753</v>
      </c>
      <c r="Y4189" s="5" t="s">
        <v>17754</v>
      </c>
      <c r="Z4189" s="5" t="s">
        <v>17755</v>
      </c>
      <c r="AG4189" s="14" t="s">
        <v>55</v>
      </c>
      <c r="AH4189" s="14" t="s">
        <v>1603</v>
      </c>
      <c r="AI4189" s="14" t="s">
        <v>1604</v>
      </c>
    </row>
    <row r="4190" spans="1:37">
      <c r="A4190" s="5" t="s">
        <v>17839</v>
      </c>
      <c r="B4190" s="5" t="s">
        <v>17840</v>
      </c>
      <c r="C4190" s="6" t="s">
        <v>17742</v>
      </c>
      <c r="D4190" s="6" t="s">
        <v>2114</v>
      </c>
      <c r="E4190" s="6" t="s">
        <v>1386</v>
      </c>
      <c r="F4190" s="6" t="s">
        <v>46</v>
      </c>
      <c r="G4190" s="6" t="s">
        <v>15931</v>
      </c>
      <c r="H4190" s="7">
        <v>60.13</v>
      </c>
      <c r="I4190" s="19" t="s">
        <v>1589</v>
      </c>
      <c r="J4190" s="19" t="s">
        <v>17743</v>
      </c>
      <c r="K4190" s="5" t="s">
        <v>17841</v>
      </c>
      <c r="L4190" s="5" t="s">
        <v>17842</v>
      </c>
      <c r="M4190" s="5" t="s">
        <v>17843</v>
      </c>
      <c r="N4190" s="5" t="s">
        <v>17844</v>
      </c>
      <c r="O4190" s="5" t="s">
        <v>17845</v>
      </c>
      <c r="P4190" s="5" t="s">
        <v>17846</v>
      </c>
      <c r="Q4190" s="5" t="s">
        <v>17847</v>
      </c>
      <c r="R4190" s="5" t="s">
        <v>17848</v>
      </c>
      <c r="W4190" s="5" t="s">
        <v>17752</v>
      </c>
      <c r="X4190" s="5" t="s">
        <v>17753</v>
      </c>
      <c r="Y4190" s="5" t="s">
        <v>17754</v>
      </c>
      <c r="Z4190" s="5" t="s">
        <v>17785</v>
      </c>
      <c r="AG4190" s="14" t="s">
        <v>55</v>
      </c>
      <c r="AH4190" s="14" t="s">
        <v>1603</v>
      </c>
      <c r="AI4190" s="14" t="s">
        <v>1604</v>
      </c>
    </row>
    <row r="4191" spans="1:37">
      <c r="A4191" s="5" t="s">
        <v>17849</v>
      </c>
      <c r="B4191" s="5" t="s">
        <v>17850</v>
      </c>
      <c r="C4191" s="6" t="s">
        <v>43</v>
      </c>
      <c r="D4191" s="6" t="s">
        <v>2114</v>
      </c>
      <c r="E4191" s="6" t="s">
        <v>1386</v>
      </c>
      <c r="F4191" s="6" t="s">
        <v>46</v>
      </c>
      <c r="G4191" s="6" t="s">
        <v>17851</v>
      </c>
      <c r="H4191" s="7">
        <v>82.5</v>
      </c>
      <c r="I4191" s="19" t="s">
        <v>1589</v>
      </c>
      <c r="J4191" s="19" t="s">
        <v>17743</v>
      </c>
      <c r="K4191" s="5" t="s">
        <v>17777</v>
      </c>
      <c r="L4191" s="5" t="s">
        <v>17778</v>
      </c>
      <c r="M4191" s="5" t="s">
        <v>17779</v>
      </c>
      <c r="N4191" s="5" t="s">
        <v>17780</v>
      </c>
      <c r="O4191" s="5" t="s">
        <v>17852</v>
      </c>
      <c r="P4191" s="5" t="s">
        <v>17853</v>
      </c>
      <c r="Q4191" s="5" t="s">
        <v>17854</v>
      </c>
      <c r="R4191" s="5" t="s">
        <v>17855</v>
      </c>
      <c r="W4191" s="5" t="s">
        <v>17752</v>
      </c>
      <c r="X4191" s="5" t="s">
        <v>17753</v>
      </c>
      <c r="Y4191" s="5" t="s">
        <v>17754</v>
      </c>
      <c r="Z4191" s="5" t="s">
        <v>17785</v>
      </c>
      <c r="AG4191" s="14" t="s">
        <v>55</v>
      </c>
      <c r="AH4191" s="14" t="s">
        <v>1603</v>
      </c>
      <c r="AI4191" s="14" t="s">
        <v>1604</v>
      </c>
    </row>
    <row r="4192" spans="1:37">
      <c r="A4192" s="6" t="s">
        <v>17856</v>
      </c>
      <c r="B4192" s="6" t="s">
        <v>17857</v>
      </c>
      <c r="C4192" s="6" t="s">
        <v>17823</v>
      </c>
      <c r="D4192" s="6" t="s">
        <v>1390</v>
      </c>
      <c r="E4192" s="6" t="s">
        <v>1671</v>
      </c>
      <c r="F4192" s="6" t="s">
        <v>46</v>
      </c>
      <c r="G4192" s="6" t="s">
        <v>17858</v>
      </c>
      <c r="I4192" s="5" t="s">
        <v>48</v>
      </c>
      <c r="J4192" s="5" t="s">
        <v>48</v>
      </c>
      <c r="K4192" s="6"/>
      <c r="L4192" s="6"/>
      <c r="M4192" s="6"/>
      <c r="N4192" s="6"/>
      <c r="O4192" s="6"/>
      <c r="P4192" s="6"/>
      <c r="Q4192" s="6"/>
      <c r="R4192" s="6"/>
      <c r="S4192" s="6"/>
      <c r="T4192" s="6"/>
      <c r="U4192" s="6"/>
      <c r="V4192" s="6"/>
      <c r="W4192" s="6"/>
      <c r="X4192" s="6"/>
      <c r="Y4192" s="6"/>
      <c r="Z4192" s="6"/>
      <c r="AA4192" s="6"/>
      <c r="AB4192" s="6"/>
      <c r="AC4192" s="6"/>
      <c r="AD4192" s="6"/>
      <c r="AE4192" s="6"/>
      <c r="AF4192" s="6"/>
      <c r="AG4192" s="15" t="s">
        <v>55</v>
      </c>
      <c r="AH4192" s="15"/>
      <c r="AI4192" s="15"/>
      <c r="AJ4192" s="6"/>
      <c r="AK4192" s="6"/>
    </row>
    <row r="4193" spans="1:37" s="6" customFormat="1">
      <c r="A4193" s="5" t="s">
        <v>17859</v>
      </c>
      <c r="B4193" s="5" t="s">
        <v>17860</v>
      </c>
      <c r="C4193" s="6" t="s">
        <v>43</v>
      </c>
      <c r="D4193" s="6" t="s">
        <v>1390</v>
      </c>
      <c r="E4193" s="6" t="s">
        <v>1540</v>
      </c>
      <c r="F4193" s="6" t="s">
        <v>46</v>
      </c>
      <c r="G4193" s="6" t="s">
        <v>17861</v>
      </c>
      <c r="H4193" s="7">
        <v>93.72</v>
      </c>
      <c r="I4193" s="19" t="s">
        <v>1589</v>
      </c>
      <c r="J4193" s="19" t="s">
        <v>17743</v>
      </c>
      <c r="K4193" s="5" t="s">
        <v>17792</v>
      </c>
      <c r="L4193" s="5" t="s">
        <v>17793</v>
      </c>
      <c r="M4193" s="5" t="s">
        <v>17794</v>
      </c>
      <c r="N4193" s="5" t="s">
        <v>17795</v>
      </c>
      <c r="O4193" s="5" t="s">
        <v>17862</v>
      </c>
      <c r="P4193" s="5" t="s">
        <v>17863</v>
      </c>
      <c r="Q4193" s="5" t="s">
        <v>17864</v>
      </c>
      <c r="R4193" s="5" t="s">
        <v>17865</v>
      </c>
      <c r="S4193" s="5"/>
      <c r="T4193" s="5"/>
      <c r="U4193" s="5"/>
      <c r="V4193" s="5"/>
      <c r="W4193" s="5" t="s">
        <v>17800</v>
      </c>
      <c r="X4193" s="5" t="s">
        <v>17801</v>
      </c>
      <c r="Y4193" s="5" t="s">
        <v>17802</v>
      </c>
      <c r="Z4193" s="5" t="s">
        <v>17803</v>
      </c>
      <c r="AA4193" s="5"/>
      <c r="AB4193" s="5"/>
      <c r="AC4193" s="5"/>
      <c r="AD4193" s="5"/>
      <c r="AE4193" s="5"/>
      <c r="AF4193" s="5"/>
      <c r="AG4193" s="14" t="s">
        <v>55</v>
      </c>
      <c r="AH4193" s="14" t="s">
        <v>1603</v>
      </c>
      <c r="AI4193" s="14" t="s">
        <v>1604</v>
      </c>
      <c r="AJ4193" s="5"/>
      <c r="AK4193" s="5"/>
    </row>
    <row r="4194" spans="1:37">
      <c r="A4194" s="5" t="s">
        <v>17866</v>
      </c>
      <c r="B4194" s="5" t="s">
        <v>17860</v>
      </c>
      <c r="C4194" s="6" t="s">
        <v>43</v>
      </c>
      <c r="D4194" s="6" t="s">
        <v>1390</v>
      </c>
      <c r="E4194" s="6" t="s">
        <v>2065</v>
      </c>
      <c r="F4194" s="6" t="s">
        <v>46</v>
      </c>
      <c r="G4194" s="6" t="s">
        <v>17867</v>
      </c>
      <c r="H4194" s="7">
        <v>93.72</v>
      </c>
      <c r="I4194" s="19" t="s">
        <v>1589</v>
      </c>
      <c r="J4194" s="19" t="s">
        <v>17743</v>
      </c>
      <c r="K4194" s="5" t="s">
        <v>17792</v>
      </c>
      <c r="L4194" s="5" t="s">
        <v>17793</v>
      </c>
      <c r="M4194" s="5" t="s">
        <v>17794</v>
      </c>
      <c r="N4194" s="5" t="s">
        <v>17795</v>
      </c>
      <c r="O4194" s="5" t="s">
        <v>17862</v>
      </c>
      <c r="P4194" s="5" t="s">
        <v>17863</v>
      </c>
      <c r="Q4194" s="5" t="s">
        <v>17864</v>
      </c>
      <c r="R4194" s="5" t="s">
        <v>17865</v>
      </c>
      <c r="W4194" s="5" t="s">
        <v>17800</v>
      </c>
      <c r="X4194" s="5" t="s">
        <v>17801</v>
      </c>
      <c r="Y4194" s="5" t="s">
        <v>17802</v>
      </c>
      <c r="Z4194" s="5" t="s">
        <v>17803</v>
      </c>
      <c r="AG4194" s="14" t="s">
        <v>55</v>
      </c>
      <c r="AH4194" s="14" t="s">
        <v>1603</v>
      </c>
      <c r="AI4194" s="14" t="s">
        <v>1604</v>
      </c>
    </row>
    <row r="4195" spans="1:37">
      <c r="A4195" s="5" t="s">
        <v>17868</v>
      </c>
      <c r="B4195" s="5" t="s">
        <v>17869</v>
      </c>
      <c r="C4195" s="6" t="s">
        <v>43</v>
      </c>
      <c r="D4195" s="6" t="s">
        <v>1390</v>
      </c>
      <c r="E4195" s="6" t="s">
        <v>1540</v>
      </c>
      <c r="F4195" s="6" t="s">
        <v>46</v>
      </c>
      <c r="G4195" s="6" t="s">
        <v>17870</v>
      </c>
      <c r="H4195" s="7">
        <v>83.82</v>
      </c>
      <c r="I4195" s="19" t="s">
        <v>1589</v>
      </c>
      <c r="J4195" s="19" t="s">
        <v>17743</v>
      </c>
      <c r="K4195" s="5" t="s">
        <v>17809</v>
      </c>
      <c r="L4195" s="5" t="s">
        <v>17810</v>
      </c>
      <c r="M4195" s="5" t="s">
        <v>17811</v>
      </c>
      <c r="N4195" s="5" t="s">
        <v>17812</v>
      </c>
      <c r="O4195" s="5" t="s">
        <v>17871</v>
      </c>
      <c r="P4195" s="5" t="s">
        <v>17872</v>
      </c>
      <c r="Q4195" s="5" t="s">
        <v>17873</v>
      </c>
      <c r="R4195" s="5" t="s">
        <v>17874</v>
      </c>
      <c r="W4195" s="5" t="s">
        <v>17800</v>
      </c>
      <c r="X4195" s="5" t="s">
        <v>17801</v>
      </c>
      <c r="Y4195" s="5" t="s">
        <v>17802</v>
      </c>
      <c r="Z4195" s="5" t="s">
        <v>17803</v>
      </c>
      <c r="AG4195" s="14" t="s">
        <v>55</v>
      </c>
      <c r="AH4195" s="14" t="s">
        <v>1603</v>
      </c>
      <c r="AI4195" s="14" t="s">
        <v>1604</v>
      </c>
    </row>
    <row r="4196" spans="1:37">
      <c r="A4196" s="5" t="s">
        <v>17875</v>
      </c>
      <c r="B4196" s="5" t="s">
        <v>17869</v>
      </c>
      <c r="C4196" s="6" t="s">
        <v>17742</v>
      </c>
      <c r="D4196" s="6" t="s">
        <v>1390</v>
      </c>
      <c r="E4196" s="6" t="s">
        <v>2065</v>
      </c>
      <c r="F4196" s="6" t="s">
        <v>46</v>
      </c>
      <c r="G4196" s="6" t="s">
        <v>17876</v>
      </c>
      <c r="H4196" s="7">
        <v>83.82</v>
      </c>
      <c r="I4196" s="19" t="s">
        <v>1589</v>
      </c>
      <c r="J4196" s="19" t="s">
        <v>17743</v>
      </c>
      <c r="K4196" s="5" t="s">
        <v>17809</v>
      </c>
      <c r="L4196" s="5" t="s">
        <v>17810</v>
      </c>
      <c r="M4196" s="5" t="s">
        <v>17811</v>
      </c>
      <c r="N4196" s="5" t="s">
        <v>17812</v>
      </c>
      <c r="O4196" s="5" t="s">
        <v>17871</v>
      </c>
      <c r="P4196" s="5" t="s">
        <v>17872</v>
      </c>
      <c r="Q4196" s="5" t="s">
        <v>17873</v>
      </c>
      <c r="R4196" s="5" t="s">
        <v>17874</v>
      </c>
      <c r="W4196" s="5" t="s">
        <v>17800</v>
      </c>
      <c r="X4196" s="5" t="s">
        <v>17801</v>
      </c>
      <c r="Y4196" s="5" t="s">
        <v>17802</v>
      </c>
      <c r="Z4196" s="5" t="s">
        <v>17803</v>
      </c>
      <c r="AG4196" s="14" t="s">
        <v>55</v>
      </c>
      <c r="AH4196" s="14" t="s">
        <v>1603</v>
      </c>
      <c r="AI4196" s="14" t="s">
        <v>1604</v>
      </c>
    </row>
    <row r="4197" spans="1:37">
      <c r="A4197" s="6" t="s">
        <v>17877</v>
      </c>
      <c r="B4197" s="6" t="s">
        <v>17878</v>
      </c>
      <c r="C4197" s="6" t="s">
        <v>43</v>
      </c>
      <c r="D4197" s="6" t="s">
        <v>1390</v>
      </c>
      <c r="E4197" s="6" t="s">
        <v>2065</v>
      </c>
      <c r="F4197" s="6" t="s">
        <v>46</v>
      </c>
      <c r="G4197" s="6" t="s">
        <v>17879</v>
      </c>
      <c r="I4197" s="5" t="s">
        <v>48</v>
      </c>
      <c r="J4197" s="5" t="s">
        <v>48</v>
      </c>
      <c r="K4197" s="6"/>
      <c r="L4197" s="6"/>
      <c r="M4197" s="6"/>
      <c r="N4197" s="6"/>
      <c r="O4197" s="6"/>
      <c r="P4197" s="6"/>
      <c r="Q4197" s="6"/>
      <c r="R4197" s="6"/>
      <c r="S4197" s="6"/>
      <c r="T4197" s="6"/>
      <c r="U4197" s="6"/>
      <c r="V4197" s="6"/>
      <c r="W4197" s="6"/>
      <c r="X4197" s="6"/>
      <c r="Y4197" s="6"/>
      <c r="Z4197" s="6"/>
      <c r="AA4197" s="6"/>
      <c r="AB4197" s="6"/>
      <c r="AC4197" s="6"/>
      <c r="AD4197" s="6"/>
      <c r="AE4197" s="6"/>
      <c r="AF4197" s="6"/>
      <c r="AG4197" s="15" t="s">
        <v>55</v>
      </c>
      <c r="AH4197" s="15"/>
      <c r="AI4197" s="15"/>
      <c r="AJ4197" s="6"/>
      <c r="AK4197" s="6"/>
    </row>
    <row r="4198" spans="1:37" s="6" customFormat="1">
      <c r="A4198" s="6" t="s">
        <v>17880</v>
      </c>
      <c r="B4198" s="6" t="s">
        <v>17881</v>
      </c>
      <c r="C4198" s="6" t="s">
        <v>43</v>
      </c>
      <c r="D4198" s="6" t="s">
        <v>2114</v>
      </c>
      <c r="E4198" s="6" t="s">
        <v>1386</v>
      </c>
      <c r="F4198" s="6" t="s">
        <v>46</v>
      </c>
      <c r="G4198" s="6" t="s">
        <v>17882</v>
      </c>
      <c r="H4198" s="7"/>
      <c r="I4198" s="16" t="s">
        <v>48</v>
      </c>
      <c r="J4198" s="16" t="s">
        <v>48</v>
      </c>
      <c r="AG4198" s="15" t="s">
        <v>55</v>
      </c>
      <c r="AH4198" s="15"/>
      <c r="AI4198" s="15"/>
    </row>
    <row r="4199" spans="1:37" s="6" customFormat="1">
      <c r="A4199" s="6" t="s">
        <v>17883</v>
      </c>
      <c r="B4199" s="6" t="s">
        <v>17884</v>
      </c>
      <c r="C4199" s="6" t="s">
        <v>17742</v>
      </c>
      <c r="D4199" s="6" t="s">
        <v>2114</v>
      </c>
      <c r="E4199" s="6" t="s">
        <v>1386</v>
      </c>
      <c r="F4199" s="6" t="s">
        <v>46</v>
      </c>
      <c r="G4199" s="6" t="s">
        <v>17885</v>
      </c>
      <c r="H4199" s="7"/>
      <c r="I4199" s="16" t="s">
        <v>48</v>
      </c>
      <c r="J4199" s="16" t="s">
        <v>48</v>
      </c>
      <c r="AG4199" s="15" t="s">
        <v>55</v>
      </c>
      <c r="AH4199" s="15"/>
      <c r="AI4199" s="15"/>
    </row>
    <row r="4200" spans="1:37" s="6" customFormat="1">
      <c r="A4200" s="6" t="s">
        <v>17886</v>
      </c>
      <c r="B4200" s="6" t="s">
        <v>17887</v>
      </c>
      <c r="C4200" s="6" t="s">
        <v>17742</v>
      </c>
      <c r="D4200" s="6" t="s">
        <v>2114</v>
      </c>
      <c r="E4200" s="6" t="s">
        <v>1386</v>
      </c>
      <c r="F4200" s="6" t="s">
        <v>46</v>
      </c>
      <c r="G4200" s="6" t="s">
        <v>4569</v>
      </c>
      <c r="H4200" s="7"/>
      <c r="I4200" s="16" t="s">
        <v>48</v>
      </c>
      <c r="J4200" s="16" t="s">
        <v>48</v>
      </c>
      <c r="AG4200" s="15" t="s">
        <v>55</v>
      </c>
      <c r="AH4200" s="15"/>
      <c r="AI4200" s="15"/>
    </row>
    <row r="4201" spans="1:37" s="6" customFormat="1">
      <c r="A4201" s="5" t="s">
        <v>17888</v>
      </c>
      <c r="B4201" s="5" t="s">
        <v>17889</v>
      </c>
      <c r="C4201" s="6" t="s">
        <v>43</v>
      </c>
      <c r="D4201" s="6" t="s">
        <v>2114</v>
      </c>
      <c r="E4201" s="6" t="s">
        <v>1386</v>
      </c>
      <c r="F4201" s="6" t="s">
        <v>46</v>
      </c>
      <c r="G4201" s="6" t="s">
        <v>2379</v>
      </c>
      <c r="H4201" s="7">
        <v>96.25</v>
      </c>
      <c r="I4201" s="19" t="s">
        <v>1589</v>
      </c>
      <c r="J4201" s="19" t="s">
        <v>17743</v>
      </c>
      <c r="K4201" s="5" t="s">
        <v>17777</v>
      </c>
      <c r="L4201" s="5" t="s">
        <v>17778</v>
      </c>
      <c r="M4201" s="5" t="s">
        <v>17779</v>
      </c>
      <c r="N4201" s="5" t="s">
        <v>17780</v>
      </c>
      <c r="O4201" s="5" t="s">
        <v>17890</v>
      </c>
      <c r="P4201" s="5" t="s">
        <v>17891</v>
      </c>
      <c r="Q4201" s="5" t="s">
        <v>17892</v>
      </c>
      <c r="R4201" s="5" t="s">
        <v>17893</v>
      </c>
      <c r="S4201" s="5"/>
      <c r="T4201" s="5"/>
      <c r="U4201" s="5"/>
      <c r="V4201" s="5"/>
      <c r="W4201" s="5" t="s">
        <v>17752</v>
      </c>
      <c r="X4201" s="5" t="s">
        <v>17753</v>
      </c>
      <c r="Y4201" s="5" t="s">
        <v>17754</v>
      </c>
      <c r="Z4201" s="5" t="s">
        <v>17894</v>
      </c>
      <c r="AA4201" s="5"/>
      <c r="AB4201" s="5"/>
      <c r="AC4201" s="5"/>
      <c r="AD4201" s="5"/>
      <c r="AE4201" s="5"/>
      <c r="AF4201" s="5"/>
      <c r="AG4201" s="14" t="s">
        <v>55</v>
      </c>
      <c r="AH4201" s="14" t="s">
        <v>1603</v>
      </c>
      <c r="AI4201" s="14" t="s">
        <v>1604</v>
      </c>
      <c r="AJ4201" s="5"/>
      <c r="AK4201" s="5"/>
    </row>
    <row r="4202" spans="1:37">
      <c r="A4202" s="5" t="s">
        <v>17895</v>
      </c>
      <c r="B4202" s="5" t="s">
        <v>17896</v>
      </c>
      <c r="C4202" s="6" t="s">
        <v>43</v>
      </c>
      <c r="D4202" s="6" t="s">
        <v>1390</v>
      </c>
      <c r="E4202" s="6" t="s">
        <v>2065</v>
      </c>
      <c r="F4202" s="6" t="s">
        <v>46</v>
      </c>
      <c r="G4202" s="6" t="s">
        <v>17897</v>
      </c>
      <c r="H4202" s="7">
        <v>97.79</v>
      </c>
      <c r="I4202" s="19" t="s">
        <v>1589</v>
      </c>
      <c r="J4202" s="19" t="s">
        <v>17743</v>
      </c>
      <c r="K4202" s="5" t="s">
        <v>17809</v>
      </c>
      <c r="L4202" s="5" t="s">
        <v>17810</v>
      </c>
      <c r="M4202" s="5" t="s">
        <v>17811</v>
      </c>
      <c r="N4202" s="5" t="s">
        <v>17812</v>
      </c>
      <c r="O4202" s="5" t="s">
        <v>17898</v>
      </c>
      <c r="P4202" s="5" t="s">
        <v>17899</v>
      </c>
      <c r="Q4202" s="5" t="s">
        <v>17900</v>
      </c>
      <c r="R4202" s="5" t="s">
        <v>17901</v>
      </c>
      <c r="W4202" s="5" t="s">
        <v>17800</v>
      </c>
      <c r="X4202" s="5" t="s">
        <v>17801</v>
      </c>
      <c r="Y4202" s="5" t="s">
        <v>17802</v>
      </c>
      <c r="Z4202" s="5" t="s">
        <v>17803</v>
      </c>
      <c r="AG4202" s="14" t="s">
        <v>55</v>
      </c>
      <c r="AH4202" s="14" t="s">
        <v>1603</v>
      </c>
      <c r="AI4202" s="14" t="s">
        <v>1604</v>
      </c>
    </row>
    <row r="4203" spans="1:37">
      <c r="A4203" s="5" t="s">
        <v>17902</v>
      </c>
      <c r="B4203" s="5" t="s">
        <v>17903</v>
      </c>
      <c r="C4203" s="6" t="s">
        <v>43</v>
      </c>
      <c r="D4203" s="6" t="s">
        <v>1390</v>
      </c>
      <c r="E4203" s="6" t="s">
        <v>1540</v>
      </c>
      <c r="F4203" s="6" t="s">
        <v>46</v>
      </c>
      <c r="G4203" s="6" t="s">
        <v>17904</v>
      </c>
      <c r="H4203" s="7">
        <v>113.25</v>
      </c>
      <c r="I4203" s="19" t="s">
        <v>1589</v>
      </c>
      <c r="J4203" s="19" t="s">
        <v>17743</v>
      </c>
      <c r="K4203" s="5" t="s">
        <v>17792</v>
      </c>
      <c r="L4203" s="5" t="s">
        <v>17793</v>
      </c>
      <c r="M4203" s="5" t="s">
        <v>17794</v>
      </c>
      <c r="N4203" s="5" t="s">
        <v>17795</v>
      </c>
      <c r="O4203" s="5" t="s">
        <v>17905</v>
      </c>
      <c r="P4203" s="5" t="s">
        <v>17906</v>
      </c>
      <c r="Q4203" s="5" t="s">
        <v>17907</v>
      </c>
      <c r="R4203" s="5" t="s">
        <v>17908</v>
      </c>
      <c r="W4203" s="5" t="s">
        <v>17800</v>
      </c>
      <c r="X4203" s="5" t="s">
        <v>17801</v>
      </c>
      <c r="Y4203" s="5" t="s">
        <v>17802</v>
      </c>
      <c r="Z4203" s="5" t="s">
        <v>17803</v>
      </c>
      <c r="AG4203" s="14" t="s">
        <v>55</v>
      </c>
      <c r="AH4203" s="14" t="s">
        <v>1603</v>
      </c>
      <c r="AI4203" s="14" t="s">
        <v>1604</v>
      </c>
    </row>
    <row r="4204" spans="1:37">
      <c r="A4204" s="5" t="s">
        <v>17909</v>
      </c>
      <c r="B4204" s="5" t="s">
        <v>17903</v>
      </c>
      <c r="C4204" s="6" t="s">
        <v>43</v>
      </c>
      <c r="D4204" s="6" t="s">
        <v>1390</v>
      </c>
      <c r="E4204" s="6" t="s">
        <v>2065</v>
      </c>
      <c r="F4204" s="6" t="s">
        <v>46</v>
      </c>
      <c r="G4204" s="6" t="s">
        <v>17910</v>
      </c>
      <c r="H4204" s="7">
        <v>113.25</v>
      </c>
      <c r="I4204" s="19" t="s">
        <v>1589</v>
      </c>
      <c r="J4204" s="19" t="s">
        <v>17743</v>
      </c>
      <c r="K4204" s="5" t="s">
        <v>17792</v>
      </c>
      <c r="L4204" s="5" t="s">
        <v>17793</v>
      </c>
      <c r="M4204" s="5" t="s">
        <v>17794</v>
      </c>
      <c r="N4204" s="5" t="s">
        <v>17795</v>
      </c>
      <c r="O4204" s="5" t="s">
        <v>17905</v>
      </c>
      <c r="P4204" s="5" t="s">
        <v>17906</v>
      </c>
      <c r="Q4204" s="5" t="s">
        <v>17907</v>
      </c>
      <c r="R4204" s="5" t="s">
        <v>17908</v>
      </c>
      <c r="W4204" s="5" t="s">
        <v>17800</v>
      </c>
      <c r="X4204" s="5" t="s">
        <v>17801</v>
      </c>
      <c r="Y4204" s="5" t="s">
        <v>17802</v>
      </c>
      <c r="Z4204" s="5" t="s">
        <v>17803</v>
      </c>
      <c r="AG4204" s="14" t="s">
        <v>55</v>
      </c>
      <c r="AH4204" s="14" t="s">
        <v>1603</v>
      </c>
      <c r="AI4204" s="14" t="s">
        <v>1604</v>
      </c>
    </row>
    <row r="4205" spans="1:37">
      <c r="A4205" s="5" t="s">
        <v>17911</v>
      </c>
      <c r="B4205" s="5" t="s">
        <v>17912</v>
      </c>
      <c r="C4205" s="6" t="s">
        <v>43</v>
      </c>
      <c r="D4205" s="6" t="s">
        <v>1390</v>
      </c>
      <c r="E4205" s="6" t="s">
        <v>1540</v>
      </c>
      <c r="F4205" s="6" t="s">
        <v>46</v>
      </c>
      <c r="G4205" s="6" t="s">
        <v>17913</v>
      </c>
      <c r="H4205" s="7">
        <v>101.28</v>
      </c>
      <c r="I4205" s="19" t="s">
        <v>1589</v>
      </c>
      <c r="J4205" s="19" t="s">
        <v>17743</v>
      </c>
      <c r="K4205" s="5" t="s">
        <v>17809</v>
      </c>
      <c r="L4205" s="5" t="s">
        <v>17810</v>
      </c>
      <c r="M4205" s="5" t="s">
        <v>17811</v>
      </c>
      <c r="N4205" s="5" t="s">
        <v>17812</v>
      </c>
      <c r="O4205" s="5" t="s">
        <v>17914</v>
      </c>
      <c r="P4205" s="5" t="s">
        <v>17915</v>
      </c>
      <c r="Q4205" s="5" t="s">
        <v>17916</v>
      </c>
      <c r="R4205" s="5" t="s">
        <v>17917</v>
      </c>
      <c r="W4205" s="5" t="s">
        <v>17800</v>
      </c>
      <c r="X4205" s="5" t="s">
        <v>17801</v>
      </c>
      <c r="Y4205" s="5" t="s">
        <v>17802</v>
      </c>
      <c r="Z4205" s="5" t="s">
        <v>17803</v>
      </c>
      <c r="AG4205" s="14" t="s">
        <v>55</v>
      </c>
      <c r="AH4205" s="14" t="s">
        <v>1603</v>
      </c>
      <c r="AI4205" s="14" t="s">
        <v>1604</v>
      </c>
    </row>
    <row r="4206" spans="1:37">
      <c r="A4206" s="5" t="s">
        <v>17918</v>
      </c>
      <c r="B4206" s="5" t="s">
        <v>17912</v>
      </c>
      <c r="C4206" s="6" t="s">
        <v>43</v>
      </c>
      <c r="D4206" s="6" t="s">
        <v>1390</v>
      </c>
      <c r="E4206" s="6" t="s">
        <v>2065</v>
      </c>
      <c r="F4206" s="6" t="s">
        <v>46</v>
      </c>
      <c r="G4206" s="6" t="s">
        <v>4228</v>
      </c>
      <c r="H4206" s="7">
        <v>101.28</v>
      </c>
      <c r="I4206" s="19" t="s">
        <v>1589</v>
      </c>
      <c r="J4206" s="19" t="s">
        <v>17743</v>
      </c>
      <c r="K4206" s="5" t="s">
        <v>17809</v>
      </c>
      <c r="L4206" s="5" t="s">
        <v>17810</v>
      </c>
      <c r="M4206" s="5" t="s">
        <v>17811</v>
      </c>
      <c r="N4206" s="5" t="s">
        <v>17812</v>
      </c>
      <c r="O4206" s="5" t="s">
        <v>17914</v>
      </c>
      <c r="P4206" s="5" t="s">
        <v>17915</v>
      </c>
      <c r="Q4206" s="5" t="s">
        <v>17916</v>
      </c>
      <c r="R4206" s="5" t="s">
        <v>17917</v>
      </c>
      <c r="W4206" s="5" t="s">
        <v>17800</v>
      </c>
      <c r="X4206" s="5" t="s">
        <v>17801</v>
      </c>
      <c r="Y4206" s="5" t="s">
        <v>17802</v>
      </c>
      <c r="Z4206" s="5" t="s">
        <v>17803</v>
      </c>
      <c r="AG4206" s="14" t="s">
        <v>55</v>
      </c>
      <c r="AH4206" s="14" t="s">
        <v>1603</v>
      </c>
      <c r="AI4206" s="14" t="s">
        <v>1604</v>
      </c>
    </row>
    <row r="4207" spans="1:37">
      <c r="A4207" s="5" t="s">
        <v>17919</v>
      </c>
      <c r="B4207" s="5" t="s">
        <v>17920</v>
      </c>
      <c r="C4207" s="6" t="s">
        <v>17742</v>
      </c>
      <c r="D4207" s="6" t="s">
        <v>2114</v>
      </c>
      <c r="E4207" s="6" t="s">
        <v>1386</v>
      </c>
      <c r="F4207" s="6" t="s">
        <v>46</v>
      </c>
      <c r="G4207" s="6" t="s">
        <v>17921</v>
      </c>
      <c r="H4207" s="7">
        <v>95.96</v>
      </c>
      <c r="I4207" s="19" t="s">
        <v>1589</v>
      </c>
      <c r="J4207" s="19" t="s">
        <v>17743</v>
      </c>
      <c r="K4207" s="5" t="s">
        <v>17744</v>
      </c>
      <c r="L4207" s="5" t="s">
        <v>17745</v>
      </c>
      <c r="M4207" s="5" t="s">
        <v>17746</v>
      </c>
      <c r="N4207" s="5" t="s">
        <v>17747</v>
      </c>
      <c r="O4207" s="5" t="s">
        <v>17922</v>
      </c>
      <c r="P4207" s="5" t="s">
        <v>17923</v>
      </c>
      <c r="Q4207" s="5" t="s">
        <v>17924</v>
      </c>
      <c r="R4207" s="5" t="s">
        <v>17925</v>
      </c>
      <c r="W4207" s="5" t="s">
        <v>17752</v>
      </c>
      <c r="X4207" s="5" t="s">
        <v>17753</v>
      </c>
      <c r="Y4207" s="5" t="s">
        <v>17754</v>
      </c>
      <c r="Z4207" s="5" t="s">
        <v>17755</v>
      </c>
      <c r="AG4207" s="14" t="s">
        <v>55</v>
      </c>
      <c r="AH4207" s="14" t="s">
        <v>1603</v>
      </c>
      <c r="AI4207" s="14" t="s">
        <v>1604</v>
      </c>
    </row>
    <row r="4208" spans="1:37">
      <c r="A4208" s="6" t="s">
        <v>17926</v>
      </c>
      <c r="B4208" s="6" t="s">
        <v>17927</v>
      </c>
      <c r="C4208" s="6" t="s">
        <v>17742</v>
      </c>
      <c r="D4208" s="6" t="s">
        <v>2114</v>
      </c>
      <c r="E4208" s="6" t="s">
        <v>1386</v>
      </c>
      <c r="F4208" s="6" t="s">
        <v>46</v>
      </c>
      <c r="G4208" s="6" t="s">
        <v>17928</v>
      </c>
      <c r="I4208" s="16" t="s">
        <v>48</v>
      </c>
      <c r="J4208" s="16" t="s">
        <v>48</v>
      </c>
      <c r="K4208" s="6"/>
      <c r="L4208" s="6"/>
      <c r="M4208" s="6"/>
      <c r="N4208" s="6"/>
      <c r="O4208" s="6"/>
      <c r="P4208" s="6"/>
      <c r="Q4208" s="6"/>
      <c r="R4208" s="6"/>
      <c r="S4208" s="6"/>
      <c r="T4208" s="6"/>
      <c r="U4208" s="6"/>
      <c r="V4208" s="6"/>
      <c r="W4208" s="6"/>
      <c r="X4208" s="6"/>
      <c r="Y4208" s="6"/>
      <c r="Z4208" s="6"/>
      <c r="AA4208" s="6"/>
      <c r="AB4208" s="6"/>
      <c r="AC4208" s="6"/>
      <c r="AD4208" s="6"/>
      <c r="AE4208" s="6"/>
      <c r="AF4208" s="6"/>
      <c r="AG4208" s="15" t="s">
        <v>55</v>
      </c>
      <c r="AH4208" s="15"/>
      <c r="AI4208" s="15"/>
      <c r="AJ4208" s="6"/>
      <c r="AK4208" s="6"/>
    </row>
    <row r="4209" spans="1:37" s="6" customFormat="1">
      <c r="A4209" s="5" t="s">
        <v>17929</v>
      </c>
      <c r="B4209" s="5" t="s">
        <v>17930</v>
      </c>
      <c r="C4209" s="6" t="s">
        <v>17742</v>
      </c>
      <c r="D4209" s="6" t="s">
        <v>2114</v>
      </c>
      <c r="E4209" s="6" t="s">
        <v>2065</v>
      </c>
      <c r="F4209" s="6" t="s">
        <v>46</v>
      </c>
      <c r="G4209" s="6" t="s">
        <v>17931</v>
      </c>
      <c r="H4209" s="7">
        <v>73.66</v>
      </c>
      <c r="I4209" s="19" t="s">
        <v>1589</v>
      </c>
      <c r="J4209" s="19" t="s">
        <v>17743</v>
      </c>
      <c r="K4209" s="5" t="s">
        <v>17759</v>
      </c>
      <c r="L4209" s="5" t="s">
        <v>17760</v>
      </c>
      <c r="M4209" s="5" t="s">
        <v>17761</v>
      </c>
      <c r="N4209" s="5" t="s">
        <v>17762</v>
      </c>
      <c r="O4209" s="5" t="s">
        <v>17932</v>
      </c>
      <c r="P4209" s="5" t="s">
        <v>17933</v>
      </c>
      <c r="Q4209" s="5" t="s">
        <v>17934</v>
      </c>
      <c r="R4209" s="5" t="s">
        <v>17935</v>
      </c>
      <c r="S4209" s="5"/>
      <c r="T4209" s="5"/>
      <c r="U4209" s="5"/>
      <c r="V4209" s="5"/>
      <c r="W4209" s="5" t="s">
        <v>17752</v>
      </c>
      <c r="X4209" s="5" t="s">
        <v>17753</v>
      </c>
      <c r="Y4209" s="5" t="s">
        <v>17754</v>
      </c>
      <c r="Z4209" s="5" t="s">
        <v>17755</v>
      </c>
      <c r="AA4209" s="5"/>
      <c r="AB4209" s="5"/>
      <c r="AC4209" s="5"/>
      <c r="AD4209" s="5"/>
      <c r="AE4209" s="5"/>
      <c r="AF4209" s="5"/>
      <c r="AG4209" s="14" t="s">
        <v>55</v>
      </c>
      <c r="AH4209" s="14" t="s">
        <v>1603</v>
      </c>
      <c r="AI4209" s="14" t="s">
        <v>1604</v>
      </c>
      <c r="AJ4209" s="5"/>
      <c r="AK4209" s="5"/>
    </row>
    <row r="4210" spans="1:37">
      <c r="A4210" s="5" t="s">
        <v>17936</v>
      </c>
      <c r="B4210" s="5" t="s">
        <v>17937</v>
      </c>
      <c r="C4210" s="6" t="s">
        <v>17742</v>
      </c>
      <c r="D4210" s="6" t="s">
        <v>2114</v>
      </c>
      <c r="E4210" s="6" t="s">
        <v>2065</v>
      </c>
      <c r="F4210" s="6" t="s">
        <v>46</v>
      </c>
      <c r="G4210" s="6" t="s">
        <v>17938</v>
      </c>
      <c r="H4210" s="7">
        <v>102.35</v>
      </c>
      <c r="I4210" s="19" t="s">
        <v>1589</v>
      </c>
      <c r="J4210" s="19" t="s">
        <v>17743</v>
      </c>
      <c r="K4210" s="5" t="s">
        <v>17744</v>
      </c>
      <c r="L4210" s="5" t="s">
        <v>17745</v>
      </c>
      <c r="M4210" s="5" t="s">
        <v>17746</v>
      </c>
      <c r="N4210" s="5" t="s">
        <v>17747</v>
      </c>
      <c r="O4210" s="5" t="s">
        <v>17939</v>
      </c>
      <c r="P4210" s="5" t="s">
        <v>17940</v>
      </c>
      <c r="Q4210" s="5" t="s">
        <v>17941</v>
      </c>
      <c r="R4210" s="5" t="s">
        <v>17942</v>
      </c>
      <c r="W4210" s="5" t="s">
        <v>17752</v>
      </c>
      <c r="X4210" s="5" t="s">
        <v>17753</v>
      </c>
      <c r="Y4210" s="5" t="s">
        <v>17754</v>
      </c>
      <c r="Z4210" s="5" t="s">
        <v>17755</v>
      </c>
      <c r="AG4210" s="14" t="s">
        <v>55</v>
      </c>
      <c r="AH4210" s="14" t="s">
        <v>1603</v>
      </c>
      <c r="AI4210" s="14" t="s">
        <v>1604</v>
      </c>
    </row>
    <row r="4211" spans="1:37">
      <c r="A4211" s="6" t="s">
        <v>17943</v>
      </c>
      <c r="B4211" s="6" t="s">
        <v>17944</v>
      </c>
      <c r="C4211" s="6" t="s">
        <v>43</v>
      </c>
      <c r="D4211" s="6" t="s">
        <v>1390</v>
      </c>
      <c r="E4211" s="6" t="s">
        <v>1540</v>
      </c>
      <c r="F4211" s="6" t="s">
        <v>46</v>
      </c>
      <c r="G4211" s="6" t="s">
        <v>17945</v>
      </c>
      <c r="I4211" s="5" t="s">
        <v>48</v>
      </c>
      <c r="J4211" s="5" t="s">
        <v>48</v>
      </c>
      <c r="K4211" s="6"/>
      <c r="L4211" s="6"/>
      <c r="M4211" s="6"/>
      <c r="N4211" s="6"/>
      <c r="O4211" s="6"/>
      <c r="P4211" s="6"/>
      <c r="Q4211" s="6"/>
      <c r="R4211" s="6"/>
      <c r="S4211" s="6"/>
      <c r="T4211" s="6"/>
      <c r="U4211" s="6"/>
      <c r="V4211" s="6"/>
      <c r="W4211" s="6"/>
      <c r="X4211" s="6"/>
      <c r="Y4211" s="6"/>
      <c r="Z4211" s="6"/>
      <c r="AA4211" s="6"/>
      <c r="AB4211" s="6"/>
      <c r="AC4211" s="6"/>
      <c r="AD4211" s="6"/>
      <c r="AE4211" s="6"/>
      <c r="AF4211" s="6"/>
      <c r="AG4211" s="15" t="s">
        <v>55</v>
      </c>
      <c r="AH4211" s="15"/>
      <c r="AI4211" s="15"/>
      <c r="AJ4211" s="6"/>
      <c r="AK4211" s="6"/>
    </row>
    <row r="4212" spans="1:37" s="6" customFormat="1">
      <c r="A4212" s="6" t="s">
        <v>17946</v>
      </c>
      <c r="B4212" s="6" t="s">
        <v>17947</v>
      </c>
      <c r="C4212" s="6" t="s">
        <v>43</v>
      </c>
      <c r="D4212" s="6" t="s">
        <v>1390</v>
      </c>
      <c r="E4212" s="6" t="s">
        <v>1587</v>
      </c>
      <c r="F4212" s="6" t="s">
        <v>46</v>
      </c>
      <c r="G4212" s="6" t="s">
        <v>17948</v>
      </c>
      <c r="H4212" s="7"/>
      <c r="I4212" s="5" t="s">
        <v>48</v>
      </c>
      <c r="J4212" s="5" t="s">
        <v>48</v>
      </c>
      <c r="AG4212" s="15" t="s">
        <v>55</v>
      </c>
      <c r="AH4212" s="15"/>
      <c r="AI4212" s="15"/>
    </row>
    <row r="4213" spans="1:37" s="6" customFormat="1">
      <c r="A4213" s="6" t="s">
        <v>17949</v>
      </c>
      <c r="B4213" s="6" t="s">
        <v>17950</v>
      </c>
      <c r="C4213" s="6" t="s">
        <v>15848</v>
      </c>
      <c r="D4213" s="6" t="s">
        <v>1390</v>
      </c>
      <c r="E4213" s="6" t="s">
        <v>1587</v>
      </c>
      <c r="F4213" s="6" t="s">
        <v>46</v>
      </c>
      <c r="G4213" s="6" t="s">
        <v>17951</v>
      </c>
      <c r="H4213" s="7"/>
      <c r="I4213" s="5" t="s">
        <v>48</v>
      </c>
      <c r="J4213" s="5" t="s">
        <v>48</v>
      </c>
      <c r="AG4213" s="15" t="s">
        <v>55</v>
      </c>
      <c r="AH4213" s="15"/>
      <c r="AI4213" s="15"/>
    </row>
    <row r="4214" spans="1:37" s="6" customFormat="1">
      <c r="A4214" s="5" t="s">
        <v>17952</v>
      </c>
      <c r="B4214" s="5" t="s">
        <v>17953</v>
      </c>
      <c r="C4214" s="6" t="s">
        <v>17742</v>
      </c>
      <c r="D4214" s="6" t="s">
        <v>2114</v>
      </c>
      <c r="E4214" s="6" t="s">
        <v>1386</v>
      </c>
      <c r="F4214" s="6" t="s">
        <v>46</v>
      </c>
      <c r="G4214" s="6" t="s">
        <v>17954</v>
      </c>
      <c r="H4214" s="7">
        <v>92.08</v>
      </c>
      <c r="I4214" s="19" t="s">
        <v>1589</v>
      </c>
      <c r="J4214" s="19" t="s">
        <v>17743</v>
      </c>
      <c r="K4214" s="5" t="s">
        <v>17759</v>
      </c>
      <c r="L4214" s="5" t="s">
        <v>17760</v>
      </c>
      <c r="M4214" s="5" t="s">
        <v>17761</v>
      </c>
      <c r="N4214" s="5" t="s">
        <v>17762</v>
      </c>
      <c r="O4214" s="5" t="s">
        <v>17955</v>
      </c>
      <c r="P4214" s="5" t="s">
        <v>17956</v>
      </c>
      <c r="Q4214" s="5" t="s">
        <v>17957</v>
      </c>
      <c r="R4214" s="5" t="s">
        <v>17958</v>
      </c>
      <c r="S4214" s="5"/>
      <c r="T4214" s="5"/>
      <c r="U4214" s="5"/>
      <c r="V4214" s="5"/>
      <c r="W4214" s="5" t="s">
        <v>17752</v>
      </c>
      <c r="X4214" s="5" t="s">
        <v>17753</v>
      </c>
      <c r="Y4214" s="5" t="s">
        <v>17754</v>
      </c>
      <c r="Z4214" s="5" t="s">
        <v>17755</v>
      </c>
      <c r="AA4214" s="5"/>
      <c r="AB4214" s="5"/>
      <c r="AC4214" s="5"/>
      <c r="AD4214" s="5"/>
      <c r="AE4214" s="5"/>
      <c r="AF4214" s="5"/>
      <c r="AG4214" s="14" t="s">
        <v>55</v>
      </c>
      <c r="AH4214" s="14" t="s">
        <v>1603</v>
      </c>
      <c r="AI4214" s="14" t="s">
        <v>1604</v>
      </c>
      <c r="AJ4214" s="5"/>
      <c r="AK4214" s="5"/>
    </row>
    <row r="4215" spans="1:37">
      <c r="A4215" s="5" t="s">
        <v>17959</v>
      </c>
      <c r="B4215" s="5" t="s">
        <v>17960</v>
      </c>
      <c r="C4215" s="6" t="s">
        <v>17742</v>
      </c>
      <c r="D4215" s="6" t="s">
        <v>2114</v>
      </c>
      <c r="E4215" s="6" t="s">
        <v>1386</v>
      </c>
      <c r="F4215" s="6" t="s">
        <v>46</v>
      </c>
      <c r="G4215" s="6" t="s">
        <v>17885</v>
      </c>
      <c r="H4215" s="7">
        <v>127.94</v>
      </c>
      <c r="I4215" s="19" t="s">
        <v>1589</v>
      </c>
      <c r="J4215" s="19" t="s">
        <v>17743</v>
      </c>
      <c r="K4215" s="5" t="s">
        <v>17744</v>
      </c>
      <c r="L4215" s="5" t="s">
        <v>17745</v>
      </c>
      <c r="M4215" s="5" t="s">
        <v>17746</v>
      </c>
      <c r="N4215" s="5" t="s">
        <v>17747</v>
      </c>
      <c r="O4215" s="5" t="s">
        <v>17961</v>
      </c>
      <c r="P4215" s="5" t="s">
        <v>17962</v>
      </c>
      <c r="Q4215" s="5" t="s">
        <v>17963</v>
      </c>
      <c r="R4215" s="5" t="s">
        <v>17964</v>
      </c>
      <c r="W4215" s="5" t="s">
        <v>17752</v>
      </c>
      <c r="X4215" s="5" t="s">
        <v>17753</v>
      </c>
      <c r="Y4215" s="5" t="s">
        <v>17754</v>
      </c>
      <c r="Z4215" s="5" t="s">
        <v>17755</v>
      </c>
      <c r="AG4215" s="14" t="s">
        <v>55</v>
      </c>
      <c r="AH4215" s="14" t="s">
        <v>1603</v>
      </c>
      <c r="AI4215" s="14" t="s">
        <v>1604</v>
      </c>
    </row>
    <row r="4216" spans="1:37">
      <c r="A4216" s="5" t="s">
        <v>17965</v>
      </c>
      <c r="B4216" s="5" t="s">
        <v>17966</v>
      </c>
      <c r="C4216" s="6" t="s">
        <v>17742</v>
      </c>
      <c r="D4216" s="6" t="s">
        <v>2114</v>
      </c>
      <c r="E4216" s="6" t="s">
        <v>1386</v>
      </c>
      <c r="F4216" s="6" t="s">
        <v>46</v>
      </c>
      <c r="G4216" s="6" t="s">
        <v>17967</v>
      </c>
      <c r="H4216" s="7">
        <v>100.21</v>
      </c>
      <c r="I4216" s="19" t="s">
        <v>1589</v>
      </c>
      <c r="J4216" s="19" t="s">
        <v>17743</v>
      </c>
      <c r="K4216" s="5" t="s">
        <v>17841</v>
      </c>
      <c r="L4216" s="5" t="s">
        <v>17842</v>
      </c>
      <c r="M4216" s="5" t="s">
        <v>17843</v>
      </c>
      <c r="N4216" s="5" t="s">
        <v>17844</v>
      </c>
      <c r="O4216" s="5" t="s">
        <v>17968</v>
      </c>
      <c r="P4216" s="5" t="s">
        <v>17969</v>
      </c>
      <c r="Q4216" s="5" t="s">
        <v>17970</v>
      </c>
      <c r="R4216" s="5" t="s">
        <v>17971</v>
      </c>
      <c r="W4216" s="5" t="s">
        <v>17752</v>
      </c>
      <c r="X4216" s="5" t="s">
        <v>17753</v>
      </c>
      <c r="Y4216" s="5" t="s">
        <v>17754</v>
      </c>
      <c r="Z4216" s="5" t="s">
        <v>17785</v>
      </c>
      <c r="AG4216" s="14" t="s">
        <v>55</v>
      </c>
      <c r="AH4216" s="14" t="s">
        <v>1603</v>
      </c>
      <c r="AI4216" s="14" t="s">
        <v>1604</v>
      </c>
    </row>
    <row r="4217" spans="1:37">
      <c r="A4217" s="5" t="s">
        <v>17972</v>
      </c>
      <c r="B4217" s="5" t="s">
        <v>17966</v>
      </c>
      <c r="C4217" s="6" t="s">
        <v>17742</v>
      </c>
      <c r="D4217" s="6" t="s">
        <v>2114</v>
      </c>
      <c r="E4217" s="6" t="s">
        <v>2065</v>
      </c>
      <c r="F4217" s="6" t="s">
        <v>46</v>
      </c>
      <c r="G4217" s="6" t="s">
        <v>17973</v>
      </c>
      <c r="H4217" s="7">
        <v>100.21</v>
      </c>
      <c r="I4217" s="19" t="s">
        <v>1589</v>
      </c>
      <c r="J4217" s="19" t="s">
        <v>17743</v>
      </c>
      <c r="K4217" s="5" t="s">
        <v>17841</v>
      </c>
      <c r="L4217" s="5" t="s">
        <v>17842</v>
      </c>
      <c r="M4217" s="5" t="s">
        <v>17843</v>
      </c>
      <c r="N4217" s="5" t="s">
        <v>17844</v>
      </c>
      <c r="O4217" s="5" t="s">
        <v>17968</v>
      </c>
      <c r="P4217" s="5" t="s">
        <v>17969</v>
      </c>
      <c r="Q4217" s="5" t="s">
        <v>17970</v>
      </c>
      <c r="R4217" s="5" t="s">
        <v>17971</v>
      </c>
      <c r="W4217" s="5" t="s">
        <v>17752</v>
      </c>
      <c r="X4217" s="5" t="s">
        <v>17753</v>
      </c>
      <c r="Y4217" s="5" t="s">
        <v>17754</v>
      </c>
      <c r="Z4217" s="5" t="s">
        <v>17785</v>
      </c>
      <c r="AG4217" s="14" t="s">
        <v>55</v>
      </c>
      <c r="AH4217" s="14" t="s">
        <v>1603</v>
      </c>
      <c r="AI4217" s="14" t="s">
        <v>1604</v>
      </c>
    </row>
    <row r="4218" spans="1:37">
      <c r="A4218" s="5" t="s">
        <v>17974</v>
      </c>
      <c r="B4218" s="5" t="s">
        <v>17975</v>
      </c>
      <c r="C4218" s="6" t="s">
        <v>17742</v>
      </c>
      <c r="D4218" s="6" t="s">
        <v>2114</v>
      </c>
      <c r="E4218" s="6" t="s">
        <v>1386</v>
      </c>
      <c r="F4218" s="6" t="s">
        <v>46</v>
      </c>
      <c r="G4218" s="6" t="s">
        <v>17976</v>
      </c>
      <c r="H4218" s="7">
        <v>137.5</v>
      </c>
      <c r="I4218" s="19" t="s">
        <v>1589</v>
      </c>
      <c r="J4218" s="19" t="s">
        <v>17743</v>
      </c>
      <c r="K4218" s="5" t="s">
        <v>17777</v>
      </c>
      <c r="L4218" s="5" t="s">
        <v>17778</v>
      </c>
      <c r="M4218" s="5" t="s">
        <v>17779</v>
      </c>
      <c r="N4218" s="5" t="s">
        <v>17780</v>
      </c>
      <c r="O4218" s="5" t="s">
        <v>17977</v>
      </c>
      <c r="P4218" s="5" t="s">
        <v>17978</v>
      </c>
      <c r="Q4218" s="5" t="s">
        <v>17979</v>
      </c>
      <c r="R4218" s="5" t="s">
        <v>17980</v>
      </c>
      <c r="W4218" s="5" t="s">
        <v>17752</v>
      </c>
      <c r="X4218" s="5" t="s">
        <v>17753</v>
      </c>
      <c r="Y4218" s="5" t="s">
        <v>17754</v>
      </c>
      <c r="Z4218" s="5" t="s">
        <v>17755</v>
      </c>
      <c r="AG4218" s="14" t="s">
        <v>55</v>
      </c>
      <c r="AH4218" s="14" t="s">
        <v>1603</v>
      </c>
      <c r="AI4218" s="14" t="s">
        <v>1604</v>
      </c>
    </row>
    <row r="4219" spans="1:37">
      <c r="A4219" s="5" t="s">
        <v>17981</v>
      </c>
      <c r="B4219" s="5" t="s">
        <v>17982</v>
      </c>
      <c r="C4219" s="6" t="s">
        <v>17742</v>
      </c>
      <c r="D4219" s="6" t="s">
        <v>2114</v>
      </c>
      <c r="E4219" s="6" t="s">
        <v>1386</v>
      </c>
      <c r="F4219" s="6" t="s">
        <v>46</v>
      </c>
      <c r="G4219" s="6" t="s">
        <v>15219</v>
      </c>
      <c r="H4219" s="7">
        <v>19.190000000000001</v>
      </c>
      <c r="I4219" s="19" t="s">
        <v>1589</v>
      </c>
      <c r="J4219" s="19" t="s">
        <v>17743</v>
      </c>
      <c r="K4219" s="5" t="s">
        <v>17744</v>
      </c>
      <c r="L4219" s="5" t="s">
        <v>17745</v>
      </c>
      <c r="M4219" s="5" t="s">
        <v>17746</v>
      </c>
      <c r="N4219" s="5" t="s">
        <v>17747</v>
      </c>
      <c r="O4219" s="5" t="s">
        <v>17983</v>
      </c>
      <c r="P4219" s="5" t="s">
        <v>17984</v>
      </c>
      <c r="Q4219" s="5" t="s">
        <v>17985</v>
      </c>
      <c r="R4219" s="5" t="s">
        <v>17986</v>
      </c>
      <c r="W4219" s="5" t="s">
        <v>17752</v>
      </c>
      <c r="X4219" s="5" t="s">
        <v>17753</v>
      </c>
      <c r="Y4219" s="5" t="s">
        <v>17754</v>
      </c>
      <c r="Z4219" s="5" t="s">
        <v>17755</v>
      </c>
      <c r="AG4219" s="14" t="s">
        <v>55</v>
      </c>
      <c r="AH4219" s="14" t="s">
        <v>1603</v>
      </c>
      <c r="AI4219" s="14" t="s">
        <v>1604</v>
      </c>
    </row>
    <row r="4220" spans="1:37">
      <c r="A4220" s="6" t="s">
        <v>17987</v>
      </c>
      <c r="B4220" s="6" t="s">
        <v>17988</v>
      </c>
      <c r="C4220" s="6" t="s">
        <v>17742</v>
      </c>
      <c r="D4220" s="6" t="s">
        <v>2114</v>
      </c>
      <c r="E4220" s="6" t="s">
        <v>1386</v>
      </c>
      <c r="F4220" s="6" t="s">
        <v>46</v>
      </c>
      <c r="G4220" s="6" t="s">
        <v>6648</v>
      </c>
      <c r="I4220" s="16" t="s">
        <v>48</v>
      </c>
      <c r="J4220" s="16" t="s">
        <v>48</v>
      </c>
      <c r="K4220" s="6"/>
      <c r="L4220" s="6"/>
      <c r="M4220" s="6"/>
      <c r="N4220" s="6"/>
      <c r="O4220" s="6"/>
      <c r="P4220" s="6"/>
      <c r="Q4220" s="6"/>
      <c r="R4220" s="6"/>
      <c r="S4220" s="6"/>
      <c r="T4220" s="6"/>
      <c r="U4220" s="6"/>
      <c r="V4220" s="6"/>
      <c r="W4220" s="6"/>
      <c r="X4220" s="6"/>
      <c r="Y4220" s="6"/>
      <c r="Z4220" s="6"/>
      <c r="AA4220" s="6"/>
      <c r="AB4220" s="6"/>
      <c r="AC4220" s="6"/>
      <c r="AD4220" s="6"/>
      <c r="AE4220" s="6"/>
      <c r="AF4220" s="6"/>
      <c r="AG4220" s="15" t="s">
        <v>55</v>
      </c>
      <c r="AH4220" s="15"/>
      <c r="AI4220" s="15"/>
      <c r="AJ4220" s="6"/>
      <c r="AK4220" s="6"/>
    </row>
    <row r="4221" spans="1:37" s="6" customFormat="1">
      <c r="A4221" s="5" t="s">
        <v>17989</v>
      </c>
      <c r="B4221" s="5" t="s">
        <v>17990</v>
      </c>
      <c r="C4221" s="6" t="s">
        <v>17742</v>
      </c>
      <c r="D4221" s="6" t="s">
        <v>2114</v>
      </c>
      <c r="E4221" s="6" t="s">
        <v>1386</v>
      </c>
      <c r="F4221" s="6" t="s">
        <v>46</v>
      </c>
      <c r="G4221" s="6" t="s">
        <v>6456</v>
      </c>
      <c r="H4221" s="7">
        <v>18.420000000000002</v>
      </c>
      <c r="I4221" s="19" t="s">
        <v>1589</v>
      </c>
      <c r="J4221" s="19" t="s">
        <v>17743</v>
      </c>
      <c r="K4221" s="5" t="s">
        <v>17759</v>
      </c>
      <c r="L4221" s="5" t="s">
        <v>17760</v>
      </c>
      <c r="M4221" s="5" t="s">
        <v>17761</v>
      </c>
      <c r="N4221" s="5" t="s">
        <v>17762</v>
      </c>
      <c r="O4221" s="5" t="s">
        <v>17991</v>
      </c>
      <c r="P4221" s="5" t="s">
        <v>17992</v>
      </c>
      <c r="Q4221" s="5" t="s">
        <v>17993</v>
      </c>
      <c r="R4221" s="5" t="s">
        <v>17994</v>
      </c>
      <c r="S4221" s="5"/>
      <c r="T4221" s="5"/>
      <c r="U4221" s="5"/>
      <c r="V4221" s="5"/>
      <c r="W4221" s="5" t="s">
        <v>17752</v>
      </c>
      <c r="X4221" s="5" t="s">
        <v>17753</v>
      </c>
      <c r="Y4221" s="5" t="s">
        <v>17754</v>
      </c>
      <c r="Z4221" s="5" t="s">
        <v>17755</v>
      </c>
      <c r="AA4221" s="5"/>
      <c r="AB4221" s="5"/>
      <c r="AC4221" s="5"/>
      <c r="AD4221" s="5"/>
      <c r="AE4221" s="5"/>
      <c r="AF4221" s="5"/>
      <c r="AG4221" s="14" t="s">
        <v>55</v>
      </c>
      <c r="AH4221" s="14" t="s">
        <v>1603</v>
      </c>
      <c r="AI4221" s="14" t="s">
        <v>1604</v>
      </c>
      <c r="AJ4221" s="5"/>
      <c r="AK4221" s="5"/>
    </row>
    <row r="4222" spans="1:37">
      <c r="A4222" s="5" t="s">
        <v>17995</v>
      </c>
      <c r="B4222" s="5" t="s">
        <v>17996</v>
      </c>
      <c r="C4222" s="6" t="s">
        <v>43</v>
      </c>
      <c r="D4222" s="6" t="s">
        <v>2114</v>
      </c>
      <c r="E4222" s="6" t="s">
        <v>1386</v>
      </c>
      <c r="F4222" s="6" t="s">
        <v>46</v>
      </c>
      <c r="G4222" s="6" t="s">
        <v>17997</v>
      </c>
      <c r="H4222" s="7">
        <v>27.5</v>
      </c>
      <c r="I4222" s="19" t="s">
        <v>1589</v>
      </c>
      <c r="J4222" s="19" t="s">
        <v>17743</v>
      </c>
      <c r="K4222" s="5" t="s">
        <v>17777</v>
      </c>
      <c r="L4222" s="5" t="s">
        <v>17778</v>
      </c>
      <c r="M4222" s="5" t="s">
        <v>17779</v>
      </c>
      <c r="N4222" s="5" t="s">
        <v>17780</v>
      </c>
      <c r="O4222" s="5" t="s">
        <v>17998</v>
      </c>
      <c r="P4222" s="5" t="s">
        <v>17999</v>
      </c>
      <c r="Q4222" s="5" t="s">
        <v>18000</v>
      </c>
      <c r="R4222" s="5" t="s">
        <v>18001</v>
      </c>
      <c r="W4222" s="5" t="s">
        <v>17752</v>
      </c>
      <c r="X4222" s="5" t="s">
        <v>17753</v>
      </c>
      <c r="Y4222" s="5" t="s">
        <v>17754</v>
      </c>
      <c r="Z4222" s="5" t="s">
        <v>17894</v>
      </c>
      <c r="AG4222" s="14" t="s">
        <v>55</v>
      </c>
      <c r="AH4222" s="14" t="s">
        <v>1603</v>
      </c>
      <c r="AI4222" s="14" t="s">
        <v>1604</v>
      </c>
    </row>
    <row r="4223" spans="1:37">
      <c r="A4223" s="5" t="s">
        <v>18002</v>
      </c>
      <c r="B4223" s="5" t="s">
        <v>18003</v>
      </c>
      <c r="C4223" s="6" t="s">
        <v>15848</v>
      </c>
      <c r="D4223" s="6" t="s">
        <v>1390</v>
      </c>
      <c r="E4223" s="6" t="s">
        <v>1540</v>
      </c>
      <c r="F4223" s="6" t="s">
        <v>46</v>
      </c>
      <c r="G4223" s="6" t="s">
        <v>18004</v>
      </c>
      <c r="H4223" s="7">
        <v>31.24</v>
      </c>
      <c r="I4223" s="19" t="s">
        <v>1589</v>
      </c>
      <c r="J4223" s="19" t="s">
        <v>17743</v>
      </c>
      <c r="K4223" s="5" t="s">
        <v>17792</v>
      </c>
      <c r="L4223" s="5" t="s">
        <v>17793</v>
      </c>
      <c r="M4223" s="5" t="s">
        <v>17794</v>
      </c>
      <c r="N4223" s="5" t="s">
        <v>17795</v>
      </c>
      <c r="O4223" s="5" t="s">
        <v>18005</v>
      </c>
      <c r="P4223" s="5" t="s">
        <v>18006</v>
      </c>
      <c r="Q4223" s="5" t="s">
        <v>18007</v>
      </c>
      <c r="R4223" s="5" t="s">
        <v>18008</v>
      </c>
      <c r="W4223" s="5" t="s">
        <v>17800</v>
      </c>
      <c r="X4223" s="5" t="s">
        <v>17801</v>
      </c>
      <c r="Y4223" s="5" t="s">
        <v>17802</v>
      </c>
      <c r="Z4223" s="5" t="s">
        <v>17803</v>
      </c>
      <c r="AG4223" s="14" t="s">
        <v>55</v>
      </c>
      <c r="AH4223" s="14" t="s">
        <v>1603</v>
      </c>
      <c r="AI4223" s="14" t="s">
        <v>1604</v>
      </c>
    </row>
    <row r="4224" spans="1:37">
      <c r="A4224" s="5" t="s">
        <v>18009</v>
      </c>
      <c r="B4224" s="5" t="s">
        <v>18003</v>
      </c>
      <c r="C4224" s="6" t="s">
        <v>15848</v>
      </c>
      <c r="D4224" s="6" t="s">
        <v>1390</v>
      </c>
      <c r="E4224" s="6" t="s">
        <v>2065</v>
      </c>
      <c r="F4224" s="6" t="s">
        <v>46</v>
      </c>
      <c r="G4224" s="6" t="s">
        <v>18010</v>
      </c>
      <c r="H4224" s="7">
        <v>31.24</v>
      </c>
      <c r="I4224" s="19" t="s">
        <v>1589</v>
      </c>
      <c r="J4224" s="19" t="s">
        <v>17743</v>
      </c>
      <c r="K4224" s="5" t="s">
        <v>17792</v>
      </c>
      <c r="L4224" s="5" t="s">
        <v>17793</v>
      </c>
      <c r="M4224" s="5" t="s">
        <v>17794</v>
      </c>
      <c r="N4224" s="5" t="s">
        <v>17795</v>
      </c>
      <c r="O4224" s="5" t="s">
        <v>18005</v>
      </c>
      <c r="P4224" s="5" t="s">
        <v>18006</v>
      </c>
      <c r="Q4224" s="5" t="s">
        <v>18007</v>
      </c>
      <c r="R4224" s="5" t="s">
        <v>18008</v>
      </c>
      <c r="W4224" s="5" t="s">
        <v>17800</v>
      </c>
      <c r="X4224" s="5" t="s">
        <v>17801</v>
      </c>
      <c r="Y4224" s="5" t="s">
        <v>17802</v>
      </c>
      <c r="Z4224" s="5" t="s">
        <v>17803</v>
      </c>
      <c r="AG4224" s="14" t="s">
        <v>55</v>
      </c>
      <c r="AH4224" s="14" t="s">
        <v>1603</v>
      </c>
      <c r="AI4224" s="14" t="s">
        <v>1604</v>
      </c>
    </row>
    <row r="4225" spans="1:37">
      <c r="A4225" s="5" t="s">
        <v>18011</v>
      </c>
      <c r="B4225" s="5" t="s">
        <v>18012</v>
      </c>
      <c r="C4225" s="6" t="s">
        <v>43</v>
      </c>
      <c r="D4225" s="6" t="s">
        <v>1390</v>
      </c>
      <c r="E4225" s="6" t="s">
        <v>1540</v>
      </c>
      <c r="F4225" s="6" t="s">
        <v>46</v>
      </c>
      <c r="G4225" s="6" t="s">
        <v>18013</v>
      </c>
      <c r="H4225" s="7">
        <v>37.94</v>
      </c>
      <c r="I4225" s="19" t="s">
        <v>1589</v>
      </c>
      <c r="J4225" s="19" t="s">
        <v>17743</v>
      </c>
      <c r="K4225" s="5" t="s">
        <v>17809</v>
      </c>
      <c r="L4225" s="5" t="s">
        <v>17810</v>
      </c>
      <c r="M4225" s="5" t="s">
        <v>17811</v>
      </c>
      <c r="N4225" s="5" t="s">
        <v>17812</v>
      </c>
      <c r="O4225" s="5" t="s">
        <v>18014</v>
      </c>
      <c r="P4225" s="5" t="s">
        <v>18015</v>
      </c>
      <c r="Q4225" s="5" t="s">
        <v>18016</v>
      </c>
      <c r="R4225" s="5" t="s">
        <v>18017</v>
      </c>
      <c r="W4225" s="5" t="s">
        <v>17800</v>
      </c>
      <c r="X4225" s="5" t="s">
        <v>17801</v>
      </c>
      <c r="Y4225" s="5" t="s">
        <v>17802</v>
      </c>
      <c r="Z4225" s="5" t="s">
        <v>17803</v>
      </c>
      <c r="AG4225" s="14" t="s">
        <v>55</v>
      </c>
      <c r="AH4225" s="14" t="s">
        <v>1603</v>
      </c>
      <c r="AI4225" s="14" t="s">
        <v>1604</v>
      </c>
    </row>
    <row r="4226" spans="1:37">
      <c r="A4226" s="5" t="s">
        <v>18018</v>
      </c>
      <c r="B4226" s="5" t="s">
        <v>18012</v>
      </c>
      <c r="C4226" s="6" t="s">
        <v>43</v>
      </c>
      <c r="D4226" s="6" t="s">
        <v>1390</v>
      </c>
      <c r="E4226" s="6" t="s">
        <v>2065</v>
      </c>
      <c r="F4226" s="6" t="s">
        <v>46</v>
      </c>
      <c r="G4226" s="6" t="s">
        <v>18019</v>
      </c>
      <c r="H4226" s="7">
        <v>27.94</v>
      </c>
      <c r="I4226" s="19" t="s">
        <v>1589</v>
      </c>
      <c r="J4226" s="19" t="s">
        <v>17743</v>
      </c>
      <c r="K4226" s="5" t="s">
        <v>17809</v>
      </c>
      <c r="L4226" s="5" t="s">
        <v>17810</v>
      </c>
      <c r="M4226" s="5" t="s">
        <v>17811</v>
      </c>
      <c r="N4226" s="5" t="s">
        <v>17812</v>
      </c>
      <c r="O4226" s="5" t="s">
        <v>18014</v>
      </c>
      <c r="P4226" s="5" t="s">
        <v>18015</v>
      </c>
      <c r="Q4226" s="5" t="s">
        <v>18016</v>
      </c>
      <c r="R4226" s="5" t="s">
        <v>18017</v>
      </c>
      <c r="W4226" s="5" t="s">
        <v>17800</v>
      </c>
      <c r="X4226" s="5" t="s">
        <v>17801</v>
      </c>
      <c r="Y4226" s="5" t="s">
        <v>17802</v>
      </c>
      <c r="Z4226" s="5" t="s">
        <v>17803</v>
      </c>
      <c r="AG4226" s="14" t="s">
        <v>55</v>
      </c>
      <c r="AH4226" s="14" t="s">
        <v>1603</v>
      </c>
      <c r="AI4226" s="14" t="s">
        <v>1604</v>
      </c>
    </row>
    <row r="4227" spans="1:37">
      <c r="A4227" s="5" t="s">
        <v>18020</v>
      </c>
      <c r="B4227" s="5" t="s">
        <v>18012</v>
      </c>
      <c r="C4227" s="6" t="s">
        <v>43</v>
      </c>
      <c r="D4227" s="6" t="s">
        <v>1390</v>
      </c>
      <c r="E4227" s="6" t="s">
        <v>2461</v>
      </c>
      <c r="F4227" s="6" t="s">
        <v>46</v>
      </c>
      <c r="G4227" s="6" t="s">
        <v>6751</v>
      </c>
      <c r="H4227" s="7">
        <v>27.94</v>
      </c>
      <c r="I4227" s="19" t="s">
        <v>1589</v>
      </c>
      <c r="J4227" s="19" t="s">
        <v>17743</v>
      </c>
      <c r="K4227" s="5" t="s">
        <v>17809</v>
      </c>
      <c r="L4227" s="5" t="s">
        <v>17810</v>
      </c>
      <c r="M4227" s="5" t="s">
        <v>17811</v>
      </c>
      <c r="N4227" s="5" t="s">
        <v>17812</v>
      </c>
      <c r="O4227" s="5" t="s">
        <v>18014</v>
      </c>
      <c r="P4227" s="5" t="s">
        <v>18015</v>
      </c>
      <c r="Q4227" s="5" t="s">
        <v>18016</v>
      </c>
      <c r="R4227" s="5" t="s">
        <v>18017</v>
      </c>
      <c r="W4227" s="5" t="s">
        <v>17800</v>
      </c>
      <c r="X4227" s="5" t="s">
        <v>17801</v>
      </c>
      <c r="Y4227" s="5" t="s">
        <v>17802</v>
      </c>
      <c r="Z4227" s="5" t="s">
        <v>17803</v>
      </c>
      <c r="AG4227" s="14" t="s">
        <v>55</v>
      </c>
      <c r="AH4227" s="14" t="s">
        <v>1603</v>
      </c>
      <c r="AI4227" s="14" t="s">
        <v>1604</v>
      </c>
    </row>
    <row r="4228" spans="1:37">
      <c r="A4228" s="6" t="s">
        <v>18021</v>
      </c>
      <c r="B4228" s="6" t="s">
        <v>18022</v>
      </c>
      <c r="C4228" s="6" t="s">
        <v>17742</v>
      </c>
      <c r="D4228" s="6" t="s">
        <v>2114</v>
      </c>
      <c r="E4228" s="6" t="s">
        <v>1386</v>
      </c>
      <c r="F4228" s="6" t="s">
        <v>46</v>
      </c>
      <c r="G4228" s="6" t="s">
        <v>10502</v>
      </c>
      <c r="I4228" s="16" t="s">
        <v>48</v>
      </c>
      <c r="J4228" s="16" t="s">
        <v>48</v>
      </c>
      <c r="K4228" s="6"/>
      <c r="L4228" s="6"/>
      <c r="M4228" s="6"/>
      <c r="N4228" s="6"/>
      <c r="O4228" s="6"/>
      <c r="P4228" s="6"/>
      <c r="Q4228" s="6"/>
      <c r="R4228" s="6"/>
      <c r="S4228" s="6"/>
      <c r="T4228" s="6"/>
      <c r="U4228" s="6"/>
      <c r="V4228" s="6"/>
      <c r="W4228" s="6"/>
      <c r="X4228" s="6"/>
      <c r="Y4228" s="6"/>
      <c r="Z4228" s="6"/>
      <c r="AA4228" s="6"/>
      <c r="AB4228" s="6"/>
      <c r="AC4228" s="6"/>
      <c r="AD4228" s="6"/>
      <c r="AE4228" s="6"/>
      <c r="AF4228" s="6"/>
      <c r="AG4228" s="15" t="s">
        <v>55</v>
      </c>
      <c r="AH4228" s="15"/>
      <c r="AI4228" s="15"/>
      <c r="AJ4228" s="6"/>
      <c r="AK4228" s="6"/>
    </row>
    <row r="4229" spans="1:37" s="6" customFormat="1">
      <c r="A4229" s="5" t="s">
        <v>18023</v>
      </c>
      <c r="B4229" s="5" t="s">
        <v>18024</v>
      </c>
      <c r="C4229" s="6" t="s">
        <v>43</v>
      </c>
      <c r="D4229" s="6" t="s">
        <v>1390</v>
      </c>
      <c r="E4229" s="6" t="s">
        <v>2461</v>
      </c>
      <c r="F4229" s="6" t="s">
        <v>46</v>
      </c>
      <c r="G4229" s="6" t="s">
        <v>5020</v>
      </c>
      <c r="H4229" s="7">
        <v>45</v>
      </c>
      <c r="I4229" s="19" t="s">
        <v>1589</v>
      </c>
      <c r="J4229" s="19" t="s">
        <v>17743</v>
      </c>
      <c r="K4229" s="5" t="s">
        <v>17809</v>
      </c>
      <c r="L4229" s="5" t="s">
        <v>17810</v>
      </c>
      <c r="M4229" s="5" t="s">
        <v>17811</v>
      </c>
      <c r="N4229" s="5" t="s">
        <v>17812</v>
      </c>
      <c r="O4229" s="5" t="s">
        <v>18025</v>
      </c>
      <c r="P4229" s="5" t="s">
        <v>18026</v>
      </c>
      <c r="Q4229" s="5" t="s">
        <v>18027</v>
      </c>
      <c r="R4229" s="5" t="s">
        <v>18028</v>
      </c>
      <c r="S4229" s="5"/>
      <c r="T4229" s="5"/>
      <c r="U4229" s="5"/>
      <c r="V4229" s="5"/>
      <c r="W4229" s="5" t="s">
        <v>17800</v>
      </c>
      <c r="X4229" s="5" t="s">
        <v>17801</v>
      </c>
      <c r="Y4229" s="5" t="s">
        <v>17802</v>
      </c>
      <c r="Z4229" s="5" t="s">
        <v>17803</v>
      </c>
      <c r="AA4229" s="5"/>
      <c r="AB4229" s="5"/>
      <c r="AC4229" s="5"/>
      <c r="AD4229" s="5"/>
      <c r="AE4229" s="5"/>
      <c r="AF4229" s="5"/>
      <c r="AG4229" s="14" t="s">
        <v>55</v>
      </c>
      <c r="AH4229" s="14" t="s">
        <v>1603</v>
      </c>
      <c r="AI4229" s="14" t="s">
        <v>1604</v>
      </c>
      <c r="AJ4229" s="5"/>
      <c r="AK4229" s="5"/>
    </row>
    <row r="4230" spans="1:37">
      <c r="A4230" s="6" t="s">
        <v>18029</v>
      </c>
      <c r="B4230" s="6" t="s">
        <v>18030</v>
      </c>
      <c r="C4230" s="6" t="s">
        <v>17742</v>
      </c>
      <c r="D4230" s="6" t="s">
        <v>1390</v>
      </c>
      <c r="E4230" s="6" t="s">
        <v>2065</v>
      </c>
      <c r="F4230" s="6" t="s">
        <v>46</v>
      </c>
      <c r="G4230" s="6" t="s">
        <v>18031</v>
      </c>
      <c r="I4230" s="5" t="s">
        <v>48</v>
      </c>
      <c r="J4230" s="5" t="s">
        <v>48</v>
      </c>
      <c r="K4230" s="6"/>
      <c r="L4230" s="6"/>
      <c r="M4230" s="6"/>
      <c r="N4230" s="6"/>
      <c r="O4230" s="6"/>
      <c r="P4230" s="6"/>
      <c r="Q4230" s="6"/>
      <c r="R4230" s="6"/>
      <c r="S4230" s="6"/>
      <c r="T4230" s="6"/>
      <c r="U4230" s="6"/>
      <c r="V4230" s="6"/>
      <c r="W4230" s="6"/>
      <c r="X4230" s="6"/>
      <c r="Y4230" s="6"/>
      <c r="Z4230" s="6"/>
      <c r="AA4230" s="6"/>
      <c r="AB4230" s="6"/>
      <c r="AC4230" s="6"/>
      <c r="AD4230" s="6"/>
      <c r="AE4230" s="6"/>
      <c r="AF4230" s="6"/>
      <c r="AG4230" s="15" t="s">
        <v>55</v>
      </c>
      <c r="AH4230" s="15"/>
      <c r="AI4230" s="15"/>
      <c r="AJ4230" s="6"/>
      <c r="AK4230" s="6"/>
    </row>
    <row r="4231" spans="1:37" s="6" customFormat="1">
      <c r="A4231" s="5" t="s">
        <v>18032</v>
      </c>
      <c r="B4231" s="5" t="s">
        <v>18033</v>
      </c>
      <c r="C4231" s="6" t="s">
        <v>43</v>
      </c>
      <c r="D4231" s="6" t="s">
        <v>1390</v>
      </c>
      <c r="E4231" s="6" t="s">
        <v>1540</v>
      </c>
      <c r="F4231" s="6" t="s">
        <v>46</v>
      </c>
      <c r="G4231" s="6" t="s">
        <v>18034</v>
      </c>
      <c r="H4231" s="7">
        <v>35.15</v>
      </c>
      <c r="I4231" s="19" t="s">
        <v>1589</v>
      </c>
      <c r="J4231" s="19" t="s">
        <v>17743</v>
      </c>
      <c r="K4231" s="5" t="s">
        <v>17792</v>
      </c>
      <c r="L4231" s="5" t="s">
        <v>17793</v>
      </c>
      <c r="M4231" s="5" t="s">
        <v>17794</v>
      </c>
      <c r="N4231" s="5" t="s">
        <v>17795</v>
      </c>
      <c r="O4231" s="5" t="s">
        <v>18035</v>
      </c>
      <c r="P4231" s="5" t="s">
        <v>18036</v>
      </c>
      <c r="Q4231" s="5" t="s">
        <v>18037</v>
      </c>
      <c r="R4231" s="5" t="s">
        <v>18038</v>
      </c>
      <c r="S4231" s="5"/>
      <c r="T4231" s="5"/>
      <c r="U4231" s="5"/>
      <c r="V4231" s="5"/>
      <c r="W4231" s="5" t="s">
        <v>17800</v>
      </c>
      <c r="X4231" s="5" t="s">
        <v>17801</v>
      </c>
      <c r="Y4231" s="5" t="s">
        <v>17802</v>
      </c>
      <c r="Z4231" s="5" t="s">
        <v>17803</v>
      </c>
      <c r="AA4231" s="5"/>
      <c r="AB4231" s="5"/>
      <c r="AC4231" s="5"/>
      <c r="AD4231" s="5"/>
      <c r="AE4231" s="5"/>
      <c r="AF4231" s="5"/>
      <c r="AG4231" s="14" t="s">
        <v>55</v>
      </c>
      <c r="AH4231" s="14" t="s">
        <v>1603</v>
      </c>
      <c r="AI4231" s="14" t="s">
        <v>1604</v>
      </c>
      <c r="AJ4231" s="5"/>
      <c r="AK4231" s="5"/>
    </row>
    <row r="4232" spans="1:37">
      <c r="A4232" s="5" t="s">
        <v>18039</v>
      </c>
      <c r="B4232" s="5" t="s">
        <v>18033</v>
      </c>
      <c r="C4232" s="6" t="s">
        <v>43</v>
      </c>
      <c r="D4232" s="6" t="s">
        <v>1390</v>
      </c>
      <c r="E4232" s="6" t="s">
        <v>2065</v>
      </c>
      <c r="F4232" s="6" t="s">
        <v>46</v>
      </c>
      <c r="G4232" s="6" t="s">
        <v>8496</v>
      </c>
      <c r="H4232" s="7">
        <v>35.15</v>
      </c>
      <c r="I4232" s="19" t="s">
        <v>1589</v>
      </c>
      <c r="J4232" s="19" t="s">
        <v>17743</v>
      </c>
      <c r="K4232" s="5" t="s">
        <v>17792</v>
      </c>
      <c r="L4232" s="5" t="s">
        <v>17793</v>
      </c>
      <c r="M4232" s="5" t="s">
        <v>17794</v>
      </c>
      <c r="N4232" s="5" t="s">
        <v>17795</v>
      </c>
      <c r="O4232" s="5" t="s">
        <v>18035</v>
      </c>
      <c r="P4232" s="5" t="s">
        <v>18036</v>
      </c>
      <c r="Q4232" s="5" t="s">
        <v>18037</v>
      </c>
      <c r="R4232" s="5" t="s">
        <v>18038</v>
      </c>
      <c r="W4232" s="5" t="s">
        <v>17800</v>
      </c>
      <c r="X4232" s="5" t="s">
        <v>17801</v>
      </c>
      <c r="Y4232" s="5" t="s">
        <v>17802</v>
      </c>
      <c r="Z4232" s="5" t="s">
        <v>17803</v>
      </c>
      <c r="AG4232" s="14" t="s">
        <v>55</v>
      </c>
      <c r="AH4232" s="14" t="s">
        <v>1603</v>
      </c>
      <c r="AI4232" s="14" t="s">
        <v>1604</v>
      </c>
    </row>
    <row r="4233" spans="1:37">
      <c r="A4233" s="5" t="s">
        <v>18040</v>
      </c>
      <c r="B4233" s="5" t="s">
        <v>18041</v>
      </c>
      <c r="C4233" s="6" t="s">
        <v>17742</v>
      </c>
      <c r="D4233" s="6" t="s">
        <v>1390</v>
      </c>
      <c r="E4233" s="6" t="s">
        <v>2065</v>
      </c>
      <c r="F4233" s="6" t="s">
        <v>46</v>
      </c>
      <c r="G4233" s="6" t="s">
        <v>13863</v>
      </c>
      <c r="H4233" s="7">
        <v>31.42</v>
      </c>
      <c r="I4233" s="19" t="s">
        <v>1589</v>
      </c>
      <c r="J4233" s="19" t="s">
        <v>17743</v>
      </c>
      <c r="K4233" s="5" t="s">
        <v>17809</v>
      </c>
      <c r="L4233" s="5" t="s">
        <v>17810</v>
      </c>
      <c r="M4233" s="5" t="s">
        <v>17811</v>
      </c>
      <c r="N4233" s="5" t="s">
        <v>17812</v>
      </c>
      <c r="O4233" s="5" t="s">
        <v>18025</v>
      </c>
      <c r="P4233" s="5" t="s">
        <v>18026</v>
      </c>
      <c r="Q4233" s="5" t="s">
        <v>18027</v>
      </c>
      <c r="R4233" s="5" t="s">
        <v>18028</v>
      </c>
      <c r="W4233" s="5" t="s">
        <v>17800</v>
      </c>
      <c r="X4233" s="5" t="s">
        <v>17801</v>
      </c>
      <c r="Y4233" s="5" t="s">
        <v>17802</v>
      </c>
      <c r="Z4233" s="5" t="s">
        <v>17803</v>
      </c>
      <c r="AG4233" s="14" t="s">
        <v>55</v>
      </c>
      <c r="AH4233" s="14" t="s">
        <v>1603</v>
      </c>
      <c r="AI4233" s="14" t="s">
        <v>1604</v>
      </c>
    </row>
    <row r="4234" spans="1:37">
      <c r="A4234" s="5" t="s">
        <v>18042</v>
      </c>
      <c r="B4234" s="5" t="s">
        <v>18043</v>
      </c>
      <c r="C4234" s="6" t="s">
        <v>17742</v>
      </c>
      <c r="D4234" s="6" t="s">
        <v>2114</v>
      </c>
      <c r="E4234" s="6" t="s">
        <v>1386</v>
      </c>
      <c r="F4234" s="6" t="s">
        <v>46</v>
      </c>
      <c r="G4234" s="6" t="s">
        <v>18044</v>
      </c>
      <c r="H4234" s="7">
        <v>23.02</v>
      </c>
      <c r="I4234" s="19" t="s">
        <v>1589</v>
      </c>
      <c r="J4234" s="19" t="s">
        <v>17743</v>
      </c>
      <c r="K4234" s="5" t="s">
        <v>17759</v>
      </c>
      <c r="L4234" s="5" t="s">
        <v>17760</v>
      </c>
      <c r="M4234" s="5" t="s">
        <v>17761</v>
      </c>
      <c r="N4234" s="5" t="s">
        <v>17762</v>
      </c>
      <c r="O4234" s="5" t="s">
        <v>18045</v>
      </c>
      <c r="P4234" s="5" t="s">
        <v>18046</v>
      </c>
      <c r="Q4234" s="5" t="s">
        <v>18047</v>
      </c>
      <c r="R4234" s="5" t="s">
        <v>18048</v>
      </c>
      <c r="W4234" s="5" t="s">
        <v>17752</v>
      </c>
      <c r="X4234" s="5" t="s">
        <v>17753</v>
      </c>
      <c r="Y4234" s="5" t="s">
        <v>17754</v>
      </c>
      <c r="Z4234" s="5" t="s">
        <v>17755</v>
      </c>
      <c r="AG4234" s="14" t="s">
        <v>55</v>
      </c>
      <c r="AH4234" s="14" t="s">
        <v>1603</v>
      </c>
      <c r="AI4234" s="14" t="s">
        <v>1604</v>
      </c>
    </row>
    <row r="4235" spans="1:37">
      <c r="A4235" s="5" t="s">
        <v>18049</v>
      </c>
      <c r="B4235" s="5" t="s">
        <v>18050</v>
      </c>
      <c r="C4235" s="6" t="s">
        <v>17742</v>
      </c>
      <c r="D4235" s="6" t="s">
        <v>2114</v>
      </c>
      <c r="E4235" s="6" t="s">
        <v>1386</v>
      </c>
      <c r="F4235" s="6" t="s">
        <v>46</v>
      </c>
      <c r="G4235" s="6" t="s">
        <v>12642</v>
      </c>
      <c r="H4235" s="7">
        <v>31.99</v>
      </c>
      <c r="I4235" s="19" t="s">
        <v>1589</v>
      </c>
      <c r="J4235" s="19" t="s">
        <v>17743</v>
      </c>
      <c r="K4235" s="5" t="s">
        <v>17744</v>
      </c>
      <c r="L4235" s="5" t="s">
        <v>17745</v>
      </c>
      <c r="M4235" s="5" t="s">
        <v>17746</v>
      </c>
      <c r="N4235" s="5" t="s">
        <v>17747</v>
      </c>
      <c r="O4235" s="5" t="s">
        <v>18051</v>
      </c>
      <c r="P4235" s="5" t="s">
        <v>18052</v>
      </c>
      <c r="Q4235" s="5" t="s">
        <v>18053</v>
      </c>
      <c r="R4235" s="5" t="s">
        <v>18054</v>
      </c>
      <c r="W4235" s="5" t="s">
        <v>17752</v>
      </c>
      <c r="X4235" s="5" t="s">
        <v>17753</v>
      </c>
      <c r="Y4235" s="5" t="s">
        <v>17754</v>
      </c>
      <c r="Z4235" s="5" t="s">
        <v>17755</v>
      </c>
      <c r="AG4235" s="14" t="s">
        <v>55</v>
      </c>
      <c r="AH4235" s="14" t="s">
        <v>1603</v>
      </c>
      <c r="AI4235" s="14" t="s">
        <v>1604</v>
      </c>
    </row>
    <row r="4236" spans="1:37">
      <c r="A4236" s="6" t="s">
        <v>18055</v>
      </c>
      <c r="B4236" s="6" t="s">
        <v>18056</v>
      </c>
      <c r="C4236" s="6" t="s">
        <v>43</v>
      </c>
      <c r="D4236" s="6" t="s">
        <v>1390</v>
      </c>
      <c r="E4236" s="6" t="s">
        <v>2065</v>
      </c>
      <c r="F4236" s="6" t="s">
        <v>46</v>
      </c>
      <c r="G4236" s="6" t="s">
        <v>18057</v>
      </c>
      <c r="I4236" s="19" t="s">
        <v>48</v>
      </c>
      <c r="J4236" s="19" t="s">
        <v>48</v>
      </c>
      <c r="K4236" s="6"/>
      <c r="L4236" s="6"/>
      <c r="M4236" s="6"/>
      <c r="N4236" s="6"/>
      <c r="O4236" s="6"/>
      <c r="P4236" s="6"/>
      <c r="Q4236" s="6"/>
      <c r="R4236" s="6"/>
      <c r="S4236" s="6"/>
      <c r="T4236" s="6"/>
      <c r="U4236" s="6"/>
      <c r="V4236" s="6"/>
      <c r="W4236" s="6"/>
      <c r="X4236" s="6"/>
      <c r="Y4236" s="6"/>
      <c r="Z4236" s="6"/>
      <c r="AA4236" s="6"/>
      <c r="AB4236" s="6"/>
      <c r="AC4236" s="6"/>
      <c r="AD4236" s="6"/>
      <c r="AE4236" s="6"/>
      <c r="AF4236" s="6"/>
      <c r="AG4236" s="15" t="s">
        <v>55</v>
      </c>
      <c r="AH4236" s="15"/>
      <c r="AI4236" s="15"/>
      <c r="AJ4236" s="6"/>
      <c r="AK4236" s="6"/>
    </row>
    <row r="4237" spans="1:37" s="6" customFormat="1">
      <c r="A4237" s="5" t="s">
        <v>18058</v>
      </c>
      <c r="B4237" s="5" t="s">
        <v>18059</v>
      </c>
      <c r="C4237" s="6" t="s">
        <v>43</v>
      </c>
      <c r="D4237" s="6" t="s">
        <v>1390</v>
      </c>
      <c r="E4237" s="6" t="s">
        <v>1540</v>
      </c>
      <c r="F4237" s="6" t="s">
        <v>46</v>
      </c>
      <c r="G4237" s="6" t="s">
        <v>18060</v>
      </c>
      <c r="H4237" s="7">
        <v>39.049999999999997</v>
      </c>
      <c r="I4237" s="19" t="s">
        <v>1589</v>
      </c>
      <c r="J4237" s="19" t="s">
        <v>17743</v>
      </c>
      <c r="K4237" s="5" t="s">
        <v>17792</v>
      </c>
      <c r="L4237" s="5" t="s">
        <v>17793</v>
      </c>
      <c r="M4237" s="5" t="s">
        <v>17794</v>
      </c>
      <c r="N4237" s="5" t="s">
        <v>17795</v>
      </c>
      <c r="O4237" s="5" t="s">
        <v>18061</v>
      </c>
      <c r="P4237" s="5" t="s">
        <v>18062</v>
      </c>
      <c r="Q4237" s="5" t="s">
        <v>18063</v>
      </c>
      <c r="R4237" s="5" t="s">
        <v>18064</v>
      </c>
      <c r="S4237" s="5"/>
      <c r="T4237" s="5"/>
      <c r="U4237" s="5"/>
      <c r="V4237" s="5"/>
      <c r="W4237" s="5" t="s">
        <v>17800</v>
      </c>
      <c r="X4237" s="5" t="s">
        <v>17801</v>
      </c>
      <c r="Y4237" s="5" t="s">
        <v>17802</v>
      </c>
      <c r="Z4237" s="5" t="s">
        <v>17803</v>
      </c>
      <c r="AA4237" s="5"/>
      <c r="AB4237" s="5"/>
      <c r="AC4237" s="5"/>
      <c r="AD4237" s="5"/>
      <c r="AE4237" s="5"/>
      <c r="AF4237" s="5"/>
      <c r="AG4237" s="14" t="s">
        <v>55</v>
      </c>
      <c r="AH4237" s="14" t="s">
        <v>1603</v>
      </c>
      <c r="AI4237" s="14" t="s">
        <v>1604</v>
      </c>
      <c r="AJ4237" s="5"/>
      <c r="AK4237" s="5"/>
    </row>
    <row r="4238" spans="1:37">
      <c r="A4238" s="5" t="s">
        <v>18065</v>
      </c>
      <c r="B4238" s="5" t="s">
        <v>18059</v>
      </c>
      <c r="C4238" s="6" t="s">
        <v>43</v>
      </c>
      <c r="D4238" s="6" t="s">
        <v>1390</v>
      </c>
      <c r="E4238" s="6" t="s">
        <v>2065</v>
      </c>
      <c r="F4238" s="6" t="s">
        <v>46</v>
      </c>
      <c r="G4238" s="6" t="s">
        <v>18066</v>
      </c>
      <c r="H4238" s="7">
        <v>39.049999999999997</v>
      </c>
      <c r="I4238" s="19" t="s">
        <v>1589</v>
      </c>
      <c r="J4238" s="19" t="s">
        <v>17743</v>
      </c>
      <c r="K4238" s="5" t="s">
        <v>17792</v>
      </c>
      <c r="L4238" s="5" t="s">
        <v>17793</v>
      </c>
      <c r="M4238" s="5" t="s">
        <v>17794</v>
      </c>
      <c r="N4238" s="5" t="s">
        <v>17795</v>
      </c>
      <c r="O4238" s="5" t="s">
        <v>18061</v>
      </c>
      <c r="P4238" s="5" t="s">
        <v>18062</v>
      </c>
      <c r="Q4238" s="5" t="s">
        <v>18063</v>
      </c>
      <c r="R4238" s="5" t="s">
        <v>18064</v>
      </c>
      <c r="W4238" s="5" t="s">
        <v>17800</v>
      </c>
      <c r="X4238" s="5" t="s">
        <v>17801</v>
      </c>
      <c r="Y4238" s="5" t="s">
        <v>17802</v>
      </c>
      <c r="Z4238" s="5" t="s">
        <v>17803</v>
      </c>
      <c r="AG4238" s="14" t="s">
        <v>55</v>
      </c>
      <c r="AH4238" s="14" t="s">
        <v>1603</v>
      </c>
      <c r="AI4238" s="14" t="s">
        <v>1604</v>
      </c>
    </row>
    <row r="4239" spans="1:37">
      <c r="A4239" s="5" t="s">
        <v>18067</v>
      </c>
      <c r="B4239" s="5" t="s">
        <v>18068</v>
      </c>
      <c r="C4239" s="6" t="s">
        <v>43</v>
      </c>
      <c r="D4239" s="6" t="s">
        <v>1390</v>
      </c>
      <c r="E4239" s="6" t="s">
        <v>2065</v>
      </c>
      <c r="F4239" s="6" t="s">
        <v>46</v>
      </c>
      <c r="G4239" s="6" t="s">
        <v>16731</v>
      </c>
      <c r="H4239" s="7">
        <v>34.93</v>
      </c>
      <c r="I4239" s="19" t="s">
        <v>1589</v>
      </c>
      <c r="J4239" s="19" t="s">
        <v>17743</v>
      </c>
      <c r="K4239" s="5" t="s">
        <v>17809</v>
      </c>
      <c r="L4239" s="5" t="s">
        <v>17810</v>
      </c>
      <c r="M4239" s="5" t="s">
        <v>17811</v>
      </c>
      <c r="N4239" s="5" t="s">
        <v>17812</v>
      </c>
      <c r="O4239" s="5" t="s">
        <v>18069</v>
      </c>
      <c r="P4239" s="5" t="s">
        <v>18070</v>
      </c>
      <c r="Q4239" s="5" t="s">
        <v>18071</v>
      </c>
      <c r="R4239" s="5" t="s">
        <v>18072</v>
      </c>
      <c r="W4239" s="5" t="s">
        <v>17800</v>
      </c>
      <c r="X4239" s="5" t="s">
        <v>17801</v>
      </c>
      <c r="Y4239" s="5" t="s">
        <v>17802</v>
      </c>
      <c r="Z4239" s="5" t="s">
        <v>17803</v>
      </c>
      <c r="AG4239" s="14" t="s">
        <v>55</v>
      </c>
      <c r="AH4239" s="14" t="s">
        <v>1603</v>
      </c>
      <c r="AI4239" s="14" t="s">
        <v>1604</v>
      </c>
    </row>
    <row r="4240" spans="1:37">
      <c r="A4240" s="6" t="s">
        <v>18073</v>
      </c>
      <c r="B4240" s="6" t="s">
        <v>18074</v>
      </c>
      <c r="C4240" s="6" t="s">
        <v>43</v>
      </c>
      <c r="D4240" s="6" t="s">
        <v>1390</v>
      </c>
      <c r="E4240" s="6" t="s">
        <v>2065</v>
      </c>
      <c r="F4240" s="6" t="s">
        <v>46</v>
      </c>
      <c r="G4240" s="6" t="s">
        <v>18075</v>
      </c>
      <c r="I4240" s="5" t="s">
        <v>48</v>
      </c>
      <c r="J4240" s="5" t="s">
        <v>48</v>
      </c>
      <c r="K4240" s="6"/>
      <c r="L4240" s="6"/>
      <c r="M4240" s="6"/>
      <c r="N4240" s="6"/>
      <c r="O4240" s="6"/>
      <c r="P4240" s="6"/>
      <c r="Q4240" s="6"/>
      <c r="R4240" s="6"/>
      <c r="S4240" s="6"/>
      <c r="T4240" s="6"/>
      <c r="U4240" s="6"/>
      <c r="V4240" s="6"/>
      <c r="W4240" s="6"/>
      <c r="X4240" s="6"/>
      <c r="Y4240" s="6"/>
      <c r="Z4240" s="6"/>
      <c r="AA4240" s="6"/>
      <c r="AB4240" s="6"/>
      <c r="AC4240" s="6"/>
      <c r="AD4240" s="6"/>
      <c r="AE4240" s="6"/>
      <c r="AF4240" s="6"/>
      <c r="AG4240" s="15" t="s">
        <v>55</v>
      </c>
      <c r="AH4240" s="15"/>
      <c r="AI4240" s="15"/>
      <c r="AJ4240" s="6"/>
      <c r="AK4240" s="6"/>
    </row>
    <row r="4241" spans="1:37" s="6" customFormat="1">
      <c r="A4241" s="5" t="s">
        <v>18076</v>
      </c>
      <c r="B4241" s="5" t="s">
        <v>18059</v>
      </c>
      <c r="C4241" s="6" t="s">
        <v>43</v>
      </c>
      <c r="D4241" s="6" t="s">
        <v>1390</v>
      </c>
      <c r="E4241" s="6" t="s">
        <v>1540</v>
      </c>
      <c r="F4241" s="6" t="s">
        <v>46</v>
      </c>
      <c r="G4241" s="6" t="s">
        <v>2948</v>
      </c>
      <c r="H4241" s="7">
        <v>39.049999999999997</v>
      </c>
      <c r="I4241" s="19" t="s">
        <v>1589</v>
      </c>
      <c r="J4241" s="19" t="s">
        <v>17743</v>
      </c>
      <c r="K4241" s="5" t="s">
        <v>17792</v>
      </c>
      <c r="L4241" s="5" t="s">
        <v>17793</v>
      </c>
      <c r="M4241" s="5" t="s">
        <v>17794</v>
      </c>
      <c r="N4241" s="5" t="s">
        <v>17795</v>
      </c>
      <c r="O4241" s="5" t="s">
        <v>18077</v>
      </c>
      <c r="P4241" s="5" t="s">
        <v>18078</v>
      </c>
      <c r="Q4241" s="5" t="s">
        <v>18079</v>
      </c>
      <c r="R4241" s="5" t="s">
        <v>18080</v>
      </c>
      <c r="S4241" s="5"/>
      <c r="T4241" s="5"/>
      <c r="U4241" s="5"/>
      <c r="V4241" s="5"/>
      <c r="W4241" s="5" t="s">
        <v>17800</v>
      </c>
      <c r="X4241" s="5" t="s">
        <v>17801</v>
      </c>
      <c r="Y4241" s="5" t="s">
        <v>17802</v>
      </c>
      <c r="Z4241" s="5" t="s">
        <v>17803</v>
      </c>
      <c r="AA4241" s="5"/>
      <c r="AB4241" s="5"/>
      <c r="AC4241" s="5"/>
      <c r="AD4241" s="5"/>
      <c r="AE4241" s="5"/>
      <c r="AF4241" s="5"/>
      <c r="AG4241" s="14" t="s">
        <v>55</v>
      </c>
      <c r="AH4241" s="14" t="s">
        <v>1603</v>
      </c>
      <c r="AI4241" s="14" t="s">
        <v>1604</v>
      </c>
      <c r="AJ4241" s="5"/>
      <c r="AK4241" s="5"/>
    </row>
    <row r="4242" spans="1:37">
      <c r="A4242" s="5" t="s">
        <v>18081</v>
      </c>
      <c r="B4242" s="5" t="s">
        <v>18082</v>
      </c>
      <c r="C4242" s="6" t="s">
        <v>43</v>
      </c>
      <c r="D4242" s="6" t="s">
        <v>1390</v>
      </c>
      <c r="E4242" s="6" t="s">
        <v>2065</v>
      </c>
      <c r="F4242" s="6" t="s">
        <v>46</v>
      </c>
      <c r="G4242" s="6" t="s">
        <v>18083</v>
      </c>
      <c r="H4242" s="7">
        <v>42.96</v>
      </c>
      <c r="I4242" s="19" t="s">
        <v>1589</v>
      </c>
      <c r="J4242" s="19" t="s">
        <v>17743</v>
      </c>
      <c r="K4242" s="5" t="s">
        <v>17792</v>
      </c>
      <c r="L4242" s="5" t="s">
        <v>17793</v>
      </c>
      <c r="M4242" s="5" t="s">
        <v>17794</v>
      </c>
      <c r="N4242" s="5" t="s">
        <v>17795</v>
      </c>
      <c r="O4242" s="5" t="s">
        <v>18084</v>
      </c>
      <c r="P4242" s="5" t="s">
        <v>18085</v>
      </c>
      <c r="Q4242" s="5" t="s">
        <v>18086</v>
      </c>
      <c r="R4242" s="5" t="s">
        <v>18087</v>
      </c>
      <c r="W4242" s="5" t="s">
        <v>17800</v>
      </c>
      <c r="X4242" s="5" t="s">
        <v>17801</v>
      </c>
      <c r="Y4242" s="5" t="s">
        <v>17802</v>
      </c>
      <c r="Z4242" s="5" t="s">
        <v>17803</v>
      </c>
      <c r="AG4242" s="14" t="s">
        <v>55</v>
      </c>
      <c r="AH4242" s="14" t="s">
        <v>1603</v>
      </c>
      <c r="AI4242" s="14" t="s">
        <v>1604</v>
      </c>
    </row>
    <row r="4243" spans="1:37">
      <c r="A4243" s="5" t="s">
        <v>18088</v>
      </c>
      <c r="B4243" s="5" t="s">
        <v>18089</v>
      </c>
      <c r="C4243" s="6" t="s">
        <v>43</v>
      </c>
      <c r="D4243" s="6" t="s">
        <v>1390</v>
      </c>
      <c r="E4243" s="6" t="s">
        <v>2065</v>
      </c>
      <c r="F4243" s="6" t="s">
        <v>46</v>
      </c>
      <c r="G4243" s="6" t="s">
        <v>8832</v>
      </c>
      <c r="H4243" s="7">
        <v>45.3</v>
      </c>
      <c r="I4243" s="19" t="s">
        <v>1589</v>
      </c>
      <c r="J4243" s="19" t="s">
        <v>17743</v>
      </c>
      <c r="K4243" s="5" t="s">
        <v>17792</v>
      </c>
      <c r="L4243" s="5" t="s">
        <v>17793</v>
      </c>
      <c r="M4243" s="5" t="s">
        <v>17794</v>
      </c>
      <c r="N4243" s="5" t="s">
        <v>17795</v>
      </c>
      <c r="O4243" s="5" t="s">
        <v>18090</v>
      </c>
      <c r="P4243" s="5" t="s">
        <v>18091</v>
      </c>
      <c r="Q4243" s="5" t="s">
        <v>18092</v>
      </c>
      <c r="R4243" s="5" t="s">
        <v>18093</v>
      </c>
      <c r="W4243" s="5" t="s">
        <v>17800</v>
      </c>
      <c r="X4243" s="5" t="s">
        <v>17801</v>
      </c>
      <c r="Y4243" s="5" t="s">
        <v>17802</v>
      </c>
      <c r="Z4243" s="5" t="s">
        <v>17803</v>
      </c>
      <c r="AG4243" s="14" t="s">
        <v>55</v>
      </c>
      <c r="AH4243" s="14" t="s">
        <v>1603</v>
      </c>
      <c r="AI4243" s="14" t="s">
        <v>1604</v>
      </c>
    </row>
    <row r="4244" spans="1:37">
      <c r="A4244" s="5" t="s">
        <v>18094</v>
      </c>
      <c r="B4244" s="5" t="s">
        <v>18095</v>
      </c>
      <c r="C4244" s="6" t="s">
        <v>43</v>
      </c>
      <c r="D4244" s="6" t="s">
        <v>1390</v>
      </c>
      <c r="E4244" s="6" t="s">
        <v>2065</v>
      </c>
      <c r="F4244" s="6" t="s">
        <v>46</v>
      </c>
      <c r="G4244" s="6" t="s">
        <v>18096</v>
      </c>
      <c r="H4244" s="7">
        <v>40.51</v>
      </c>
      <c r="I4244" s="19" t="s">
        <v>1589</v>
      </c>
      <c r="J4244" s="19" t="s">
        <v>17743</v>
      </c>
      <c r="K4244" s="5" t="s">
        <v>17809</v>
      </c>
      <c r="L4244" s="5" t="s">
        <v>17810</v>
      </c>
      <c r="M4244" s="5" t="s">
        <v>17811</v>
      </c>
      <c r="N4244" s="5" t="s">
        <v>17812</v>
      </c>
      <c r="O4244" s="5" t="s">
        <v>18097</v>
      </c>
      <c r="P4244" s="5" t="s">
        <v>18098</v>
      </c>
      <c r="Q4244" s="5" t="s">
        <v>18099</v>
      </c>
      <c r="R4244" s="5" t="s">
        <v>18100</v>
      </c>
      <c r="W4244" s="5" t="s">
        <v>17800</v>
      </c>
      <c r="X4244" s="5" t="s">
        <v>17801</v>
      </c>
      <c r="Y4244" s="5" t="s">
        <v>17802</v>
      </c>
      <c r="Z4244" s="5" t="s">
        <v>17803</v>
      </c>
      <c r="AG4244" s="14" t="s">
        <v>55</v>
      </c>
      <c r="AH4244" s="14" t="s">
        <v>1603</v>
      </c>
      <c r="AI4244" s="14" t="s">
        <v>1604</v>
      </c>
    </row>
    <row r="4245" spans="1:37">
      <c r="A4245" s="5" t="s">
        <v>18101</v>
      </c>
      <c r="B4245" s="5" t="s">
        <v>17741</v>
      </c>
      <c r="C4245" s="6" t="s">
        <v>17742</v>
      </c>
      <c r="D4245" s="6" t="s">
        <v>2114</v>
      </c>
      <c r="E4245" s="6" t="s">
        <v>1386</v>
      </c>
      <c r="F4245" s="6" t="s">
        <v>46</v>
      </c>
      <c r="G4245" s="6" t="s">
        <v>18102</v>
      </c>
      <c r="H4245" s="7">
        <v>38.380000000000003</v>
      </c>
      <c r="I4245" s="19" t="s">
        <v>1589</v>
      </c>
      <c r="J4245" s="19" t="s">
        <v>17743</v>
      </c>
      <c r="K4245" s="5" t="s">
        <v>17744</v>
      </c>
      <c r="L4245" s="5" t="s">
        <v>17745</v>
      </c>
      <c r="M4245" s="5" t="s">
        <v>17746</v>
      </c>
      <c r="N4245" s="5" t="s">
        <v>17747</v>
      </c>
      <c r="O4245" s="5" t="s">
        <v>17748</v>
      </c>
      <c r="P4245" s="5" t="s">
        <v>17749</v>
      </c>
      <c r="Q4245" s="5" t="s">
        <v>17750</v>
      </c>
      <c r="R4245" s="5" t="s">
        <v>17751</v>
      </c>
      <c r="W4245" s="5" t="s">
        <v>17752</v>
      </c>
      <c r="X4245" s="5" t="s">
        <v>17753</v>
      </c>
      <c r="Y4245" s="5" t="s">
        <v>17754</v>
      </c>
      <c r="Z4245" s="5" t="s">
        <v>17755</v>
      </c>
      <c r="AG4245" s="14" t="s">
        <v>55</v>
      </c>
      <c r="AH4245" s="14" t="s">
        <v>1603</v>
      </c>
      <c r="AI4245" s="14" t="s">
        <v>1604</v>
      </c>
    </row>
    <row r="4246" spans="1:37">
      <c r="A4246" s="5" t="s">
        <v>18103</v>
      </c>
      <c r="B4246" s="5" t="s">
        <v>18104</v>
      </c>
      <c r="C4246" s="6" t="s">
        <v>17742</v>
      </c>
      <c r="D4246" s="6" t="s">
        <v>2114</v>
      </c>
      <c r="E4246" s="6" t="s">
        <v>1386</v>
      </c>
      <c r="F4246" s="6" t="s">
        <v>46</v>
      </c>
      <c r="G4246" s="6" t="s">
        <v>8840</v>
      </c>
      <c r="H4246" s="7">
        <v>41.25</v>
      </c>
      <c r="I4246" s="19" t="s">
        <v>1589</v>
      </c>
      <c r="J4246" s="19" t="s">
        <v>17743</v>
      </c>
      <c r="K4246" s="5" t="s">
        <v>17777</v>
      </c>
      <c r="L4246" s="5" t="s">
        <v>17778</v>
      </c>
      <c r="M4246" s="5" t="s">
        <v>17779</v>
      </c>
      <c r="N4246" s="5" t="s">
        <v>17780</v>
      </c>
      <c r="O4246" s="5" t="s">
        <v>18105</v>
      </c>
      <c r="P4246" s="5" t="s">
        <v>18106</v>
      </c>
      <c r="Q4246" s="5" t="s">
        <v>18107</v>
      </c>
      <c r="R4246" s="5" t="s">
        <v>18108</v>
      </c>
      <c r="W4246" s="5" t="s">
        <v>17752</v>
      </c>
      <c r="X4246" s="5" t="s">
        <v>17753</v>
      </c>
      <c r="Y4246" s="5" t="s">
        <v>17754</v>
      </c>
      <c r="Z4246" s="5" t="s">
        <v>17894</v>
      </c>
      <c r="AG4246" s="14" t="s">
        <v>55</v>
      </c>
      <c r="AH4246" s="14" t="s">
        <v>1603</v>
      </c>
      <c r="AI4246" s="14" t="s">
        <v>1604</v>
      </c>
    </row>
    <row r="4247" spans="1:37">
      <c r="A4247" s="6" t="s">
        <v>18109</v>
      </c>
      <c r="B4247" s="6" t="s">
        <v>18110</v>
      </c>
      <c r="C4247" s="6" t="s">
        <v>43</v>
      </c>
      <c r="D4247" s="6" t="s">
        <v>1390</v>
      </c>
      <c r="E4247" s="6" t="s">
        <v>1587</v>
      </c>
      <c r="F4247" s="6" t="s">
        <v>46</v>
      </c>
      <c r="G4247" s="6" t="s">
        <v>2825</v>
      </c>
      <c r="I4247" s="5" t="s">
        <v>48</v>
      </c>
      <c r="J4247" s="5" t="s">
        <v>48</v>
      </c>
      <c r="K4247" s="6"/>
      <c r="L4247" s="6"/>
      <c r="M4247" s="6"/>
      <c r="N4247" s="6"/>
      <c r="O4247" s="6"/>
      <c r="P4247" s="6"/>
      <c r="Q4247" s="6"/>
      <c r="R4247" s="6"/>
      <c r="S4247" s="6"/>
      <c r="T4247" s="6"/>
      <c r="U4247" s="6"/>
      <c r="V4247" s="6"/>
      <c r="W4247" s="6"/>
      <c r="X4247" s="6"/>
      <c r="Y4247" s="6"/>
      <c r="Z4247" s="6"/>
      <c r="AA4247" s="6"/>
      <c r="AB4247" s="6"/>
      <c r="AC4247" s="6"/>
      <c r="AD4247" s="6"/>
      <c r="AE4247" s="6"/>
      <c r="AF4247" s="6"/>
      <c r="AG4247" s="15" t="s">
        <v>55</v>
      </c>
      <c r="AH4247" s="15"/>
      <c r="AI4247" s="15"/>
      <c r="AJ4247" s="6"/>
      <c r="AK4247" s="6"/>
    </row>
    <row r="4248" spans="1:37" s="6" customFormat="1">
      <c r="A4248" s="5" t="s">
        <v>18111</v>
      </c>
      <c r="B4248" s="5" t="s">
        <v>18112</v>
      </c>
      <c r="C4248" s="6" t="s">
        <v>43</v>
      </c>
      <c r="D4248" s="6" t="s">
        <v>1390</v>
      </c>
      <c r="E4248" s="6" t="s">
        <v>2065</v>
      </c>
      <c r="F4248" s="6" t="s">
        <v>46</v>
      </c>
      <c r="G4248" s="6" t="s">
        <v>8770</v>
      </c>
      <c r="H4248" s="26">
        <v>46.86</v>
      </c>
      <c r="I4248" s="19" t="s">
        <v>1589</v>
      </c>
      <c r="J4248" s="19" t="s">
        <v>17743</v>
      </c>
      <c r="K4248" s="5" t="s">
        <v>17792</v>
      </c>
      <c r="L4248" s="5" t="s">
        <v>17793</v>
      </c>
      <c r="M4248" s="5" t="s">
        <v>17794</v>
      </c>
      <c r="N4248" s="5" t="s">
        <v>17795</v>
      </c>
      <c r="O4248" s="5" t="s">
        <v>18113</v>
      </c>
      <c r="P4248" s="5" t="s">
        <v>18114</v>
      </c>
      <c r="Q4248" s="5" t="s">
        <v>18115</v>
      </c>
      <c r="R4248" s="5" t="s">
        <v>18116</v>
      </c>
      <c r="S4248" s="5"/>
      <c r="T4248" s="5"/>
      <c r="U4248" s="5"/>
      <c r="V4248" s="5"/>
      <c r="W4248" s="5" t="s">
        <v>17800</v>
      </c>
      <c r="X4248" s="5" t="s">
        <v>17801</v>
      </c>
      <c r="Y4248" s="5" t="s">
        <v>17802</v>
      </c>
      <c r="Z4248" s="5" t="s">
        <v>17803</v>
      </c>
      <c r="AA4248" s="5"/>
      <c r="AB4248" s="5"/>
      <c r="AC4248" s="5"/>
      <c r="AD4248" s="5"/>
      <c r="AE4248" s="5"/>
      <c r="AF4248" s="5"/>
      <c r="AG4248" s="14" t="s">
        <v>55</v>
      </c>
      <c r="AH4248" s="14" t="s">
        <v>1603</v>
      </c>
      <c r="AI4248" s="14" t="s">
        <v>1604</v>
      </c>
      <c r="AJ4248" s="5"/>
      <c r="AK4248" s="5"/>
    </row>
    <row r="4249" spans="1:37">
      <c r="A4249" s="5" t="s">
        <v>18117</v>
      </c>
      <c r="B4249" s="5" t="s">
        <v>18118</v>
      </c>
      <c r="C4249" s="6" t="s">
        <v>17742</v>
      </c>
      <c r="D4249" s="6" t="s">
        <v>1390</v>
      </c>
      <c r="E4249" s="6" t="s">
        <v>2065</v>
      </c>
      <c r="F4249" s="6" t="s">
        <v>46</v>
      </c>
      <c r="G4249" s="6" t="s">
        <v>10756</v>
      </c>
      <c r="H4249" s="7">
        <v>41.91</v>
      </c>
      <c r="I4249" s="19" t="s">
        <v>1589</v>
      </c>
      <c r="J4249" s="19" t="s">
        <v>17743</v>
      </c>
      <c r="K4249" s="5" t="s">
        <v>17809</v>
      </c>
      <c r="L4249" s="5" t="s">
        <v>17810</v>
      </c>
      <c r="M4249" s="5" t="s">
        <v>17811</v>
      </c>
      <c r="N4249" s="5" t="s">
        <v>17812</v>
      </c>
      <c r="O4249" s="5" t="s">
        <v>18119</v>
      </c>
      <c r="P4249" s="5" t="s">
        <v>18120</v>
      </c>
      <c r="Q4249" s="5" t="s">
        <v>18121</v>
      </c>
      <c r="R4249" s="5" t="s">
        <v>18122</v>
      </c>
      <c r="W4249" s="5" t="s">
        <v>17800</v>
      </c>
      <c r="X4249" s="5" t="s">
        <v>17801</v>
      </c>
      <c r="Y4249" s="5" t="s">
        <v>17802</v>
      </c>
      <c r="Z4249" s="5" t="s">
        <v>17803</v>
      </c>
      <c r="AG4249" s="14" t="s">
        <v>55</v>
      </c>
      <c r="AH4249" s="14" t="s">
        <v>1603</v>
      </c>
      <c r="AI4249" s="14" t="s">
        <v>1604</v>
      </c>
    </row>
    <row r="4250" spans="1:37">
      <c r="A4250" s="5" t="s">
        <v>18123</v>
      </c>
      <c r="B4250" s="5" t="s">
        <v>18118</v>
      </c>
      <c r="C4250" s="6" t="s">
        <v>43</v>
      </c>
      <c r="D4250" s="6" t="s">
        <v>1390</v>
      </c>
      <c r="E4250" s="6" t="s">
        <v>2065</v>
      </c>
      <c r="F4250" s="6" t="s">
        <v>46</v>
      </c>
      <c r="G4250" s="6" t="s">
        <v>10756</v>
      </c>
      <c r="H4250" s="7">
        <v>41.91</v>
      </c>
      <c r="I4250" s="19" t="s">
        <v>1589</v>
      </c>
      <c r="J4250" s="19" t="s">
        <v>17743</v>
      </c>
      <c r="K4250" s="5" t="s">
        <v>17809</v>
      </c>
      <c r="L4250" s="5" t="s">
        <v>17810</v>
      </c>
      <c r="M4250" s="5" t="s">
        <v>17811</v>
      </c>
      <c r="N4250" s="5" t="s">
        <v>17812</v>
      </c>
      <c r="O4250" s="5" t="s">
        <v>18119</v>
      </c>
      <c r="P4250" s="5" t="s">
        <v>18120</v>
      </c>
      <c r="Q4250" s="5" t="s">
        <v>18121</v>
      </c>
      <c r="R4250" s="5" t="s">
        <v>18122</v>
      </c>
      <c r="W4250" s="5" t="s">
        <v>17800</v>
      </c>
      <c r="X4250" s="5" t="s">
        <v>17801</v>
      </c>
      <c r="Y4250" s="5" t="s">
        <v>17802</v>
      </c>
      <c r="Z4250" s="5" t="s">
        <v>17803</v>
      </c>
      <c r="AG4250" s="14" t="s">
        <v>55</v>
      </c>
      <c r="AH4250" s="14" t="s">
        <v>1603</v>
      </c>
      <c r="AI4250" s="14" t="s">
        <v>1604</v>
      </c>
    </row>
    <row r="4251" spans="1:37">
      <c r="A4251" s="5" t="s">
        <v>18124</v>
      </c>
      <c r="B4251" s="5" t="s">
        <v>18125</v>
      </c>
      <c r="C4251" s="6" t="s">
        <v>17742</v>
      </c>
      <c r="D4251" s="6" t="s">
        <v>2114</v>
      </c>
      <c r="E4251" s="6" t="s">
        <v>1386</v>
      </c>
      <c r="F4251" s="6" t="s">
        <v>46</v>
      </c>
      <c r="G4251" s="6" t="s">
        <v>8419</v>
      </c>
      <c r="H4251" s="7">
        <v>29.93</v>
      </c>
      <c r="I4251" s="19" t="s">
        <v>1589</v>
      </c>
      <c r="J4251" s="19" t="s">
        <v>17743</v>
      </c>
      <c r="K4251" s="5" t="s">
        <v>17759</v>
      </c>
      <c r="L4251" s="5" t="s">
        <v>17760</v>
      </c>
      <c r="M4251" s="5" t="s">
        <v>17761</v>
      </c>
      <c r="N4251" s="5" t="s">
        <v>17762</v>
      </c>
      <c r="O4251" s="5" t="s">
        <v>18126</v>
      </c>
      <c r="P4251" s="5" t="s">
        <v>18127</v>
      </c>
      <c r="Q4251" s="5" t="s">
        <v>18128</v>
      </c>
      <c r="R4251" s="5" t="s">
        <v>18129</v>
      </c>
      <c r="W4251" s="5" t="s">
        <v>17752</v>
      </c>
      <c r="X4251" s="5" t="s">
        <v>17753</v>
      </c>
      <c r="Y4251" s="5" t="s">
        <v>17754</v>
      </c>
      <c r="Z4251" s="5" t="s">
        <v>17755</v>
      </c>
      <c r="AG4251" s="14" t="s">
        <v>55</v>
      </c>
      <c r="AH4251" s="14" t="s">
        <v>1603</v>
      </c>
      <c r="AI4251" s="14" t="s">
        <v>1604</v>
      </c>
    </row>
    <row r="4252" spans="1:37">
      <c r="A4252" s="6" t="s">
        <v>18130</v>
      </c>
      <c r="B4252" s="6" t="s">
        <v>18131</v>
      </c>
      <c r="C4252" s="6" t="s">
        <v>43</v>
      </c>
      <c r="D4252" s="6" t="s">
        <v>1390</v>
      </c>
      <c r="E4252" s="6" t="s">
        <v>1587</v>
      </c>
      <c r="F4252" s="6" t="s">
        <v>46</v>
      </c>
      <c r="G4252" s="6" t="s">
        <v>18132</v>
      </c>
      <c r="I4252" s="5" t="s">
        <v>48</v>
      </c>
      <c r="J4252" s="5" t="s">
        <v>48</v>
      </c>
      <c r="K4252" s="6"/>
      <c r="L4252" s="6"/>
      <c r="M4252" s="6"/>
      <c r="N4252" s="6"/>
      <c r="O4252" s="6"/>
      <c r="P4252" s="6"/>
      <c r="Q4252" s="6"/>
      <c r="R4252" s="6"/>
      <c r="S4252" s="6"/>
      <c r="T4252" s="6"/>
      <c r="U4252" s="6"/>
      <c r="V4252" s="6"/>
      <c r="W4252" s="6"/>
      <c r="X4252" s="6"/>
      <c r="Y4252" s="6"/>
      <c r="Z4252" s="6"/>
      <c r="AA4252" s="6"/>
      <c r="AB4252" s="6"/>
      <c r="AC4252" s="6"/>
      <c r="AD4252" s="6"/>
      <c r="AE4252" s="6"/>
      <c r="AF4252" s="6"/>
      <c r="AG4252" s="15" t="s">
        <v>55</v>
      </c>
      <c r="AH4252" s="15"/>
      <c r="AI4252" s="15"/>
      <c r="AJ4252" s="6"/>
      <c r="AK4252" s="6"/>
    </row>
    <row r="4253" spans="1:37" s="6" customFormat="1">
      <c r="A4253" s="6" t="s">
        <v>18133</v>
      </c>
      <c r="B4253" s="6" t="s">
        <v>18134</v>
      </c>
      <c r="C4253" s="6" t="s">
        <v>43</v>
      </c>
      <c r="D4253" s="6" t="s">
        <v>239</v>
      </c>
      <c r="E4253" s="6" t="s">
        <v>1671</v>
      </c>
      <c r="F4253" s="6" t="s">
        <v>46</v>
      </c>
      <c r="G4253" s="6" t="s">
        <v>18135</v>
      </c>
      <c r="H4253" s="7"/>
      <c r="I4253" s="5" t="s">
        <v>48</v>
      </c>
      <c r="J4253" s="5" t="s">
        <v>48</v>
      </c>
      <c r="AG4253" s="15" t="s">
        <v>55</v>
      </c>
      <c r="AH4253" s="15"/>
      <c r="AI4253" s="15"/>
    </row>
    <row r="4254" spans="1:37" s="6" customFormat="1">
      <c r="A4254" s="5" t="s">
        <v>18136</v>
      </c>
      <c r="B4254" s="5" t="s">
        <v>18137</v>
      </c>
      <c r="C4254" s="6" t="s">
        <v>15848</v>
      </c>
      <c r="D4254" s="6" t="s">
        <v>1390</v>
      </c>
      <c r="E4254" s="6" t="s">
        <v>1540</v>
      </c>
      <c r="F4254" s="6" t="s">
        <v>46</v>
      </c>
      <c r="G4254" s="6" t="s">
        <v>851</v>
      </c>
      <c r="H4254" s="7">
        <v>50.77</v>
      </c>
      <c r="I4254" s="19" t="s">
        <v>1589</v>
      </c>
      <c r="J4254" s="19" t="s">
        <v>17743</v>
      </c>
      <c r="K4254" s="5" t="s">
        <v>17792</v>
      </c>
      <c r="L4254" s="5" t="s">
        <v>17793</v>
      </c>
      <c r="M4254" s="5" t="s">
        <v>17794</v>
      </c>
      <c r="N4254" s="5" t="s">
        <v>17795</v>
      </c>
      <c r="O4254" s="5" t="s">
        <v>18138</v>
      </c>
      <c r="P4254" s="5" t="s">
        <v>18139</v>
      </c>
      <c r="Q4254" s="5" t="s">
        <v>18140</v>
      </c>
      <c r="R4254" s="5" t="s">
        <v>18141</v>
      </c>
      <c r="S4254" s="5"/>
      <c r="T4254" s="5"/>
      <c r="U4254" s="5"/>
      <c r="V4254" s="5"/>
      <c r="W4254" s="5" t="s">
        <v>17800</v>
      </c>
      <c r="X4254" s="5" t="s">
        <v>17801</v>
      </c>
      <c r="Y4254" s="5" t="s">
        <v>17802</v>
      </c>
      <c r="Z4254" s="5" t="s">
        <v>17803</v>
      </c>
      <c r="AA4254" s="5"/>
      <c r="AB4254" s="5"/>
      <c r="AC4254" s="5"/>
      <c r="AD4254" s="5"/>
      <c r="AE4254" s="5"/>
      <c r="AF4254" s="5"/>
      <c r="AG4254" s="14" t="s">
        <v>55</v>
      </c>
      <c r="AH4254" s="14" t="s">
        <v>1603</v>
      </c>
      <c r="AI4254" s="14" t="s">
        <v>1604</v>
      </c>
      <c r="AJ4254" s="5"/>
      <c r="AK4254" s="5"/>
    </row>
    <row r="4255" spans="1:37">
      <c r="A4255" s="5" t="s">
        <v>18142</v>
      </c>
      <c r="B4255" s="5" t="s">
        <v>18143</v>
      </c>
      <c r="C4255" s="6" t="s">
        <v>43</v>
      </c>
      <c r="D4255" s="6" t="s">
        <v>1390</v>
      </c>
      <c r="E4255" s="6" t="s">
        <v>2065</v>
      </c>
      <c r="F4255" s="6" t="s">
        <v>46</v>
      </c>
      <c r="G4255" s="6" t="s">
        <v>18144</v>
      </c>
      <c r="H4255" s="7">
        <v>50.77</v>
      </c>
      <c r="I4255" s="19" t="s">
        <v>1589</v>
      </c>
      <c r="J4255" s="19" t="s">
        <v>17743</v>
      </c>
      <c r="K4255" s="5" t="s">
        <v>17792</v>
      </c>
      <c r="L4255" s="5" t="s">
        <v>17793</v>
      </c>
      <c r="M4255" s="5" t="s">
        <v>17794</v>
      </c>
      <c r="N4255" s="5" t="s">
        <v>17795</v>
      </c>
      <c r="O4255" s="5" t="s">
        <v>18138</v>
      </c>
      <c r="P4255" s="5" t="s">
        <v>18139</v>
      </c>
      <c r="Q4255" s="5" t="s">
        <v>18140</v>
      </c>
      <c r="R4255" s="5" t="s">
        <v>18141</v>
      </c>
      <c r="W4255" s="5" t="s">
        <v>17800</v>
      </c>
      <c r="X4255" s="5" t="s">
        <v>17801</v>
      </c>
      <c r="Y4255" s="5" t="s">
        <v>17802</v>
      </c>
      <c r="Z4255" s="5" t="s">
        <v>17803</v>
      </c>
      <c r="AG4255" s="14" t="s">
        <v>55</v>
      </c>
      <c r="AH4255" s="14" t="s">
        <v>1603</v>
      </c>
      <c r="AI4255" s="14" t="s">
        <v>1604</v>
      </c>
    </row>
    <row r="4256" spans="1:37">
      <c r="A4256" s="5" t="s">
        <v>18145</v>
      </c>
      <c r="B4256" s="5" t="s">
        <v>18146</v>
      </c>
      <c r="C4256" s="6" t="s">
        <v>43</v>
      </c>
      <c r="D4256" s="6" t="s">
        <v>1390</v>
      </c>
      <c r="E4256" s="6" t="s">
        <v>1540</v>
      </c>
      <c r="F4256" s="6" t="s">
        <v>46</v>
      </c>
      <c r="G4256" s="6" t="s">
        <v>2270</v>
      </c>
      <c r="H4256" s="7">
        <v>45.4</v>
      </c>
      <c r="I4256" s="19" t="s">
        <v>1589</v>
      </c>
      <c r="J4256" s="19" t="s">
        <v>17743</v>
      </c>
      <c r="K4256" s="5" t="s">
        <v>17809</v>
      </c>
      <c r="L4256" s="5" t="s">
        <v>17810</v>
      </c>
      <c r="M4256" s="5" t="s">
        <v>17811</v>
      </c>
      <c r="N4256" s="5" t="s">
        <v>17812</v>
      </c>
      <c r="O4256" s="5" t="s">
        <v>18147</v>
      </c>
      <c r="P4256" s="5" t="s">
        <v>18148</v>
      </c>
      <c r="Q4256" s="5" t="s">
        <v>18149</v>
      </c>
      <c r="R4256" s="5" t="s">
        <v>18150</v>
      </c>
      <c r="W4256" s="5" t="s">
        <v>17800</v>
      </c>
      <c r="X4256" s="5" t="s">
        <v>17801</v>
      </c>
      <c r="Y4256" s="5" t="s">
        <v>17802</v>
      </c>
      <c r="Z4256" s="5" t="s">
        <v>17803</v>
      </c>
      <c r="AG4256" s="14" t="s">
        <v>55</v>
      </c>
      <c r="AH4256" s="14" t="s">
        <v>1603</v>
      </c>
      <c r="AI4256" s="14" t="s">
        <v>1604</v>
      </c>
    </row>
    <row r="4257" spans="1:37">
      <c r="A4257" s="5" t="s">
        <v>18151</v>
      </c>
      <c r="B4257" s="5" t="s">
        <v>18146</v>
      </c>
      <c r="C4257" s="6" t="s">
        <v>43</v>
      </c>
      <c r="D4257" s="6" t="s">
        <v>1390</v>
      </c>
      <c r="E4257" s="6" t="s">
        <v>2065</v>
      </c>
      <c r="F4257" s="6" t="s">
        <v>46</v>
      </c>
      <c r="G4257" s="6" t="s">
        <v>15546</v>
      </c>
      <c r="H4257" s="7">
        <v>45.4</v>
      </c>
      <c r="I4257" s="19" t="s">
        <v>1589</v>
      </c>
      <c r="J4257" s="19" t="s">
        <v>17743</v>
      </c>
      <c r="K4257" s="5" t="s">
        <v>17809</v>
      </c>
      <c r="L4257" s="5" t="s">
        <v>17810</v>
      </c>
      <c r="M4257" s="5" t="s">
        <v>17811</v>
      </c>
      <c r="N4257" s="5" t="s">
        <v>17812</v>
      </c>
      <c r="O4257" s="5" t="s">
        <v>18147</v>
      </c>
      <c r="P4257" s="5" t="s">
        <v>18148</v>
      </c>
      <c r="Q4257" s="5" t="s">
        <v>18149</v>
      </c>
      <c r="R4257" s="5" t="s">
        <v>18150</v>
      </c>
      <c r="W4257" s="5" t="s">
        <v>17800</v>
      </c>
      <c r="X4257" s="5" t="s">
        <v>17801</v>
      </c>
      <c r="Y4257" s="5" t="s">
        <v>17802</v>
      </c>
      <c r="Z4257" s="5" t="s">
        <v>17803</v>
      </c>
      <c r="AG4257" s="14" t="s">
        <v>55</v>
      </c>
      <c r="AH4257" s="14" t="s">
        <v>1603</v>
      </c>
      <c r="AI4257" s="14" t="s">
        <v>1604</v>
      </c>
    </row>
    <row r="4258" spans="1:37">
      <c r="A4258" s="6" t="s">
        <v>18152</v>
      </c>
      <c r="B4258" s="6" t="s">
        <v>18153</v>
      </c>
      <c r="C4258" s="6" t="s">
        <v>15848</v>
      </c>
      <c r="D4258" s="6" t="s">
        <v>239</v>
      </c>
      <c r="E4258" s="6" t="s">
        <v>2065</v>
      </c>
      <c r="F4258" s="6" t="s">
        <v>46</v>
      </c>
      <c r="G4258" s="6" t="s">
        <v>18154</v>
      </c>
      <c r="I4258" s="5" t="s">
        <v>48</v>
      </c>
      <c r="J4258" s="5" t="s">
        <v>48</v>
      </c>
      <c r="K4258" s="6"/>
      <c r="L4258" s="6"/>
      <c r="M4258" s="6"/>
      <c r="N4258" s="6"/>
      <c r="O4258" s="6"/>
      <c r="P4258" s="6"/>
      <c r="Q4258" s="6"/>
      <c r="R4258" s="6"/>
      <c r="S4258" s="6"/>
      <c r="T4258" s="6"/>
      <c r="U4258" s="6"/>
      <c r="V4258" s="6"/>
      <c r="W4258" s="6"/>
      <c r="X4258" s="6"/>
      <c r="Y4258" s="6"/>
      <c r="Z4258" s="6"/>
      <c r="AA4258" s="6"/>
      <c r="AB4258" s="6"/>
      <c r="AC4258" s="6"/>
      <c r="AD4258" s="6"/>
      <c r="AE4258" s="6"/>
      <c r="AF4258" s="6"/>
      <c r="AG4258" s="15" t="s">
        <v>55</v>
      </c>
      <c r="AH4258" s="15"/>
      <c r="AI4258" s="15"/>
      <c r="AJ4258" s="6"/>
      <c r="AK4258" s="6"/>
    </row>
    <row r="4259" spans="1:37" s="6" customFormat="1">
      <c r="A4259" s="6" t="s">
        <v>18155</v>
      </c>
      <c r="B4259" s="6" t="s">
        <v>18156</v>
      </c>
      <c r="C4259" s="6" t="s">
        <v>43</v>
      </c>
      <c r="D4259" s="6" t="s">
        <v>1390</v>
      </c>
      <c r="E4259" s="6" t="s">
        <v>1540</v>
      </c>
      <c r="F4259" s="6" t="s">
        <v>46</v>
      </c>
      <c r="G4259" s="6" t="s">
        <v>18157</v>
      </c>
      <c r="H4259" s="7"/>
      <c r="I4259" s="5" t="s">
        <v>48</v>
      </c>
      <c r="J4259" s="5" t="s">
        <v>48</v>
      </c>
      <c r="AG4259" s="15" t="s">
        <v>55</v>
      </c>
      <c r="AH4259" s="15"/>
      <c r="AI4259" s="15"/>
    </row>
    <row r="4260" spans="1:37" s="6" customFormat="1">
      <c r="A4260" s="6" t="s">
        <v>18158</v>
      </c>
      <c r="B4260" s="6" t="s">
        <v>18159</v>
      </c>
      <c r="C4260" s="6" t="s">
        <v>43</v>
      </c>
      <c r="D4260" s="6" t="s">
        <v>1390</v>
      </c>
      <c r="E4260" s="6" t="s">
        <v>1540</v>
      </c>
      <c r="F4260" s="6" t="s">
        <v>46</v>
      </c>
      <c r="G4260" s="6" t="s">
        <v>18160</v>
      </c>
      <c r="H4260" s="7"/>
      <c r="I4260" s="5" t="s">
        <v>48</v>
      </c>
      <c r="J4260" s="5" t="s">
        <v>48</v>
      </c>
      <c r="AG4260" s="15" t="s">
        <v>55</v>
      </c>
      <c r="AH4260" s="15"/>
      <c r="AI4260" s="15"/>
    </row>
    <row r="4261" spans="1:37" s="6" customFormat="1">
      <c r="A4261" s="5" t="s">
        <v>18161</v>
      </c>
      <c r="B4261" s="5" t="s">
        <v>18162</v>
      </c>
      <c r="C4261" s="6" t="s">
        <v>17742</v>
      </c>
      <c r="D4261" s="6" t="s">
        <v>2114</v>
      </c>
      <c r="E4261" s="6" t="s">
        <v>1386</v>
      </c>
      <c r="F4261" s="6" t="s">
        <v>46</v>
      </c>
      <c r="G4261" s="6" t="s">
        <v>18163</v>
      </c>
      <c r="H4261" s="7">
        <v>32.229999999999997</v>
      </c>
      <c r="I4261" s="19" t="s">
        <v>1589</v>
      </c>
      <c r="J4261" s="19" t="s">
        <v>17743</v>
      </c>
      <c r="K4261" s="5" t="s">
        <v>17759</v>
      </c>
      <c r="L4261" s="5" t="s">
        <v>17760</v>
      </c>
      <c r="M4261" s="5" t="s">
        <v>17761</v>
      </c>
      <c r="N4261" s="5" t="s">
        <v>17762</v>
      </c>
      <c r="O4261" s="5" t="s">
        <v>18164</v>
      </c>
      <c r="P4261" s="5" t="s">
        <v>18165</v>
      </c>
      <c r="Q4261" s="5" t="s">
        <v>18166</v>
      </c>
      <c r="R4261" s="5" t="s">
        <v>18167</v>
      </c>
      <c r="S4261" s="5"/>
      <c r="T4261" s="5"/>
      <c r="U4261" s="5"/>
      <c r="V4261" s="5"/>
      <c r="W4261" s="5" t="s">
        <v>17752</v>
      </c>
      <c r="X4261" s="5" t="s">
        <v>17753</v>
      </c>
      <c r="Y4261" s="5" t="s">
        <v>17754</v>
      </c>
      <c r="Z4261" s="5" t="s">
        <v>17755</v>
      </c>
      <c r="AA4261" s="5"/>
      <c r="AB4261" s="5"/>
      <c r="AC4261" s="5"/>
      <c r="AD4261" s="5"/>
      <c r="AE4261" s="5"/>
      <c r="AF4261" s="5"/>
      <c r="AG4261" s="14" t="s">
        <v>55</v>
      </c>
      <c r="AH4261" s="14" t="s">
        <v>1603</v>
      </c>
      <c r="AI4261" s="14" t="s">
        <v>1604</v>
      </c>
      <c r="AJ4261" s="5"/>
      <c r="AK4261" s="5"/>
    </row>
    <row r="4262" spans="1:37">
      <c r="A4262" s="5" t="s">
        <v>18168</v>
      </c>
      <c r="B4262" s="5" t="s">
        <v>18169</v>
      </c>
      <c r="C4262" s="6" t="s">
        <v>17742</v>
      </c>
      <c r="D4262" s="6" t="s">
        <v>2114</v>
      </c>
      <c r="E4262" s="6" t="s">
        <v>1386</v>
      </c>
      <c r="F4262" s="6" t="s">
        <v>46</v>
      </c>
      <c r="G4262" s="6" t="s">
        <v>3085</v>
      </c>
      <c r="H4262" s="7">
        <v>44.78</v>
      </c>
      <c r="I4262" s="19" t="s">
        <v>1589</v>
      </c>
      <c r="J4262" s="19" t="s">
        <v>17743</v>
      </c>
      <c r="K4262" s="5" t="s">
        <v>17744</v>
      </c>
      <c r="L4262" s="5" t="s">
        <v>17745</v>
      </c>
      <c r="M4262" s="5" t="s">
        <v>17746</v>
      </c>
      <c r="N4262" s="5" t="s">
        <v>17747</v>
      </c>
      <c r="O4262" s="5" t="s">
        <v>18170</v>
      </c>
      <c r="P4262" s="5" t="s">
        <v>18171</v>
      </c>
      <c r="Q4262" s="5" t="s">
        <v>18172</v>
      </c>
      <c r="R4262" s="5" t="s">
        <v>18173</v>
      </c>
      <c r="W4262" s="5" t="s">
        <v>17752</v>
      </c>
      <c r="X4262" s="5" t="s">
        <v>17753</v>
      </c>
      <c r="Y4262" s="5" t="s">
        <v>17754</v>
      </c>
      <c r="Z4262" s="5" t="s">
        <v>17755</v>
      </c>
      <c r="AG4262" s="14" t="s">
        <v>55</v>
      </c>
      <c r="AH4262" s="14" t="s">
        <v>1603</v>
      </c>
      <c r="AI4262" s="14" t="s">
        <v>1604</v>
      </c>
    </row>
    <row r="4263" spans="1:37">
      <c r="A4263" s="6" t="s">
        <v>18174</v>
      </c>
      <c r="B4263" s="6" t="s">
        <v>18175</v>
      </c>
      <c r="C4263" s="6" t="s">
        <v>43</v>
      </c>
      <c r="D4263" s="6" t="s">
        <v>2114</v>
      </c>
      <c r="E4263" s="6" t="s">
        <v>1386</v>
      </c>
      <c r="F4263" s="6" t="s">
        <v>46</v>
      </c>
      <c r="G4263" s="6" t="s">
        <v>9200</v>
      </c>
      <c r="I4263" s="16" t="s">
        <v>48</v>
      </c>
      <c r="J4263" s="16" t="s">
        <v>48</v>
      </c>
      <c r="K4263" s="6"/>
      <c r="L4263" s="6"/>
      <c r="M4263" s="6"/>
      <c r="N4263" s="6"/>
      <c r="O4263" s="6"/>
      <c r="P4263" s="6"/>
      <c r="Q4263" s="6"/>
      <c r="R4263" s="6"/>
      <c r="S4263" s="6"/>
      <c r="T4263" s="6"/>
      <c r="U4263" s="6"/>
      <c r="V4263" s="6"/>
      <c r="W4263" s="6"/>
      <c r="X4263" s="6"/>
      <c r="Y4263" s="6"/>
      <c r="Z4263" s="6"/>
      <c r="AA4263" s="6"/>
      <c r="AB4263" s="6"/>
      <c r="AC4263" s="6"/>
      <c r="AD4263" s="6"/>
      <c r="AE4263" s="6"/>
      <c r="AF4263" s="6"/>
      <c r="AG4263" s="15" t="s">
        <v>55</v>
      </c>
      <c r="AH4263" s="15"/>
      <c r="AI4263" s="15"/>
      <c r="AJ4263" s="6"/>
      <c r="AK4263" s="6"/>
    </row>
    <row r="4264" spans="1:37" s="6" customFormat="1">
      <c r="A4264" s="6" t="s">
        <v>18176</v>
      </c>
      <c r="B4264" s="6" t="s">
        <v>18177</v>
      </c>
      <c r="C4264" s="6" t="s">
        <v>17742</v>
      </c>
      <c r="D4264" s="6" t="s">
        <v>1390</v>
      </c>
      <c r="E4264" s="6" t="s">
        <v>2065</v>
      </c>
      <c r="F4264" s="6" t="s">
        <v>46</v>
      </c>
      <c r="G4264" s="6" t="s">
        <v>18178</v>
      </c>
      <c r="H4264" s="7"/>
      <c r="I4264" s="5" t="s">
        <v>48</v>
      </c>
      <c r="J4264" s="5" t="s">
        <v>48</v>
      </c>
      <c r="AG4264" s="15" t="s">
        <v>55</v>
      </c>
      <c r="AH4264" s="15"/>
      <c r="AI4264" s="15"/>
    </row>
    <row r="4265" spans="1:37" s="6" customFormat="1">
      <c r="A4265" s="6" t="s">
        <v>18179</v>
      </c>
      <c r="B4265" s="6" t="s">
        <v>18180</v>
      </c>
      <c r="C4265" s="6" t="s">
        <v>43</v>
      </c>
      <c r="D4265" s="6" t="s">
        <v>1390</v>
      </c>
      <c r="E4265" s="6" t="s">
        <v>2065</v>
      </c>
      <c r="F4265" s="6" t="s">
        <v>46</v>
      </c>
      <c r="G4265" s="6" t="s">
        <v>18181</v>
      </c>
      <c r="H4265" s="7"/>
      <c r="I4265" s="5" t="s">
        <v>48</v>
      </c>
      <c r="J4265" s="5" t="s">
        <v>48</v>
      </c>
      <c r="AG4265" s="15" t="s">
        <v>55</v>
      </c>
      <c r="AH4265" s="15"/>
      <c r="AI4265" s="15"/>
    </row>
    <row r="4266" spans="1:37" s="6" customFormat="1">
      <c r="A4266" s="5" t="s">
        <v>18182</v>
      </c>
      <c r="B4266" s="5" t="s">
        <v>18183</v>
      </c>
      <c r="C4266" s="6" t="s">
        <v>17742</v>
      </c>
      <c r="D4266" s="6" t="s">
        <v>2114</v>
      </c>
      <c r="E4266" s="6" t="s">
        <v>1386</v>
      </c>
      <c r="F4266" s="6" t="s">
        <v>46</v>
      </c>
      <c r="G4266" s="6" t="s">
        <v>15756</v>
      </c>
      <c r="H4266" s="7">
        <v>36.83</v>
      </c>
      <c r="I4266" s="19" t="s">
        <v>1589</v>
      </c>
      <c r="J4266" s="19" t="s">
        <v>17743</v>
      </c>
      <c r="K4266" s="5" t="s">
        <v>17759</v>
      </c>
      <c r="L4266" s="5" t="s">
        <v>17760</v>
      </c>
      <c r="M4266" s="5" t="s">
        <v>17761</v>
      </c>
      <c r="N4266" s="5" t="s">
        <v>17762</v>
      </c>
      <c r="O4266" s="5" t="s">
        <v>18184</v>
      </c>
      <c r="P4266" s="5" t="s">
        <v>18185</v>
      </c>
      <c r="Q4266" s="5" t="s">
        <v>18186</v>
      </c>
      <c r="R4266" s="5" t="s">
        <v>18187</v>
      </c>
      <c r="S4266" s="5"/>
      <c r="T4266" s="5"/>
      <c r="U4266" s="5"/>
      <c r="V4266" s="5"/>
      <c r="W4266" s="5" t="s">
        <v>17752</v>
      </c>
      <c r="X4266" s="5" t="s">
        <v>17753</v>
      </c>
      <c r="Y4266" s="5" t="s">
        <v>17754</v>
      </c>
      <c r="Z4266" s="5" t="s">
        <v>17755</v>
      </c>
      <c r="AA4266" s="5"/>
      <c r="AB4266" s="5"/>
      <c r="AC4266" s="5"/>
      <c r="AD4266" s="5"/>
      <c r="AE4266" s="5"/>
      <c r="AF4266" s="5"/>
      <c r="AG4266" s="14" t="s">
        <v>55</v>
      </c>
      <c r="AH4266" s="14" t="s">
        <v>1603</v>
      </c>
      <c r="AI4266" s="14" t="s">
        <v>1604</v>
      </c>
      <c r="AJ4266" s="5"/>
      <c r="AK4266" s="5"/>
    </row>
    <row r="4267" spans="1:37">
      <c r="A4267" s="5" t="s">
        <v>18188</v>
      </c>
      <c r="B4267" s="5" t="s">
        <v>18189</v>
      </c>
      <c r="C4267" s="6" t="s">
        <v>17742</v>
      </c>
      <c r="D4267" s="6" t="s">
        <v>2114</v>
      </c>
      <c r="E4267" s="6" t="s">
        <v>1386</v>
      </c>
      <c r="F4267" s="6" t="s">
        <v>46</v>
      </c>
      <c r="G4267" s="6" t="s">
        <v>14383</v>
      </c>
      <c r="H4267" s="7">
        <v>51.18</v>
      </c>
      <c r="I4267" s="19" t="s">
        <v>1589</v>
      </c>
      <c r="J4267" s="19" t="s">
        <v>17743</v>
      </c>
      <c r="K4267" s="5" t="s">
        <v>17744</v>
      </c>
      <c r="L4267" s="5" t="s">
        <v>17745</v>
      </c>
      <c r="M4267" s="5" t="s">
        <v>17746</v>
      </c>
      <c r="N4267" s="5" t="s">
        <v>17747</v>
      </c>
      <c r="O4267" s="5" t="s">
        <v>18190</v>
      </c>
      <c r="P4267" s="5" t="s">
        <v>18191</v>
      </c>
      <c r="Q4267" s="5" t="s">
        <v>18192</v>
      </c>
      <c r="R4267" s="5" t="s">
        <v>18193</v>
      </c>
      <c r="W4267" s="5" t="s">
        <v>17752</v>
      </c>
      <c r="X4267" s="5" t="s">
        <v>17753</v>
      </c>
      <c r="Y4267" s="5" t="s">
        <v>17754</v>
      </c>
      <c r="Z4267" s="5" t="s">
        <v>17755</v>
      </c>
      <c r="AG4267" s="14" t="s">
        <v>55</v>
      </c>
      <c r="AH4267" s="14" t="s">
        <v>1603</v>
      </c>
      <c r="AI4267" s="14" t="s">
        <v>1604</v>
      </c>
    </row>
    <row r="4268" spans="1:37">
      <c r="A4268" s="5" t="s">
        <v>18194</v>
      </c>
      <c r="B4268" s="5" t="s">
        <v>18195</v>
      </c>
      <c r="C4268" s="6" t="s">
        <v>17742</v>
      </c>
      <c r="D4268" s="6" t="s">
        <v>2114</v>
      </c>
      <c r="E4268" s="6" t="s">
        <v>1386</v>
      </c>
      <c r="F4268" s="6" t="s">
        <v>46</v>
      </c>
      <c r="G4268" s="6" t="s">
        <v>18196</v>
      </c>
      <c r="H4268" s="7">
        <v>80.17</v>
      </c>
      <c r="I4268" s="19" t="s">
        <v>1589</v>
      </c>
      <c r="J4268" s="19" t="s">
        <v>17743</v>
      </c>
      <c r="K4268" s="5" t="s">
        <v>17841</v>
      </c>
      <c r="L4268" s="5" t="s">
        <v>17842</v>
      </c>
      <c r="M4268" s="5" t="s">
        <v>17843</v>
      </c>
      <c r="N4268" s="5" t="s">
        <v>17844</v>
      </c>
      <c r="O4268" s="5" t="s">
        <v>18197</v>
      </c>
      <c r="P4268" s="5" t="s">
        <v>18198</v>
      </c>
      <c r="Q4268" s="5" t="s">
        <v>18199</v>
      </c>
      <c r="R4268" s="5" t="s">
        <v>18200</v>
      </c>
      <c r="W4268" s="5" t="s">
        <v>17752</v>
      </c>
      <c r="X4268" s="5" t="s">
        <v>17753</v>
      </c>
      <c r="Y4268" s="5" t="s">
        <v>17754</v>
      </c>
      <c r="Z4268" s="5" t="s">
        <v>17785</v>
      </c>
      <c r="AG4268" s="14" t="s">
        <v>55</v>
      </c>
      <c r="AH4268" s="14" t="s">
        <v>1603</v>
      </c>
      <c r="AI4268" s="14" t="s">
        <v>1604</v>
      </c>
    </row>
    <row r="4269" spans="1:37">
      <c r="A4269" s="5" t="s">
        <v>18201</v>
      </c>
      <c r="B4269" s="5" t="s">
        <v>18202</v>
      </c>
      <c r="C4269" s="6" t="s">
        <v>17742</v>
      </c>
      <c r="D4269" s="6" t="s">
        <v>2114</v>
      </c>
      <c r="E4269" s="6" t="s">
        <v>1386</v>
      </c>
      <c r="F4269" s="6" t="s">
        <v>46</v>
      </c>
      <c r="G4269" s="6" t="s">
        <v>18203</v>
      </c>
      <c r="H4269" s="7">
        <v>43.73</v>
      </c>
      <c r="I4269" s="19" t="s">
        <v>1589</v>
      </c>
      <c r="J4269" s="19" t="s">
        <v>17743</v>
      </c>
      <c r="K4269" s="5" t="s">
        <v>17777</v>
      </c>
      <c r="L4269" s="5" t="s">
        <v>17778</v>
      </c>
      <c r="M4269" s="5" t="s">
        <v>17779</v>
      </c>
      <c r="N4269" s="5" t="s">
        <v>18204</v>
      </c>
      <c r="O4269" s="5" t="s">
        <v>18205</v>
      </c>
      <c r="P4269" s="5" t="s">
        <v>18206</v>
      </c>
      <c r="Q4269" s="5" t="s">
        <v>18207</v>
      </c>
      <c r="R4269" s="5" t="s">
        <v>18208</v>
      </c>
      <c r="W4269" s="5" t="s">
        <v>17752</v>
      </c>
      <c r="X4269" s="5" t="s">
        <v>17753</v>
      </c>
      <c r="Y4269" s="5" t="s">
        <v>17754</v>
      </c>
      <c r="Z4269" s="5" t="s">
        <v>17894</v>
      </c>
      <c r="AG4269" s="14" t="s">
        <v>55</v>
      </c>
      <c r="AH4269" s="14" t="s">
        <v>1603</v>
      </c>
      <c r="AI4269" s="14" t="s">
        <v>1604</v>
      </c>
    </row>
    <row r="4270" spans="1:37">
      <c r="A4270" s="5" t="s">
        <v>18209</v>
      </c>
      <c r="B4270" s="5" t="s">
        <v>18210</v>
      </c>
      <c r="C4270" s="6" t="s">
        <v>17742</v>
      </c>
      <c r="D4270" s="6" t="s">
        <v>1390</v>
      </c>
      <c r="E4270" s="6" t="s">
        <v>2065</v>
      </c>
      <c r="F4270" s="6" t="s">
        <v>46</v>
      </c>
      <c r="G4270" s="6" t="s">
        <v>18211</v>
      </c>
      <c r="I4270" s="19" t="s">
        <v>1589</v>
      </c>
      <c r="J4270" s="19" t="s">
        <v>17743</v>
      </c>
      <c r="K4270" s="5" t="s">
        <v>18212</v>
      </c>
      <c r="L4270" s="5" t="s">
        <v>18213</v>
      </c>
      <c r="M4270" s="5" t="s">
        <v>18214</v>
      </c>
      <c r="N4270" s="5" t="s">
        <v>18215</v>
      </c>
      <c r="O4270" s="5" t="s">
        <v>18216</v>
      </c>
      <c r="P4270" s="5" t="s">
        <v>18217</v>
      </c>
      <c r="Q4270" s="5" t="s">
        <v>18218</v>
      </c>
      <c r="R4270" s="5" t="s">
        <v>18219</v>
      </c>
      <c r="W4270" s="5" t="s">
        <v>17800</v>
      </c>
      <c r="X4270" s="5" t="s">
        <v>17801</v>
      </c>
      <c r="Y4270" s="5" t="s">
        <v>17802</v>
      </c>
      <c r="Z4270" s="5" t="s">
        <v>17803</v>
      </c>
      <c r="AG4270" s="14" t="s">
        <v>55</v>
      </c>
      <c r="AH4270" s="14" t="s">
        <v>1603</v>
      </c>
      <c r="AI4270" s="14" t="s">
        <v>1604</v>
      </c>
    </row>
    <row r="4271" spans="1:37">
      <c r="A4271" s="5" t="s">
        <v>18220</v>
      </c>
      <c r="B4271" s="5" t="s">
        <v>18221</v>
      </c>
      <c r="C4271" s="6" t="s">
        <v>15848</v>
      </c>
      <c r="D4271" s="6" t="s">
        <v>1390</v>
      </c>
      <c r="E4271" s="6" t="s">
        <v>1540</v>
      </c>
      <c r="F4271" s="6" t="s">
        <v>46</v>
      </c>
      <c r="G4271" s="6" t="s">
        <v>3896</v>
      </c>
      <c r="H4271" s="7">
        <v>62.48</v>
      </c>
      <c r="I4271" s="19" t="s">
        <v>1589</v>
      </c>
      <c r="J4271" s="19" t="s">
        <v>17743</v>
      </c>
      <c r="K4271" s="5" t="s">
        <v>17792</v>
      </c>
      <c r="L4271" s="5" t="s">
        <v>17793</v>
      </c>
      <c r="M4271" s="5" t="s">
        <v>17794</v>
      </c>
      <c r="N4271" s="5" t="s">
        <v>17795</v>
      </c>
      <c r="O4271" s="5" t="s">
        <v>18222</v>
      </c>
      <c r="P4271" s="5" t="s">
        <v>18223</v>
      </c>
      <c r="Q4271" s="5" t="s">
        <v>18224</v>
      </c>
      <c r="R4271" s="5" t="s">
        <v>18225</v>
      </c>
      <c r="W4271" s="5" t="s">
        <v>17800</v>
      </c>
      <c r="X4271" s="5" t="s">
        <v>17801</v>
      </c>
      <c r="Y4271" s="5" t="s">
        <v>17802</v>
      </c>
      <c r="Z4271" s="5" t="s">
        <v>17803</v>
      </c>
      <c r="AG4271" s="14" t="s">
        <v>55</v>
      </c>
      <c r="AH4271" s="14" t="s">
        <v>1603</v>
      </c>
      <c r="AI4271" s="14" t="s">
        <v>1604</v>
      </c>
    </row>
    <row r="4272" spans="1:37">
      <c r="A4272" s="5" t="s">
        <v>18226</v>
      </c>
      <c r="B4272" s="5" t="s">
        <v>18221</v>
      </c>
      <c r="C4272" s="6" t="s">
        <v>15848</v>
      </c>
      <c r="D4272" s="6" t="s">
        <v>1390</v>
      </c>
      <c r="E4272" s="6" t="s">
        <v>2065</v>
      </c>
      <c r="F4272" s="6" t="s">
        <v>46</v>
      </c>
      <c r="G4272" s="6" t="s">
        <v>18227</v>
      </c>
      <c r="H4272" s="7">
        <v>62.48</v>
      </c>
      <c r="I4272" s="19" t="s">
        <v>1589</v>
      </c>
      <c r="J4272" s="19" t="s">
        <v>17743</v>
      </c>
      <c r="K4272" s="5" t="s">
        <v>17792</v>
      </c>
      <c r="L4272" s="5" t="s">
        <v>17793</v>
      </c>
      <c r="M4272" s="5" t="s">
        <v>17794</v>
      </c>
      <c r="N4272" s="5" t="s">
        <v>17795</v>
      </c>
      <c r="O4272" s="5" t="s">
        <v>18222</v>
      </c>
      <c r="P4272" s="5" t="s">
        <v>18223</v>
      </c>
      <c r="Q4272" s="5" t="s">
        <v>18224</v>
      </c>
      <c r="R4272" s="5" t="s">
        <v>18225</v>
      </c>
      <c r="W4272" s="5" t="s">
        <v>17800</v>
      </c>
      <c r="X4272" s="5" t="s">
        <v>17801</v>
      </c>
      <c r="Y4272" s="5" t="s">
        <v>17802</v>
      </c>
      <c r="Z4272" s="5" t="s">
        <v>17803</v>
      </c>
      <c r="AG4272" s="14" t="s">
        <v>55</v>
      </c>
      <c r="AH4272" s="14" t="s">
        <v>1603</v>
      </c>
      <c r="AI4272" s="14" t="s">
        <v>1604</v>
      </c>
    </row>
    <row r="4273" spans="1:37">
      <c r="A4273" s="5" t="s">
        <v>18228</v>
      </c>
      <c r="B4273" s="5" t="s">
        <v>18229</v>
      </c>
      <c r="C4273" s="6" t="s">
        <v>43</v>
      </c>
      <c r="D4273" s="6" t="s">
        <v>1390</v>
      </c>
      <c r="E4273" s="6" t="s">
        <v>1540</v>
      </c>
      <c r="F4273" s="6" t="s">
        <v>46</v>
      </c>
      <c r="G4273" s="6" t="s">
        <v>18230</v>
      </c>
      <c r="H4273" s="7">
        <v>55.88</v>
      </c>
      <c r="I4273" s="19" t="s">
        <v>1589</v>
      </c>
      <c r="J4273" s="19" t="s">
        <v>17743</v>
      </c>
      <c r="K4273" s="5" t="s">
        <v>17809</v>
      </c>
      <c r="L4273" s="5" t="s">
        <v>17810</v>
      </c>
      <c r="M4273" s="5" t="s">
        <v>17811</v>
      </c>
      <c r="N4273" s="5" t="s">
        <v>17812</v>
      </c>
      <c r="O4273" s="5" t="s">
        <v>18231</v>
      </c>
      <c r="P4273" s="5" t="s">
        <v>18232</v>
      </c>
      <c r="Q4273" s="5" t="s">
        <v>18233</v>
      </c>
      <c r="R4273" s="5" t="s">
        <v>18234</v>
      </c>
      <c r="W4273" s="5" t="s">
        <v>17800</v>
      </c>
      <c r="X4273" s="5" t="s">
        <v>17801</v>
      </c>
      <c r="Y4273" s="5" t="s">
        <v>17802</v>
      </c>
      <c r="Z4273" s="5" t="s">
        <v>17803</v>
      </c>
      <c r="AG4273" s="14" t="s">
        <v>55</v>
      </c>
      <c r="AH4273" s="14" t="s">
        <v>1603</v>
      </c>
      <c r="AI4273" s="14" t="s">
        <v>1604</v>
      </c>
    </row>
    <row r="4274" spans="1:37">
      <c r="A4274" s="5" t="s">
        <v>18235</v>
      </c>
      <c r="B4274" s="5" t="s">
        <v>18229</v>
      </c>
      <c r="C4274" s="6" t="s">
        <v>43</v>
      </c>
      <c r="D4274" s="6" t="s">
        <v>1390</v>
      </c>
      <c r="E4274" s="6" t="s">
        <v>2065</v>
      </c>
      <c r="F4274" s="6" t="s">
        <v>46</v>
      </c>
      <c r="G4274" s="6" t="s">
        <v>18236</v>
      </c>
      <c r="H4274" s="7">
        <v>55.88</v>
      </c>
      <c r="I4274" s="19" t="s">
        <v>1589</v>
      </c>
      <c r="J4274" s="19" t="s">
        <v>17743</v>
      </c>
      <c r="K4274" s="5" t="s">
        <v>17809</v>
      </c>
      <c r="L4274" s="5" t="s">
        <v>17810</v>
      </c>
      <c r="M4274" s="5" t="s">
        <v>17811</v>
      </c>
      <c r="N4274" s="5" t="s">
        <v>17812</v>
      </c>
      <c r="O4274" s="5" t="s">
        <v>18231</v>
      </c>
      <c r="P4274" s="5" t="s">
        <v>18232</v>
      </c>
      <c r="Q4274" s="5" t="s">
        <v>18233</v>
      </c>
      <c r="R4274" s="5" t="s">
        <v>18234</v>
      </c>
      <c r="W4274" s="5" t="s">
        <v>17800</v>
      </c>
      <c r="X4274" s="5" t="s">
        <v>17801</v>
      </c>
      <c r="Y4274" s="5" t="s">
        <v>17802</v>
      </c>
      <c r="Z4274" s="5" t="s">
        <v>17803</v>
      </c>
      <c r="AG4274" s="14" t="s">
        <v>55</v>
      </c>
      <c r="AH4274" s="14" t="s">
        <v>1603</v>
      </c>
      <c r="AI4274" s="14" t="s">
        <v>1604</v>
      </c>
    </row>
    <row r="4275" spans="1:37">
      <c r="A4275" s="6" t="s">
        <v>18237</v>
      </c>
      <c r="B4275" s="6" t="s">
        <v>18238</v>
      </c>
      <c r="C4275" s="6" t="s">
        <v>43</v>
      </c>
      <c r="D4275" s="6" t="s">
        <v>1390</v>
      </c>
      <c r="E4275" s="6" t="s">
        <v>2065</v>
      </c>
      <c r="F4275" s="6" t="s">
        <v>46</v>
      </c>
      <c r="G4275" s="6" t="s">
        <v>18239</v>
      </c>
      <c r="I4275" s="5" t="s">
        <v>48</v>
      </c>
      <c r="J4275" s="6" t="s">
        <v>48</v>
      </c>
      <c r="K4275" s="6"/>
      <c r="L4275" s="6"/>
      <c r="M4275" s="6"/>
      <c r="N4275" s="6"/>
      <c r="O4275" s="6"/>
      <c r="P4275" s="6"/>
      <c r="Q4275" s="6"/>
      <c r="R4275" s="6"/>
      <c r="S4275" s="6"/>
      <c r="T4275" s="6"/>
      <c r="U4275" s="6"/>
      <c r="V4275" s="6"/>
      <c r="W4275" s="6"/>
      <c r="X4275" s="6"/>
      <c r="Y4275" s="6"/>
      <c r="Z4275" s="6"/>
      <c r="AA4275" s="6"/>
      <c r="AB4275" s="6"/>
      <c r="AC4275" s="6"/>
      <c r="AD4275" s="6"/>
      <c r="AE4275" s="6"/>
      <c r="AF4275" s="6"/>
      <c r="AG4275" s="15" t="s">
        <v>55</v>
      </c>
      <c r="AH4275" s="15"/>
      <c r="AI4275" s="15"/>
      <c r="AJ4275" s="6"/>
      <c r="AK4275" s="6"/>
    </row>
    <row r="4276" spans="1:37" s="6" customFormat="1">
      <c r="A4276" s="6" t="s">
        <v>18240</v>
      </c>
      <c r="B4276" s="6" t="s">
        <v>18241</v>
      </c>
      <c r="C4276" s="6" t="s">
        <v>15848</v>
      </c>
      <c r="D4276" s="6" t="s">
        <v>239</v>
      </c>
      <c r="E4276" s="6" t="s">
        <v>2065</v>
      </c>
      <c r="F4276" s="6" t="s">
        <v>46</v>
      </c>
      <c r="G4276" s="6" t="s">
        <v>18242</v>
      </c>
      <c r="H4276" s="7"/>
      <c r="I4276" s="5" t="s">
        <v>48</v>
      </c>
      <c r="J4276" s="6" t="s">
        <v>48</v>
      </c>
      <c r="AG4276" s="15" t="s">
        <v>55</v>
      </c>
      <c r="AH4276" s="15"/>
      <c r="AI4276" s="15"/>
    </row>
    <row r="4277" spans="1:37" s="6" customFormat="1">
      <c r="A4277" s="6" t="s">
        <v>18243</v>
      </c>
      <c r="B4277" s="6" t="s">
        <v>18244</v>
      </c>
      <c r="C4277" s="6" t="s">
        <v>17742</v>
      </c>
      <c r="D4277" s="6" t="s">
        <v>2114</v>
      </c>
      <c r="E4277" s="6" t="s">
        <v>1386</v>
      </c>
      <c r="F4277" s="6" t="s">
        <v>46</v>
      </c>
      <c r="G4277" s="6" t="s">
        <v>15756</v>
      </c>
      <c r="H4277" s="7"/>
      <c r="I4277" s="16" t="s">
        <v>48</v>
      </c>
      <c r="J4277" s="16" t="s">
        <v>48</v>
      </c>
      <c r="AG4277" s="15" t="s">
        <v>55</v>
      </c>
      <c r="AH4277" s="15"/>
      <c r="AI4277" s="15"/>
    </row>
    <row r="4278" spans="1:37" s="6" customFormat="1">
      <c r="A4278" s="6" t="s">
        <v>18245</v>
      </c>
      <c r="B4278" s="6" t="s">
        <v>18246</v>
      </c>
      <c r="C4278" s="6" t="s">
        <v>43</v>
      </c>
      <c r="D4278" s="6" t="s">
        <v>1390</v>
      </c>
      <c r="E4278" s="6" t="s">
        <v>2065</v>
      </c>
      <c r="F4278" s="6" t="s">
        <v>46</v>
      </c>
      <c r="G4278" s="6" t="s">
        <v>18247</v>
      </c>
      <c r="H4278" s="7"/>
      <c r="I4278" s="19" t="s">
        <v>48</v>
      </c>
      <c r="J4278" s="19" t="s">
        <v>48</v>
      </c>
      <c r="AG4278" s="15" t="s">
        <v>55</v>
      </c>
      <c r="AH4278" s="15"/>
      <c r="AI4278" s="15"/>
    </row>
    <row r="4279" spans="1:37" s="6" customFormat="1">
      <c r="A4279" s="5" t="s">
        <v>18248</v>
      </c>
      <c r="B4279" s="5" t="s">
        <v>18249</v>
      </c>
      <c r="C4279" s="6" t="s">
        <v>43</v>
      </c>
      <c r="D4279" s="6" t="s">
        <v>1390</v>
      </c>
      <c r="E4279" s="6" t="s">
        <v>2065</v>
      </c>
      <c r="F4279" s="6" t="s">
        <v>46</v>
      </c>
      <c r="G4279" s="6" t="s">
        <v>18250</v>
      </c>
      <c r="H4279" s="7">
        <v>67.95</v>
      </c>
      <c r="I4279" s="19" t="s">
        <v>1589</v>
      </c>
      <c r="J4279" s="19" t="s">
        <v>17743</v>
      </c>
      <c r="K4279" s="5" t="s">
        <v>17792</v>
      </c>
      <c r="L4279" s="5" t="s">
        <v>17793</v>
      </c>
      <c r="M4279" s="5" t="s">
        <v>17794</v>
      </c>
      <c r="N4279" s="5" t="s">
        <v>17795</v>
      </c>
      <c r="O4279" s="5" t="s">
        <v>18251</v>
      </c>
      <c r="P4279" s="5" t="s">
        <v>18252</v>
      </c>
      <c r="Q4279" s="5" t="s">
        <v>18253</v>
      </c>
      <c r="R4279" s="5" t="s">
        <v>18254</v>
      </c>
      <c r="S4279" s="5"/>
      <c r="T4279" s="5"/>
      <c r="U4279" s="5"/>
      <c r="V4279" s="5"/>
      <c r="W4279" s="5" t="s">
        <v>17800</v>
      </c>
      <c r="X4279" s="5" t="s">
        <v>17801</v>
      </c>
      <c r="Y4279" s="5" t="s">
        <v>17802</v>
      </c>
      <c r="Z4279" s="5" t="s">
        <v>17803</v>
      </c>
      <c r="AA4279" s="5"/>
      <c r="AB4279" s="5"/>
      <c r="AC4279" s="5"/>
      <c r="AD4279" s="5"/>
      <c r="AE4279" s="5"/>
      <c r="AF4279" s="5"/>
      <c r="AG4279" s="14" t="s">
        <v>55</v>
      </c>
      <c r="AH4279" s="14" t="s">
        <v>1603</v>
      </c>
      <c r="AI4279" s="14" t="s">
        <v>1604</v>
      </c>
      <c r="AJ4279" s="5"/>
      <c r="AK4279" s="5"/>
    </row>
    <row r="4280" spans="1:37">
      <c r="A4280" s="5" t="s">
        <v>18255</v>
      </c>
      <c r="B4280" s="5" t="s">
        <v>18256</v>
      </c>
      <c r="C4280" s="6" t="s">
        <v>43</v>
      </c>
      <c r="D4280" s="6" t="s">
        <v>1390</v>
      </c>
      <c r="E4280" s="6" t="s">
        <v>2065</v>
      </c>
      <c r="F4280" s="6" t="s">
        <v>46</v>
      </c>
      <c r="G4280" s="6" t="s">
        <v>18257</v>
      </c>
      <c r="H4280" s="7">
        <v>60.77</v>
      </c>
      <c r="I4280" s="19" t="s">
        <v>1589</v>
      </c>
      <c r="J4280" s="19" t="s">
        <v>17743</v>
      </c>
      <c r="K4280" s="5" t="s">
        <v>17809</v>
      </c>
      <c r="L4280" s="5" t="s">
        <v>17810</v>
      </c>
      <c r="M4280" s="5" t="s">
        <v>17811</v>
      </c>
      <c r="N4280" s="5" t="s">
        <v>17812</v>
      </c>
      <c r="O4280" s="5" t="s">
        <v>18258</v>
      </c>
      <c r="P4280" s="5" t="s">
        <v>18259</v>
      </c>
      <c r="Q4280" s="5" t="s">
        <v>18260</v>
      </c>
      <c r="R4280" s="5" t="s">
        <v>18261</v>
      </c>
      <c r="W4280" s="5" t="s">
        <v>17800</v>
      </c>
      <c r="X4280" s="5" t="s">
        <v>17801</v>
      </c>
      <c r="Y4280" s="5" t="s">
        <v>17802</v>
      </c>
      <c r="Z4280" s="5" t="s">
        <v>17803</v>
      </c>
      <c r="AG4280" s="14" t="s">
        <v>55</v>
      </c>
      <c r="AH4280" s="14" t="s">
        <v>1603</v>
      </c>
      <c r="AI4280" s="14" t="s">
        <v>1604</v>
      </c>
    </row>
    <row r="4281" spans="1:37">
      <c r="A4281" s="5" t="s">
        <v>18262</v>
      </c>
      <c r="B4281" s="5" t="s">
        <v>18263</v>
      </c>
      <c r="C4281" s="6" t="s">
        <v>17742</v>
      </c>
      <c r="D4281" s="6" t="s">
        <v>2114</v>
      </c>
      <c r="E4281" s="6" t="s">
        <v>1386</v>
      </c>
      <c r="F4281" s="6" t="s">
        <v>46</v>
      </c>
      <c r="G4281" s="6" t="s">
        <v>3183</v>
      </c>
      <c r="H4281" s="7">
        <v>57.57</v>
      </c>
      <c r="I4281" s="19" t="s">
        <v>1589</v>
      </c>
      <c r="J4281" s="19" t="s">
        <v>17743</v>
      </c>
      <c r="K4281" s="5" t="s">
        <v>17744</v>
      </c>
      <c r="L4281" s="5" t="s">
        <v>17745</v>
      </c>
      <c r="M4281" s="5" t="s">
        <v>17746</v>
      </c>
      <c r="N4281" s="5" t="s">
        <v>17747</v>
      </c>
      <c r="O4281" s="5" t="s">
        <v>18264</v>
      </c>
      <c r="P4281" s="5" t="s">
        <v>18265</v>
      </c>
      <c r="Q4281" s="5" t="s">
        <v>18266</v>
      </c>
      <c r="R4281" s="5" t="s">
        <v>18267</v>
      </c>
      <c r="W4281" s="5" t="s">
        <v>17752</v>
      </c>
      <c r="X4281" s="5" t="s">
        <v>17753</v>
      </c>
      <c r="Y4281" s="5" t="s">
        <v>17754</v>
      </c>
      <c r="Z4281" s="5" t="s">
        <v>17755</v>
      </c>
      <c r="AG4281" s="14" t="s">
        <v>55</v>
      </c>
      <c r="AH4281" s="14" t="s">
        <v>1603</v>
      </c>
      <c r="AI4281" s="14" t="s">
        <v>1604</v>
      </c>
    </row>
    <row r="4282" spans="1:37">
      <c r="A4282" s="5" t="s">
        <v>18268</v>
      </c>
      <c r="B4282" s="5" t="s">
        <v>18269</v>
      </c>
      <c r="C4282" s="6" t="s">
        <v>43</v>
      </c>
      <c r="D4282" s="6" t="s">
        <v>1390</v>
      </c>
      <c r="E4282" s="6" t="s">
        <v>1540</v>
      </c>
      <c r="F4282" s="6" t="s">
        <v>46</v>
      </c>
      <c r="G4282" s="6" t="s">
        <v>18270</v>
      </c>
      <c r="H4282" s="7">
        <v>71.849999999999994</v>
      </c>
      <c r="I4282" s="19" t="s">
        <v>1589</v>
      </c>
      <c r="J4282" s="19" t="s">
        <v>17743</v>
      </c>
      <c r="K4282" s="5" t="s">
        <v>17792</v>
      </c>
      <c r="L4282" s="5" t="s">
        <v>17793</v>
      </c>
      <c r="M4282" s="5" t="s">
        <v>17794</v>
      </c>
      <c r="N4282" s="5" t="s">
        <v>17795</v>
      </c>
      <c r="O4282" s="5" t="s">
        <v>18271</v>
      </c>
      <c r="P4282" s="5" t="s">
        <v>18272</v>
      </c>
      <c r="Q4282" s="5" t="s">
        <v>18273</v>
      </c>
      <c r="R4282" s="5" t="s">
        <v>18274</v>
      </c>
      <c r="W4282" s="5" t="s">
        <v>17800</v>
      </c>
      <c r="X4282" s="5" t="s">
        <v>17801</v>
      </c>
      <c r="Y4282" s="5" t="s">
        <v>17802</v>
      </c>
      <c r="Z4282" s="5" t="s">
        <v>17803</v>
      </c>
      <c r="AG4282" s="14" t="s">
        <v>55</v>
      </c>
      <c r="AH4282" s="14" t="s">
        <v>1603</v>
      </c>
      <c r="AI4282" s="14" t="s">
        <v>1604</v>
      </c>
    </row>
    <row r="4283" spans="1:37">
      <c r="A4283" s="6" t="s">
        <v>18275</v>
      </c>
      <c r="B4283" s="6" t="s">
        <v>18276</v>
      </c>
      <c r="C4283" s="6" t="s">
        <v>43</v>
      </c>
      <c r="D4283" s="6" t="s">
        <v>1390</v>
      </c>
      <c r="E4283" s="6" t="s">
        <v>1587</v>
      </c>
      <c r="F4283" s="6" t="s">
        <v>46</v>
      </c>
      <c r="G4283" s="6" t="s">
        <v>18277</v>
      </c>
      <c r="I4283" s="19" t="s">
        <v>48</v>
      </c>
      <c r="J4283" s="19" t="s">
        <v>48</v>
      </c>
      <c r="K4283" s="6"/>
      <c r="L4283" s="6"/>
      <c r="M4283" s="6"/>
      <c r="N4283" s="6"/>
      <c r="O4283" s="6"/>
      <c r="P4283" s="6"/>
      <c r="Q4283" s="6"/>
      <c r="R4283" s="6"/>
      <c r="S4283" s="6"/>
      <c r="T4283" s="6"/>
      <c r="U4283" s="6"/>
      <c r="V4283" s="6"/>
      <c r="W4283" s="6"/>
      <c r="X4283" s="6"/>
      <c r="Y4283" s="6"/>
      <c r="Z4283" s="6"/>
      <c r="AA4283" s="6"/>
      <c r="AB4283" s="6"/>
      <c r="AC4283" s="6"/>
      <c r="AD4283" s="6"/>
      <c r="AE4283" s="6"/>
      <c r="AF4283" s="6"/>
      <c r="AG4283" s="15" t="s">
        <v>55</v>
      </c>
      <c r="AH4283" s="15"/>
      <c r="AI4283" s="15"/>
      <c r="AJ4283" s="6"/>
      <c r="AK4283" s="6"/>
    </row>
    <row r="4284" spans="1:37" s="6" customFormat="1">
      <c r="A4284" s="6" t="s">
        <v>18278</v>
      </c>
      <c r="B4284" s="6" t="s">
        <v>18279</v>
      </c>
      <c r="C4284" s="6" t="s">
        <v>43</v>
      </c>
      <c r="D4284" s="6" t="s">
        <v>1390</v>
      </c>
      <c r="E4284" s="6" t="s">
        <v>1540</v>
      </c>
      <c r="F4284" s="6" t="s">
        <v>46</v>
      </c>
      <c r="G4284" s="6" t="s">
        <v>14770</v>
      </c>
      <c r="H4284" s="7"/>
      <c r="I4284" s="19" t="s">
        <v>48</v>
      </c>
      <c r="J4284" s="19" t="s">
        <v>48</v>
      </c>
      <c r="AG4284" s="15" t="s">
        <v>55</v>
      </c>
      <c r="AH4284" s="15"/>
      <c r="AI4284" s="15"/>
    </row>
    <row r="4285" spans="1:37" s="6" customFormat="1">
      <c r="A4285" s="6" t="s">
        <v>18280</v>
      </c>
      <c r="B4285" s="6" t="s">
        <v>18281</v>
      </c>
      <c r="C4285" s="6" t="s">
        <v>43</v>
      </c>
      <c r="D4285" s="6" t="s">
        <v>1390</v>
      </c>
      <c r="E4285" s="6" t="s">
        <v>1587</v>
      </c>
      <c r="F4285" s="6" t="s">
        <v>46</v>
      </c>
      <c r="G4285" s="6" t="s">
        <v>18282</v>
      </c>
      <c r="H4285" s="7"/>
      <c r="I4285" s="19" t="s">
        <v>48</v>
      </c>
      <c r="J4285" s="19" t="s">
        <v>48</v>
      </c>
      <c r="AG4285" s="15" t="s">
        <v>55</v>
      </c>
      <c r="AH4285" s="15"/>
      <c r="AI4285" s="15"/>
    </row>
    <row r="4286" spans="1:37" s="6" customFormat="1">
      <c r="A4286" s="6" t="s">
        <v>18283</v>
      </c>
      <c r="B4286" s="6" t="s">
        <v>18284</v>
      </c>
      <c r="C4286" s="6" t="s">
        <v>43</v>
      </c>
      <c r="D4286" s="6" t="s">
        <v>1040</v>
      </c>
      <c r="E4286" s="6" t="s">
        <v>218</v>
      </c>
      <c r="F4286" s="6" t="s">
        <v>46</v>
      </c>
      <c r="G4286" s="6" t="s">
        <v>1944</v>
      </c>
      <c r="H4286" s="7"/>
      <c r="I4286" s="6" t="s">
        <v>48</v>
      </c>
      <c r="J4286" s="6" t="s">
        <v>48</v>
      </c>
      <c r="AG4286" s="15" t="s">
        <v>49</v>
      </c>
      <c r="AH4286" s="15"/>
      <c r="AI4286" s="15"/>
    </row>
    <row r="4287" spans="1:37" s="6" customFormat="1">
      <c r="A4287" s="5" t="s">
        <v>18285</v>
      </c>
      <c r="B4287" s="5" t="s">
        <v>18286</v>
      </c>
      <c r="C4287" s="6" t="s">
        <v>18287</v>
      </c>
      <c r="D4287" s="6" t="s">
        <v>1040</v>
      </c>
      <c r="E4287" s="6" t="s">
        <v>218</v>
      </c>
      <c r="F4287" s="6" t="s">
        <v>46</v>
      </c>
      <c r="G4287" s="6" t="s">
        <v>18288</v>
      </c>
      <c r="H4287" s="7">
        <v>87.5</v>
      </c>
      <c r="I4287" s="19" t="s">
        <v>1983</v>
      </c>
      <c r="J4287" s="19" t="s">
        <v>18289</v>
      </c>
      <c r="K4287" s="5" t="s">
        <v>18290</v>
      </c>
      <c r="L4287" s="5" t="s">
        <v>18291</v>
      </c>
      <c r="M4287" s="5" t="s">
        <v>18292</v>
      </c>
      <c r="N4287" s="5" t="s">
        <v>18293</v>
      </c>
      <c r="O4287" s="5" t="s">
        <v>18294</v>
      </c>
      <c r="P4287" s="5" t="s">
        <v>18295</v>
      </c>
      <c r="Q4287" s="5" t="s">
        <v>18296</v>
      </c>
      <c r="R4287" s="5" t="s">
        <v>18297</v>
      </c>
      <c r="S4287" s="5"/>
      <c r="T4287" s="5"/>
      <c r="U4287" s="5"/>
      <c r="V4287" s="5"/>
      <c r="W4287" s="5"/>
      <c r="X4287" s="5"/>
      <c r="Y4287" s="5"/>
      <c r="Z4287" s="5"/>
      <c r="AA4287" s="5" t="s">
        <v>18298</v>
      </c>
      <c r="AB4287" s="5" t="s">
        <v>18299</v>
      </c>
      <c r="AC4287" s="5" t="s">
        <v>18300</v>
      </c>
      <c r="AD4287" s="5" t="s">
        <v>18301</v>
      </c>
      <c r="AE4287" s="5"/>
      <c r="AF4287" s="5"/>
      <c r="AG4287" s="14" t="s">
        <v>49</v>
      </c>
      <c r="AH4287" s="14" t="s">
        <v>49</v>
      </c>
      <c r="AI4287" s="14" t="s">
        <v>49</v>
      </c>
      <c r="AJ4287" s="5" t="s">
        <v>1884</v>
      </c>
      <c r="AK4287" s="5"/>
    </row>
    <row r="4288" spans="1:37">
      <c r="A4288" s="5" t="s">
        <v>18302</v>
      </c>
      <c r="B4288" s="5" t="s">
        <v>18286</v>
      </c>
      <c r="C4288" s="6" t="s">
        <v>18287</v>
      </c>
      <c r="D4288" s="6" t="s">
        <v>1040</v>
      </c>
      <c r="E4288" s="6" t="s">
        <v>10152</v>
      </c>
      <c r="F4288" s="6" t="s">
        <v>46</v>
      </c>
      <c r="G4288" s="6" t="s">
        <v>18288</v>
      </c>
      <c r="H4288" s="7">
        <v>87.5</v>
      </c>
      <c r="I4288" s="19" t="s">
        <v>1983</v>
      </c>
      <c r="J4288" s="19" t="s">
        <v>18289</v>
      </c>
      <c r="K4288" s="5" t="s">
        <v>18290</v>
      </c>
      <c r="L4288" s="5" t="s">
        <v>18291</v>
      </c>
      <c r="M4288" s="5" t="s">
        <v>18292</v>
      </c>
      <c r="N4288" s="5" t="s">
        <v>18293</v>
      </c>
      <c r="O4288" s="5" t="s">
        <v>18294</v>
      </c>
      <c r="P4288" s="5" t="s">
        <v>18295</v>
      </c>
      <c r="Q4288" s="5" t="s">
        <v>18296</v>
      </c>
      <c r="R4288" s="5" t="s">
        <v>18297</v>
      </c>
      <c r="AA4288" s="5" t="s">
        <v>18298</v>
      </c>
      <c r="AB4288" s="5" t="s">
        <v>18303</v>
      </c>
      <c r="AC4288" s="5" t="s">
        <v>18300</v>
      </c>
      <c r="AD4288" s="5" t="s">
        <v>18301</v>
      </c>
      <c r="AG4288" s="14" t="s">
        <v>55</v>
      </c>
      <c r="AH4288" s="14" t="s">
        <v>49</v>
      </c>
      <c r="AI4288" s="14" t="s">
        <v>172</v>
      </c>
      <c r="AJ4288" s="5" t="s">
        <v>18304</v>
      </c>
    </row>
    <row r="4289" spans="1:36">
      <c r="A4289" s="5" t="s">
        <v>18305</v>
      </c>
      <c r="B4289" s="5" t="s">
        <v>18306</v>
      </c>
      <c r="C4289" s="6" t="s">
        <v>889</v>
      </c>
      <c r="D4289" s="6" t="s">
        <v>1040</v>
      </c>
      <c r="E4289" s="6" t="s">
        <v>218</v>
      </c>
      <c r="F4289" s="6" t="s">
        <v>46</v>
      </c>
      <c r="G4289" s="6" t="s">
        <v>15256</v>
      </c>
      <c r="H4289" s="7">
        <v>112.5</v>
      </c>
      <c r="I4289" s="19" t="s">
        <v>1983</v>
      </c>
      <c r="J4289" s="19" t="s">
        <v>18289</v>
      </c>
      <c r="K4289" s="5" t="s">
        <v>18307</v>
      </c>
      <c r="L4289" s="5" t="s">
        <v>18308</v>
      </c>
      <c r="M4289" s="5" t="s">
        <v>18309</v>
      </c>
      <c r="N4289" s="5" t="s">
        <v>18310</v>
      </c>
      <c r="O4289" s="5" t="s">
        <v>18311</v>
      </c>
      <c r="P4289" s="5" t="s">
        <v>18312</v>
      </c>
      <c r="Q4289" s="5" t="s">
        <v>18313</v>
      </c>
      <c r="R4289" s="5" t="s">
        <v>18314</v>
      </c>
      <c r="AA4289" s="5" t="s">
        <v>18298</v>
      </c>
      <c r="AB4289" s="5" t="s">
        <v>18303</v>
      </c>
      <c r="AC4289" s="5" t="s">
        <v>18300</v>
      </c>
      <c r="AD4289" s="5" t="s">
        <v>18301</v>
      </c>
      <c r="AG4289" s="14" t="s">
        <v>49</v>
      </c>
      <c r="AH4289" s="14" t="s">
        <v>49</v>
      </c>
      <c r="AI4289" s="14" t="s">
        <v>49</v>
      </c>
      <c r="AJ4289" s="5" t="s">
        <v>1884</v>
      </c>
    </row>
    <row r="4290" spans="1:36">
      <c r="A4290" s="5" t="s">
        <v>18315</v>
      </c>
      <c r="B4290" s="5" t="s">
        <v>18316</v>
      </c>
      <c r="C4290" s="6" t="s">
        <v>43</v>
      </c>
      <c r="D4290" s="6" t="s">
        <v>1040</v>
      </c>
      <c r="E4290" s="6" t="s">
        <v>218</v>
      </c>
      <c r="F4290" s="6" t="s">
        <v>46</v>
      </c>
      <c r="G4290" s="6" t="s">
        <v>18317</v>
      </c>
      <c r="H4290" s="7">
        <v>135.5</v>
      </c>
      <c r="I4290" s="19" t="s">
        <v>1983</v>
      </c>
      <c r="J4290" s="19" t="s">
        <v>18289</v>
      </c>
      <c r="K4290" s="5" t="s">
        <v>18318</v>
      </c>
      <c r="L4290" s="5" t="s">
        <v>18319</v>
      </c>
      <c r="M4290" s="5" t="s">
        <v>18320</v>
      </c>
      <c r="N4290" s="5" t="s">
        <v>18321</v>
      </c>
      <c r="O4290" s="5" t="s">
        <v>18322</v>
      </c>
      <c r="P4290" s="5" t="s">
        <v>18323</v>
      </c>
      <c r="Q4290" s="5" t="s">
        <v>18324</v>
      </c>
      <c r="R4290" s="5" t="s">
        <v>18325</v>
      </c>
      <c r="AA4290" s="5" t="s">
        <v>18298</v>
      </c>
      <c r="AB4290" s="5" t="s">
        <v>18303</v>
      </c>
      <c r="AC4290" s="5" t="s">
        <v>18300</v>
      </c>
      <c r="AD4290" s="5" t="s">
        <v>18301</v>
      </c>
      <c r="AG4290" s="14" t="s">
        <v>49</v>
      </c>
      <c r="AH4290" s="14" t="s">
        <v>49</v>
      </c>
      <c r="AI4290" s="14" t="s">
        <v>49</v>
      </c>
      <c r="AJ4290" s="5" t="s">
        <v>1884</v>
      </c>
    </row>
    <row r="4291" spans="1:36">
      <c r="A4291" s="5" t="s">
        <v>18326</v>
      </c>
      <c r="B4291" s="5" t="s">
        <v>18327</v>
      </c>
      <c r="C4291" s="6" t="s">
        <v>43</v>
      </c>
      <c r="D4291" s="6" t="s">
        <v>1040</v>
      </c>
      <c r="E4291" s="6" t="s">
        <v>218</v>
      </c>
      <c r="F4291" s="6" t="s">
        <v>46</v>
      </c>
      <c r="G4291" s="6" t="s">
        <v>18328</v>
      </c>
      <c r="H4291" s="7">
        <v>104.5</v>
      </c>
      <c r="I4291" s="19" t="s">
        <v>1983</v>
      </c>
      <c r="J4291" s="19" t="s">
        <v>18289</v>
      </c>
      <c r="K4291" s="5" t="s">
        <v>18329</v>
      </c>
      <c r="L4291" s="5" t="s">
        <v>18330</v>
      </c>
      <c r="M4291" s="5" t="s">
        <v>18331</v>
      </c>
      <c r="N4291" s="5" t="s">
        <v>18332</v>
      </c>
      <c r="O4291" s="5" t="s">
        <v>18333</v>
      </c>
      <c r="P4291" s="5" t="s">
        <v>18334</v>
      </c>
      <c r="Q4291" s="5" t="s">
        <v>18335</v>
      </c>
      <c r="R4291" s="5" t="s">
        <v>18336</v>
      </c>
      <c r="AA4291" s="5" t="s">
        <v>18298</v>
      </c>
      <c r="AB4291" s="5" t="s">
        <v>18303</v>
      </c>
      <c r="AC4291" s="5" t="s">
        <v>18300</v>
      </c>
      <c r="AD4291" s="5" t="s">
        <v>18301</v>
      </c>
      <c r="AG4291" s="14" t="s">
        <v>49</v>
      </c>
      <c r="AH4291" s="14" t="s">
        <v>49</v>
      </c>
      <c r="AI4291" s="14" t="s">
        <v>49</v>
      </c>
      <c r="AJ4291" s="5" t="s">
        <v>1884</v>
      </c>
    </row>
    <row r="4292" spans="1:36">
      <c r="A4292" s="5" t="s">
        <v>18337</v>
      </c>
      <c r="B4292" s="5" t="s">
        <v>18338</v>
      </c>
      <c r="C4292" s="6" t="s">
        <v>43</v>
      </c>
      <c r="D4292" s="6" t="s">
        <v>1040</v>
      </c>
      <c r="E4292" s="6" t="s">
        <v>218</v>
      </c>
      <c r="F4292" s="6" t="s">
        <v>46</v>
      </c>
      <c r="G4292" s="6" t="s">
        <v>18339</v>
      </c>
      <c r="H4292" s="7">
        <v>135.5</v>
      </c>
      <c r="I4292" s="19" t="s">
        <v>1983</v>
      </c>
      <c r="J4292" s="19" t="s">
        <v>18289</v>
      </c>
      <c r="K4292" s="5" t="s">
        <v>18340</v>
      </c>
      <c r="L4292" s="5" t="s">
        <v>18341</v>
      </c>
      <c r="M4292" s="5" t="s">
        <v>18342</v>
      </c>
      <c r="N4292" s="5" t="s">
        <v>18343</v>
      </c>
      <c r="O4292" s="5" t="s">
        <v>18344</v>
      </c>
      <c r="P4292" s="5" t="s">
        <v>18345</v>
      </c>
      <c r="Q4292" s="5" t="s">
        <v>18346</v>
      </c>
      <c r="R4292" s="5" t="s">
        <v>18347</v>
      </c>
      <c r="AA4292" s="5" t="s">
        <v>18298</v>
      </c>
      <c r="AB4292" s="5" t="s">
        <v>18303</v>
      </c>
      <c r="AC4292" s="5" t="s">
        <v>18300</v>
      </c>
      <c r="AD4292" s="5" t="s">
        <v>18301</v>
      </c>
      <c r="AG4292" s="14" t="s">
        <v>49</v>
      </c>
      <c r="AH4292" s="14" t="s">
        <v>49</v>
      </c>
      <c r="AI4292" s="14" t="s">
        <v>49</v>
      </c>
      <c r="AJ4292" s="5" t="s">
        <v>1884</v>
      </c>
    </row>
    <row r="4293" spans="1:36">
      <c r="A4293" s="5" t="s">
        <v>18348</v>
      </c>
      <c r="B4293" s="5" t="s">
        <v>18349</v>
      </c>
      <c r="C4293" s="6" t="s">
        <v>43</v>
      </c>
      <c r="D4293" s="6" t="s">
        <v>1040</v>
      </c>
      <c r="E4293" s="6" t="s">
        <v>218</v>
      </c>
      <c r="F4293" s="6" t="s">
        <v>46</v>
      </c>
      <c r="G4293" s="6" t="s">
        <v>3487</v>
      </c>
      <c r="H4293" s="7">
        <v>131.5</v>
      </c>
      <c r="I4293" s="19" t="s">
        <v>1983</v>
      </c>
      <c r="J4293" s="19" t="s">
        <v>18289</v>
      </c>
      <c r="K4293" s="5" t="s">
        <v>18350</v>
      </c>
      <c r="L4293" s="5" t="s">
        <v>18351</v>
      </c>
      <c r="M4293" s="5" t="s">
        <v>18352</v>
      </c>
      <c r="N4293" s="5" t="s">
        <v>18353</v>
      </c>
      <c r="O4293" s="5" t="s">
        <v>18294</v>
      </c>
      <c r="P4293" s="5" t="s">
        <v>18295</v>
      </c>
      <c r="Q4293" s="5" t="s">
        <v>18296</v>
      </c>
      <c r="R4293" s="5" t="s">
        <v>18297</v>
      </c>
      <c r="AA4293" s="5" t="s">
        <v>18298</v>
      </c>
      <c r="AB4293" s="5" t="s">
        <v>18303</v>
      </c>
      <c r="AC4293" s="5" t="s">
        <v>18300</v>
      </c>
      <c r="AD4293" s="5" t="s">
        <v>18301</v>
      </c>
      <c r="AG4293" s="14" t="s">
        <v>49</v>
      </c>
      <c r="AH4293" s="14" t="s">
        <v>49</v>
      </c>
      <c r="AI4293" s="14" t="s">
        <v>49</v>
      </c>
      <c r="AJ4293" s="5" t="s">
        <v>1884</v>
      </c>
    </row>
    <row r="4294" spans="1:36">
      <c r="A4294" s="5" t="s">
        <v>18354</v>
      </c>
      <c r="B4294" s="5" t="s">
        <v>18355</v>
      </c>
      <c r="C4294" s="6" t="s">
        <v>43</v>
      </c>
      <c r="D4294" s="6" t="s">
        <v>1040</v>
      </c>
      <c r="E4294" s="6" t="s">
        <v>218</v>
      </c>
      <c r="F4294" s="6" t="s">
        <v>46</v>
      </c>
      <c r="G4294" s="6" t="s">
        <v>18356</v>
      </c>
      <c r="H4294" s="7">
        <v>169.5</v>
      </c>
      <c r="I4294" s="19" t="s">
        <v>1983</v>
      </c>
      <c r="J4294" s="19" t="s">
        <v>18289</v>
      </c>
      <c r="K4294" s="5" t="s">
        <v>18357</v>
      </c>
      <c r="L4294" s="5" t="s">
        <v>18358</v>
      </c>
      <c r="M4294" s="5" t="s">
        <v>18359</v>
      </c>
      <c r="N4294" s="5" t="s">
        <v>18360</v>
      </c>
      <c r="O4294" s="5" t="s">
        <v>18361</v>
      </c>
      <c r="P4294" s="5" t="s">
        <v>18362</v>
      </c>
      <c r="Q4294" s="5" t="s">
        <v>18363</v>
      </c>
      <c r="R4294" s="5" t="s">
        <v>18364</v>
      </c>
      <c r="AA4294" s="5" t="s">
        <v>18298</v>
      </c>
      <c r="AB4294" s="5" t="s">
        <v>18303</v>
      </c>
      <c r="AC4294" s="5" t="s">
        <v>18300</v>
      </c>
      <c r="AD4294" s="5" t="s">
        <v>18301</v>
      </c>
      <c r="AG4294" s="14" t="s">
        <v>49</v>
      </c>
      <c r="AH4294" s="14" t="s">
        <v>49</v>
      </c>
      <c r="AI4294" s="14" t="s">
        <v>49</v>
      </c>
      <c r="AJ4294" s="5" t="s">
        <v>1884</v>
      </c>
    </row>
    <row r="4295" spans="1:36">
      <c r="A4295" s="5" t="s">
        <v>18365</v>
      </c>
      <c r="B4295" s="5" t="s">
        <v>18366</v>
      </c>
      <c r="C4295" s="6" t="s">
        <v>43</v>
      </c>
      <c r="D4295" s="6" t="s">
        <v>1040</v>
      </c>
      <c r="E4295" s="6" t="s">
        <v>11106</v>
      </c>
      <c r="F4295" s="6" t="s">
        <v>46</v>
      </c>
      <c r="G4295" s="6" t="s">
        <v>18367</v>
      </c>
      <c r="H4295" s="7">
        <v>254.25</v>
      </c>
      <c r="I4295" s="19" t="s">
        <v>1983</v>
      </c>
      <c r="J4295" s="19" t="s">
        <v>18289</v>
      </c>
      <c r="K4295" s="5" t="s">
        <v>18368</v>
      </c>
      <c r="L4295" s="5" t="s">
        <v>18369</v>
      </c>
      <c r="M4295" s="5" t="s">
        <v>18370</v>
      </c>
      <c r="N4295" s="5" t="s">
        <v>18371</v>
      </c>
      <c r="O4295" s="5" t="s">
        <v>18372</v>
      </c>
      <c r="P4295" s="5" t="s">
        <v>18373</v>
      </c>
      <c r="Q4295" s="5" t="s">
        <v>18374</v>
      </c>
      <c r="R4295" s="5" t="s">
        <v>18375</v>
      </c>
      <c r="AA4295" s="5" t="s">
        <v>18298</v>
      </c>
      <c r="AB4295" s="5" t="s">
        <v>18303</v>
      </c>
      <c r="AC4295" s="5" t="s">
        <v>18300</v>
      </c>
      <c r="AD4295" s="5" t="s">
        <v>18301</v>
      </c>
      <c r="AG4295" s="14" t="s">
        <v>55</v>
      </c>
      <c r="AH4295" s="14" t="s">
        <v>49</v>
      </c>
      <c r="AI4295" s="14" t="s">
        <v>172</v>
      </c>
      <c r="AJ4295" s="5" t="s">
        <v>18304</v>
      </c>
    </row>
    <row r="4296" spans="1:36">
      <c r="A4296" s="5" t="s">
        <v>18376</v>
      </c>
      <c r="B4296" s="5" t="s">
        <v>18366</v>
      </c>
      <c r="C4296" s="6" t="s">
        <v>43</v>
      </c>
      <c r="D4296" s="6" t="s">
        <v>1040</v>
      </c>
      <c r="E4296" s="6" t="s">
        <v>218</v>
      </c>
      <c r="F4296" s="6" t="s">
        <v>46</v>
      </c>
      <c r="G4296" s="6" t="s">
        <v>18377</v>
      </c>
      <c r="H4296" s="7">
        <v>254.25</v>
      </c>
      <c r="I4296" s="19" t="s">
        <v>1983</v>
      </c>
      <c r="J4296" s="19" t="s">
        <v>18289</v>
      </c>
      <c r="K4296" s="5" t="s">
        <v>18368</v>
      </c>
      <c r="L4296" s="5" t="s">
        <v>18369</v>
      </c>
      <c r="M4296" s="5" t="s">
        <v>18370</v>
      </c>
      <c r="N4296" s="5" t="s">
        <v>18371</v>
      </c>
      <c r="O4296" s="5" t="s">
        <v>18378</v>
      </c>
      <c r="P4296" s="5" t="s">
        <v>18379</v>
      </c>
      <c r="Q4296" s="5" t="s">
        <v>18380</v>
      </c>
      <c r="R4296" s="5" t="s">
        <v>18381</v>
      </c>
      <c r="AA4296" s="5" t="s">
        <v>18298</v>
      </c>
      <c r="AB4296" s="5" t="s">
        <v>18303</v>
      </c>
      <c r="AC4296" s="5" t="s">
        <v>18300</v>
      </c>
      <c r="AD4296" s="5" t="s">
        <v>18301</v>
      </c>
      <c r="AG4296" s="14" t="s">
        <v>49</v>
      </c>
      <c r="AH4296" s="14" t="s">
        <v>49</v>
      </c>
      <c r="AI4296" s="14" t="s">
        <v>49</v>
      </c>
      <c r="AJ4296" s="5" t="s">
        <v>1884</v>
      </c>
    </row>
    <row r="4297" spans="1:36">
      <c r="A4297" s="5" t="s">
        <v>18382</v>
      </c>
      <c r="B4297" s="5" t="s">
        <v>18383</v>
      </c>
      <c r="C4297" s="6" t="s">
        <v>43</v>
      </c>
      <c r="D4297" s="6" t="s">
        <v>1040</v>
      </c>
      <c r="E4297" s="6" t="s">
        <v>218</v>
      </c>
      <c r="F4297" s="6" t="s">
        <v>46</v>
      </c>
      <c r="G4297" s="6" t="s">
        <v>18384</v>
      </c>
      <c r="H4297" s="7">
        <v>175</v>
      </c>
      <c r="I4297" s="19" t="s">
        <v>1983</v>
      </c>
      <c r="J4297" s="19" t="s">
        <v>18289</v>
      </c>
      <c r="K4297" s="5" t="s">
        <v>18385</v>
      </c>
      <c r="L4297" s="5" t="s">
        <v>18386</v>
      </c>
      <c r="M4297" s="5" t="s">
        <v>18387</v>
      </c>
      <c r="N4297" s="5" t="s">
        <v>18388</v>
      </c>
      <c r="O4297" s="5" t="s">
        <v>18389</v>
      </c>
      <c r="P4297" s="5" t="s">
        <v>18390</v>
      </c>
      <c r="Q4297" s="5" t="s">
        <v>18391</v>
      </c>
      <c r="R4297" s="5" t="s">
        <v>18392</v>
      </c>
      <c r="AA4297" s="5" t="s">
        <v>18298</v>
      </c>
      <c r="AB4297" s="5" t="s">
        <v>18303</v>
      </c>
      <c r="AC4297" s="5" t="s">
        <v>18300</v>
      </c>
      <c r="AD4297" s="5" t="s">
        <v>18301</v>
      </c>
      <c r="AG4297" s="14" t="s">
        <v>49</v>
      </c>
      <c r="AH4297" s="14" t="s">
        <v>49</v>
      </c>
      <c r="AI4297" s="14" t="s">
        <v>49</v>
      </c>
      <c r="AJ4297" s="5" t="s">
        <v>1884</v>
      </c>
    </row>
    <row r="4298" spans="1:36">
      <c r="A4298" s="5" t="s">
        <v>18393</v>
      </c>
      <c r="B4298" s="5" t="s">
        <v>18394</v>
      </c>
      <c r="C4298" s="6" t="s">
        <v>43</v>
      </c>
      <c r="D4298" s="6" t="s">
        <v>1040</v>
      </c>
      <c r="E4298" s="6" t="s">
        <v>218</v>
      </c>
      <c r="F4298" s="6" t="s">
        <v>46</v>
      </c>
      <c r="G4298" s="6" t="s">
        <v>18395</v>
      </c>
      <c r="H4298" s="7">
        <v>225.5</v>
      </c>
      <c r="I4298" s="19" t="s">
        <v>1983</v>
      </c>
      <c r="J4298" s="19" t="s">
        <v>18289</v>
      </c>
      <c r="K4298" s="5" t="s">
        <v>18396</v>
      </c>
      <c r="L4298" s="5" t="s">
        <v>18397</v>
      </c>
      <c r="M4298" s="5" t="s">
        <v>18398</v>
      </c>
      <c r="N4298" s="5" t="s">
        <v>18399</v>
      </c>
      <c r="O4298" s="5" t="s">
        <v>18400</v>
      </c>
      <c r="P4298" s="5" t="s">
        <v>18401</v>
      </c>
      <c r="Q4298" s="5" t="s">
        <v>18402</v>
      </c>
      <c r="R4298" s="5" t="s">
        <v>18403</v>
      </c>
      <c r="AA4298" s="5" t="s">
        <v>18298</v>
      </c>
      <c r="AB4298" s="5" t="s">
        <v>18303</v>
      </c>
      <c r="AC4298" s="5" t="s">
        <v>18300</v>
      </c>
      <c r="AD4298" s="5" t="s">
        <v>18301</v>
      </c>
      <c r="AG4298" s="14" t="s">
        <v>49</v>
      </c>
      <c r="AH4298" s="14" t="s">
        <v>49</v>
      </c>
      <c r="AI4298" s="14" t="s">
        <v>49</v>
      </c>
      <c r="AJ4298" s="5" t="s">
        <v>1884</v>
      </c>
    </row>
    <row r="4299" spans="1:36">
      <c r="A4299" s="5" t="s">
        <v>18404</v>
      </c>
      <c r="B4299" s="5" t="s">
        <v>18405</v>
      </c>
      <c r="C4299" s="6" t="s">
        <v>43</v>
      </c>
      <c r="D4299" s="6" t="s">
        <v>1040</v>
      </c>
      <c r="E4299" s="6" t="s">
        <v>11106</v>
      </c>
      <c r="F4299" s="6" t="s">
        <v>46</v>
      </c>
      <c r="G4299" s="6" t="s">
        <v>18406</v>
      </c>
      <c r="H4299" s="7">
        <v>337.5</v>
      </c>
      <c r="I4299" s="19" t="s">
        <v>1983</v>
      </c>
      <c r="J4299" s="19" t="s">
        <v>18289</v>
      </c>
      <c r="K4299" s="5" t="s">
        <v>18407</v>
      </c>
      <c r="L4299" s="5" t="s">
        <v>18408</v>
      </c>
      <c r="M4299" s="5" t="s">
        <v>18409</v>
      </c>
      <c r="N4299" s="5" t="s">
        <v>18410</v>
      </c>
      <c r="O4299" s="5" t="s">
        <v>18411</v>
      </c>
      <c r="P4299" s="5" t="s">
        <v>18412</v>
      </c>
      <c r="Q4299" s="5" t="s">
        <v>18413</v>
      </c>
      <c r="R4299" s="5" t="s">
        <v>18414</v>
      </c>
      <c r="AA4299" s="5" t="s">
        <v>18298</v>
      </c>
      <c r="AB4299" s="5" t="s">
        <v>18303</v>
      </c>
      <c r="AC4299" s="5" t="s">
        <v>18300</v>
      </c>
      <c r="AD4299" s="5" t="s">
        <v>18301</v>
      </c>
      <c r="AG4299" s="14" t="s">
        <v>55</v>
      </c>
      <c r="AH4299" s="14" t="s">
        <v>49</v>
      </c>
      <c r="AI4299" s="14" t="s">
        <v>172</v>
      </c>
      <c r="AJ4299" s="5" t="s">
        <v>18304</v>
      </c>
    </row>
    <row r="4300" spans="1:36">
      <c r="A4300" s="5" t="s">
        <v>18415</v>
      </c>
      <c r="B4300" s="5" t="s">
        <v>18405</v>
      </c>
      <c r="C4300" s="6" t="s">
        <v>43</v>
      </c>
      <c r="D4300" s="6" t="s">
        <v>1040</v>
      </c>
      <c r="E4300" s="6" t="s">
        <v>218</v>
      </c>
      <c r="F4300" s="6" t="s">
        <v>46</v>
      </c>
      <c r="G4300" s="6" t="s">
        <v>18416</v>
      </c>
      <c r="H4300" s="7">
        <v>337.5</v>
      </c>
      <c r="I4300" s="19" t="s">
        <v>1983</v>
      </c>
      <c r="J4300" s="19" t="s">
        <v>18289</v>
      </c>
      <c r="K4300" s="5" t="s">
        <v>18407</v>
      </c>
      <c r="L4300" s="5" t="s">
        <v>18408</v>
      </c>
      <c r="M4300" s="5" t="s">
        <v>18409</v>
      </c>
      <c r="N4300" s="5" t="s">
        <v>18410</v>
      </c>
      <c r="O4300" s="5" t="s">
        <v>18417</v>
      </c>
      <c r="P4300" s="5" t="s">
        <v>18418</v>
      </c>
      <c r="Q4300" s="5" t="s">
        <v>18419</v>
      </c>
      <c r="R4300" s="5" t="s">
        <v>18420</v>
      </c>
      <c r="AA4300" s="5" t="s">
        <v>18298</v>
      </c>
      <c r="AB4300" s="5" t="s">
        <v>18303</v>
      </c>
      <c r="AC4300" s="5" t="s">
        <v>18300</v>
      </c>
      <c r="AD4300" s="5" t="s">
        <v>18301</v>
      </c>
      <c r="AG4300" s="14" t="s">
        <v>49</v>
      </c>
      <c r="AH4300" s="14" t="s">
        <v>49</v>
      </c>
      <c r="AI4300" s="14" t="s">
        <v>49</v>
      </c>
      <c r="AJ4300" s="5" t="s">
        <v>1884</v>
      </c>
    </row>
    <row r="4301" spans="1:36">
      <c r="A4301" s="5" t="s">
        <v>18421</v>
      </c>
      <c r="B4301" s="5" t="s">
        <v>18422</v>
      </c>
      <c r="C4301" s="6" t="s">
        <v>889</v>
      </c>
      <c r="D4301" s="6" t="s">
        <v>1040</v>
      </c>
      <c r="E4301" s="6" t="s">
        <v>218</v>
      </c>
      <c r="F4301" s="6" t="s">
        <v>46</v>
      </c>
      <c r="G4301" s="6" t="s">
        <v>18423</v>
      </c>
      <c r="H4301" s="7">
        <v>84.85</v>
      </c>
      <c r="I4301" s="19" t="s">
        <v>1983</v>
      </c>
      <c r="J4301" s="19" t="s">
        <v>18289</v>
      </c>
      <c r="K4301" s="5" t="s">
        <v>18424</v>
      </c>
      <c r="L4301" s="5" t="s">
        <v>18425</v>
      </c>
      <c r="M4301" s="5" t="s">
        <v>18426</v>
      </c>
      <c r="N4301" s="5" t="s">
        <v>18427</v>
      </c>
      <c r="O4301" s="5" t="s">
        <v>18428</v>
      </c>
      <c r="P4301" s="5" t="s">
        <v>18429</v>
      </c>
      <c r="Q4301" s="5" t="s">
        <v>18430</v>
      </c>
      <c r="R4301" s="5" t="s">
        <v>18431</v>
      </c>
      <c r="AA4301" s="5" t="s">
        <v>18298</v>
      </c>
      <c r="AB4301" s="5" t="s">
        <v>18303</v>
      </c>
      <c r="AC4301" s="5" t="s">
        <v>18300</v>
      </c>
      <c r="AD4301" s="5" t="s">
        <v>18301</v>
      </c>
      <c r="AG4301" s="14" t="s">
        <v>49</v>
      </c>
      <c r="AH4301" s="14" t="s">
        <v>49</v>
      </c>
      <c r="AI4301" s="14" t="s">
        <v>49</v>
      </c>
      <c r="AJ4301" s="5" t="s">
        <v>1884</v>
      </c>
    </row>
    <row r="4302" spans="1:36">
      <c r="A4302" s="5" t="s">
        <v>18432</v>
      </c>
      <c r="B4302" s="5" t="s">
        <v>18422</v>
      </c>
      <c r="C4302" s="6" t="s">
        <v>889</v>
      </c>
      <c r="D4302" s="6" t="s">
        <v>1040</v>
      </c>
      <c r="E4302" s="6" t="s">
        <v>10152</v>
      </c>
      <c r="F4302" s="6" t="s">
        <v>46</v>
      </c>
      <c r="G4302" s="6" t="s">
        <v>18433</v>
      </c>
      <c r="H4302" s="7">
        <v>84.85</v>
      </c>
      <c r="I4302" s="19" t="s">
        <v>1983</v>
      </c>
      <c r="J4302" s="19" t="s">
        <v>18289</v>
      </c>
      <c r="K4302" s="5" t="s">
        <v>18424</v>
      </c>
      <c r="L4302" s="5" t="s">
        <v>18425</v>
      </c>
      <c r="M4302" s="5" t="s">
        <v>18426</v>
      </c>
      <c r="N4302" s="5" t="s">
        <v>18427</v>
      </c>
      <c r="O4302" s="5" t="s">
        <v>18428</v>
      </c>
      <c r="P4302" s="5" t="s">
        <v>18429</v>
      </c>
      <c r="Q4302" s="5" t="s">
        <v>18430</v>
      </c>
      <c r="R4302" s="5" t="s">
        <v>18431</v>
      </c>
      <c r="AA4302" s="5" t="s">
        <v>18298</v>
      </c>
      <c r="AB4302" s="5" t="s">
        <v>18303</v>
      </c>
      <c r="AC4302" s="5" t="s">
        <v>18300</v>
      </c>
      <c r="AD4302" s="5" t="s">
        <v>18301</v>
      </c>
      <c r="AG4302" s="14" t="s">
        <v>55</v>
      </c>
      <c r="AH4302" s="14" t="s">
        <v>49</v>
      </c>
      <c r="AI4302" s="14" t="s">
        <v>172</v>
      </c>
      <c r="AJ4302" s="5" t="s">
        <v>18304</v>
      </c>
    </row>
    <row r="4303" spans="1:36">
      <c r="A4303" s="5" t="s">
        <v>18434</v>
      </c>
      <c r="B4303" s="5" t="s">
        <v>18435</v>
      </c>
      <c r="C4303" s="6" t="s">
        <v>889</v>
      </c>
      <c r="D4303" s="6" t="s">
        <v>1040</v>
      </c>
      <c r="E4303" s="6" t="s">
        <v>218</v>
      </c>
      <c r="F4303" s="6" t="s">
        <v>46</v>
      </c>
      <c r="G4303" s="6" t="s">
        <v>18436</v>
      </c>
      <c r="H4303" s="7">
        <v>109.5</v>
      </c>
      <c r="I4303" s="19" t="s">
        <v>1983</v>
      </c>
      <c r="J4303" s="19" t="s">
        <v>18289</v>
      </c>
      <c r="K4303" s="5" t="s">
        <v>18437</v>
      </c>
      <c r="L4303" s="5" t="s">
        <v>18438</v>
      </c>
      <c r="M4303" s="5" t="s">
        <v>18439</v>
      </c>
      <c r="N4303" s="5" t="s">
        <v>18440</v>
      </c>
      <c r="O4303" s="5" t="s">
        <v>18441</v>
      </c>
      <c r="P4303" s="5" t="s">
        <v>18442</v>
      </c>
      <c r="Q4303" s="5" t="s">
        <v>18443</v>
      </c>
      <c r="R4303" s="5" t="s">
        <v>18444</v>
      </c>
      <c r="AA4303" s="5" t="s">
        <v>18298</v>
      </c>
      <c r="AB4303" s="5" t="s">
        <v>18303</v>
      </c>
      <c r="AC4303" s="5" t="s">
        <v>18300</v>
      </c>
      <c r="AD4303" s="5" t="s">
        <v>18301</v>
      </c>
      <c r="AG4303" s="14" t="s">
        <v>49</v>
      </c>
      <c r="AH4303" s="14" t="s">
        <v>49</v>
      </c>
      <c r="AI4303" s="14" t="s">
        <v>49</v>
      </c>
      <c r="AJ4303" s="5" t="s">
        <v>1884</v>
      </c>
    </row>
    <row r="4304" spans="1:36">
      <c r="A4304" s="5" t="s">
        <v>18445</v>
      </c>
      <c r="B4304" s="5" t="s">
        <v>18446</v>
      </c>
      <c r="C4304" s="6" t="s">
        <v>889</v>
      </c>
      <c r="D4304" s="6" t="s">
        <v>1040</v>
      </c>
      <c r="E4304" s="6" t="s">
        <v>218</v>
      </c>
      <c r="F4304" s="6" t="s">
        <v>46</v>
      </c>
      <c r="G4304" s="6" t="s">
        <v>18447</v>
      </c>
      <c r="H4304" s="7">
        <v>136.88</v>
      </c>
      <c r="I4304" s="19" t="s">
        <v>1983</v>
      </c>
      <c r="J4304" s="19" t="s">
        <v>18289</v>
      </c>
      <c r="K4304" s="5" t="s">
        <v>18448</v>
      </c>
      <c r="L4304" s="5" t="s">
        <v>18449</v>
      </c>
      <c r="M4304" s="5" t="s">
        <v>18450</v>
      </c>
      <c r="N4304" s="5" t="s">
        <v>18451</v>
      </c>
      <c r="O4304" s="5" t="s">
        <v>18452</v>
      </c>
      <c r="P4304" s="5" t="s">
        <v>18453</v>
      </c>
      <c r="Q4304" s="5" t="s">
        <v>18454</v>
      </c>
      <c r="R4304" s="5" t="s">
        <v>18455</v>
      </c>
      <c r="AA4304" s="5" t="s">
        <v>18298</v>
      </c>
      <c r="AB4304" s="5" t="s">
        <v>18303</v>
      </c>
      <c r="AC4304" s="5" t="s">
        <v>18300</v>
      </c>
      <c r="AD4304" s="5" t="s">
        <v>18301</v>
      </c>
      <c r="AG4304" s="14" t="s">
        <v>49</v>
      </c>
      <c r="AH4304" s="14" t="s">
        <v>49</v>
      </c>
      <c r="AI4304" s="14" t="s">
        <v>49</v>
      </c>
      <c r="AJ4304" s="5" t="s">
        <v>1884</v>
      </c>
    </row>
    <row r="4305" spans="1:36">
      <c r="A4305" s="5" t="s">
        <v>18456</v>
      </c>
      <c r="B4305" s="5" t="s">
        <v>18457</v>
      </c>
      <c r="C4305" s="6" t="s">
        <v>43</v>
      </c>
      <c r="D4305" s="6" t="s">
        <v>1040</v>
      </c>
      <c r="E4305" s="6" t="s">
        <v>218</v>
      </c>
      <c r="F4305" s="6" t="s">
        <v>46</v>
      </c>
      <c r="G4305" s="6" t="s">
        <v>18458</v>
      </c>
      <c r="H4305" s="7">
        <v>166.32</v>
      </c>
      <c r="I4305" s="19" t="s">
        <v>1983</v>
      </c>
      <c r="J4305" s="19" t="s">
        <v>18289</v>
      </c>
      <c r="K4305" s="5" t="s">
        <v>18459</v>
      </c>
      <c r="L4305" s="5" t="s">
        <v>18460</v>
      </c>
      <c r="M4305" s="5" t="s">
        <v>18461</v>
      </c>
      <c r="N4305" s="5" t="s">
        <v>18462</v>
      </c>
      <c r="O4305" s="5" t="s">
        <v>18463</v>
      </c>
      <c r="P4305" s="5" t="s">
        <v>18464</v>
      </c>
      <c r="Q4305" s="5" t="s">
        <v>18465</v>
      </c>
      <c r="R4305" s="5" t="s">
        <v>18466</v>
      </c>
      <c r="AA4305" s="5" t="s">
        <v>18298</v>
      </c>
      <c r="AB4305" s="5" t="s">
        <v>18303</v>
      </c>
      <c r="AC4305" s="5" t="s">
        <v>18300</v>
      </c>
      <c r="AD4305" s="5" t="s">
        <v>18301</v>
      </c>
      <c r="AG4305" s="14" t="s">
        <v>49</v>
      </c>
      <c r="AH4305" s="14" t="s">
        <v>49</v>
      </c>
      <c r="AI4305" s="14" t="s">
        <v>49</v>
      </c>
      <c r="AJ4305" s="5" t="s">
        <v>1884</v>
      </c>
    </row>
    <row r="4306" spans="1:36">
      <c r="C4306" s="6" t="s">
        <v>13</v>
      </c>
      <c r="D4306" s="6" t="s">
        <v>18467</v>
      </c>
      <c r="E4306" s="6" t="s">
        <v>18468</v>
      </c>
      <c r="F4306" s="6" t="s">
        <v>18469</v>
      </c>
      <c r="G4306" s="6" t="s">
        <v>18470</v>
      </c>
      <c r="R4306" s="5"/>
    </row>
    <row r="4307" spans="1:36" ht="12.75" customHeight="1">
      <c r="R4307" s="5"/>
    </row>
    <row r="4308" spans="1:36">
      <c r="D4308" s="6" t="s">
        <v>18471</v>
      </c>
    </row>
    <row r="4309" spans="1:36" ht="12.75" customHeight="1">
      <c r="I4309" s="19"/>
      <c r="J4309" s="19"/>
    </row>
    <row r="4310" spans="1:36" ht="12.75" customHeight="1">
      <c r="I4310" s="19"/>
      <c r="J4310" s="19"/>
    </row>
    <row r="4311" spans="1:36" ht="12.75" customHeight="1">
      <c r="I4311" s="19"/>
      <c r="J4311" s="19"/>
    </row>
    <row r="4312" spans="1:36" ht="12.75" customHeight="1">
      <c r="I4312" s="19"/>
      <c r="J4312" s="19"/>
    </row>
    <row r="4313" spans="1:36" ht="12.75" customHeight="1">
      <c r="I4313" s="19"/>
      <c r="J4313" s="19"/>
    </row>
    <row r="4314" spans="1:36" ht="12.75" customHeight="1">
      <c r="I4314" s="19"/>
      <c r="J4314" s="19"/>
    </row>
  </sheetData>
  <autoFilter ref="A2:AX4306" xr:uid="{00000000-0001-0000-0000-000000000000}"/>
  <mergeCells count="6">
    <mergeCell ref="AG1:AI1"/>
    <mergeCell ref="K1:N1"/>
    <mergeCell ref="O1:R1"/>
    <mergeCell ref="S1:V1"/>
    <mergeCell ref="W1:Z1"/>
    <mergeCell ref="AA1:AD1"/>
  </mergeCells>
  <phoneticPr fontId="4" type="noConversion"/>
  <pageMargins left="0" right="0" top="0" bottom="0" header="0" footer="0"/>
  <pageSetup paperSize="9"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0"/>
  <sheetViews>
    <sheetView workbookViewId="0">
      <selection activeCell="D16" sqref="D16"/>
    </sheetView>
  </sheetViews>
  <sheetFormatPr defaultRowHeight="12.75"/>
  <cols>
    <col min="1" max="1" width="24.7109375" style="6" customWidth="1"/>
    <col min="2" max="2" width="34.28515625" style="6" customWidth="1"/>
    <col min="3" max="3" width="31.7109375" style="6" customWidth="1"/>
    <col min="4" max="4" width="34.85546875" style="6" customWidth="1"/>
    <col min="5" max="5" width="32.5703125" style="6" customWidth="1"/>
    <col min="6" max="6" width="37" style="6" customWidth="1"/>
    <col min="7" max="7" width="31.140625" style="6" customWidth="1"/>
    <col min="8" max="8" width="33.140625" style="6" customWidth="1"/>
    <col min="9" max="16384" width="9.140625" style="6"/>
  </cols>
  <sheetData>
    <row r="1" spans="1:8" ht="15.75" thickBot="1">
      <c r="A1" s="31" t="s">
        <v>14</v>
      </c>
      <c r="B1" s="31" t="s">
        <v>15</v>
      </c>
      <c r="C1" s="31" t="s">
        <v>14</v>
      </c>
      <c r="D1" s="31" t="s">
        <v>15</v>
      </c>
      <c r="E1" s="31" t="s">
        <v>14</v>
      </c>
      <c r="F1" s="31" t="s">
        <v>15</v>
      </c>
      <c r="G1" s="31" t="s">
        <v>14</v>
      </c>
      <c r="H1" s="31" t="s">
        <v>15</v>
      </c>
    </row>
    <row r="2" spans="1:8">
      <c r="A2" s="16" t="s">
        <v>1589</v>
      </c>
      <c r="B2" s="16" t="s">
        <v>2696</v>
      </c>
      <c r="C2" s="16" t="s">
        <v>18472</v>
      </c>
      <c r="D2" s="16" t="s">
        <v>18473</v>
      </c>
      <c r="E2" s="16" t="s">
        <v>18474</v>
      </c>
      <c r="F2" s="16" t="s">
        <v>2696</v>
      </c>
      <c r="G2" s="16" t="s">
        <v>18475</v>
      </c>
      <c r="H2" s="16" t="s">
        <v>18476</v>
      </c>
    </row>
    <row r="3" spans="1:8">
      <c r="A3" s="19" t="s">
        <v>2283</v>
      </c>
      <c r="B3" s="16" t="s">
        <v>2078</v>
      </c>
      <c r="C3" s="16" t="s">
        <v>18477</v>
      </c>
      <c r="D3" s="16" t="s">
        <v>18478</v>
      </c>
      <c r="E3" s="16" t="s">
        <v>18479</v>
      </c>
      <c r="F3" s="16" t="s">
        <v>18480</v>
      </c>
      <c r="G3" s="16" t="s">
        <v>18481</v>
      </c>
      <c r="H3" s="16" t="s">
        <v>18482</v>
      </c>
    </row>
    <row r="4" spans="1:8">
      <c r="A4" s="16" t="s">
        <v>1888</v>
      </c>
      <c r="B4" s="16" t="s">
        <v>2191</v>
      </c>
      <c r="C4" s="16" t="s">
        <v>18483</v>
      </c>
      <c r="D4" s="16" t="s">
        <v>18484</v>
      </c>
      <c r="E4" s="16" t="s">
        <v>18485</v>
      </c>
      <c r="F4" s="16" t="s">
        <v>18486</v>
      </c>
      <c r="G4" s="16" t="s">
        <v>18487</v>
      </c>
      <c r="H4" s="16" t="s">
        <v>18488</v>
      </c>
    </row>
    <row r="5" spans="1:8">
      <c r="A5" s="16" t="s">
        <v>1507</v>
      </c>
      <c r="B5" s="16" t="s">
        <v>2001</v>
      </c>
      <c r="C5" s="16" t="s">
        <v>18489</v>
      </c>
      <c r="D5" s="16" t="s">
        <v>18490</v>
      </c>
      <c r="E5" s="16" t="s">
        <v>18491</v>
      </c>
      <c r="F5" s="16" t="s">
        <v>18492</v>
      </c>
      <c r="G5" s="16" t="s">
        <v>18493</v>
      </c>
      <c r="H5" s="16" t="s">
        <v>18494</v>
      </c>
    </row>
    <row r="6" spans="1:8">
      <c r="A6" s="16" t="s">
        <v>1393</v>
      </c>
      <c r="B6" s="16" t="s">
        <v>1590</v>
      </c>
      <c r="C6" s="16" t="s">
        <v>18495</v>
      </c>
      <c r="D6" s="16" t="s">
        <v>1590</v>
      </c>
      <c r="E6" s="16" t="s">
        <v>18496</v>
      </c>
      <c r="F6" s="16" t="s">
        <v>18497</v>
      </c>
      <c r="G6" s="16" t="s">
        <v>18498</v>
      </c>
      <c r="H6" s="16" t="s">
        <v>1590</v>
      </c>
    </row>
    <row r="7" spans="1:8">
      <c r="A7" s="19" t="s">
        <v>63</v>
      </c>
      <c r="B7" s="16" t="s">
        <v>2650</v>
      </c>
      <c r="C7" s="19" t="s">
        <v>18499</v>
      </c>
      <c r="D7" s="16" t="s">
        <v>18500</v>
      </c>
      <c r="E7" s="19" t="s">
        <v>18501</v>
      </c>
      <c r="F7" s="16" t="s">
        <v>18502</v>
      </c>
      <c r="G7" s="19" t="s">
        <v>18503</v>
      </c>
      <c r="H7" s="16" t="s">
        <v>18504</v>
      </c>
    </row>
    <row r="8" spans="1:8">
      <c r="A8" s="19" t="s">
        <v>219</v>
      </c>
      <c r="B8" s="16" t="s">
        <v>5258</v>
      </c>
      <c r="C8" s="19" t="s">
        <v>18505</v>
      </c>
      <c r="D8" s="16" t="s">
        <v>5258</v>
      </c>
      <c r="E8" s="19" t="s">
        <v>18506</v>
      </c>
      <c r="F8" s="16" t="s">
        <v>5258</v>
      </c>
      <c r="G8" s="19" t="s">
        <v>18507</v>
      </c>
      <c r="H8" s="16" t="s">
        <v>5258</v>
      </c>
    </row>
    <row r="9" spans="1:8">
      <c r="A9" s="19" t="s">
        <v>1983</v>
      </c>
      <c r="B9" s="16" t="s">
        <v>2254</v>
      </c>
      <c r="C9" s="19" t="s">
        <v>18508</v>
      </c>
      <c r="D9" s="16" t="s">
        <v>2254</v>
      </c>
      <c r="E9" s="19" t="s">
        <v>18509</v>
      </c>
      <c r="F9" s="16" t="s">
        <v>18510</v>
      </c>
      <c r="G9" s="19" t="s">
        <v>18511</v>
      </c>
      <c r="H9" s="16" t="s">
        <v>18512</v>
      </c>
    </row>
    <row r="10" spans="1:8">
      <c r="A10" s="19" t="s">
        <v>1882</v>
      </c>
      <c r="B10" s="16" t="s">
        <v>17743</v>
      </c>
      <c r="C10" s="19" t="s">
        <v>18513</v>
      </c>
      <c r="D10" s="16" t="s">
        <v>18514</v>
      </c>
      <c r="E10" s="19" t="s">
        <v>18515</v>
      </c>
      <c r="F10" s="16" t="s">
        <v>18516</v>
      </c>
      <c r="G10" s="19" t="s">
        <v>18517</v>
      </c>
      <c r="H10" s="16" t="s">
        <v>18518</v>
      </c>
    </row>
    <row r="11" spans="1:8">
      <c r="A11" s="19" t="s">
        <v>16938</v>
      </c>
      <c r="B11" s="19" t="s">
        <v>13079</v>
      </c>
      <c r="C11" s="19" t="s">
        <v>18519</v>
      </c>
      <c r="D11" s="19" t="s">
        <v>13079</v>
      </c>
      <c r="E11" s="19" t="s">
        <v>18520</v>
      </c>
      <c r="F11" s="19" t="s">
        <v>13079</v>
      </c>
      <c r="G11" s="19" t="s">
        <v>18521</v>
      </c>
      <c r="H11" s="19" t="s">
        <v>13079</v>
      </c>
    </row>
    <row r="12" spans="1:8">
      <c r="A12" s="19" t="s">
        <v>13662</v>
      </c>
      <c r="B12" s="19" t="s">
        <v>18522</v>
      </c>
      <c r="C12" s="19" t="s">
        <v>18523</v>
      </c>
      <c r="D12" s="19" t="s">
        <v>18524</v>
      </c>
      <c r="E12" s="19" t="s">
        <v>18525</v>
      </c>
      <c r="F12" s="19" t="s">
        <v>18526</v>
      </c>
      <c r="G12" s="19" t="s">
        <v>18527</v>
      </c>
      <c r="H12" s="19" t="s">
        <v>18522</v>
      </c>
    </row>
    <row r="13" spans="1:8">
      <c r="A13" s="19" t="s">
        <v>1277</v>
      </c>
      <c r="B13" s="19" t="s">
        <v>18528</v>
      </c>
      <c r="C13" s="19" t="s">
        <v>18529</v>
      </c>
      <c r="D13" s="19" t="s">
        <v>18530</v>
      </c>
      <c r="E13" s="19" t="s">
        <v>18531</v>
      </c>
      <c r="F13" s="19" t="s">
        <v>18532</v>
      </c>
      <c r="G13" s="19" t="s">
        <v>18533</v>
      </c>
      <c r="H13" s="19" t="s">
        <v>18528</v>
      </c>
    </row>
    <row r="14" spans="1:8">
      <c r="A14" s="16"/>
      <c r="B14" s="19" t="s">
        <v>2512</v>
      </c>
      <c r="C14" s="16"/>
      <c r="D14" s="19" t="s">
        <v>18534</v>
      </c>
      <c r="E14" s="16"/>
      <c r="F14" s="19" t="s">
        <v>18535</v>
      </c>
      <c r="G14" s="16"/>
      <c r="H14" s="19" t="s">
        <v>18536</v>
      </c>
    </row>
    <row r="15" spans="1:8">
      <c r="A15" s="16"/>
      <c r="B15" s="19" t="s">
        <v>2466</v>
      </c>
      <c r="C15" s="16"/>
      <c r="D15" s="19" t="s">
        <v>18537</v>
      </c>
      <c r="E15" s="16"/>
      <c r="F15" s="19" t="s">
        <v>18538</v>
      </c>
      <c r="G15" s="16"/>
      <c r="H15" s="19" t="s">
        <v>18539</v>
      </c>
    </row>
    <row r="16" spans="1:8">
      <c r="A16" s="16"/>
      <c r="B16" s="19" t="s">
        <v>2481</v>
      </c>
      <c r="C16" s="16"/>
      <c r="D16" s="19" t="s">
        <v>18540</v>
      </c>
      <c r="E16" s="16"/>
      <c r="F16" s="19" t="s">
        <v>18541</v>
      </c>
      <c r="G16" s="16"/>
      <c r="H16" s="19" t="s">
        <v>18542</v>
      </c>
    </row>
    <row r="17" spans="1:8">
      <c r="A17" s="16"/>
      <c r="B17" s="19" t="s">
        <v>2636</v>
      </c>
      <c r="C17" s="16"/>
      <c r="D17" s="19" t="s">
        <v>18543</v>
      </c>
      <c r="E17" s="16"/>
      <c r="F17" s="19" t="s">
        <v>18544</v>
      </c>
      <c r="G17" s="16"/>
      <c r="H17" s="19" t="s">
        <v>18545</v>
      </c>
    </row>
    <row r="18" spans="1:8">
      <c r="A18" s="16"/>
      <c r="B18" s="19" t="s">
        <v>2380</v>
      </c>
      <c r="C18" s="16"/>
      <c r="D18" s="19" t="s">
        <v>18546</v>
      </c>
      <c r="E18" s="16"/>
      <c r="F18" s="19" t="s">
        <v>18547</v>
      </c>
      <c r="G18" s="16"/>
      <c r="H18" s="19" t="s">
        <v>18548</v>
      </c>
    </row>
    <row r="19" spans="1:8">
      <c r="A19" s="16"/>
      <c r="B19" s="19" t="s">
        <v>2284</v>
      </c>
      <c r="C19" s="16"/>
      <c r="D19" s="19" t="s">
        <v>18549</v>
      </c>
      <c r="E19" s="16"/>
      <c r="F19" s="19" t="s">
        <v>18550</v>
      </c>
      <c r="G19" s="16"/>
      <c r="H19" s="19" t="s">
        <v>18551</v>
      </c>
    </row>
    <row r="20" spans="1:8">
      <c r="A20" s="16"/>
      <c r="B20" s="19" t="s">
        <v>6417</v>
      </c>
      <c r="C20" s="16"/>
      <c r="D20" s="19" t="s">
        <v>18552</v>
      </c>
      <c r="E20" s="16"/>
      <c r="F20" s="19" t="s">
        <v>18553</v>
      </c>
      <c r="G20" s="16"/>
      <c r="H20" s="19" t="s">
        <v>18554</v>
      </c>
    </row>
    <row r="21" spans="1:8">
      <c r="A21" s="16"/>
      <c r="B21" s="19" t="s">
        <v>16024</v>
      </c>
      <c r="C21" s="16"/>
      <c r="D21" s="19" t="s">
        <v>18555</v>
      </c>
      <c r="E21" s="16"/>
      <c r="F21" s="19" t="s">
        <v>18556</v>
      </c>
      <c r="G21" s="16"/>
      <c r="H21" s="19" t="s">
        <v>18557</v>
      </c>
    </row>
    <row r="22" spans="1:8">
      <c r="A22" s="16"/>
      <c r="B22" s="19" t="s">
        <v>16121</v>
      </c>
      <c r="C22" s="16"/>
      <c r="D22" s="19" t="s">
        <v>18558</v>
      </c>
      <c r="E22" s="16"/>
      <c r="F22" s="19" t="s">
        <v>18559</v>
      </c>
      <c r="G22" s="16"/>
      <c r="H22" s="19" t="s">
        <v>18560</v>
      </c>
    </row>
    <row r="23" spans="1:8">
      <c r="A23" s="16"/>
      <c r="B23" s="19" t="s">
        <v>15945</v>
      </c>
      <c r="C23" s="16"/>
      <c r="D23" s="19" t="s">
        <v>18561</v>
      </c>
      <c r="E23" s="16"/>
      <c r="F23" s="19" t="s">
        <v>18562</v>
      </c>
      <c r="G23" s="16"/>
      <c r="H23" s="19" t="s">
        <v>18563</v>
      </c>
    </row>
    <row r="24" spans="1:8">
      <c r="A24" s="16"/>
      <c r="B24" s="19" t="s">
        <v>16364</v>
      </c>
      <c r="C24" s="16"/>
      <c r="D24" s="19" t="s">
        <v>18564</v>
      </c>
      <c r="E24" s="16"/>
      <c r="F24" s="19" t="s">
        <v>18565</v>
      </c>
      <c r="G24" s="16"/>
      <c r="H24" s="19" t="s">
        <v>18566</v>
      </c>
    </row>
    <row r="25" spans="1:8">
      <c r="A25" s="16"/>
      <c r="B25" s="19" t="s">
        <v>16432</v>
      </c>
      <c r="C25" s="16"/>
      <c r="D25" s="19" t="s">
        <v>18567</v>
      </c>
      <c r="E25" s="16"/>
      <c r="F25" s="19" t="s">
        <v>18568</v>
      </c>
      <c r="G25" s="16"/>
      <c r="H25" s="19" t="s">
        <v>18569</v>
      </c>
    </row>
    <row r="26" spans="1:8">
      <c r="A26" s="16"/>
      <c r="B26" s="19" t="s">
        <v>16318</v>
      </c>
      <c r="C26" s="16"/>
      <c r="D26" s="19" t="s">
        <v>18570</v>
      </c>
      <c r="E26" s="16"/>
      <c r="F26" s="19" t="s">
        <v>18571</v>
      </c>
      <c r="G26" s="16"/>
      <c r="H26" s="19" t="s">
        <v>18572</v>
      </c>
    </row>
    <row r="27" spans="1:8">
      <c r="A27" s="16"/>
      <c r="B27" s="19" t="s">
        <v>16586</v>
      </c>
      <c r="C27" s="16"/>
      <c r="D27" s="19" t="s">
        <v>18573</v>
      </c>
      <c r="E27" s="16"/>
      <c r="F27" s="19" t="s">
        <v>18574</v>
      </c>
      <c r="G27" s="16"/>
      <c r="H27" s="19" t="s">
        <v>18575</v>
      </c>
    </row>
    <row r="28" spans="1:8">
      <c r="A28" s="16"/>
      <c r="B28" s="19" t="s">
        <v>16716</v>
      </c>
      <c r="C28" s="16"/>
      <c r="D28" s="19" t="s">
        <v>18576</v>
      </c>
      <c r="E28" s="16"/>
      <c r="F28" s="19" t="s">
        <v>18577</v>
      </c>
      <c r="G28" s="16"/>
      <c r="H28" s="19" t="s">
        <v>18578</v>
      </c>
    </row>
    <row r="29" spans="1:8">
      <c r="A29" s="16"/>
      <c r="B29" s="19" t="s">
        <v>1889</v>
      </c>
      <c r="C29" s="16"/>
      <c r="D29" s="19" t="s">
        <v>18579</v>
      </c>
      <c r="E29" s="16"/>
      <c r="F29" s="19" t="s">
        <v>18580</v>
      </c>
      <c r="G29" s="16"/>
      <c r="H29" s="19" t="s">
        <v>18581</v>
      </c>
    </row>
    <row r="30" spans="1:8">
      <c r="A30" s="16"/>
      <c r="B30" s="19" t="s">
        <v>11008</v>
      </c>
      <c r="C30" s="16"/>
      <c r="D30" s="19" t="s">
        <v>11008</v>
      </c>
      <c r="E30" s="16"/>
      <c r="F30" s="19" t="s">
        <v>11008</v>
      </c>
      <c r="G30" s="16"/>
      <c r="H30" s="19" t="s">
        <v>11008</v>
      </c>
    </row>
    <row r="31" spans="1:8">
      <c r="A31" s="16"/>
      <c r="B31" s="19" t="s">
        <v>16245</v>
      </c>
      <c r="C31" s="16"/>
      <c r="D31" s="19" t="s">
        <v>18582</v>
      </c>
      <c r="E31" s="16"/>
      <c r="F31" s="19" t="s">
        <v>16245</v>
      </c>
      <c r="G31" s="16"/>
      <c r="H31" s="19" t="s">
        <v>16245</v>
      </c>
    </row>
    <row r="32" spans="1:8">
      <c r="A32" s="16"/>
      <c r="B32" s="19" t="s">
        <v>11334</v>
      </c>
      <c r="C32" s="16"/>
      <c r="D32" s="19" t="s">
        <v>18583</v>
      </c>
      <c r="E32" s="16"/>
      <c r="F32" s="19" t="s">
        <v>18584</v>
      </c>
      <c r="G32" s="16"/>
      <c r="H32" s="19" t="s">
        <v>18585</v>
      </c>
    </row>
    <row r="33" spans="1:8">
      <c r="A33" s="16"/>
      <c r="B33" s="19" t="s">
        <v>10260</v>
      </c>
      <c r="C33" s="16"/>
      <c r="D33" s="19" t="s">
        <v>18586</v>
      </c>
      <c r="E33" s="16"/>
      <c r="F33" s="19" t="s">
        <v>18587</v>
      </c>
      <c r="G33" s="16"/>
      <c r="H33" s="19" t="s">
        <v>18588</v>
      </c>
    </row>
    <row r="34" spans="1:8">
      <c r="A34" s="16"/>
      <c r="B34" s="19" t="s">
        <v>10410</v>
      </c>
      <c r="C34" s="16"/>
      <c r="D34" s="19" t="s">
        <v>18589</v>
      </c>
      <c r="E34" s="16"/>
      <c r="F34" s="19" t="s">
        <v>18590</v>
      </c>
      <c r="G34" s="16"/>
      <c r="H34" s="19" t="s">
        <v>18591</v>
      </c>
    </row>
    <row r="35" spans="1:8">
      <c r="A35" s="16"/>
      <c r="B35" s="19" t="s">
        <v>10368</v>
      </c>
      <c r="C35" s="16"/>
      <c r="D35" s="19" t="s">
        <v>18592</v>
      </c>
      <c r="E35" s="16"/>
      <c r="F35" s="19" t="s">
        <v>18593</v>
      </c>
      <c r="G35" s="16"/>
      <c r="H35" s="19" t="s">
        <v>18594</v>
      </c>
    </row>
    <row r="36" spans="1:8">
      <c r="A36" s="16"/>
      <c r="B36" s="19" t="s">
        <v>10083</v>
      </c>
      <c r="C36" s="16"/>
      <c r="D36" s="19" t="s">
        <v>18595</v>
      </c>
      <c r="E36" s="16"/>
      <c r="F36" s="19" t="s">
        <v>18596</v>
      </c>
      <c r="G36" s="16"/>
      <c r="H36" s="19" t="s">
        <v>18597</v>
      </c>
    </row>
    <row r="37" spans="1:8">
      <c r="A37" s="16"/>
      <c r="B37" s="19" t="s">
        <v>10135</v>
      </c>
      <c r="C37" s="16"/>
      <c r="D37" s="19" t="s">
        <v>18598</v>
      </c>
      <c r="E37" s="16"/>
      <c r="F37" s="19" t="s">
        <v>18599</v>
      </c>
      <c r="G37" s="16"/>
      <c r="H37" s="19" t="s">
        <v>18600</v>
      </c>
    </row>
    <row r="38" spans="1:8">
      <c r="A38" s="16"/>
      <c r="B38" s="19" t="s">
        <v>10194</v>
      </c>
      <c r="C38" s="16"/>
      <c r="D38" s="19" t="s">
        <v>18601</v>
      </c>
      <c r="E38" s="16"/>
      <c r="F38" s="19" t="s">
        <v>18602</v>
      </c>
      <c r="G38" s="16"/>
      <c r="H38" s="19" t="s">
        <v>18603</v>
      </c>
    </row>
    <row r="39" spans="1:8">
      <c r="A39" s="16"/>
      <c r="B39" s="19" t="s">
        <v>10242</v>
      </c>
      <c r="C39" s="16"/>
      <c r="D39" s="19" t="s">
        <v>18604</v>
      </c>
      <c r="E39" s="16"/>
      <c r="F39" s="19" t="s">
        <v>18605</v>
      </c>
      <c r="G39" s="16"/>
      <c r="H39" s="19" t="s">
        <v>18606</v>
      </c>
    </row>
    <row r="40" spans="1:8">
      <c r="A40" s="16"/>
      <c r="B40" s="19" t="s">
        <v>18607</v>
      </c>
      <c r="C40" s="16"/>
      <c r="D40" s="19" t="s">
        <v>18607</v>
      </c>
      <c r="E40" s="16"/>
      <c r="F40" s="19" t="s">
        <v>18607</v>
      </c>
      <c r="G40" s="16"/>
      <c r="H40" s="19" t="s">
        <v>18607</v>
      </c>
    </row>
    <row r="41" spans="1:8">
      <c r="A41" s="16"/>
      <c r="B41" s="19" t="s">
        <v>1523</v>
      </c>
      <c r="C41" s="16"/>
      <c r="D41" s="19" t="s">
        <v>18608</v>
      </c>
      <c r="E41" s="16"/>
      <c r="F41" s="19" t="s">
        <v>18609</v>
      </c>
      <c r="G41" s="16"/>
      <c r="H41" s="19" t="s">
        <v>18610</v>
      </c>
    </row>
    <row r="42" spans="1:8">
      <c r="A42" s="16"/>
      <c r="B42" s="19" t="s">
        <v>1508</v>
      </c>
      <c r="C42" s="16"/>
      <c r="D42" s="19" t="s">
        <v>18611</v>
      </c>
      <c r="E42" s="16"/>
      <c r="F42" s="19" t="s">
        <v>18612</v>
      </c>
      <c r="G42" s="16"/>
      <c r="H42" s="19" t="s">
        <v>18613</v>
      </c>
    </row>
    <row r="43" spans="1:8">
      <c r="A43" s="16"/>
      <c r="B43" s="19" t="s">
        <v>12469</v>
      </c>
      <c r="C43" s="16"/>
      <c r="D43" s="19" t="s">
        <v>12469</v>
      </c>
      <c r="E43" s="16"/>
      <c r="F43" s="19" t="s">
        <v>12469</v>
      </c>
      <c r="G43" s="16"/>
      <c r="H43" s="19" t="s">
        <v>12469</v>
      </c>
    </row>
    <row r="44" spans="1:8">
      <c r="A44" s="16"/>
      <c r="B44" s="19" t="s">
        <v>10459</v>
      </c>
      <c r="C44" s="16"/>
      <c r="D44" s="19" t="s">
        <v>18614</v>
      </c>
      <c r="E44" s="16"/>
      <c r="F44" s="19" t="s">
        <v>18615</v>
      </c>
      <c r="G44" s="16"/>
      <c r="H44" s="19" t="s">
        <v>18616</v>
      </c>
    </row>
    <row r="45" spans="1:8">
      <c r="A45" s="16"/>
      <c r="B45" s="19" t="s">
        <v>1394</v>
      </c>
      <c r="C45" s="16"/>
      <c r="D45" s="19" t="s">
        <v>18617</v>
      </c>
      <c r="E45" s="16"/>
      <c r="F45" s="19" t="s">
        <v>18618</v>
      </c>
      <c r="G45" s="16"/>
      <c r="H45" s="19" t="s">
        <v>1394</v>
      </c>
    </row>
    <row r="46" spans="1:8">
      <c r="A46" s="16"/>
      <c r="B46" s="19" t="s">
        <v>13492</v>
      </c>
      <c r="C46" s="16"/>
      <c r="D46" s="19" t="s">
        <v>18619</v>
      </c>
      <c r="E46" s="16"/>
      <c r="F46" s="19" t="s">
        <v>18620</v>
      </c>
      <c r="G46" s="16"/>
      <c r="H46" s="19" t="s">
        <v>18621</v>
      </c>
    </row>
    <row r="47" spans="1:8">
      <c r="A47" s="16"/>
      <c r="B47" s="19" t="s">
        <v>9687</v>
      </c>
      <c r="C47" s="16"/>
      <c r="D47" s="19" t="s">
        <v>18622</v>
      </c>
      <c r="E47" s="16"/>
      <c r="F47" s="19" t="s">
        <v>18623</v>
      </c>
      <c r="G47" s="16"/>
      <c r="H47" s="19" t="s">
        <v>18624</v>
      </c>
    </row>
    <row r="48" spans="1:8">
      <c r="A48" s="16"/>
      <c r="B48" s="19" t="s">
        <v>1414</v>
      </c>
      <c r="C48" s="16"/>
      <c r="D48" s="19" t="s">
        <v>18625</v>
      </c>
      <c r="E48" s="16"/>
      <c r="F48" s="19" t="s">
        <v>18626</v>
      </c>
      <c r="G48" s="16"/>
      <c r="H48" s="19" t="s">
        <v>18627</v>
      </c>
    </row>
    <row r="49" spans="1:8">
      <c r="A49" s="16"/>
      <c r="B49" s="19" t="s">
        <v>1557</v>
      </c>
      <c r="C49" s="16"/>
      <c r="D49" s="19" t="s">
        <v>18628</v>
      </c>
      <c r="E49" s="16"/>
      <c r="F49" s="19" t="s">
        <v>18629</v>
      </c>
      <c r="G49" s="16"/>
      <c r="H49" s="19" t="s">
        <v>18630</v>
      </c>
    </row>
    <row r="50" spans="1:8">
      <c r="A50" s="16"/>
      <c r="B50" s="19" t="s">
        <v>104</v>
      </c>
      <c r="C50" s="16"/>
      <c r="D50" s="19" t="s">
        <v>18631</v>
      </c>
      <c r="E50" s="16"/>
      <c r="F50" s="19" t="s">
        <v>18632</v>
      </c>
      <c r="G50" s="16"/>
      <c r="H50" s="19" t="s">
        <v>104</v>
      </c>
    </row>
    <row r="51" spans="1:8">
      <c r="A51" s="16"/>
      <c r="B51" s="19" t="s">
        <v>154</v>
      </c>
      <c r="C51" s="16"/>
      <c r="D51" s="19" t="s">
        <v>154</v>
      </c>
      <c r="E51" s="16"/>
      <c r="F51" s="19" t="s">
        <v>154</v>
      </c>
      <c r="G51" s="16"/>
      <c r="H51" s="19" t="s">
        <v>154</v>
      </c>
    </row>
    <row r="52" spans="1:8">
      <c r="A52" s="16"/>
      <c r="B52" s="19" t="s">
        <v>130</v>
      </c>
      <c r="C52" s="16"/>
      <c r="D52" s="19" t="s">
        <v>18633</v>
      </c>
      <c r="E52" s="16"/>
      <c r="F52" s="19" t="s">
        <v>18634</v>
      </c>
      <c r="G52" s="16"/>
      <c r="H52" s="19" t="s">
        <v>18635</v>
      </c>
    </row>
    <row r="53" spans="1:8">
      <c r="A53" s="16"/>
      <c r="B53" s="19" t="s">
        <v>64</v>
      </c>
      <c r="C53" s="16"/>
      <c r="D53" s="19" t="s">
        <v>18636</v>
      </c>
      <c r="E53" s="16"/>
      <c r="F53" s="19" t="s">
        <v>18637</v>
      </c>
      <c r="G53" s="16"/>
      <c r="H53" s="19" t="s">
        <v>18638</v>
      </c>
    </row>
    <row r="54" spans="1:8">
      <c r="A54" s="16"/>
      <c r="B54" s="19" t="s">
        <v>1826</v>
      </c>
      <c r="C54" s="16"/>
      <c r="D54" s="19" t="s">
        <v>18639</v>
      </c>
      <c r="E54" s="16"/>
      <c r="F54" s="19" t="s">
        <v>18640</v>
      </c>
      <c r="G54" s="16"/>
      <c r="H54" s="19" t="s">
        <v>18641</v>
      </c>
    </row>
    <row r="55" spans="1:8">
      <c r="A55" s="16"/>
      <c r="B55" s="19" t="s">
        <v>17628</v>
      </c>
      <c r="C55" s="16"/>
      <c r="D55" s="19" t="s">
        <v>18642</v>
      </c>
      <c r="E55" s="16"/>
      <c r="F55" s="19" t="s">
        <v>18643</v>
      </c>
      <c r="G55" s="16"/>
      <c r="H55" s="19" t="s">
        <v>18644</v>
      </c>
    </row>
    <row r="56" spans="1:8">
      <c r="A56" s="16"/>
      <c r="B56" s="19" t="s">
        <v>17422</v>
      </c>
      <c r="C56" s="16"/>
      <c r="D56" s="19" t="s">
        <v>17422</v>
      </c>
      <c r="E56" s="16"/>
      <c r="F56" s="19" t="s">
        <v>17422</v>
      </c>
      <c r="G56" s="16"/>
      <c r="H56" s="19" t="s">
        <v>17422</v>
      </c>
    </row>
    <row r="57" spans="1:8">
      <c r="A57" s="16"/>
      <c r="B57" s="19" t="s">
        <v>9854</v>
      </c>
      <c r="C57" s="16"/>
      <c r="D57" s="19" t="s">
        <v>9854</v>
      </c>
      <c r="E57" s="16"/>
      <c r="F57" s="19" t="s">
        <v>9854</v>
      </c>
      <c r="G57" s="16"/>
      <c r="H57" s="19" t="s">
        <v>9854</v>
      </c>
    </row>
    <row r="58" spans="1:8">
      <c r="A58" s="16"/>
      <c r="B58" s="19" t="s">
        <v>11564</v>
      </c>
      <c r="C58" s="16"/>
      <c r="D58" s="19" t="s">
        <v>11564</v>
      </c>
      <c r="E58" s="16"/>
      <c r="F58" s="19" t="s">
        <v>11564</v>
      </c>
      <c r="G58" s="16"/>
      <c r="H58" s="19" t="s">
        <v>11564</v>
      </c>
    </row>
    <row r="59" spans="1:8">
      <c r="A59" s="16"/>
      <c r="B59" s="19" t="s">
        <v>254</v>
      </c>
      <c r="C59" s="16"/>
      <c r="D59" s="19" t="s">
        <v>18645</v>
      </c>
      <c r="E59" s="16"/>
      <c r="F59" s="19" t="s">
        <v>18646</v>
      </c>
      <c r="G59" s="16"/>
      <c r="H59" s="19" t="s">
        <v>18647</v>
      </c>
    </row>
    <row r="60" spans="1:8">
      <c r="A60" s="16"/>
      <c r="B60" s="19" t="s">
        <v>220</v>
      </c>
      <c r="C60" s="16"/>
      <c r="D60" s="19" t="s">
        <v>18648</v>
      </c>
      <c r="E60" s="16"/>
      <c r="F60" s="19" t="s">
        <v>18649</v>
      </c>
      <c r="G60" s="16"/>
      <c r="H60" s="19" t="s">
        <v>18650</v>
      </c>
    </row>
    <row r="61" spans="1:8">
      <c r="A61" s="16"/>
      <c r="B61" s="19" t="s">
        <v>1087</v>
      </c>
      <c r="C61" s="16"/>
      <c r="D61" s="19" t="s">
        <v>18651</v>
      </c>
      <c r="E61" s="16"/>
      <c r="F61" s="19" t="s">
        <v>18652</v>
      </c>
      <c r="G61" s="16"/>
      <c r="H61" s="19" t="s">
        <v>18653</v>
      </c>
    </row>
    <row r="62" spans="1:8">
      <c r="A62" s="16"/>
      <c r="B62" s="19" t="s">
        <v>1211</v>
      </c>
      <c r="C62" s="16"/>
      <c r="D62" s="19" t="s">
        <v>18654</v>
      </c>
      <c r="E62" s="16"/>
      <c r="F62" s="19" t="s">
        <v>18655</v>
      </c>
      <c r="G62" s="16"/>
      <c r="H62" s="19" t="s">
        <v>18656</v>
      </c>
    </row>
    <row r="63" spans="1:8">
      <c r="A63" s="16"/>
      <c r="B63" s="19" t="s">
        <v>18289</v>
      </c>
      <c r="C63" s="16"/>
      <c r="D63" s="19" t="s">
        <v>18657</v>
      </c>
      <c r="E63" s="16"/>
      <c r="F63" s="19" t="s">
        <v>18658</v>
      </c>
      <c r="G63" s="16"/>
      <c r="H63" s="19" t="s">
        <v>18659</v>
      </c>
    </row>
    <row r="64" spans="1:8">
      <c r="A64" s="16"/>
      <c r="B64" s="19" t="s">
        <v>17704</v>
      </c>
      <c r="C64" s="16"/>
      <c r="D64" s="19" t="s">
        <v>18660</v>
      </c>
      <c r="E64" s="16"/>
      <c r="F64" s="19" t="s">
        <v>18661</v>
      </c>
      <c r="G64" s="16"/>
      <c r="H64" s="19" t="s">
        <v>18662</v>
      </c>
    </row>
    <row r="65" spans="1:8">
      <c r="A65" s="16"/>
      <c r="B65" s="19" t="s">
        <v>12897</v>
      </c>
      <c r="C65" s="16"/>
      <c r="D65" s="19" t="s">
        <v>18663</v>
      </c>
      <c r="E65" s="16"/>
      <c r="F65" s="19" t="s">
        <v>18664</v>
      </c>
      <c r="G65" s="16"/>
      <c r="H65" s="19" t="s">
        <v>18665</v>
      </c>
    </row>
    <row r="66" spans="1:8">
      <c r="A66" s="16"/>
      <c r="B66" s="19" t="s">
        <v>18666</v>
      </c>
      <c r="C66" s="16"/>
      <c r="D66" s="19" t="s">
        <v>18667</v>
      </c>
      <c r="E66" s="16"/>
      <c r="F66" s="19" t="s">
        <v>18668</v>
      </c>
      <c r="G66" s="16"/>
      <c r="H66" s="19" t="s">
        <v>18669</v>
      </c>
    </row>
    <row r="67" spans="1:8">
      <c r="A67" s="16"/>
      <c r="B67" s="19" t="s">
        <v>1984</v>
      </c>
      <c r="C67" s="16"/>
      <c r="D67" s="19" t="s">
        <v>18670</v>
      </c>
      <c r="E67" s="16"/>
      <c r="F67" s="19" t="s">
        <v>18671</v>
      </c>
      <c r="G67" s="16"/>
      <c r="H67" s="19" t="s">
        <v>18672</v>
      </c>
    </row>
    <row r="68" spans="1:8">
      <c r="A68" s="16"/>
      <c r="B68" s="19" t="s">
        <v>11107</v>
      </c>
      <c r="C68" s="16"/>
      <c r="D68" s="19" t="s">
        <v>18673</v>
      </c>
      <c r="E68" s="16"/>
      <c r="F68" s="19" t="s">
        <v>18674</v>
      </c>
      <c r="G68" s="16"/>
      <c r="H68" s="19" t="s">
        <v>18675</v>
      </c>
    </row>
    <row r="69" spans="1:8">
      <c r="A69" s="16"/>
      <c r="B69" s="19" t="s">
        <v>9996</v>
      </c>
      <c r="C69" s="16"/>
      <c r="D69" s="19" t="s">
        <v>18676</v>
      </c>
      <c r="E69" s="16"/>
      <c r="F69" s="19" t="s">
        <v>18677</v>
      </c>
      <c r="G69" s="16"/>
      <c r="H69" s="19" t="s">
        <v>18678</v>
      </c>
    </row>
    <row r="70" spans="1:8">
      <c r="A70" s="16"/>
      <c r="B70" s="19" t="s">
        <v>13014</v>
      </c>
      <c r="C70" s="16"/>
      <c r="D70" s="19" t="s">
        <v>18679</v>
      </c>
      <c r="E70" s="16"/>
      <c r="F70" s="19" t="s">
        <v>18680</v>
      </c>
      <c r="G70" s="16"/>
      <c r="H70" s="19" t="s">
        <v>18681</v>
      </c>
    </row>
    <row r="71" spans="1:8">
      <c r="A71" s="16"/>
      <c r="B71" s="19" t="s">
        <v>1883</v>
      </c>
      <c r="C71" s="16"/>
      <c r="D71" s="19" t="s">
        <v>1883</v>
      </c>
      <c r="E71" s="16"/>
      <c r="F71" s="19" t="s">
        <v>18682</v>
      </c>
      <c r="G71" s="16"/>
      <c r="H71" s="19" t="s">
        <v>18683</v>
      </c>
    </row>
    <row r="72" spans="1:8">
      <c r="A72" s="16"/>
      <c r="B72" s="19" t="s">
        <v>9943</v>
      </c>
      <c r="C72" s="16"/>
      <c r="D72" s="19" t="s">
        <v>18684</v>
      </c>
      <c r="E72" s="16"/>
      <c r="F72" s="19" t="s">
        <v>18685</v>
      </c>
      <c r="G72" s="16"/>
      <c r="H72" s="19" t="s">
        <v>9943</v>
      </c>
    </row>
    <row r="73" spans="1:8">
      <c r="A73" s="16"/>
      <c r="B73" s="19" t="s">
        <v>16836</v>
      </c>
      <c r="C73" s="16"/>
      <c r="D73" s="19" t="s">
        <v>18686</v>
      </c>
      <c r="E73" s="16"/>
      <c r="F73" s="19" t="s">
        <v>18687</v>
      </c>
      <c r="G73" s="16"/>
      <c r="H73" s="19" t="s">
        <v>18688</v>
      </c>
    </row>
    <row r="74" spans="1:8">
      <c r="A74" s="16"/>
      <c r="B74" s="19" t="s">
        <v>16842</v>
      </c>
      <c r="C74" s="16"/>
      <c r="D74" s="19" t="s">
        <v>18689</v>
      </c>
      <c r="E74" s="16"/>
      <c r="F74" s="19" t="s">
        <v>18690</v>
      </c>
      <c r="G74" s="16"/>
      <c r="H74" s="19" t="s">
        <v>18691</v>
      </c>
    </row>
    <row r="75" spans="1:8">
      <c r="A75" s="16"/>
      <c r="B75" s="19" t="s">
        <v>16823</v>
      </c>
      <c r="C75" s="16"/>
      <c r="D75" s="19" t="s">
        <v>18692</v>
      </c>
      <c r="E75" s="16"/>
      <c r="F75" s="19" t="s">
        <v>18693</v>
      </c>
      <c r="G75" s="16"/>
      <c r="H75" s="19" t="s">
        <v>18694</v>
      </c>
    </row>
    <row r="76" spans="1:8">
      <c r="A76" s="16"/>
      <c r="B76" s="19" t="s">
        <v>11618</v>
      </c>
      <c r="C76" s="16"/>
      <c r="D76" s="19" t="s">
        <v>18695</v>
      </c>
      <c r="E76" s="16"/>
      <c r="F76" s="19" t="s">
        <v>18696</v>
      </c>
      <c r="G76" s="16"/>
      <c r="H76" s="19" t="s">
        <v>18697</v>
      </c>
    </row>
    <row r="77" spans="1:8">
      <c r="A77" s="16"/>
      <c r="B77" s="19" t="s">
        <v>9758</v>
      </c>
      <c r="C77" s="16"/>
      <c r="D77" s="19" t="s">
        <v>18698</v>
      </c>
      <c r="E77" s="16"/>
      <c r="F77" s="19" t="s">
        <v>18699</v>
      </c>
      <c r="G77" s="16"/>
      <c r="H77" s="19" t="s">
        <v>18700</v>
      </c>
    </row>
    <row r="78" spans="1:8">
      <c r="A78" s="16"/>
      <c r="B78" s="19" t="s">
        <v>11461</v>
      </c>
      <c r="C78" s="16"/>
      <c r="D78" s="19" t="s">
        <v>18701</v>
      </c>
      <c r="E78" s="16"/>
      <c r="F78" s="19" t="s">
        <v>18702</v>
      </c>
      <c r="G78" s="16"/>
      <c r="H78" s="19" t="s">
        <v>18703</v>
      </c>
    </row>
    <row r="79" spans="1:8">
      <c r="A79" s="16"/>
      <c r="B79" s="19" t="s">
        <v>16939</v>
      </c>
      <c r="C79" s="16"/>
      <c r="D79" s="19" t="s">
        <v>16939</v>
      </c>
      <c r="E79" s="16"/>
      <c r="F79" s="19" t="s">
        <v>18704</v>
      </c>
      <c r="G79" s="16"/>
      <c r="H79" s="19" t="s">
        <v>16939</v>
      </c>
    </row>
    <row r="80" spans="1:8">
      <c r="A80" s="16"/>
      <c r="B80" s="19" t="s">
        <v>17256</v>
      </c>
      <c r="C80" s="16"/>
      <c r="D80" s="19" t="s">
        <v>17256</v>
      </c>
      <c r="E80" s="16"/>
      <c r="F80" s="19" t="s">
        <v>18705</v>
      </c>
      <c r="G80" s="16"/>
      <c r="H80" s="19" t="s">
        <v>17256</v>
      </c>
    </row>
    <row r="81" spans="1:8">
      <c r="A81" s="16"/>
      <c r="B81" s="19" t="s">
        <v>17023</v>
      </c>
      <c r="C81" s="16"/>
      <c r="D81" s="19" t="s">
        <v>17023</v>
      </c>
      <c r="E81" s="16"/>
      <c r="F81" s="19" t="s">
        <v>18706</v>
      </c>
      <c r="G81" s="16"/>
      <c r="H81" s="19" t="s">
        <v>17023</v>
      </c>
    </row>
    <row r="82" spans="1:8">
      <c r="A82" s="16"/>
      <c r="B82" s="19" t="s">
        <v>18707</v>
      </c>
      <c r="C82" s="16"/>
      <c r="D82" s="19" t="s">
        <v>18707</v>
      </c>
      <c r="E82" s="16"/>
      <c r="F82" s="19" t="s">
        <v>18708</v>
      </c>
      <c r="G82" s="16"/>
      <c r="H82" s="19" t="s">
        <v>18707</v>
      </c>
    </row>
    <row r="83" spans="1:8">
      <c r="A83" s="16"/>
      <c r="B83" s="19" t="s">
        <v>18709</v>
      </c>
      <c r="C83" s="16"/>
      <c r="D83" s="19" t="s">
        <v>18709</v>
      </c>
      <c r="E83" s="16"/>
      <c r="F83" s="19" t="s">
        <v>18709</v>
      </c>
      <c r="G83" s="16"/>
      <c r="H83" s="19" t="s">
        <v>18709</v>
      </c>
    </row>
    <row r="84" spans="1:8">
      <c r="A84" s="16"/>
      <c r="B84" s="19" t="s">
        <v>18710</v>
      </c>
      <c r="C84" s="16"/>
      <c r="D84" s="19" t="s">
        <v>18710</v>
      </c>
      <c r="E84" s="16"/>
      <c r="F84" s="19" t="s">
        <v>18710</v>
      </c>
      <c r="G84" s="16"/>
      <c r="H84" s="19" t="s">
        <v>18710</v>
      </c>
    </row>
    <row r="85" spans="1:8">
      <c r="A85" s="16"/>
      <c r="B85" s="16" t="s">
        <v>18711</v>
      </c>
      <c r="C85" s="16"/>
      <c r="D85" s="16" t="s">
        <v>18711</v>
      </c>
      <c r="E85" s="16"/>
      <c r="F85" s="16" t="s">
        <v>18711</v>
      </c>
      <c r="G85" s="16"/>
      <c r="H85" s="16" t="s">
        <v>18711</v>
      </c>
    </row>
    <row r="86" spans="1:8">
      <c r="A86" s="16"/>
      <c r="B86" s="16" t="s">
        <v>18712</v>
      </c>
      <c r="C86" s="16"/>
      <c r="D86" s="16" t="s">
        <v>18712</v>
      </c>
      <c r="E86" s="16"/>
      <c r="F86" s="16" t="s">
        <v>18712</v>
      </c>
      <c r="G86" s="16"/>
      <c r="H86" s="16" t="s">
        <v>18712</v>
      </c>
    </row>
    <row r="87" spans="1:8">
      <c r="A87" s="16"/>
      <c r="B87" s="19" t="s">
        <v>12990</v>
      </c>
      <c r="C87" s="16"/>
      <c r="D87" s="19" t="s">
        <v>18713</v>
      </c>
      <c r="E87" s="16"/>
      <c r="F87" s="19" t="s">
        <v>18714</v>
      </c>
      <c r="G87" s="16"/>
      <c r="H87" s="19" t="s">
        <v>18715</v>
      </c>
    </row>
    <row r="88" spans="1:8">
      <c r="B88" s="19" t="s">
        <v>1336</v>
      </c>
      <c r="D88" s="19" t="s">
        <v>18716</v>
      </c>
      <c r="F88" s="19" t="s">
        <v>18717</v>
      </c>
      <c r="H88" s="19" t="s">
        <v>18718</v>
      </c>
    </row>
    <row r="89" spans="1:8">
      <c r="B89" s="19" t="s">
        <v>1278</v>
      </c>
      <c r="D89" s="19" t="s">
        <v>18719</v>
      </c>
      <c r="F89" s="19" t="s">
        <v>18720</v>
      </c>
      <c r="H89" s="19" t="s">
        <v>18721</v>
      </c>
    </row>
    <row r="90" spans="1:8">
      <c r="B90" s="19" t="s">
        <v>10902</v>
      </c>
      <c r="D90" s="19" t="s">
        <v>18722</v>
      </c>
      <c r="F90" s="19" t="s">
        <v>18723</v>
      </c>
      <c r="H90" s="19" t="s">
        <v>18724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D189C-6C7E-4955-8BD4-9133A3C52CED}">
  <dimension ref="A1:O91"/>
  <sheetViews>
    <sheetView workbookViewId="0">
      <selection activeCell="K16" sqref="K16"/>
    </sheetView>
  </sheetViews>
  <sheetFormatPr defaultRowHeight="12.75"/>
  <cols>
    <col min="1" max="1" width="24.7109375" bestFit="1" customWidth="1"/>
    <col min="2" max="2" width="24.7109375" customWidth="1"/>
    <col min="3" max="3" width="24.7109375" bestFit="1" customWidth="1"/>
    <col min="4" max="4" width="28.5703125" bestFit="1" customWidth="1"/>
    <col min="5" max="6" width="24.7109375" customWidth="1"/>
    <col min="7" max="7" width="37" customWidth="1"/>
    <col min="8" max="8" width="33.28515625" bestFit="1" customWidth="1"/>
    <col min="9" max="9" width="41.28515625" bestFit="1" customWidth="1"/>
    <col min="10" max="10" width="50.7109375" bestFit="1" customWidth="1"/>
    <col min="11" max="11" width="48" bestFit="1" customWidth="1"/>
    <col min="12" max="12" width="11" bestFit="1" customWidth="1"/>
    <col min="13" max="13" width="10.7109375" bestFit="1" customWidth="1"/>
  </cols>
  <sheetData>
    <row r="1" spans="1:15" ht="15">
      <c r="A1" s="4" t="s">
        <v>18725</v>
      </c>
      <c r="B1" s="4" t="s">
        <v>18726</v>
      </c>
      <c r="C1" s="4" t="s">
        <v>18727</v>
      </c>
      <c r="D1" s="4" t="s">
        <v>18728</v>
      </c>
      <c r="E1" s="4" t="s">
        <v>18729</v>
      </c>
      <c r="F1" s="4" t="s">
        <v>18730</v>
      </c>
      <c r="G1" s="4" t="s">
        <v>18731</v>
      </c>
      <c r="H1" s="4" t="s">
        <v>18732</v>
      </c>
      <c r="I1" s="4" t="s">
        <v>18733</v>
      </c>
      <c r="J1" s="4" t="s">
        <v>18734</v>
      </c>
      <c r="K1" s="4" t="s">
        <v>18735</v>
      </c>
      <c r="L1" s="1"/>
      <c r="M1" s="1"/>
    </row>
    <row r="2" spans="1:15">
      <c r="A2" s="2"/>
      <c r="B2" s="1" t="s">
        <v>18736</v>
      </c>
      <c r="C2" s="1" t="s">
        <v>1589</v>
      </c>
      <c r="D2" s="1" t="str">
        <f>IFERROR(VLOOKUP(C2,'Produktkategorien EN'!A:H,7,FALSE),"")</f>
        <v>01_Transportbanden</v>
      </c>
      <c r="E2" s="1" t="str">
        <f>IFERROR(VLOOKUP(C2,'Produktkategorien EN'!A:H,5,FALSE),"")</f>
        <v>01_Bandes transporteuses</v>
      </c>
      <c r="F2" s="1" t="str">
        <f>IFERROR(VLOOKUP(C2,'Produktkategorien EN'!A:H,3,FALSE),"")</f>
        <v>01_Fördergurte</v>
      </c>
      <c r="G2" s="1" t="s">
        <v>18737</v>
      </c>
      <c r="H2" t="s">
        <v>2696</v>
      </c>
      <c r="I2" t="s">
        <v>18476</v>
      </c>
      <c r="J2" t="s">
        <v>2696</v>
      </c>
      <c r="K2" t="s">
        <v>18473</v>
      </c>
    </row>
    <row r="3" spans="1:15">
      <c r="B3" s="1" t="s">
        <v>18736</v>
      </c>
      <c r="D3" s="1" t="str">
        <f>IFERROR(VLOOKUP(C3,'Produktkategorien EN'!A:H,7,FALSE),"")</f>
        <v/>
      </c>
      <c r="E3" s="1" t="str">
        <f>IFERROR(VLOOKUP(C3,'Produktkategorien EN'!A:H,5,FALSE),"")</f>
        <v/>
      </c>
      <c r="F3" s="1" t="str">
        <f>IFERROR(VLOOKUP(C3,'Produktkategorien EN'!A:H,3,FALSE),"")</f>
        <v/>
      </c>
      <c r="G3" s="1" t="s">
        <v>18738</v>
      </c>
      <c r="H3" t="s">
        <v>2078</v>
      </c>
      <c r="I3" t="s">
        <v>18482</v>
      </c>
      <c r="J3" t="s">
        <v>18739</v>
      </c>
      <c r="K3" t="s">
        <v>18478</v>
      </c>
    </row>
    <row r="4" spans="1:15">
      <c r="B4" s="1" t="s">
        <v>18736</v>
      </c>
      <c r="D4" s="1" t="str">
        <f>IFERROR(VLOOKUP(C4,'Produktkategorien EN'!A:H,7,FALSE),"")</f>
        <v/>
      </c>
      <c r="E4" s="1" t="str">
        <f>IFERROR(VLOOKUP(C4,'Produktkategorien EN'!A:H,5,FALSE),"")</f>
        <v/>
      </c>
      <c r="F4" s="1" t="str">
        <f>IFERROR(VLOOKUP(C4,'Produktkategorien EN'!A:H,3,FALSE),"")</f>
        <v/>
      </c>
      <c r="G4" s="1" t="s">
        <v>18740</v>
      </c>
      <c r="H4" t="s">
        <v>2191</v>
      </c>
      <c r="I4" t="s">
        <v>18488</v>
      </c>
      <c r="J4" t="s">
        <v>18741</v>
      </c>
      <c r="K4" t="s">
        <v>18484</v>
      </c>
    </row>
    <row r="5" spans="1:15">
      <c r="B5" s="1" t="s">
        <v>18736</v>
      </c>
      <c r="D5" s="1" t="str">
        <f>IFERROR(VLOOKUP(C5,'Produktkategorien EN'!A:H,7,FALSE),"")</f>
        <v/>
      </c>
      <c r="E5" s="1" t="str">
        <f>IFERROR(VLOOKUP(C5,'Produktkategorien EN'!A:H,5,FALSE),"")</f>
        <v/>
      </c>
      <c r="F5" s="1" t="str">
        <f>IFERROR(VLOOKUP(C5,'Produktkategorien EN'!A:H,3,FALSE),"")</f>
        <v/>
      </c>
      <c r="G5" s="1" t="s">
        <v>18742</v>
      </c>
      <c r="H5" t="s">
        <v>2001</v>
      </c>
      <c r="I5" t="s">
        <v>18494</v>
      </c>
      <c r="J5" t="s">
        <v>18743</v>
      </c>
      <c r="K5" t="s">
        <v>18490</v>
      </c>
    </row>
    <row r="6" spans="1:15">
      <c r="B6" s="1" t="s">
        <v>18736</v>
      </c>
      <c r="D6" s="1" t="str">
        <f>IFERROR(VLOOKUP(C6,'Produktkategorien EN'!A:H,7,FALSE),"")</f>
        <v/>
      </c>
      <c r="E6" s="1" t="str">
        <f>IFERROR(VLOOKUP(C6,'Produktkategorien EN'!A:H,5,FALSE),"")</f>
        <v/>
      </c>
      <c r="F6" s="1" t="str">
        <f>IFERROR(VLOOKUP(C6,'Produktkategorien EN'!A:H,3,FALSE),"")</f>
        <v/>
      </c>
      <c r="G6" s="1" t="s">
        <v>18744</v>
      </c>
      <c r="H6" t="s">
        <v>1590</v>
      </c>
      <c r="I6" t="s">
        <v>1590</v>
      </c>
      <c r="J6" t="s">
        <v>1590</v>
      </c>
      <c r="K6" t="s">
        <v>1590</v>
      </c>
      <c r="O6" s="1"/>
    </row>
    <row r="7" spans="1:15">
      <c r="B7" s="1" t="s">
        <v>18736</v>
      </c>
      <c r="D7" s="1" t="str">
        <f>IFERROR(VLOOKUP(C7,'Produktkategorien EN'!A:H,7,FALSE),"")</f>
        <v/>
      </c>
      <c r="E7" s="1" t="str">
        <f>IFERROR(VLOOKUP(C7,'Produktkategorien EN'!A:H,5,FALSE),"")</f>
        <v/>
      </c>
      <c r="F7" s="1" t="str">
        <f>IFERROR(VLOOKUP(C7,'Produktkategorien EN'!A:H,3,FALSE),"")</f>
        <v/>
      </c>
      <c r="G7" s="1" t="s">
        <v>18745</v>
      </c>
      <c r="H7" t="s">
        <v>2650</v>
      </c>
      <c r="I7" t="s">
        <v>18504</v>
      </c>
      <c r="J7" t="s">
        <v>18502</v>
      </c>
      <c r="K7" t="s">
        <v>18500</v>
      </c>
    </row>
    <row r="8" spans="1:15">
      <c r="B8" s="1" t="s">
        <v>18736</v>
      </c>
      <c r="D8" s="1" t="str">
        <f>IFERROR(VLOOKUP(C8,'Produktkategorien EN'!A:H,7,FALSE),"")</f>
        <v/>
      </c>
      <c r="E8" s="1" t="str">
        <f>IFERROR(VLOOKUP(C8,'Produktkategorien EN'!A:H,5,FALSE),"")</f>
        <v/>
      </c>
      <c r="F8" s="1" t="str">
        <f>IFERROR(VLOOKUP(C8,'Produktkategorien EN'!A:H,3,FALSE),"")</f>
        <v/>
      </c>
      <c r="G8" s="1" t="s">
        <v>18746</v>
      </c>
      <c r="H8" t="s">
        <v>5258</v>
      </c>
      <c r="I8" t="s">
        <v>5258</v>
      </c>
      <c r="J8" t="s">
        <v>5258</v>
      </c>
      <c r="K8" t="s">
        <v>5258</v>
      </c>
    </row>
    <row r="9" spans="1:15">
      <c r="B9" s="1" t="s">
        <v>18736</v>
      </c>
      <c r="D9" s="1" t="str">
        <f>IFERROR(VLOOKUP(C9,'Produktkategorien EN'!A:H,7,FALSE),"")</f>
        <v/>
      </c>
      <c r="E9" s="1" t="str">
        <f>IFERROR(VLOOKUP(C9,'Produktkategorien EN'!A:H,5,FALSE),"")</f>
        <v/>
      </c>
      <c r="F9" s="1" t="str">
        <f>IFERROR(VLOOKUP(C9,'Produktkategorien EN'!A:H,3,FALSE),"")</f>
        <v/>
      </c>
      <c r="G9" s="1" t="s">
        <v>18747</v>
      </c>
      <c r="H9" t="s">
        <v>2254</v>
      </c>
      <c r="I9" t="s">
        <v>18512</v>
      </c>
      <c r="J9" t="s">
        <v>18510</v>
      </c>
      <c r="K9" t="s">
        <v>2254</v>
      </c>
    </row>
    <row r="10" spans="1:15">
      <c r="B10" s="1" t="s">
        <v>18736</v>
      </c>
      <c r="D10" s="1" t="str">
        <f>IFERROR(VLOOKUP(C10,'Produktkategorien EN'!A:H,7,FALSE),"")</f>
        <v/>
      </c>
      <c r="E10" s="1" t="str">
        <f>IFERROR(VLOOKUP(C10,'Produktkategorien EN'!A:H,5,FALSE),"")</f>
        <v/>
      </c>
      <c r="F10" s="1" t="str">
        <f>IFERROR(VLOOKUP(C10,'Produktkategorien EN'!A:H,3,FALSE),"")</f>
        <v/>
      </c>
      <c r="G10" s="1" t="s">
        <v>18748</v>
      </c>
      <c r="H10" t="s">
        <v>17743</v>
      </c>
      <c r="I10" t="s">
        <v>18518</v>
      </c>
      <c r="J10" t="s">
        <v>18516</v>
      </c>
      <c r="K10" t="s">
        <v>18514</v>
      </c>
    </row>
    <row r="11" spans="1:15">
      <c r="B11" s="1" t="s">
        <v>18736</v>
      </c>
      <c r="D11" s="1" t="str">
        <f>IFERROR(VLOOKUP(C11,'Produktkategorien EN'!A:H,7,FALSE),"")</f>
        <v/>
      </c>
      <c r="E11" s="1" t="str">
        <f>IFERROR(VLOOKUP(C11,'Produktkategorien EN'!A:H,5,FALSE),"")</f>
        <v/>
      </c>
      <c r="F11" s="1" t="str">
        <f>IFERROR(VLOOKUP(C11,'Produktkategorien EN'!A:H,3,FALSE),"")</f>
        <v/>
      </c>
      <c r="G11" s="1" t="s">
        <v>18749</v>
      </c>
      <c r="H11" t="s">
        <v>13079</v>
      </c>
      <c r="I11" t="s">
        <v>13079</v>
      </c>
      <c r="J11" t="s">
        <v>13079</v>
      </c>
      <c r="K11" t="s">
        <v>13079</v>
      </c>
    </row>
    <row r="12" spans="1:15">
      <c r="B12" s="1" t="s">
        <v>18736</v>
      </c>
      <c r="D12" s="1" t="str">
        <f>IFERROR(VLOOKUP(C12,'Produktkategorien EN'!A:H,7,FALSE),"")</f>
        <v/>
      </c>
      <c r="E12" s="1" t="str">
        <f>IFERROR(VLOOKUP(C12,'Produktkategorien EN'!A:H,5,FALSE),"")</f>
        <v/>
      </c>
      <c r="F12" s="1" t="str">
        <f>IFERROR(VLOOKUP(C12,'Produktkategorien EN'!A:H,3,FALSE),"")</f>
        <v/>
      </c>
      <c r="G12" s="1" t="s">
        <v>18750</v>
      </c>
      <c r="H12" t="s">
        <v>18522</v>
      </c>
      <c r="I12" t="s">
        <v>18522</v>
      </c>
      <c r="J12" t="s">
        <v>18526</v>
      </c>
      <c r="K12" t="s">
        <v>18524</v>
      </c>
    </row>
    <row r="13" spans="1:15">
      <c r="B13" s="1" t="s">
        <v>18736</v>
      </c>
      <c r="D13" s="1" t="str">
        <f>IFERROR(VLOOKUP(C13,'Produktkategorien EN'!A:H,7,FALSE),"")</f>
        <v/>
      </c>
      <c r="E13" s="1" t="str">
        <f>IFERROR(VLOOKUP(C13,'Produktkategorien EN'!A:H,5,FALSE),"")</f>
        <v/>
      </c>
      <c r="F13" s="1" t="str">
        <f>IFERROR(VLOOKUP(C13,'Produktkategorien EN'!A:H,3,FALSE),"")</f>
        <v/>
      </c>
      <c r="G13" s="1" t="s">
        <v>18751</v>
      </c>
      <c r="H13" t="s">
        <v>18528</v>
      </c>
      <c r="I13" t="s">
        <v>18528</v>
      </c>
      <c r="J13" t="s">
        <v>18532</v>
      </c>
      <c r="K13" t="s">
        <v>18530</v>
      </c>
    </row>
    <row r="14" spans="1:15">
      <c r="A14" s="2"/>
      <c r="B14" s="1" t="s">
        <v>18752</v>
      </c>
      <c r="C14" s="1" t="s">
        <v>2283</v>
      </c>
      <c r="D14" s="1" t="str">
        <f>IFERROR(VLOOKUP(C14,'Produktkategorien EN'!A:H,7,FALSE),"")</f>
        <v>02_Transportbanden met profiel</v>
      </c>
      <c r="E14" s="1" t="str">
        <f>IFERROR(VLOOKUP(C14,'Produktkategorien EN'!A:H,5,FALSE),"")</f>
        <v>02_Bandes transporteuses à Chevrons</v>
      </c>
      <c r="F14" s="1" t="str">
        <f>IFERROR(VLOOKUP(C14,'Produktkategorien EN'!A:H,3,FALSE),"")</f>
        <v>02_Chevron Fördergurte</v>
      </c>
      <c r="G14" s="1" t="s">
        <v>18753</v>
      </c>
      <c r="H14" t="s">
        <v>2512</v>
      </c>
      <c r="I14" t="s">
        <v>18536</v>
      </c>
      <c r="J14" t="s">
        <v>18535</v>
      </c>
      <c r="K14" t="s">
        <v>18534</v>
      </c>
    </row>
    <row r="15" spans="1:15">
      <c r="B15" s="1" t="s">
        <v>18752</v>
      </c>
      <c r="D15" s="1" t="str">
        <f>IFERROR(VLOOKUP(C15,'Produktkategorien EN'!A:H,7,FALSE),"")</f>
        <v/>
      </c>
      <c r="E15" s="1" t="str">
        <f>IFERROR(VLOOKUP(C15,'Produktkategorien EN'!A:H,5,FALSE),"")</f>
        <v/>
      </c>
      <c r="F15" s="1" t="str">
        <f>IFERROR(VLOOKUP(C15,'Produktkategorien EN'!A:H,3,FALSE),"")</f>
        <v/>
      </c>
      <c r="G15" s="1" t="s">
        <v>18754</v>
      </c>
      <c r="H15" t="s">
        <v>2466</v>
      </c>
      <c r="I15" t="s">
        <v>18539</v>
      </c>
      <c r="J15" t="s">
        <v>18538</v>
      </c>
      <c r="K15" t="s">
        <v>18537</v>
      </c>
    </row>
    <row r="16" spans="1:15">
      <c r="B16" s="1" t="s">
        <v>18752</v>
      </c>
      <c r="D16" s="1" t="str">
        <f>IFERROR(VLOOKUP(C16,'Produktkategorien EN'!A:H,7,FALSE),"")</f>
        <v/>
      </c>
      <c r="E16" s="1" t="str">
        <f>IFERROR(VLOOKUP(C16,'Produktkategorien EN'!A:H,5,FALSE),"")</f>
        <v/>
      </c>
      <c r="F16" s="1" t="str">
        <f>IFERROR(VLOOKUP(C16,'Produktkategorien EN'!A:H,3,FALSE),"")</f>
        <v/>
      </c>
      <c r="G16" s="1" t="s">
        <v>18755</v>
      </c>
      <c r="H16" t="s">
        <v>2481</v>
      </c>
      <c r="I16" t="s">
        <v>18542</v>
      </c>
      <c r="J16" t="s">
        <v>18541</v>
      </c>
      <c r="K16" t="s">
        <v>18540</v>
      </c>
    </row>
    <row r="17" spans="1:11">
      <c r="B17" s="1" t="s">
        <v>18752</v>
      </c>
      <c r="D17" s="1" t="str">
        <f>IFERROR(VLOOKUP(C17,'Produktkategorien EN'!A:H,7,FALSE),"")</f>
        <v/>
      </c>
      <c r="E17" s="1" t="str">
        <f>IFERROR(VLOOKUP(C17,'Produktkategorien EN'!A:H,5,FALSE),"")</f>
        <v/>
      </c>
      <c r="F17" s="1" t="str">
        <f>IFERROR(VLOOKUP(C17,'Produktkategorien EN'!A:H,3,FALSE),"")</f>
        <v/>
      </c>
      <c r="G17" s="1" t="s">
        <v>18756</v>
      </c>
      <c r="H17" t="s">
        <v>2636</v>
      </c>
      <c r="I17" t="s">
        <v>18545</v>
      </c>
      <c r="J17" t="s">
        <v>18544</v>
      </c>
      <c r="K17" t="s">
        <v>18543</v>
      </c>
    </row>
    <row r="18" spans="1:11">
      <c r="B18" s="1" t="s">
        <v>18752</v>
      </c>
      <c r="D18" s="1" t="str">
        <f>IFERROR(VLOOKUP(C18,'Produktkategorien EN'!A:H,7,FALSE),"")</f>
        <v/>
      </c>
      <c r="E18" s="1" t="str">
        <f>IFERROR(VLOOKUP(C18,'Produktkategorien EN'!A:H,5,FALSE),"")</f>
        <v/>
      </c>
      <c r="F18" s="1" t="str">
        <f>IFERROR(VLOOKUP(C18,'Produktkategorien EN'!A:H,3,FALSE),"")</f>
        <v/>
      </c>
      <c r="G18" s="1" t="s">
        <v>18757</v>
      </c>
      <c r="H18" t="s">
        <v>2380</v>
      </c>
      <c r="I18" t="s">
        <v>18548</v>
      </c>
      <c r="J18" t="s">
        <v>18547</v>
      </c>
      <c r="K18" t="s">
        <v>18546</v>
      </c>
    </row>
    <row r="19" spans="1:11">
      <c r="B19" s="1" t="s">
        <v>18752</v>
      </c>
      <c r="D19" s="1" t="str">
        <f>IFERROR(VLOOKUP(C19,'Produktkategorien EN'!A:H,7,FALSE),"")</f>
        <v/>
      </c>
      <c r="E19" s="1" t="str">
        <f>IFERROR(VLOOKUP(C19,'Produktkategorien EN'!A:H,5,FALSE),"")</f>
        <v/>
      </c>
      <c r="F19" s="1" t="str">
        <f>IFERROR(VLOOKUP(C19,'Produktkategorien EN'!A:H,3,FALSE),"")</f>
        <v/>
      </c>
      <c r="G19" s="1" t="s">
        <v>18758</v>
      </c>
      <c r="H19" t="s">
        <v>2284</v>
      </c>
      <c r="I19" t="s">
        <v>18551</v>
      </c>
      <c r="J19" t="s">
        <v>18550</v>
      </c>
      <c r="K19" t="s">
        <v>18549</v>
      </c>
    </row>
    <row r="20" spans="1:11">
      <c r="B20" s="1" t="s">
        <v>18752</v>
      </c>
      <c r="D20" s="1" t="str">
        <f>IFERROR(VLOOKUP(C20,'Produktkategorien EN'!A:H,7,FALSE),"")</f>
        <v/>
      </c>
      <c r="E20" s="1" t="str">
        <f>IFERROR(VLOOKUP(C20,'Produktkategorien EN'!A:H,5,FALSE),"")</f>
        <v/>
      </c>
      <c r="F20" s="1" t="str">
        <f>IFERROR(VLOOKUP(C20,'Produktkategorien EN'!A:H,3,FALSE),"")</f>
        <v/>
      </c>
      <c r="G20" s="1" t="s">
        <v>18759</v>
      </c>
      <c r="H20" t="s">
        <v>6417</v>
      </c>
      <c r="I20" t="s">
        <v>18554</v>
      </c>
      <c r="J20" t="s">
        <v>18553</v>
      </c>
      <c r="K20" t="s">
        <v>18552</v>
      </c>
    </row>
    <row r="21" spans="1:11">
      <c r="A21" s="2"/>
      <c r="B21" s="1" t="s">
        <v>18760</v>
      </c>
      <c r="C21" s="1" t="s">
        <v>1888</v>
      </c>
      <c r="D21" s="1" t="str">
        <f>IFERROR(VLOOKUP(C21,'Produktkategorien EN'!A:H,7,FALSE),"")</f>
        <v xml:space="preserve">03_Bescherming tegen slijtage </v>
      </c>
      <c r="E21" s="1" t="str">
        <f>IFERROR(VLOOKUP(C21,'Produktkategorien EN'!A:H,5,FALSE),"")</f>
        <v>03_Protection anti-usure</v>
      </c>
      <c r="F21" s="1" t="str">
        <f>IFERROR(VLOOKUP(C21,'Produktkategorien EN'!A:H,3,FALSE),"")</f>
        <v>03_Verschleißschutz</v>
      </c>
      <c r="G21" s="1" t="s">
        <v>18761</v>
      </c>
      <c r="H21" t="s">
        <v>16024</v>
      </c>
      <c r="I21" t="s">
        <v>18557</v>
      </c>
      <c r="J21" t="s">
        <v>18556</v>
      </c>
      <c r="K21" t="s">
        <v>18555</v>
      </c>
    </row>
    <row r="22" spans="1:11">
      <c r="B22" s="1" t="s">
        <v>18760</v>
      </c>
      <c r="D22" s="1" t="str">
        <f>IFERROR(VLOOKUP(C22,'Produktkategorien EN'!A:H,7,FALSE),"")</f>
        <v/>
      </c>
      <c r="E22" s="1" t="str">
        <f>IFERROR(VLOOKUP(C22,'Produktkategorien EN'!A:H,5,FALSE),"")</f>
        <v/>
      </c>
      <c r="F22" s="1" t="str">
        <f>IFERROR(VLOOKUP(C22,'Produktkategorien EN'!A:H,3,FALSE),"")</f>
        <v/>
      </c>
      <c r="G22" s="1" t="s">
        <v>18762</v>
      </c>
      <c r="H22" t="s">
        <v>16121</v>
      </c>
      <c r="I22" t="s">
        <v>18560</v>
      </c>
      <c r="J22" t="s">
        <v>18559</v>
      </c>
      <c r="K22" t="s">
        <v>18558</v>
      </c>
    </row>
    <row r="23" spans="1:11">
      <c r="B23" s="1" t="s">
        <v>18760</v>
      </c>
      <c r="D23" s="1" t="str">
        <f>IFERROR(VLOOKUP(C23,'Produktkategorien EN'!A:H,7,FALSE),"")</f>
        <v/>
      </c>
      <c r="E23" s="1" t="str">
        <f>IFERROR(VLOOKUP(C23,'Produktkategorien EN'!A:H,5,FALSE),"")</f>
        <v/>
      </c>
      <c r="F23" s="1" t="str">
        <f>IFERROR(VLOOKUP(C23,'Produktkategorien EN'!A:H,3,FALSE),"")</f>
        <v/>
      </c>
      <c r="G23" s="1" t="s">
        <v>18763</v>
      </c>
      <c r="H23" t="s">
        <v>15945</v>
      </c>
      <c r="I23" t="s">
        <v>18563</v>
      </c>
      <c r="J23" t="s">
        <v>18562</v>
      </c>
      <c r="K23" t="s">
        <v>18561</v>
      </c>
    </row>
    <row r="24" spans="1:11">
      <c r="B24" s="1" t="s">
        <v>18760</v>
      </c>
      <c r="D24" s="1" t="str">
        <f>IFERROR(VLOOKUP(C24,'Produktkategorien EN'!A:H,7,FALSE),"")</f>
        <v/>
      </c>
      <c r="E24" s="1" t="str">
        <f>IFERROR(VLOOKUP(C24,'Produktkategorien EN'!A:H,5,FALSE),"")</f>
        <v/>
      </c>
      <c r="F24" s="1" t="str">
        <f>IFERROR(VLOOKUP(C24,'Produktkategorien EN'!A:H,3,FALSE),"")</f>
        <v/>
      </c>
      <c r="G24" s="1" t="s">
        <v>18764</v>
      </c>
      <c r="H24" t="s">
        <v>16364</v>
      </c>
      <c r="I24" t="s">
        <v>18566</v>
      </c>
      <c r="J24" t="s">
        <v>18565</v>
      </c>
      <c r="K24" t="s">
        <v>18564</v>
      </c>
    </row>
    <row r="25" spans="1:11">
      <c r="A25" s="1"/>
      <c r="B25" s="1" t="s">
        <v>18760</v>
      </c>
      <c r="C25" s="1"/>
      <c r="D25" s="1" t="str">
        <f>IFERROR(VLOOKUP(C25,'Produktkategorien EN'!A:H,7,FALSE),"")</f>
        <v/>
      </c>
      <c r="E25" s="1" t="str">
        <f>IFERROR(VLOOKUP(C25,'Produktkategorien EN'!A:H,5,FALSE),"")</f>
        <v/>
      </c>
      <c r="F25" s="1" t="str">
        <f>IFERROR(VLOOKUP(C25,'Produktkategorien EN'!A:H,3,FALSE),"")</f>
        <v/>
      </c>
      <c r="G25" s="1" t="s">
        <v>18765</v>
      </c>
      <c r="H25" t="s">
        <v>16432</v>
      </c>
      <c r="I25" t="s">
        <v>18569</v>
      </c>
      <c r="J25" t="s">
        <v>18568</v>
      </c>
      <c r="K25" t="s">
        <v>18567</v>
      </c>
    </row>
    <row r="26" spans="1:11">
      <c r="A26" s="1"/>
      <c r="B26" s="1" t="s">
        <v>18760</v>
      </c>
      <c r="C26" s="1"/>
      <c r="D26" s="1" t="str">
        <f>IFERROR(VLOOKUP(C26,'Produktkategorien EN'!A:H,7,FALSE),"")</f>
        <v/>
      </c>
      <c r="E26" s="1" t="str">
        <f>IFERROR(VLOOKUP(C26,'Produktkategorien EN'!A:H,5,FALSE),"")</f>
        <v/>
      </c>
      <c r="F26" s="1" t="str">
        <f>IFERROR(VLOOKUP(C26,'Produktkategorien EN'!A:H,3,FALSE),"")</f>
        <v/>
      </c>
      <c r="G26" s="1" t="s">
        <v>18766</v>
      </c>
      <c r="H26" t="s">
        <v>16318</v>
      </c>
      <c r="I26" t="s">
        <v>18572</v>
      </c>
      <c r="J26" t="s">
        <v>18571</v>
      </c>
      <c r="K26" t="s">
        <v>18570</v>
      </c>
    </row>
    <row r="27" spans="1:11">
      <c r="A27" s="1"/>
      <c r="B27" s="1" t="s">
        <v>18760</v>
      </c>
      <c r="C27" s="1"/>
      <c r="D27" s="1" t="str">
        <f>IFERROR(VLOOKUP(C27,'Produktkategorien EN'!A:H,7,FALSE),"")</f>
        <v/>
      </c>
      <c r="E27" s="1" t="str">
        <f>IFERROR(VLOOKUP(C27,'Produktkategorien EN'!A:H,5,FALSE),"")</f>
        <v/>
      </c>
      <c r="F27" s="1" t="str">
        <f>IFERROR(VLOOKUP(C27,'Produktkategorien EN'!A:H,3,FALSE),"")</f>
        <v/>
      </c>
      <c r="G27" s="1" t="s">
        <v>18767</v>
      </c>
      <c r="H27" t="s">
        <v>16586</v>
      </c>
      <c r="I27" t="s">
        <v>18575</v>
      </c>
      <c r="J27" t="s">
        <v>18574</v>
      </c>
      <c r="K27" t="s">
        <v>18573</v>
      </c>
    </row>
    <row r="28" spans="1:11">
      <c r="A28" s="1"/>
      <c r="B28" s="1" t="s">
        <v>18760</v>
      </c>
      <c r="C28" s="1"/>
      <c r="D28" s="1" t="str">
        <f>IFERROR(VLOOKUP(C28,'Produktkategorien EN'!A:H,7,FALSE),"")</f>
        <v/>
      </c>
      <c r="E28" s="1" t="str">
        <f>IFERROR(VLOOKUP(C28,'Produktkategorien EN'!A:H,5,FALSE),"")</f>
        <v/>
      </c>
      <c r="F28" s="1" t="str">
        <f>IFERROR(VLOOKUP(C28,'Produktkategorien EN'!A:H,3,FALSE),"")</f>
        <v/>
      </c>
      <c r="G28" s="1" t="s">
        <v>18768</v>
      </c>
      <c r="H28" t="s">
        <v>16716</v>
      </c>
      <c r="I28" t="s">
        <v>18578</v>
      </c>
      <c r="J28" t="s">
        <v>18577</v>
      </c>
      <c r="K28" t="s">
        <v>18576</v>
      </c>
    </row>
    <row r="29" spans="1:11">
      <c r="A29" s="1"/>
      <c r="B29" s="1" t="s">
        <v>18760</v>
      </c>
      <c r="C29" s="1"/>
      <c r="D29" s="1" t="str">
        <f>IFERROR(VLOOKUP(C29,'Produktkategorien EN'!A:H,7,FALSE),"")</f>
        <v/>
      </c>
      <c r="E29" s="1" t="str">
        <f>IFERROR(VLOOKUP(C29,'Produktkategorien EN'!A:H,5,FALSE),"")</f>
        <v/>
      </c>
      <c r="F29" s="1" t="str">
        <f>IFERROR(VLOOKUP(C29,'Produktkategorien EN'!A:H,3,FALSE),"")</f>
        <v/>
      </c>
      <c r="G29" s="1" t="s">
        <v>18769</v>
      </c>
      <c r="H29" t="s">
        <v>1889</v>
      </c>
      <c r="I29" t="s">
        <v>18581</v>
      </c>
      <c r="J29" t="s">
        <v>18580</v>
      </c>
      <c r="K29" t="s">
        <v>18579</v>
      </c>
    </row>
    <row r="30" spans="1:11">
      <c r="A30" s="1"/>
      <c r="B30" s="1" t="s">
        <v>18760</v>
      </c>
      <c r="C30" s="1"/>
      <c r="D30" s="1" t="str">
        <f>IFERROR(VLOOKUP(C30,'Produktkategorien EN'!A:H,7,FALSE),"")</f>
        <v/>
      </c>
      <c r="E30" s="1" t="str">
        <f>IFERROR(VLOOKUP(C30,'Produktkategorien EN'!A:H,5,FALSE),"")</f>
        <v/>
      </c>
      <c r="F30" s="1" t="str">
        <f>IFERROR(VLOOKUP(C30,'Produktkategorien EN'!A:H,3,FALSE),"")</f>
        <v/>
      </c>
      <c r="G30" s="1" t="s">
        <v>18770</v>
      </c>
      <c r="H30" t="s">
        <v>11008</v>
      </c>
      <c r="I30" t="s">
        <v>11008</v>
      </c>
      <c r="J30" t="s">
        <v>11008</v>
      </c>
      <c r="K30" t="s">
        <v>11008</v>
      </c>
    </row>
    <row r="31" spans="1:11">
      <c r="A31" s="1"/>
      <c r="B31" s="1" t="s">
        <v>18760</v>
      </c>
      <c r="C31" s="1"/>
      <c r="D31" s="1" t="str">
        <f>IFERROR(VLOOKUP(C31,'Produktkategorien EN'!A:H,7,FALSE),"")</f>
        <v/>
      </c>
      <c r="E31" s="1" t="str">
        <f>IFERROR(VLOOKUP(C31,'Produktkategorien EN'!A:H,5,FALSE),"")</f>
        <v/>
      </c>
      <c r="F31" s="1" t="str">
        <f>IFERROR(VLOOKUP(C31,'Produktkategorien EN'!A:H,3,FALSE),"")</f>
        <v/>
      </c>
      <c r="G31" s="1" t="s">
        <v>18771</v>
      </c>
      <c r="H31" t="s">
        <v>16245</v>
      </c>
      <c r="I31" t="s">
        <v>18582</v>
      </c>
      <c r="J31" t="s">
        <v>16245</v>
      </c>
      <c r="K31" t="s">
        <v>18582</v>
      </c>
    </row>
    <row r="32" spans="1:11">
      <c r="A32" s="1"/>
      <c r="B32" s="1" t="s">
        <v>18760</v>
      </c>
      <c r="C32" s="1"/>
      <c r="D32" s="1" t="str">
        <f>IFERROR(VLOOKUP(C32,'Produktkategorien EN'!A:H,7,FALSE),"")</f>
        <v/>
      </c>
      <c r="E32" s="1" t="str">
        <f>IFERROR(VLOOKUP(C32,'Produktkategorien EN'!A:H,5,FALSE),"")</f>
        <v/>
      </c>
      <c r="F32" s="1" t="str">
        <f>IFERROR(VLOOKUP(C32,'Produktkategorien EN'!A:H,3,FALSE),"")</f>
        <v/>
      </c>
      <c r="G32" s="1" t="s">
        <v>18772</v>
      </c>
      <c r="H32" t="s">
        <v>11334</v>
      </c>
      <c r="I32" t="s">
        <v>18585</v>
      </c>
      <c r="J32" t="s">
        <v>18584</v>
      </c>
      <c r="K32" t="s">
        <v>18583</v>
      </c>
    </row>
    <row r="33" spans="1:11">
      <c r="A33" s="2"/>
      <c r="B33" s="1" t="s">
        <v>18773</v>
      </c>
      <c r="C33" s="1" t="s">
        <v>1507</v>
      </c>
      <c r="D33" s="1" t="str">
        <f>IFERROR(VLOOKUP(C33,'Produktkategorien EN'!A:H,7,FALSE),"")</f>
        <v>04_Trommelbekleding</v>
      </c>
      <c r="E33" s="1" t="str">
        <f>IFERROR(VLOOKUP(C33,'Produktkategorien EN'!A:H,5,FALSE),"")</f>
        <v>04_Garnissage pour tambour</v>
      </c>
      <c r="F33" s="1" t="str">
        <f>IFERROR(VLOOKUP(C33,'Produktkategorien EN'!A:H,3,FALSE),"")</f>
        <v>04_Trommelbeläge</v>
      </c>
      <c r="G33" s="1" t="s">
        <v>18774</v>
      </c>
      <c r="H33" t="s">
        <v>10260</v>
      </c>
      <c r="I33" t="s">
        <v>18588</v>
      </c>
      <c r="J33" t="s">
        <v>18587</v>
      </c>
      <c r="K33" t="s">
        <v>18586</v>
      </c>
    </row>
    <row r="34" spans="1:11">
      <c r="A34" s="1"/>
      <c r="B34" s="1" t="s">
        <v>18773</v>
      </c>
      <c r="C34" s="1"/>
      <c r="D34" s="1" t="str">
        <f>IFERROR(VLOOKUP(C34,'Produktkategorien EN'!A:H,7,FALSE),"")</f>
        <v/>
      </c>
      <c r="E34" s="1" t="str">
        <f>IFERROR(VLOOKUP(C34,'Produktkategorien EN'!A:H,5,FALSE),"")</f>
        <v/>
      </c>
      <c r="F34" s="1" t="str">
        <f>IFERROR(VLOOKUP(C34,'Produktkategorien EN'!A:H,3,FALSE),"")</f>
        <v/>
      </c>
      <c r="G34" s="1" t="s">
        <v>18775</v>
      </c>
      <c r="H34" t="s">
        <v>10410</v>
      </c>
      <c r="I34" t="s">
        <v>18591</v>
      </c>
      <c r="J34" t="s">
        <v>18590</v>
      </c>
      <c r="K34" t="s">
        <v>18589</v>
      </c>
    </row>
    <row r="35" spans="1:11">
      <c r="A35" s="1"/>
      <c r="B35" s="1" t="s">
        <v>18773</v>
      </c>
      <c r="C35" s="1"/>
      <c r="D35" s="1" t="str">
        <f>IFERROR(VLOOKUP(C35,'Produktkategorien EN'!A:H,7,FALSE),"")</f>
        <v/>
      </c>
      <c r="E35" s="1" t="str">
        <f>IFERROR(VLOOKUP(C35,'Produktkategorien EN'!A:H,5,FALSE),"")</f>
        <v/>
      </c>
      <c r="F35" s="1" t="str">
        <f>IFERROR(VLOOKUP(C35,'Produktkategorien EN'!A:H,3,FALSE),"")</f>
        <v/>
      </c>
      <c r="G35" s="1" t="s">
        <v>18776</v>
      </c>
      <c r="H35" t="s">
        <v>10368</v>
      </c>
      <c r="I35" t="s">
        <v>18594</v>
      </c>
      <c r="J35" t="s">
        <v>18593</v>
      </c>
      <c r="K35" t="s">
        <v>18592</v>
      </c>
    </row>
    <row r="36" spans="1:11">
      <c r="A36" s="1"/>
      <c r="B36" s="1" t="s">
        <v>18773</v>
      </c>
      <c r="C36" s="1"/>
      <c r="D36" s="1" t="str">
        <f>IFERROR(VLOOKUP(C36,'Produktkategorien EN'!A:H,7,FALSE),"")</f>
        <v/>
      </c>
      <c r="E36" s="1" t="str">
        <f>IFERROR(VLOOKUP(C36,'Produktkategorien EN'!A:H,5,FALSE),"")</f>
        <v/>
      </c>
      <c r="F36" s="1" t="str">
        <f>IFERROR(VLOOKUP(C36,'Produktkategorien EN'!A:H,3,FALSE),"")</f>
        <v/>
      </c>
      <c r="G36" s="1" t="s">
        <v>18777</v>
      </c>
      <c r="H36" t="s">
        <v>10083</v>
      </c>
      <c r="I36" t="s">
        <v>18597</v>
      </c>
      <c r="J36" t="s">
        <v>18596</v>
      </c>
      <c r="K36" t="s">
        <v>18595</v>
      </c>
    </row>
    <row r="37" spans="1:11">
      <c r="A37" s="1"/>
      <c r="B37" s="1" t="s">
        <v>18773</v>
      </c>
      <c r="C37" s="1"/>
      <c r="D37" s="1" t="str">
        <f>IFERROR(VLOOKUP(C37,'Produktkategorien EN'!A:H,7,FALSE),"")</f>
        <v/>
      </c>
      <c r="E37" s="1" t="str">
        <f>IFERROR(VLOOKUP(C37,'Produktkategorien EN'!A:H,5,FALSE),"")</f>
        <v/>
      </c>
      <c r="F37" s="1" t="str">
        <f>IFERROR(VLOOKUP(C37,'Produktkategorien EN'!A:H,3,FALSE),"")</f>
        <v/>
      </c>
      <c r="G37" s="1" t="s">
        <v>18778</v>
      </c>
      <c r="H37" t="s">
        <v>10135</v>
      </c>
      <c r="I37" t="s">
        <v>18600</v>
      </c>
      <c r="J37" t="s">
        <v>18599</v>
      </c>
      <c r="K37" t="s">
        <v>18598</v>
      </c>
    </row>
    <row r="38" spans="1:11">
      <c r="A38" s="1"/>
      <c r="B38" s="1" t="s">
        <v>18773</v>
      </c>
      <c r="C38" s="1"/>
      <c r="D38" s="1" t="str">
        <f>IFERROR(VLOOKUP(C38,'Produktkategorien EN'!A:H,7,FALSE),"")</f>
        <v/>
      </c>
      <c r="E38" s="1" t="str">
        <f>IFERROR(VLOOKUP(C38,'Produktkategorien EN'!A:H,5,FALSE),"")</f>
        <v/>
      </c>
      <c r="F38" s="1" t="str">
        <f>IFERROR(VLOOKUP(C38,'Produktkategorien EN'!A:H,3,FALSE),"")</f>
        <v/>
      </c>
      <c r="G38" s="1" t="s">
        <v>18779</v>
      </c>
      <c r="H38" t="s">
        <v>10194</v>
      </c>
      <c r="I38" t="s">
        <v>18603</v>
      </c>
      <c r="J38" t="s">
        <v>18602</v>
      </c>
      <c r="K38" t="s">
        <v>18601</v>
      </c>
    </row>
    <row r="39" spans="1:11">
      <c r="A39" s="1"/>
      <c r="B39" s="1" t="s">
        <v>18773</v>
      </c>
      <c r="C39" s="1"/>
      <c r="D39" s="1" t="str">
        <f>IFERROR(VLOOKUP(C39,'Produktkategorien EN'!A:H,7,FALSE),"")</f>
        <v/>
      </c>
      <c r="E39" s="1" t="str">
        <f>IFERROR(VLOOKUP(C39,'Produktkategorien EN'!A:H,5,FALSE),"")</f>
        <v/>
      </c>
      <c r="F39" s="1" t="str">
        <f>IFERROR(VLOOKUP(C39,'Produktkategorien EN'!A:H,3,FALSE),"")</f>
        <v/>
      </c>
      <c r="G39" s="1" t="s">
        <v>18780</v>
      </c>
      <c r="H39" t="s">
        <v>10242</v>
      </c>
      <c r="I39" t="s">
        <v>18606</v>
      </c>
      <c r="J39" t="s">
        <v>18605</v>
      </c>
      <c r="K39" t="s">
        <v>18604</v>
      </c>
    </row>
    <row r="40" spans="1:11">
      <c r="A40" s="1"/>
      <c r="B40" s="1" t="s">
        <v>18773</v>
      </c>
      <c r="C40" s="1"/>
      <c r="D40" s="1" t="str">
        <f>IFERROR(VLOOKUP(C40,'Produktkategorien EN'!A:H,7,FALSE),"")</f>
        <v/>
      </c>
      <c r="E40" s="1" t="str">
        <f>IFERROR(VLOOKUP(C40,'Produktkategorien EN'!A:H,5,FALSE),"")</f>
        <v/>
      </c>
      <c r="F40" s="1" t="str">
        <f>IFERROR(VLOOKUP(C40,'Produktkategorien EN'!A:H,3,FALSE),"")</f>
        <v/>
      </c>
      <c r="G40" s="1" t="s">
        <v>18781</v>
      </c>
      <c r="H40" t="s">
        <v>18607</v>
      </c>
      <c r="I40" t="s">
        <v>18607</v>
      </c>
      <c r="J40" t="s">
        <v>18607</v>
      </c>
      <c r="K40" t="s">
        <v>18607</v>
      </c>
    </row>
    <row r="41" spans="1:11">
      <c r="A41" s="1"/>
      <c r="B41" s="1" t="s">
        <v>18773</v>
      </c>
      <c r="C41" s="1"/>
      <c r="D41" s="1" t="str">
        <f>IFERROR(VLOOKUP(C41,'Produktkategorien EN'!A:H,7,FALSE),"")</f>
        <v/>
      </c>
      <c r="E41" s="1" t="str">
        <f>IFERROR(VLOOKUP(C41,'Produktkategorien EN'!A:H,5,FALSE),"")</f>
        <v/>
      </c>
      <c r="F41" s="1" t="str">
        <f>IFERROR(VLOOKUP(C41,'Produktkategorien EN'!A:H,3,FALSE),"")</f>
        <v/>
      </c>
      <c r="G41" s="1" t="s">
        <v>18782</v>
      </c>
      <c r="H41" t="s">
        <v>1523</v>
      </c>
      <c r="I41" t="s">
        <v>18610</v>
      </c>
      <c r="J41" t="s">
        <v>18609</v>
      </c>
      <c r="K41" t="s">
        <v>18608</v>
      </c>
    </row>
    <row r="42" spans="1:11">
      <c r="A42" s="1"/>
      <c r="B42" s="1" t="s">
        <v>18773</v>
      </c>
      <c r="C42" s="1"/>
      <c r="D42" s="1" t="str">
        <f>IFERROR(VLOOKUP(C42,'Produktkategorien EN'!A:H,7,FALSE),"")</f>
        <v/>
      </c>
      <c r="E42" s="1" t="str">
        <f>IFERROR(VLOOKUP(C42,'Produktkategorien EN'!A:H,5,FALSE),"")</f>
        <v/>
      </c>
      <c r="F42" s="1" t="str">
        <f>IFERROR(VLOOKUP(C42,'Produktkategorien EN'!A:H,3,FALSE),"")</f>
        <v/>
      </c>
      <c r="G42" s="1" t="s">
        <v>18783</v>
      </c>
      <c r="H42" t="s">
        <v>1508</v>
      </c>
      <c r="I42" t="s">
        <v>18613</v>
      </c>
      <c r="J42" t="s">
        <v>18612</v>
      </c>
      <c r="K42" t="s">
        <v>18611</v>
      </c>
    </row>
    <row r="43" spans="1:11">
      <c r="A43" s="1"/>
      <c r="B43" s="1" t="s">
        <v>18773</v>
      </c>
      <c r="C43" s="1"/>
      <c r="D43" s="1" t="str">
        <f>IFERROR(VLOOKUP(C43,'Produktkategorien EN'!A:H,7,FALSE),"")</f>
        <v/>
      </c>
      <c r="E43" s="1" t="str">
        <f>IFERROR(VLOOKUP(C43,'Produktkategorien EN'!A:H,5,FALSE),"")</f>
        <v/>
      </c>
      <c r="F43" s="1" t="str">
        <f>IFERROR(VLOOKUP(C43,'Produktkategorien EN'!A:H,3,FALSE),"")</f>
        <v/>
      </c>
      <c r="G43" s="1" t="s">
        <v>18784</v>
      </c>
      <c r="H43" t="s">
        <v>12469</v>
      </c>
      <c r="I43" t="s">
        <v>12469</v>
      </c>
      <c r="J43" t="s">
        <v>12469</v>
      </c>
      <c r="K43" t="s">
        <v>12469</v>
      </c>
    </row>
    <row r="44" spans="1:11">
      <c r="A44" s="1"/>
      <c r="B44" s="1" t="s">
        <v>18773</v>
      </c>
      <c r="C44" s="1"/>
      <c r="D44" s="1" t="str">
        <f>IFERROR(VLOOKUP(C44,'Produktkategorien EN'!A:H,7,FALSE),"")</f>
        <v/>
      </c>
      <c r="E44" s="1" t="str">
        <f>IFERROR(VLOOKUP(C44,'Produktkategorien EN'!A:H,5,FALSE),"")</f>
        <v/>
      </c>
      <c r="F44" s="1" t="str">
        <f>IFERROR(VLOOKUP(C44,'Produktkategorien EN'!A:H,3,FALSE),"")</f>
        <v/>
      </c>
      <c r="G44" s="1" t="s">
        <v>18785</v>
      </c>
      <c r="H44" t="s">
        <v>10459</v>
      </c>
      <c r="I44" t="s">
        <v>18616</v>
      </c>
      <c r="J44" t="s">
        <v>18615</v>
      </c>
      <c r="K44" t="s">
        <v>18614</v>
      </c>
    </row>
    <row r="45" spans="1:11">
      <c r="A45" s="2"/>
      <c r="B45" s="1" t="s">
        <v>18786</v>
      </c>
      <c r="C45" s="1" t="s">
        <v>1393</v>
      </c>
      <c r="D45" s="1" t="str">
        <f>IFERROR(VLOOKUP(C45,'Produktkategorien EN'!A:H,7,FALSE),"")</f>
        <v>05_Gereedschap</v>
      </c>
      <c r="E45" s="1" t="str">
        <f>IFERROR(VLOOKUP(C45,'Produktkategorien EN'!A:H,5,FALSE),"")</f>
        <v>05_Outillage</v>
      </c>
      <c r="F45" s="1" t="str">
        <f>IFERROR(VLOOKUP(C45,'Produktkategorien EN'!A:H,3,FALSE),"")</f>
        <v>05_Werkzeuge</v>
      </c>
      <c r="G45" s="1" t="s">
        <v>18787</v>
      </c>
      <c r="H45" t="s">
        <v>1394</v>
      </c>
      <c r="I45" t="s">
        <v>1394</v>
      </c>
      <c r="J45" t="s">
        <v>18618</v>
      </c>
      <c r="K45" t="s">
        <v>18617</v>
      </c>
    </row>
    <row r="46" spans="1:11">
      <c r="A46" s="1"/>
      <c r="B46" s="1" t="s">
        <v>18786</v>
      </c>
      <c r="C46" s="1"/>
      <c r="D46" s="1" t="str">
        <f>IFERROR(VLOOKUP(C46,'Produktkategorien EN'!A:H,7,FALSE),"")</f>
        <v/>
      </c>
      <c r="E46" s="1" t="str">
        <f>IFERROR(VLOOKUP(C46,'Produktkategorien EN'!A:H,5,FALSE),"")</f>
        <v/>
      </c>
      <c r="F46" s="1" t="str">
        <f>IFERROR(VLOOKUP(C46,'Produktkategorien EN'!A:H,3,FALSE),"")</f>
        <v/>
      </c>
      <c r="G46" s="1" t="s">
        <v>18788</v>
      </c>
      <c r="H46" t="s">
        <v>13492</v>
      </c>
      <c r="I46" t="s">
        <v>18621</v>
      </c>
      <c r="J46" t="s">
        <v>18620</v>
      </c>
      <c r="K46" t="s">
        <v>18619</v>
      </c>
    </row>
    <row r="47" spans="1:11">
      <c r="A47" s="1"/>
      <c r="B47" s="1" t="s">
        <v>18786</v>
      </c>
      <c r="C47" s="1"/>
      <c r="D47" s="1" t="str">
        <f>IFERROR(VLOOKUP(C47,'Produktkategorien EN'!A:H,7,FALSE),"")</f>
        <v/>
      </c>
      <c r="E47" s="1" t="str">
        <f>IFERROR(VLOOKUP(C47,'Produktkategorien EN'!A:H,5,FALSE),"")</f>
        <v/>
      </c>
      <c r="F47" s="1" t="str">
        <f>IFERROR(VLOOKUP(C47,'Produktkategorien EN'!A:H,3,FALSE),"")</f>
        <v/>
      </c>
      <c r="G47" s="1" t="s">
        <v>18789</v>
      </c>
      <c r="H47" t="s">
        <v>9687</v>
      </c>
      <c r="I47" t="s">
        <v>18624</v>
      </c>
      <c r="J47" t="s">
        <v>18623</v>
      </c>
      <c r="K47" t="s">
        <v>18622</v>
      </c>
    </row>
    <row r="48" spans="1:11">
      <c r="A48" s="1"/>
      <c r="B48" s="1" t="s">
        <v>18786</v>
      </c>
      <c r="C48" s="1"/>
      <c r="D48" s="1" t="str">
        <f>IFERROR(VLOOKUP(C48,'Produktkategorien EN'!A:H,7,FALSE),"")</f>
        <v/>
      </c>
      <c r="E48" s="1" t="str">
        <f>IFERROR(VLOOKUP(C48,'Produktkategorien EN'!A:H,5,FALSE),"")</f>
        <v/>
      </c>
      <c r="F48" s="1" t="str">
        <f>IFERROR(VLOOKUP(C48,'Produktkategorien EN'!A:H,3,FALSE),"")</f>
        <v/>
      </c>
      <c r="G48" s="1" t="s">
        <v>18790</v>
      </c>
      <c r="H48" t="s">
        <v>1414</v>
      </c>
      <c r="I48" t="s">
        <v>1414</v>
      </c>
      <c r="J48" t="s">
        <v>18791</v>
      </c>
      <c r="K48" t="s">
        <v>18625</v>
      </c>
    </row>
    <row r="49" spans="1:11">
      <c r="A49" s="1"/>
      <c r="B49" s="1" t="s">
        <v>18786</v>
      </c>
      <c r="C49" s="1"/>
      <c r="D49" s="1" t="str">
        <f>IFERROR(VLOOKUP(C49,'Produktkategorien EN'!A:H,7,FALSE),"")</f>
        <v/>
      </c>
      <c r="E49" s="1" t="str">
        <f>IFERROR(VLOOKUP(C49,'Produktkategorien EN'!A:H,5,FALSE),"")</f>
        <v/>
      </c>
      <c r="F49" s="1" t="str">
        <f>IFERROR(VLOOKUP(C49,'Produktkategorien EN'!A:H,3,FALSE),"")</f>
        <v/>
      </c>
      <c r="G49" s="1" t="s">
        <v>18792</v>
      </c>
      <c r="H49" t="s">
        <v>1557</v>
      </c>
      <c r="I49" t="s">
        <v>18630</v>
      </c>
      <c r="J49" t="s">
        <v>18629</v>
      </c>
      <c r="K49" t="s">
        <v>18628</v>
      </c>
    </row>
    <row r="50" spans="1:11">
      <c r="A50" s="2"/>
      <c r="B50" s="1" t="s">
        <v>18793</v>
      </c>
      <c r="C50" s="2" t="s">
        <v>63</v>
      </c>
      <c r="D50" s="1" t="str">
        <f>IFERROR(VLOOKUP(C50,'Produktkategorien EN'!A:H,7,FALSE),"")</f>
        <v>06_Vulkanisatiemateriaal</v>
      </c>
      <c r="E50" s="1" t="str">
        <f>IFERROR(VLOOKUP(C50,'Produktkategorien EN'!A:H,5,FALSE),"")</f>
        <v>06_Matériaux de vulcanisation</v>
      </c>
      <c r="F50" s="1" t="str">
        <f>IFERROR(VLOOKUP(C50,'Produktkategorien EN'!A:H,3,FALSE),"")</f>
        <v>06_Vulkanisiermaterialen</v>
      </c>
      <c r="G50" s="1" t="s">
        <v>18794</v>
      </c>
      <c r="H50" t="s">
        <v>104</v>
      </c>
      <c r="I50" t="s">
        <v>104</v>
      </c>
      <c r="J50" t="s">
        <v>18632</v>
      </c>
      <c r="K50" t="s">
        <v>18631</v>
      </c>
    </row>
    <row r="51" spans="1:11">
      <c r="A51" s="1"/>
      <c r="B51" s="1" t="s">
        <v>18793</v>
      </c>
      <c r="C51" s="1"/>
      <c r="D51" s="1" t="str">
        <f>IFERROR(VLOOKUP(C51,'Produktkategorien EN'!A:H,7,FALSE),"")</f>
        <v/>
      </c>
      <c r="E51" s="1" t="str">
        <f>IFERROR(VLOOKUP(C51,'Produktkategorien EN'!A:H,5,FALSE),"")</f>
        <v/>
      </c>
      <c r="F51" s="1" t="str">
        <f>IFERROR(VLOOKUP(C51,'Produktkategorien EN'!A:H,3,FALSE),"")</f>
        <v/>
      </c>
      <c r="G51" s="1" t="s">
        <v>18795</v>
      </c>
      <c r="H51" t="s">
        <v>154</v>
      </c>
      <c r="I51" t="s">
        <v>154</v>
      </c>
      <c r="J51" t="s">
        <v>154</v>
      </c>
      <c r="K51" t="s">
        <v>154</v>
      </c>
    </row>
    <row r="52" spans="1:11">
      <c r="A52" s="1"/>
      <c r="B52" s="1" t="s">
        <v>18793</v>
      </c>
      <c r="C52" s="1"/>
      <c r="D52" s="1" t="str">
        <f>IFERROR(VLOOKUP(C52,'Produktkategorien EN'!A:H,7,FALSE),"")</f>
        <v/>
      </c>
      <c r="E52" s="1" t="str">
        <f>IFERROR(VLOOKUP(C52,'Produktkategorien EN'!A:H,5,FALSE),"")</f>
        <v/>
      </c>
      <c r="F52" s="1" t="str">
        <f>IFERROR(VLOOKUP(C52,'Produktkategorien EN'!A:H,3,FALSE),"")</f>
        <v/>
      </c>
      <c r="G52" s="1" t="s">
        <v>18796</v>
      </c>
      <c r="H52" t="s">
        <v>130</v>
      </c>
      <c r="I52" t="s">
        <v>18635</v>
      </c>
      <c r="J52" t="s">
        <v>18634</v>
      </c>
      <c r="K52" t="s">
        <v>18633</v>
      </c>
    </row>
    <row r="53" spans="1:11">
      <c r="A53" s="1"/>
      <c r="B53" s="1" t="s">
        <v>18793</v>
      </c>
      <c r="C53" s="1"/>
      <c r="D53" s="1" t="str">
        <f>IFERROR(VLOOKUP(C53,'Produktkategorien EN'!A:H,7,FALSE),"")</f>
        <v/>
      </c>
      <c r="E53" s="1" t="str">
        <f>IFERROR(VLOOKUP(C53,'Produktkategorien EN'!A:H,5,FALSE),"")</f>
        <v/>
      </c>
      <c r="F53" s="1" t="str">
        <f>IFERROR(VLOOKUP(C53,'Produktkategorien EN'!A:H,3,FALSE),"")</f>
        <v/>
      </c>
      <c r="G53" s="1" t="s">
        <v>18797</v>
      </c>
      <c r="H53" t="s">
        <v>64</v>
      </c>
      <c r="I53" t="s">
        <v>18638</v>
      </c>
      <c r="J53" t="s">
        <v>18637</v>
      </c>
      <c r="K53" t="s">
        <v>18636</v>
      </c>
    </row>
    <row r="54" spans="1:11">
      <c r="A54" s="1"/>
      <c r="B54" s="1" t="s">
        <v>18793</v>
      </c>
      <c r="C54" s="1"/>
      <c r="D54" s="1" t="str">
        <f>IFERROR(VLOOKUP(C54,'Produktkategorien EN'!A:H,7,FALSE),"")</f>
        <v/>
      </c>
      <c r="E54" s="1" t="str">
        <f>IFERROR(VLOOKUP(C54,'Produktkategorien EN'!A:H,5,FALSE),"")</f>
        <v/>
      </c>
      <c r="F54" s="1" t="str">
        <f>IFERROR(VLOOKUP(C54,'Produktkategorien EN'!A:H,3,FALSE),"")</f>
        <v/>
      </c>
      <c r="G54" s="1" t="s">
        <v>18798</v>
      </c>
      <c r="H54" t="s">
        <v>1826</v>
      </c>
      <c r="I54" t="s">
        <v>18641</v>
      </c>
      <c r="J54" t="s">
        <v>18640</v>
      </c>
      <c r="K54" t="s">
        <v>18639</v>
      </c>
    </row>
    <row r="55" spans="1:11">
      <c r="A55" s="1"/>
      <c r="B55" s="1" t="s">
        <v>18793</v>
      </c>
      <c r="C55" s="1"/>
      <c r="D55" s="1" t="str">
        <f>IFERROR(VLOOKUP(C55,'Produktkategorien EN'!A:H,7,FALSE),"")</f>
        <v/>
      </c>
      <c r="E55" s="1" t="str">
        <f>IFERROR(VLOOKUP(C55,'Produktkategorien EN'!A:H,5,FALSE),"")</f>
        <v/>
      </c>
      <c r="F55" s="1" t="str">
        <f>IFERROR(VLOOKUP(C55,'Produktkategorien EN'!A:H,3,FALSE),"")</f>
        <v/>
      </c>
      <c r="G55" s="1" t="s">
        <v>18799</v>
      </c>
      <c r="H55" t="s">
        <v>17628</v>
      </c>
      <c r="I55" t="s">
        <v>18644</v>
      </c>
      <c r="J55" t="s">
        <v>18643</v>
      </c>
      <c r="K55" t="s">
        <v>18642</v>
      </c>
    </row>
    <row r="56" spans="1:11">
      <c r="A56" s="2"/>
      <c r="B56" s="1" t="s">
        <v>18800</v>
      </c>
      <c r="C56" s="2" t="s">
        <v>219</v>
      </c>
      <c r="D56" s="1" t="str">
        <f>IFERROR(VLOOKUP(C56,'Produktkategorien EN'!A:H,7,FALSE),"")</f>
        <v>07_Reparatiemateriaal</v>
      </c>
      <c r="E56" s="1" t="str">
        <f>IFERROR(VLOOKUP(C56,'Produktkategorien EN'!A:H,5,FALSE),"")</f>
        <v>07_Matériaux de réparation</v>
      </c>
      <c r="F56" s="1" t="str">
        <f>IFERROR(VLOOKUP(C56,'Produktkategorien EN'!A:H,3,FALSE),"")</f>
        <v>07_Reparaturmaterial</v>
      </c>
      <c r="G56" s="1" t="s">
        <v>18801</v>
      </c>
      <c r="H56" t="s">
        <v>17422</v>
      </c>
      <c r="I56" t="s">
        <v>17422</v>
      </c>
      <c r="J56" t="s">
        <v>17422</v>
      </c>
      <c r="K56" t="s">
        <v>17422</v>
      </c>
    </row>
    <row r="57" spans="1:11">
      <c r="A57" s="1"/>
      <c r="B57" s="1" t="s">
        <v>18800</v>
      </c>
      <c r="C57" s="1"/>
      <c r="D57" s="1" t="str">
        <f>IFERROR(VLOOKUP(C57,'Produktkategorien EN'!A:H,7,FALSE),"")</f>
        <v/>
      </c>
      <c r="E57" s="1" t="str">
        <f>IFERROR(VLOOKUP(C57,'Produktkategorien EN'!A:H,5,FALSE),"")</f>
        <v/>
      </c>
      <c r="F57" s="1" t="str">
        <f>IFERROR(VLOOKUP(C57,'Produktkategorien EN'!A:H,3,FALSE),"")</f>
        <v/>
      </c>
      <c r="G57" s="1" t="s">
        <v>18802</v>
      </c>
      <c r="H57" t="s">
        <v>9854</v>
      </c>
      <c r="I57" t="s">
        <v>9854</v>
      </c>
      <c r="J57" t="s">
        <v>9854</v>
      </c>
      <c r="K57" t="s">
        <v>9854</v>
      </c>
    </row>
    <row r="58" spans="1:11">
      <c r="A58" s="1"/>
      <c r="B58" s="1" t="s">
        <v>18800</v>
      </c>
      <c r="C58" s="1"/>
      <c r="D58" s="1" t="str">
        <f>IFERROR(VLOOKUP(C58,'Produktkategorien EN'!A:H,7,FALSE),"")</f>
        <v/>
      </c>
      <c r="E58" s="1" t="str">
        <f>IFERROR(VLOOKUP(C58,'Produktkategorien EN'!A:H,5,FALSE),"")</f>
        <v/>
      </c>
      <c r="F58" s="1" t="str">
        <f>IFERROR(VLOOKUP(C58,'Produktkategorien EN'!A:H,3,FALSE),"")</f>
        <v/>
      </c>
      <c r="G58" s="1" t="s">
        <v>18803</v>
      </c>
      <c r="H58" t="s">
        <v>11564</v>
      </c>
      <c r="I58" t="s">
        <v>11564</v>
      </c>
      <c r="J58" t="s">
        <v>11564</v>
      </c>
      <c r="K58" t="s">
        <v>11564</v>
      </c>
    </row>
    <row r="59" spans="1:11">
      <c r="A59" s="1"/>
      <c r="B59" s="1" t="s">
        <v>18800</v>
      </c>
      <c r="C59" s="1"/>
      <c r="D59" s="1" t="str">
        <f>IFERROR(VLOOKUP(C59,'Produktkategorien EN'!A:H,7,FALSE),"")</f>
        <v/>
      </c>
      <c r="E59" s="1" t="str">
        <f>IFERROR(VLOOKUP(C59,'Produktkategorien EN'!A:H,5,FALSE),"")</f>
        <v/>
      </c>
      <c r="F59" s="1" t="str">
        <f>IFERROR(VLOOKUP(C59,'Produktkategorien EN'!A:H,3,FALSE),"")</f>
        <v/>
      </c>
      <c r="G59" s="1" t="s">
        <v>18804</v>
      </c>
      <c r="H59" t="s">
        <v>254</v>
      </c>
      <c r="I59" t="s">
        <v>18647</v>
      </c>
      <c r="J59" t="s">
        <v>18646</v>
      </c>
      <c r="K59" t="s">
        <v>18645</v>
      </c>
    </row>
    <row r="60" spans="1:11">
      <c r="A60" s="1"/>
      <c r="B60" s="1" t="s">
        <v>18800</v>
      </c>
      <c r="C60" s="1"/>
      <c r="D60" s="1" t="str">
        <f>IFERROR(VLOOKUP(C60,'Produktkategorien EN'!A:H,7,FALSE),"")</f>
        <v/>
      </c>
      <c r="E60" s="1" t="str">
        <f>IFERROR(VLOOKUP(C60,'Produktkategorien EN'!A:H,5,FALSE),"")</f>
        <v/>
      </c>
      <c r="F60" s="1" t="str">
        <f>IFERROR(VLOOKUP(C60,'Produktkategorien EN'!A:H,3,FALSE),"")</f>
        <v/>
      </c>
      <c r="G60" s="1" t="s">
        <v>18805</v>
      </c>
      <c r="H60" t="s">
        <v>220</v>
      </c>
      <c r="I60" t="s">
        <v>18650</v>
      </c>
      <c r="J60" t="s">
        <v>18649</v>
      </c>
      <c r="K60" t="s">
        <v>18648</v>
      </c>
    </row>
    <row r="61" spans="1:11">
      <c r="A61" s="1"/>
      <c r="B61" s="1" t="s">
        <v>18800</v>
      </c>
      <c r="C61" s="1"/>
      <c r="D61" s="1" t="str">
        <f>IFERROR(VLOOKUP(C61,'Produktkategorien EN'!A:H,7,FALSE),"")</f>
        <v/>
      </c>
      <c r="E61" s="1" t="str">
        <f>IFERROR(VLOOKUP(C61,'Produktkategorien EN'!A:H,5,FALSE),"")</f>
        <v/>
      </c>
      <c r="F61" s="1" t="str">
        <f>IFERROR(VLOOKUP(C61,'Produktkategorien EN'!A:H,3,FALSE),"")</f>
        <v/>
      </c>
      <c r="G61" s="1" t="s">
        <v>18806</v>
      </c>
      <c r="H61" t="s">
        <v>1087</v>
      </c>
      <c r="I61" t="s">
        <v>18653</v>
      </c>
      <c r="J61" t="s">
        <v>18652</v>
      </c>
      <c r="K61" t="s">
        <v>18651</v>
      </c>
    </row>
    <row r="62" spans="1:11">
      <c r="A62" s="1"/>
      <c r="B62" s="1" t="s">
        <v>18800</v>
      </c>
      <c r="C62" s="1"/>
      <c r="D62" s="1" t="str">
        <f>IFERROR(VLOOKUP(C62,'Produktkategorien EN'!A:H,7,FALSE),"")</f>
        <v/>
      </c>
      <c r="E62" s="1" t="str">
        <f>IFERROR(VLOOKUP(C62,'Produktkategorien EN'!A:H,5,FALSE),"")</f>
        <v/>
      </c>
      <c r="F62" s="1" t="str">
        <f>IFERROR(VLOOKUP(C62,'Produktkategorien EN'!A:H,3,FALSE),"")</f>
        <v/>
      </c>
      <c r="G62" s="1" t="s">
        <v>18807</v>
      </c>
      <c r="H62" t="s">
        <v>1211</v>
      </c>
      <c r="I62" t="s">
        <v>18656</v>
      </c>
      <c r="J62" t="s">
        <v>18655</v>
      </c>
      <c r="K62" t="s">
        <v>18654</v>
      </c>
    </row>
    <row r="63" spans="1:11">
      <c r="A63" s="2"/>
      <c r="B63" s="1" t="s">
        <v>18808</v>
      </c>
      <c r="C63" s="2" t="s">
        <v>1983</v>
      </c>
      <c r="D63" s="1" t="str">
        <f>IFERROR(VLOOKUP(C63,'Produktkategorien EN'!A:H,7,FALSE),"")</f>
        <v>08_Transportbandreiniging</v>
      </c>
      <c r="E63" s="1" t="str">
        <f>IFERROR(VLOOKUP(C63,'Produktkategorien EN'!A:H,5,FALSE),"")</f>
        <v>08_Nettoyage bande transporteuse</v>
      </c>
      <c r="F63" s="1" t="str">
        <f>IFERROR(VLOOKUP(C63,'Produktkategorien EN'!A:H,3,FALSE),"")</f>
        <v>08_Fördergurt-Reinigungssysteme</v>
      </c>
      <c r="G63" s="1" t="s">
        <v>18809</v>
      </c>
      <c r="H63" t="s">
        <v>18289</v>
      </c>
      <c r="I63" t="s">
        <v>18659</v>
      </c>
      <c r="J63" t="s">
        <v>18658</v>
      </c>
      <c r="K63" t="s">
        <v>18657</v>
      </c>
    </row>
    <row r="64" spans="1:11">
      <c r="A64" s="1"/>
      <c r="B64" s="1" t="s">
        <v>18808</v>
      </c>
      <c r="C64" s="1"/>
      <c r="D64" s="1" t="str">
        <f>IFERROR(VLOOKUP(C64,'Produktkategorien EN'!A:H,7,FALSE),"")</f>
        <v/>
      </c>
      <c r="E64" s="1" t="str">
        <f>IFERROR(VLOOKUP(C64,'Produktkategorien EN'!A:H,5,FALSE),"")</f>
        <v/>
      </c>
      <c r="F64" s="1" t="str">
        <f>IFERROR(VLOOKUP(C64,'Produktkategorien EN'!A:H,3,FALSE),"")</f>
        <v/>
      </c>
      <c r="G64" s="1" t="s">
        <v>18810</v>
      </c>
      <c r="H64" t="s">
        <v>17704</v>
      </c>
      <c r="I64" t="s">
        <v>18662</v>
      </c>
      <c r="J64" t="s">
        <v>18661</v>
      </c>
      <c r="K64" t="s">
        <v>18660</v>
      </c>
    </row>
    <row r="65" spans="1:11">
      <c r="A65" s="1"/>
      <c r="B65" s="1" t="s">
        <v>18808</v>
      </c>
      <c r="C65" s="1"/>
      <c r="D65" s="1" t="str">
        <f>IFERROR(VLOOKUP(C65,'Produktkategorien EN'!A:H,7,FALSE),"")</f>
        <v/>
      </c>
      <c r="E65" s="1" t="str">
        <f>IFERROR(VLOOKUP(C65,'Produktkategorien EN'!A:H,5,FALSE),"")</f>
        <v/>
      </c>
      <c r="F65" s="1" t="str">
        <f>IFERROR(VLOOKUP(C65,'Produktkategorien EN'!A:H,3,FALSE),"")</f>
        <v/>
      </c>
      <c r="G65" s="1" t="s">
        <v>18811</v>
      </c>
      <c r="H65" t="s">
        <v>12897</v>
      </c>
      <c r="I65" t="s">
        <v>18665</v>
      </c>
      <c r="J65" t="s">
        <v>18664</v>
      </c>
      <c r="K65" t="s">
        <v>18663</v>
      </c>
    </row>
    <row r="66" spans="1:11">
      <c r="A66" s="1"/>
      <c r="B66" s="1" t="s">
        <v>18808</v>
      </c>
      <c r="C66" s="1"/>
      <c r="D66" s="1" t="str">
        <f>IFERROR(VLOOKUP(C66,'Produktkategorien EN'!A:H,7,FALSE),"")</f>
        <v/>
      </c>
      <c r="E66" s="1" t="str">
        <f>IFERROR(VLOOKUP(C66,'Produktkategorien EN'!A:H,5,FALSE),"")</f>
        <v/>
      </c>
      <c r="F66" s="1" t="str">
        <f>IFERROR(VLOOKUP(C66,'Produktkategorien EN'!A:H,3,FALSE),"")</f>
        <v/>
      </c>
      <c r="G66" s="1" t="s">
        <v>18812</v>
      </c>
      <c r="H66" t="s">
        <v>18666</v>
      </c>
      <c r="I66" t="s">
        <v>18669</v>
      </c>
      <c r="J66" t="s">
        <v>18668</v>
      </c>
      <c r="K66" t="s">
        <v>18667</v>
      </c>
    </row>
    <row r="67" spans="1:11">
      <c r="A67" s="1"/>
      <c r="B67" s="1" t="s">
        <v>18808</v>
      </c>
      <c r="C67" s="1"/>
      <c r="D67" s="1" t="str">
        <f>IFERROR(VLOOKUP(C67,'Produktkategorien EN'!A:H,7,FALSE),"")</f>
        <v/>
      </c>
      <c r="E67" s="1" t="str">
        <f>IFERROR(VLOOKUP(C67,'Produktkategorien EN'!A:H,5,FALSE),"")</f>
        <v/>
      </c>
      <c r="F67" s="1" t="str">
        <f>IFERROR(VLOOKUP(C67,'Produktkategorien EN'!A:H,3,FALSE),"")</f>
        <v/>
      </c>
      <c r="G67" s="1" t="s">
        <v>18813</v>
      </c>
      <c r="H67" t="s">
        <v>1984</v>
      </c>
      <c r="I67" t="s">
        <v>18672</v>
      </c>
      <c r="J67" t="s">
        <v>18671</v>
      </c>
      <c r="K67" t="s">
        <v>18670</v>
      </c>
    </row>
    <row r="68" spans="1:11">
      <c r="A68" s="2"/>
      <c r="B68" s="1" t="s">
        <v>18814</v>
      </c>
      <c r="C68" s="2" t="s">
        <v>1882</v>
      </c>
      <c r="D68" s="1" t="str">
        <f>IFERROR(VLOOKUP(C68,'Produktkategorien EN'!A:H,7,FALSE),"")</f>
        <v>09_Componenten</v>
      </c>
      <c r="E68" s="1" t="str">
        <f>IFERROR(VLOOKUP(C68,'Produktkategorien EN'!A:H,5,FALSE),"")</f>
        <v>09_Composants</v>
      </c>
      <c r="F68" s="1" t="str">
        <f>IFERROR(VLOOKUP(C68,'Produktkategorien EN'!A:H,3,FALSE),"")</f>
        <v>09_Komponenten</v>
      </c>
      <c r="G68" s="1" t="s">
        <v>18815</v>
      </c>
      <c r="H68" t="s">
        <v>11107</v>
      </c>
      <c r="I68" t="s">
        <v>18675</v>
      </c>
      <c r="J68" t="s">
        <v>18674</v>
      </c>
      <c r="K68" t="s">
        <v>18673</v>
      </c>
    </row>
    <row r="69" spans="1:11">
      <c r="A69" s="1"/>
      <c r="B69" s="1" t="s">
        <v>18814</v>
      </c>
      <c r="C69" s="1"/>
      <c r="D69" s="1" t="str">
        <f>IFERROR(VLOOKUP(C69,'Produktkategorien EN'!A:H,7,FALSE),"")</f>
        <v/>
      </c>
      <c r="E69" s="1" t="str">
        <f>IFERROR(VLOOKUP(C69,'Produktkategorien EN'!A:H,5,FALSE),"")</f>
        <v/>
      </c>
      <c r="F69" s="1" t="str">
        <f>IFERROR(VLOOKUP(C69,'Produktkategorien EN'!A:H,3,FALSE),"")</f>
        <v/>
      </c>
      <c r="G69" s="1" t="s">
        <v>18816</v>
      </c>
      <c r="H69" t="s">
        <v>9996</v>
      </c>
      <c r="I69" t="s">
        <v>18678</v>
      </c>
      <c r="J69" t="s">
        <v>18677</v>
      </c>
      <c r="K69" t="s">
        <v>18676</v>
      </c>
    </row>
    <row r="70" spans="1:11">
      <c r="A70" s="1"/>
      <c r="B70" s="1" t="s">
        <v>18814</v>
      </c>
      <c r="C70" s="1"/>
      <c r="D70" s="1" t="str">
        <f>IFERROR(VLOOKUP(C70,'Produktkategorien EN'!A:H,7,FALSE),"")</f>
        <v/>
      </c>
      <c r="E70" s="1" t="str">
        <f>IFERROR(VLOOKUP(C70,'Produktkategorien EN'!A:H,5,FALSE),"")</f>
        <v/>
      </c>
      <c r="F70" s="1" t="str">
        <f>IFERROR(VLOOKUP(C70,'Produktkategorien EN'!A:H,3,FALSE),"")</f>
        <v/>
      </c>
      <c r="G70" s="1" t="s">
        <v>18817</v>
      </c>
      <c r="H70" t="s">
        <v>13014</v>
      </c>
      <c r="I70" t="s">
        <v>18681</v>
      </c>
      <c r="J70" t="s">
        <v>18680</v>
      </c>
      <c r="K70" t="s">
        <v>18679</v>
      </c>
    </row>
    <row r="71" spans="1:11">
      <c r="A71" s="1"/>
      <c r="B71" s="1" t="s">
        <v>18814</v>
      </c>
      <c r="C71" s="1"/>
      <c r="D71" s="1" t="str">
        <f>IFERROR(VLOOKUP(C71,'Produktkategorien EN'!A:H,7,FALSE),"")</f>
        <v/>
      </c>
      <c r="E71" s="1" t="str">
        <f>IFERROR(VLOOKUP(C71,'Produktkategorien EN'!A:H,5,FALSE),"")</f>
        <v/>
      </c>
      <c r="F71" s="1" t="str">
        <f>IFERROR(VLOOKUP(C71,'Produktkategorien EN'!A:H,3,FALSE),"")</f>
        <v/>
      </c>
      <c r="G71" s="1" t="s">
        <v>18818</v>
      </c>
      <c r="H71" t="s">
        <v>1883</v>
      </c>
      <c r="I71" t="s">
        <v>18683</v>
      </c>
      <c r="J71" t="s">
        <v>18682</v>
      </c>
      <c r="K71" t="s">
        <v>1883</v>
      </c>
    </row>
    <row r="72" spans="1:11">
      <c r="A72" s="1"/>
      <c r="B72" s="1" t="s">
        <v>18814</v>
      </c>
      <c r="C72" s="1"/>
      <c r="D72" s="1" t="str">
        <f>IFERROR(VLOOKUP(C72,'Produktkategorien EN'!A:H,7,FALSE),"")</f>
        <v/>
      </c>
      <c r="E72" s="1" t="str">
        <f>IFERROR(VLOOKUP(C72,'Produktkategorien EN'!A:H,5,FALSE),"")</f>
        <v/>
      </c>
      <c r="F72" s="1" t="str">
        <f>IFERROR(VLOOKUP(C72,'Produktkategorien EN'!A:H,3,FALSE),"")</f>
        <v/>
      </c>
      <c r="G72" s="1" t="s">
        <v>18819</v>
      </c>
      <c r="H72" t="s">
        <v>9943</v>
      </c>
      <c r="I72" t="s">
        <v>9943</v>
      </c>
      <c r="J72" t="s">
        <v>18685</v>
      </c>
      <c r="K72" t="s">
        <v>18684</v>
      </c>
    </row>
    <row r="73" spans="1:11">
      <c r="A73" s="1"/>
      <c r="B73" s="1" t="s">
        <v>18814</v>
      </c>
      <c r="C73" s="1"/>
      <c r="D73" s="1" t="str">
        <f>IFERROR(VLOOKUP(C73,'Produktkategorien EN'!A:H,7,FALSE),"")</f>
        <v/>
      </c>
      <c r="E73" s="1" t="str">
        <f>IFERROR(VLOOKUP(C73,'Produktkategorien EN'!A:H,5,FALSE),"")</f>
        <v/>
      </c>
      <c r="F73" s="1" t="str">
        <f>IFERROR(VLOOKUP(C73,'Produktkategorien EN'!A:H,3,FALSE),"")</f>
        <v/>
      </c>
      <c r="G73" s="1" t="s">
        <v>18820</v>
      </c>
      <c r="H73" t="s">
        <v>16836</v>
      </c>
      <c r="I73" t="s">
        <v>18688</v>
      </c>
      <c r="J73" t="s">
        <v>18687</v>
      </c>
      <c r="K73" t="s">
        <v>18686</v>
      </c>
    </row>
    <row r="74" spans="1:11">
      <c r="A74" s="1"/>
      <c r="B74" s="1" t="s">
        <v>18814</v>
      </c>
      <c r="C74" s="1"/>
      <c r="D74" s="1" t="str">
        <f>IFERROR(VLOOKUP(C74,'Produktkategorien EN'!A:H,7,FALSE),"")</f>
        <v/>
      </c>
      <c r="E74" s="1" t="str">
        <f>IFERROR(VLOOKUP(C74,'Produktkategorien EN'!A:H,5,FALSE),"")</f>
        <v/>
      </c>
      <c r="F74" s="1" t="str">
        <f>IFERROR(VLOOKUP(C74,'Produktkategorien EN'!A:H,3,FALSE),"")</f>
        <v/>
      </c>
      <c r="G74" s="1" t="s">
        <v>18821</v>
      </c>
      <c r="H74" t="s">
        <v>16842</v>
      </c>
      <c r="I74" t="s">
        <v>18691</v>
      </c>
      <c r="J74" t="s">
        <v>18690</v>
      </c>
      <c r="K74" t="s">
        <v>18689</v>
      </c>
    </row>
    <row r="75" spans="1:11">
      <c r="A75" s="1"/>
      <c r="B75" s="1" t="s">
        <v>18814</v>
      </c>
      <c r="C75" s="1"/>
      <c r="D75" s="1" t="str">
        <f>IFERROR(VLOOKUP(C75,'Produktkategorien EN'!A:H,7,FALSE),"")</f>
        <v/>
      </c>
      <c r="E75" s="1" t="str">
        <f>IFERROR(VLOOKUP(C75,'Produktkategorien EN'!A:H,5,FALSE),"")</f>
        <v/>
      </c>
      <c r="F75" s="1" t="str">
        <f>IFERROR(VLOOKUP(C75,'Produktkategorien EN'!A:H,3,FALSE),"")</f>
        <v/>
      </c>
      <c r="G75" s="1" t="s">
        <v>18822</v>
      </c>
      <c r="H75" t="s">
        <v>16823</v>
      </c>
      <c r="I75" t="s">
        <v>18694</v>
      </c>
      <c r="J75" t="s">
        <v>18693</v>
      </c>
      <c r="K75" t="s">
        <v>18692</v>
      </c>
    </row>
    <row r="76" spans="1:11">
      <c r="A76" s="1"/>
      <c r="B76" s="1" t="s">
        <v>18814</v>
      </c>
      <c r="C76" s="1"/>
      <c r="D76" s="1" t="str">
        <f>IFERROR(VLOOKUP(C76,'Produktkategorien EN'!A:H,7,FALSE),"")</f>
        <v/>
      </c>
      <c r="E76" s="1" t="str">
        <f>IFERROR(VLOOKUP(C76,'Produktkategorien EN'!A:H,5,FALSE),"")</f>
        <v/>
      </c>
      <c r="F76" s="1" t="str">
        <f>IFERROR(VLOOKUP(C76,'Produktkategorien EN'!A:H,3,FALSE),"")</f>
        <v/>
      </c>
      <c r="G76" s="1" t="s">
        <v>18823</v>
      </c>
      <c r="H76" t="s">
        <v>11618</v>
      </c>
      <c r="I76" t="s">
        <v>18697</v>
      </c>
      <c r="J76" t="s">
        <v>18696</v>
      </c>
      <c r="K76" t="s">
        <v>18695</v>
      </c>
    </row>
    <row r="77" spans="1:11">
      <c r="A77" s="1"/>
      <c r="B77" s="1" t="s">
        <v>18814</v>
      </c>
      <c r="C77" s="1"/>
      <c r="D77" s="1" t="str">
        <f>IFERROR(VLOOKUP(C77,'Produktkategorien EN'!A:H,7,FALSE),"")</f>
        <v/>
      </c>
      <c r="E77" s="1" t="str">
        <f>IFERROR(VLOOKUP(C77,'Produktkategorien EN'!A:H,5,FALSE),"")</f>
        <v/>
      </c>
      <c r="F77" s="1" t="str">
        <f>IFERROR(VLOOKUP(C77,'Produktkategorien EN'!A:H,3,FALSE),"")</f>
        <v/>
      </c>
      <c r="G77" s="1" t="s">
        <v>18824</v>
      </c>
      <c r="H77" t="s">
        <v>9758</v>
      </c>
      <c r="I77" t="s">
        <v>18700</v>
      </c>
      <c r="J77" t="s">
        <v>18699</v>
      </c>
      <c r="K77" t="s">
        <v>18698</v>
      </c>
    </row>
    <row r="78" spans="1:11">
      <c r="A78" s="1"/>
      <c r="B78" s="1" t="s">
        <v>18814</v>
      </c>
      <c r="C78" s="1"/>
      <c r="D78" s="1" t="str">
        <f>IFERROR(VLOOKUP(C78,'Produktkategorien EN'!A:H,7,FALSE),"")</f>
        <v/>
      </c>
      <c r="E78" s="1" t="str">
        <f>IFERROR(VLOOKUP(C78,'Produktkategorien EN'!A:H,5,FALSE),"")</f>
        <v/>
      </c>
      <c r="F78" s="1" t="str">
        <f>IFERROR(VLOOKUP(C78,'Produktkategorien EN'!A:H,3,FALSE),"")</f>
        <v/>
      </c>
      <c r="G78" s="1" t="s">
        <v>18825</v>
      </c>
      <c r="H78" t="s">
        <v>11461</v>
      </c>
      <c r="I78" t="s">
        <v>18703</v>
      </c>
      <c r="J78" t="s">
        <v>18702</v>
      </c>
      <c r="K78" t="s">
        <v>18701</v>
      </c>
    </row>
    <row r="79" spans="1:11">
      <c r="A79" s="2"/>
      <c r="B79" s="1" t="s">
        <v>18826</v>
      </c>
      <c r="C79" s="2" t="s">
        <v>16938</v>
      </c>
      <c r="D79" s="1" t="str">
        <f>IFERROR(VLOOKUP(C79,'Produktkategorien EN'!A:H,7,FALSE),"")</f>
        <v>10_Transportbandstuursystemen</v>
      </c>
      <c r="E79" s="1" t="str">
        <f>IFERROR(VLOOKUP(C79,'Produktkategorien EN'!A:H,5,FALSE),"")</f>
        <v>10_Centrage de bande transporteuse</v>
      </c>
      <c r="F79" s="1" t="str">
        <f>IFERROR(VLOOKUP(C79,'Produktkategorien EN'!A:H,3,FALSE),"")</f>
        <v>10_Fördergurt-Zentrierung</v>
      </c>
      <c r="G79" s="1" t="s">
        <v>18827</v>
      </c>
      <c r="H79" t="s">
        <v>16939</v>
      </c>
      <c r="I79" t="s">
        <v>16939</v>
      </c>
      <c r="J79" t="s">
        <v>18704</v>
      </c>
      <c r="K79" t="s">
        <v>16939</v>
      </c>
    </row>
    <row r="80" spans="1:11">
      <c r="A80" s="1"/>
      <c r="B80" s="1" t="s">
        <v>18826</v>
      </c>
      <c r="C80" s="1"/>
      <c r="D80" s="1" t="str">
        <f>IFERROR(VLOOKUP(C80,'Produktkategorien EN'!A:H,7,FALSE),"")</f>
        <v/>
      </c>
      <c r="E80" s="1" t="str">
        <f>IFERROR(VLOOKUP(C80,'Produktkategorien EN'!A:H,5,FALSE),"")</f>
        <v/>
      </c>
      <c r="F80" s="1" t="str">
        <f>IFERROR(VLOOKUP(C80,'Produktkategorien EN'!A:H,3,FALSE),"")</f>
        <v/>
      </c>
      <c r="G80" s="1" t="s">
        <v>18828</v>
      </c>
      <c r="H80" t="s">
        <v>17256</v>
      </c>
      <c r="I80" t="s">
        <v>17256</v>
      </c>
      <c r="J80" t="s">
        <v>18705</v>
      </c>
      <c r="K80" t="s">
        <v>17256</v>
      </c>
    </row>
    <row r="81" spans="1:11">
      <c r="A81" s="1"/>
      <c r="B81" s="1" t="s">
        <v>18826</v>
      </c>
      <c r="C81" s="1"/>
      <c r="D81" s="1" t="str">
        <f>IFERROR(VLOOKUP(C81,'Produktkategorien EN'!A:H,7,FALSE),"")</f>
        <v/>
      </c>
      <c r="E81" s="1" t="str">
        <f>IFERROR(VLOOKUP(C81,'Produktkategorien EN'!A:H,5,FALSE),"")</f>
        <v/>
      </c>
      <c r="F81" s="1" t="str">
        <f>IFERROR(VLOOKUP(C81,'Produktkategorien EN'!A:H,3,FALSE),"")</f>
        <v/>
      </c>
      <c r="G81" s="1" t="s">
        <v>18829</v>
      </c>
      <c r="H81" t="s">
        <v>17023</v>
      </c>
      <c r="I81" t="s">
        <v>17023</v>
      </c>
      <c r="J81" t="s">
        <v>18706</v>
      </c>
      <c r="K81" t="s">
        <v>17023</v>
      </c>
    </row>
    <row r="82" spans="1:11">
      <c r="A82" s="1"/>
      <c r="B82" s="1" t="s">
        <v>18826</v>
      </c>
      <c r="C82" s="1"/>
      <c r="D82" s="1" t="str">
        <f>IFERROR(VLOOKUP(C82,'Produktkategorien EN'!A:H,7,FALSE),"")</f>
        <v/>
      </c>
      <c r="E82" s="1" t="str">
        <f>IFERROR(VLOOKUP(C82,'Produktkategorien EN'!A:H,5,FALSE),"")</f>
        <v/>
      </c>
      <c r="F82" s="1" t="str">
        <f>IFERROR(VLOOKUP(C82,'Produktkategorien EN'!A:H,3,FALSE),"")</f>
        <v/>
      </c>
      <c r="G82" s="1" t="s">
        <v>18830</v>
      </c>
      <c r="H82" t="s">
        <v>18707</v>
      </c>
      <c r="I82" t="s">
        <v>18707</v>
      </c>
      <c r="J82" t="s">
        <v>18708</v>
      </c>
      <c r="K82" t="s">
        <v>18707</v>
      </c>
    </row>
    <row r="83" spans="1:11">
      <c r="A83" s="2"/>
      <c r="B83" s="1" t="s">
        <v>18831</v>
      </c>
      <c r="C83" s="2" t="s">
        <v>13662</v>
      </c>
      <c r="D83" s="1" t="str">
        <f>IFERROR(VLOOKUP(C83,'Produktkategorien EN'!A:H,7,FALSE),"")</f>
        <v>11_TQ Rollen</v>
      </c>
      <c r="E83" s="1" t="str">
        <f>IFERROR(VLOOKUP(C83,'Produktkategorien EN'!A:H,5,FALSE),"")</f>
        <v>11_TQ rouleaux</v>
      </c>
      <c r="F83" s="1" t="str">
        <f>IFERROR(VLOOKUP(C83,'Produktkategorien EN'!A:H,3,FALSE),"")</f>
        <v>11_TQ Rolle</v>
      </c>
      <c r="G83" s="1" t="s">
        <v>18832</v>
      </c>
      <c r="H83" t="s">
        <v>14651</v>
      </c>
      <c r="I83" t="s">
        <v>18833</v>
      </c>
      <c r="J83" t="s">
        <v>18834</v>
      </c>
      <c r="K83" t="s">
        <v>18835</v>
      </c>
    </row>
    <row r="84" spans="1:11">
      <c r="A84" s="1"/>
      <c r="B84" s="1" t="s">
        <v>18831</v>
      </c>
      <c r="C84" s="1"/>
      <c r="D84" s="1" t="str">
        <f>IFERROR(VLOOKUP(C84,'Produktkategorien EN'!A:H,7,FALSE),"")</f>
        <v/>
      </c>
      <c r="E84" s="1" t="str">
        <f>IFERROR(VLOOKUP(C84,'Produktkategorien EN'!A:H,5,FALSE),"")</f>
        <v/>
      </c>
      <c r="F84" s="1" t="str">
        <f>IFERROR(VLOOKUP(C84,'Produktkategorien EN'!A:H,3,FALSE),"")</f>
        <v/>
      </c>
      <c r="G84" s="1" t="s">
        <v>18836</v>
      </c>
      <c r="H84" t="s">
        <v>13663</v>
      </c>
      <c r="I84" t="s">
        <v>18837</v>
      </c>
      <c r="J84" t="s">
        <v>18838</v>
      </c>
      <c r="K84" t="s">
        <v>18839</v>
      </c>
    </row>
    <row r="85" spans="1:11">
      <c r="A85" s="1"/>
      <c r="B85" s="1" t="s">
        <v>18831</v>
      </c>
      <c r="C85" s="1"/>
      <c r="D85" s="1" t="str">
        <f>IFERROR(VLOOKUP(C85,'Produktkategorien EN'!A:H,7,FALSE),"")</f>
        <v/>
      </c>
      <c r="E85" s="1" t="str">
        <f>IFERROR(VLOOKUP(C85,'Produktkategorien EN'!A:H,5,FALSE),"")</f>
        <v/>
      </c>
      <c r="F85" s="1" t="str">
        <f>IFERROR(VLOOKUP(C85,'Produktkategorien EN'!A:H,3,FALSE),"")</f>
        <v/>
      </c>
      <c r="G85" s="1" t="s">
        <v>18840</v>
      </c>
      <c r="H85" t="s">
        <v>14216</v>
      </c>
      <c r="I85" t="s">
        <v>18841</v>
      </c>
      <c r="J85" t="s">
        <v>18842</v>
      </c>
      <c r="K85" t="s">
        <v>18843</v>
      </c>
    </row>
    <row r="86" spans="1:11">
      <c r="A86" s="1"/>
      <c r="B86" s="1" t="s">
        <v>18831</v>
      </c>
      <c r="C86" s="1"/>
      <c r="D86" s="1" t="str">
        <f>IFERROR(VLOOKUP(C86,'Produktkategorien EN'!A:H,7,FALSE),"")</f>
        <v/>
      </c>
      <c r="E86" s="1" t="str">
        <f>IFERROR(VLOOKUP(C86,'Produktkategorien EN'!A:H,5,FALSE),"")</f>
        <v/>
      </c>
      <c r="F86" s="1" t="str">
        <f>IFERROR(VLOOKUP(C86,'Produktkategorien EN'!A:H,3,FALSE),"")</f>
        <v/>
      </c>
      <c r="G86" s="1" t="s">
        <v>18844</v>
      </c>
      <c r="H86" t="s">
        <v>18845</v>
      </c>
      <c r="I86" t="s">
        <v>18846</v>
      </c>
      <c r="J86" t="s">
        <v>18847</v>
      </c>
      <c r="K86" t="s">
        <v>18848</v>
      </c>
    </row>
    <row r="87" spans="1:11">
      <c r="A87" s="2"/>
      <c r="B87" s="1" t="s">
        <v>18849</v>
      </c>
      <c r="C87" s="2" t="s">
        <v>1277</v>
      </c>
      <c r="D87" s="1" t="str">
        <f>IFERROR(VLOOKUP(C87,'Produktkategorien EN'!A:H,7,FALSE),"")</f>
        <v>12_Veiligheidsproducten</v>
      </c>
      <c r="E87" s="1" t="str">
        <f>IFERROR(VLOOKUP(C87,'Produktkategorien EN'!A:H,5,FALSE),"")</f>
        <v>12_Produits de sécurité</v>
      </c>
      <c r="F87" s="1" t="str">
        <f>IFERROR(VLOOKUP(C87,'Produktkategorien EN'!A:H,3,FALSE),"")</f>
        <v>12_Schutzvorrichtungen</v>
      </c>
      <c r="G87" s="1" t="s">
        <v>18850</v>
      </c>
      <c r="H87" t="s">
        <v>12990</v>
      </c>
      <c r="I87" t="s">
        <v>18715</v>
      </c>
      <c r="J87" t="s">
        <v>18714</v>
      </c>
      <c r="K87" t="s">
        <v>18713</v>
      </c>
    </row>
    <row r="88" spans="1:11">
      <c r="B88" s="1" t="s">
        <v>18849</v>
      </c>
      <c r="D88" s="1" t="str">
        <f>IFERROR(VLOOKUP(C88,'Produktkategorien EN'!A:H,7,FALSE),"")</f>
        <v/>
      </c>
      <c r="E88" s="1" t="str">
        <f>IFERROR(VLOOKUP(C88,'Produktkategorien EN'!A:H,5,FALSE),"")</f>
        <v/>
      </c>
      <c r="F88" s="1" t="str">
        <f>IFERROR(VLOOKUP(C88,'Produktkategorien EN'!A:H,3,FALSE),"")</f>
        <v/>
      </c>
      <c r="G88" s="1" t="s">
        <v>18851</v>
      </c>
      <c r="H88" t="s">
        <v>1336</v>
      </c>
      <c r="I88" t="s">
        <v>18718</v>
      </c>
      <c r="J88" t="s">
        <v>18717</v>
      </c>
      <c r="K88" t="s">
        <v>18716</v>
      </c>
    </row>
    <row r="89" spans="1:11">
      <c r="B89" s="1" t="s">
        <v>18849</v>
      </c>
      <c r="D89" s="1" t="str">
        <f>IFERROR(VLOOKUP(C89,'Produktkategorien EN'!A:H,7,FALSE),"")</f>
        <v/>
      </c>
      <c r="E89" s="1" t="str">
        <f>IFERROR(VLOOKUP(C89,'Produktkategorien EN'!A:H,5,FALSE),"")</f>
        <v/>
      </c>
      <c r="F89" s="1" t="str">
        <f>IFERROR(VLOOKUP(C89,'Produktkategorien EN'!A:H,3,FALSE),"")</f>
        <v/>
      </c>
      <c r="G89" s="1" t="s">
        <v>18852</v>
      </c>
      <c r="H89" t="s">
        <v>1278</v>
      </c>
      <c r="I89" t="s">
        <v>18721</v>
      </c>
      <c r="J89" t="s">
        <v>18720</v>
      </c>
      <c r="K89" t="s">
        <v>18719</v>
      </c>
    </row>
    <row r="90" spans="1:11">
      <c r="B90" s="1" t="s">
        <v>18849</v>
      </c>
      <c r="D90" s="1" t="str">
        <f>IFERROR(VLOOKUP(C90,'Produktkategorien EN'!A:H,7,FALSE),"")</f>
        <v/>
      </c>
      <c r="E90" s="1" t="str">
        <f>IFERROR(VLOOKUP(C90,'Produktkategorien EN'!A:H,5,FALSE),"")</f>
        <v/>
      </c>
      <c r="F90" s="1" t="str">
        <f>IFERROR(VLOOKUP(C90,'Produktkategorien EN'!A:H,3,FALSE),"")</f>
        <v/>
      </c>
      <c r="G90" s="1" t="s">
        <v>18853</v>
      </c>
      <c r="H90" t="s">
        <v>10902</v>
      </c>
      <c r="I90" t="s">
        <v>18724</v>
      </c>
      <c r="J90" t="s">
        <v>18723</v>
      </c>
      <c r="K90" t="s">
        <v>10902</v>
      </c>
    </row>
    <row r="91" spans="1:11">
      <c r="B9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440B-61A8-488F-9886-317DBA86F66A}">
  <dimension ref="A1:B12"/>
  <sheetViews>
    <sheetView workbookViewId="0">
      <selection activeCell="F41" sqref="F41"/>
    </sheetView>
  </sheetViews>
  <sheetFormatPr defaultRowHeight="12.75"/>
  <sheetData>
    <row r="1" spans="1:2">
      <c r="A1">
        <v>1</v>
      </c>
      <c r="B1" s="3" t="s">
        <v>18736</v>
      </c>
    </row>
    <row r="2" spans="1:2">
      <c r="A2">
        <v>2</v>
      </c>
      <c r="B2" s="3" t="s">
        <v>18752</v>
      </c>
    </row>
    <row r="3" spans="1:2">
      <c r="A3">
        <v>3</v>
      </c>
      <c r="B3" s="3" t="s">
        <v>18760</v>
      </c>
    </row>
    <row r="4" spans="1:2">
      <c r="A4">
        <v>4</v>
      </c>
      <c r="B4" s="3" t="s">
        <v>18773</v>
      </c>
    </row>
    <row r="5" spans="1:2">
      <c r="A5">
        <v>5</v>
      </c>
      <c r="B5" s="3" t="s">
        <v>18786</v>
      </c>
    </row>
    <row r="6" spans="1:2">
      <c r="A6">
        <v>6</v>
      </c>
      <c r="B6" s="3" t="s">
        <v>18793</v>
      </c>
    </row>
    <row r="7" spans="1:2">
      <c r="A7">
        <v>7</v>
      </c>
      <c r="B7" s="3" t="s">
        <v>18800</v>
      </c>
    </row>
    <row r="8" spans="1:2">
      <c r="A8">
        <v>8</v>
      </c>
      <c r="B8" s="3" t="s">
        <v>18808</v>
      </c>
    </row>
    <row r="9" spans="1:2">
      <c r="A9">
        <v>9</v>
      </c>
      <c r="B9" s="3" t="s">
        <v>18814</v>
      </c>
    </row>
    <row r="10" spans="1:2">
      <c r="A10">
        <v>10</v>
      </c>
      <c r="B10" s="3" t="s">
        <v>18826</v>
      </c>
    </row>
    <row r="11" spans="1:2">
      <c r="A11">
        <v>11</v>
      </c>
      <c r="B11" s="3" t="s">
        <v>18831</v>
      </c>
    </row>
    <row r="12" spans="1:2">
      <c r="A12">
        <v>12</v>
      </c>
      <c r="B12" s="3" t="s">
        <v>18849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CC2F-B25D-4FA6-A1E9-CCF495475F23}">
  <dimension ref="A1:I13"/>
  <sheetViews>
    <sheetView workbookViewId="0">
      <selection activeCell="H1" sqref="H1"/>
    </sheetView>
  </sheetViews>
  <sheetFormatPr defaultRowHeight="12.75"/>
  <cols>
    <col min="1" max="3" width="31.28515625" customWidth="1"/>
    <col min="4" max="4" width="31.28515625" hidden="1" customWidth="1"/>
    <col min="5" max="6" width="31.28515625" customWidth="1"/>
    <col min="7" max="9" width="31.28515625" hidden="1" customWidth="1"/>
  </cols>
  <sheetData>
    <row r="1" spans="1:9">
      <c r="A1" t="s">
        <v>18725</v>
      </c>
      <c r="B1" t="s">
        <v>18726</v>
      </c>
      <c r="C1" t="s">
        <v>18728</v>
      </c>
      <c r="D1" t="s">
        <v>18854</v>
      </c>
      <c r="E1" t="s">
        <v>18731</v>
      </c>
      <c r="F1" t="s">
        <v>18733</v>
      </c>
      <c r="G1" t="s">
        <v>18734</v>
      </c>
      <c r="H1" t="s">
        <v>18855</v>
      </c>
      <c r="I1" t="s">
        <v>18856</v>
      </c>
    </row>
    <row r="2" spans="1:9">
      <c r="A2" s="1" t="s">
        <v>1589</v>
      </c>
    </row>
    <row r="3" spans="1:9">
      <c r="A3" s="1" t="s">
        <v>2283</v>
      </c>
    </row>
    <row r="4" spans="1:9">
      <c r="A4" s="1" t="s">
        <v>1888</v>
      </c>
    </row>
    <row r="5" spans="1:9">
      <c r="A5" s="1" t="s">
        <v>1507</v>
      </c>
    </row>
    <row r="6" spans="1:9">
      <c r="A6" s="1" t="s">
        <v>1393</v>
      </c>
    </row>
    <row r="7" spans="1:9">
      <c r="A7" s="2" t="s">
        <v>63</v>
      </c>
    </row>
    <row r="8" spans="1:9">
      <c r="A8" s="2" t="s">
        <v>219</v>
      </c>
    </row>
    <row r="9" spans="1:9">
      <c r="A9" s="2" t="s">
        <v>1983</v>
      </c>
    </row>
    <row r="10" spans="1:9">
      <c r="A10" s="2" t="s">
        <v>1882</v>
      </c>
    </row>
    <row r="11" spans="1:9">
      <c r="A11" s="2" t="s">
        <v>16938</v>
      </c>
    </row>
    <row r="12" spans="1:9">
      <c r="A12" s="2" t="s">
        <v>13662</v>
      </c>
    </row>
    <row r="13" spans="1:9">
      <c r="A13" s="2" t="s">
        <v>1277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AF5B06C013AC498D3FB739C22A512A" ma:contentTypeVersion="15" ma:contentTypeDescription="Een nieuw document maken." ma:contentTypeScope="" ma:versionID="0cb649a2cf49839d3ee3fa3f6c941a08">
  <xsd:schema xmlns:xsd="http://www.w3.org/2001/XMLSchema" xmlns:xs="http://www.w3.org/2001/XMLSchema" xmlns:p="http://schemas.microsoft.com/office/2006/metadata/properties" xmlns:ns2="553be088-f85f-4649-ba2e-ac9ceb287b74" xmlns:ns3="1d28a7c4-f09d-4c30-9c17-3be03a1f9af7" targetNamespace="http://schemas.microsoft.com/office/2006/metadata/properties" ma:root="true" ma:fieldsID="75c829d5b3d3543f254a0bc88c548da1" ns2:_="" ns3:_="">
    <xsd:import namespace="553be088-f85f-4649-ba2e-ac9ceb287b74"/>
    <xsd:import namespace="1d28a7c4-f09d-4c30-9c17-3be03a1f9a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3be088-f85f-4649-ba2e-ac9ceb287b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4e1f5c3d-8e63-42d2-a09c-baeb7d95b42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d28a7c4-f09d-4c30-9c17-3be03a1f9af7"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4a48f559-6d6e-4a71-b559-c1dd0b54c240}" ma:internalName="TaxCatchAll" ma:showField="CatchAllData" ma:web="1d28a7c4-f09d-4c30-9c17-3be03a1f9a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d28a7c4-f09d-4c30-9c17-3be03a1f9af7" xsi:nil="true"/>
    <lcf76f155ced4ddcb4097134ff3c332f xmlns="553be088-f85f-4649-ba2e-ac9ceb287b74">
      <Terms xmlns="http://schemas.microsoft.com/office/infopath/2007/PartnerControls"/>
    </lcf76f155ced4ddcb4097134ff3c332f>
    <SharedWithUsers xmlns="1d28a7c4-f09d-4c30-9c17-3be03a1f9af7">
      <UserInfo>
        <DisplayName>Rishma Mormon-Hesen | T-Rex Rubber</DisplayName>
        <AccountId>26</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82E31B-E98A-4D9C-ABB8-F637878F38B3}"/>
</file>

<file path=customXml/itemProps2.xml><?xml version="1.0" encoding="utf-8"?>
<ds:datastoreItem xmlns:ds="http://schemas.openxmlformats.org/officeDocument/2006/customXml" ds:itemID="{4A0E6803-D867-4E5C-9DCD-92FB2C0C64A9}"/>
</file>

<file path=customXml/itemProps3.xml><?xml version="1.0" encoding="utf-8"?>
<ds:datastoreItem xmlns:ds="http://schemas.openxmlformats.org/officeDocument/2006/customXml" ds:itemID="{A5A5C0DC-8BE1-4CC1-A4CC-578F873B10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Crystal Decisions</dc:creator>
  <cp:keywords/>
  <dc:description>Powered by Crystal</dc:description>
  <cp:lastModifiedBy>Sharon Hoogland (student)</cp:lastModifiedBy>
  <cp:revision/>
  <dcterms:created xsi:type="dcterms:W3CDTF">2022-02-09T20:04:15Z</dcterms:created>
  <dcterms:modified xsi:type="dcterms:W3CDTF">2026-03-02T14:01:10Z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 Objects Context Information">
    <vt:lpwstr>01C2D35AF44DC8546069FCCFAB82437E8AE85364339A3FD7B8457322ABA5F93C1946319DEC9FEB372CA6F18F9A86D7A760E9433A14A31CA44E93C3CB76290C22F08862345014DF2CAA86CCA7EE6CB5E3DF352800A2D4FBBDB5E6ABD6AB5EAB5FF47D98B319B86EC9C5777550DB4B79CEAB2BE3B69235938CF64CF5B12DB136B</vt:lpwstr>
  </property>
  <property fmtid="{D5CDD505-2E9C-101B-9397-08002B2CF9AE}" pid="3" name="Business Objects Context Information1">
    <vt:lpwstr>AFFEEDD10184B589682B52480D7D8C2E79E6CB08A023B94D90F6CF0264DA19DF0B9242B9A7AD48B10665F83591170027413C9395EB0D86E6AA48FA6381A50A563F5937D1C184D971A6E2B3B5F63329E2C18B34585ED3299E55717354C0450D9768743EEA99EF3C1375B1116D9654D0A7612542753719ED317F3DEE4659CA8BB</vt:lpwstr>
  </property>
  <property fmtid="{D5CDD505-2E9C-101B-9397-08002B2CF9AE}" pid="4" name="Business Objects Context Information2">
    <vt:lpwstr>D373596D59344F2C67B0C799C152989E8D763AC47B419E99BFDD1232274C9927C70B27D8E5FE742A26972D9655B9642308CA3BD52F1B572504A1DB833280BEF8C72A6A6749608BA21817C5F844B900E4FF5569C343BA231F33F8D04BFF97CE460F73B53965BEBE81C6B29577AF3B8118DCFA10A33892450AF8A0E14467E5440</vt:lpwstr>
  </property>
  <property fmtid="{D5CDD505-2E9C-101B-9397-08002B2CF9AE}" pid="5" name="Business Objects Context Information3">
    <vt:lpwstr>FD3DA7A17F1F15C3594C54079646E7A0D98346F0B199371C9BA075F96B3EE330CBFD350950E69A28F20DC5DFF6860FD40628F9896E23FC7C7A9E30E7282AEB76F8802895C18A8D72825F075EF1F3EAF2D4AE61FA62A655103709FDB1F059A58244FB53F4DADB71B417D2321C4214D7A6CCFF09DD50AC21448778EAE9C23EFCF</vt:lpwstr>
  </property>
  <property fmtid="{D5CDD505-2E9C-101B-9397-08002B2CF9AE}" pid="6" name="Business Objects Context Information4">
    <vt:lpwstr>58950870172DF061253EEFA2F6F94EB531815AC16CBBDEF0CB358C272ED74674ED508298DD224118B78A226F7983E77396D2F689C9BF66598976646C5078388EB07A323F2619B74EA4123235F9F0274084B1598FEB7E9B436826DC94D3C8FC4CD988D6C594AB75587BE8E424BF57EC89A6AE33176032DF61EF5E4EE6F5B1D22</vt:lpwstr>
  </property>
  <property fmtid="{D5CDD505-2E9C-101B-9397-08002B2CF9AE}" pid="7" name="Business Objects Context Information5">
    <vt:lpwstr>6C88298967656FC308124F6C8AF30E01BF3A4A34A3B4A6F2C221B8299F5B18F8FF26D89356F506CB48FF9B4AB1D8C410C46EEE852AB3FBA28C78B42E1B03F3A2BFC1A37453567E5F9FA41B0106AE8D87D01216994D82D6BC3F639545F0B59782BFE2171E0027C19C83BB99BB199D76DBFC2FD14E71AE4B112FB3CEC5BAA7B94</vt:lpwstr>
  </property>
  <property fmtid="{D5CDD505-2E9C-101B-9397-08002B2CF9AE}" pid="8" name="Business Objects Context Information6">
    <vt:lpwstr>03A3B782D5D75A2E67E7B7982FCB3A6DE82A75BEE7C93287D64F83A3E97DA52718D184D1</vt:lpwstr>
  </property>
  <property fmtid="{D5CDD505-2E9C-101B-9397-08002B2CF9AE}" pid="9" name="ContentTypeId">
    <vt:lpwstr>0x01010054AF5B06C013AC498D3FB739C22A512A</vt:lpwstr>
  </property>
  <property fmtid="{D5CDD505-2E9C-101B-9397-08002B2CF9AE}" pid="10" name="MediaServiceImageTags">
    <vt:lpwstr/>
  </property>
</Properties>
</file>